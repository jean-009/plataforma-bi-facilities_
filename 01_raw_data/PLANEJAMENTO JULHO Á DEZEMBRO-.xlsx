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W:\03- MAPAS\2025\AGOSTO\"/>
    </mc:Choice>
  </mc:AlternateContent>
  <xr:revisionPtr revIDLastSave="0" documentId="13_ncr:1_{29CFB648-AF0F-498F-95C9-645D4B7DE325}" xr6:coauthVersionLast="47" xr6:coauthVersionMax="47" xr10:uidLastSave="{00000000-0000-0000-0000-000000000000}"/>
  <bookViews>
    <workbookView xWindow="-108" yWindow="-108" windowWidth="23256" windowHeight="12456" activeTab="1" xr2:uid="{2D4EBA98-E3F3-4A1F-9CF4-5FA2B2664D5F}"/>
  </bookViews>
  <sheets>
    <sheet name="PLANEJAMENTO1" sheetId="22" r:id="rId1"/>
    <sheet name="BASE" sheetId="1" r:id="rId2"/>
    <sheet name="TR" sheetId="13" r:id="rId3"/>
    <sheet name="Planilha3" sheetId="60" state="hidden" r:id="rId4"/>
    <sheet name="DESPESAS COMP" sheetId="25" r:id="rId5"/>
    <sheet name="RELAÇÃO PG" sheetId="14" r:id="rId6"/>
    <sheet name="Planilha7" sheetId="59" state="hidden" r:id="rId7"/>
    <sheet name="Planilha2" sheetId="55" state="hidden" r:id="rId8"/>
    <sheet name="RECEITA COMP" sheetId="38" r:id="rId9"/>
    <sheet name="COMPARATIVO " sheetId="23" r:id="rId10"/>
    <sheet name="ACORDO" sheetId="18" state="hidden" r:id="rId11"/>
    <sheet name="NEXTI" sheetId="17" state="hidden" r:id="rId12"/>
    <sheet name="Planilha1" sheetId="40" state="hidden" r:id="rId13"/>
    <sheet name="DDA VENCIDO" sheetId="20" state="hidden" r:id="rId14"/>
    <sheet name="Planilha6" sheetId="21" state="hidden" r:id="rId15"/>
    <sheet name="NÃO PROVISIONADO" sheetId="15" r:id="rId16"/>
  </sheets>
  <definedNames>
    <definedName name="_xlnm._FilterDatabase" localSheetId="10" hidden="1">ACORDO!$A$2:$G$33</definedName>
    <definedName name="_xlnm._FilterDatabase" localSheetId="1" hidden="1">BASE!$A$1:$M$2425</definedName>
    <definedName name="_xlnm.Print_Area" localSheetId="4">'DESPESAS COMP'!$A$3:$H$52</definedName>
  </definedNames>
  <calcPr calcId="191029"/>
  <pivotCaches>
    <pivotCache cacheId="0" r:id="rId17"/>
    <pivotCache cacheId="34" r:id="rId1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56" i="14" l="1"/>
  <c r="E1732" i="14" l="1"/>
  <c r="E1707" i="14" l="1"/>
  <c r="E1695" i="14" l="1"/>
  <c r="E1667" i="14"/>
  <c r="E1629" i="14" l="1"/>
  <c r="E1607" i="14" l="1"/>
  <c r="E1586" i="14"/>
  <c r="E1569" i="14"/>
  <c r="C186" i="13"/>
  <c r="C184" i="13"/>
  <c r="E167" i="13"/>
  <c r="F175" i="13"/>
  <c r="B175" i="13"/>
  <c r="B14" i="22"/>
  <c r="B167" i="13" l="1"/>
  <c r="E1554" i="14"/>
  <c r="B179" i="13"/>
  <c r="E175" i="13"/>
  <c r="E1499" i="14"/>
  <c r="E1488" i="14"/>
  <c r="C14" i="22"/>
  <c r="E1392" i="14" l="1"/>
  <c r="E1367" i="14"/>
  <c r="D14" i="22"/>
  <c r="E1350" i="14" l="1"/>
  <c r="E1325" i="14"/>
  <c r="E14" i="22"/>
  <c r="E1297" i="14" l="1"/>
  <c r="F14" i="22"/>
  <c r="E1246" i="14" l="1"/>
  <c r="G14" i="22"/>
  <c r="AW37" i="22" l="1"/>
  <c r="AW38" i="22" s="1"/>
  <c r="H14" i="22"/>
  <c r="E1162" i="14" l="1"/>
  <c r="E137" i="13"/>
  <c r="E140" i="13" s="1"/>
  <c r="F142" i="13" s="1"/>
  <c r="B142" i="13"/>
  <c r="B137" i="13"/>
  <c r="B131" i="13"/>
  <c r="E131" i="13"/>
  <c r="I14" i="22"/>
  <c r="E1114" i="14" l="1"/>
  <c r="E1072" i="14"/>
  <c r="E115" i="13"/>
  <c r="B115" i="13"/>
  <c r="B117" i="13" s="1"/>
  <c r="E1016" i="14"/>
  <c r="E999" i="14"/>
  <c r="J14" i="22"/>
  <c r="E987" i="14" l="1"/>
  <c r="E944" i="14"/>
  <c r="E928" i="14"/>
  <c r="E902" i="14"/>
  <c r="K14" i="22"/>
  <c r="C6" i="59" l="1"/>
  <c r="E876" i="14"/>
  <c r="L14" i="22"/>
  <c r="B90" i="13" l="1"/>
  <c r="B94" i="13" s="1"/>
  <c r="C101" i="13"/>
  <c r="C104" i="13" s="1"/>
  <c r="B85" i="13"/>
  <c r="E85" i="13"/>
  <c r="E89" i="13" s="1"/>
  <c r="E92" i="13" s="1"/>
  <c r="E863" i="14"/>
  <c r="E837" i="14"/>
  <c r="M14" i="22"/>
  <c r="E822" i="14" l="1"/>
  <c r="N14" i="22"/>
  <c r="E780" i="14" l="1"/>
  <c r="O14" i="22"/>
  <c r="E704" i="14" l="1"/>
  <c r="P14" i="22"/>
  <c r="E668" i="14" l="1"/>
  <c r="Q14" i="22"/>
  <c r="E658" i="14" l="1"/>
  <c r="R14" i="22"/>
  <c r="C10" i="55" l="1"/>
  <c r="D10" i="55"/>
  <c r="E10" i="55"/>
  <c r="S14" i="22"/>
  <c r="E632" i="14" l="1"/>
  <c r="T14" i="22"/>
  <c r="E595" i="14" l="1"/>
  <c r="U14" i="22"/>
  <c r="E565" i="14" l="1"/>
  <c r="V14" i="22"/>
  <c r="E528" i="14" l="1"/>
  <c r="W14" i="22"/>
  <c r="E501" i="14" l="1"/>
  <c r="X14" i="22"/>
  <c r="E454" i="14" l="1"/>
  <c r="Y14" i="22"/>
  <c r="E402" i="14" l="1"/>
  <c r="E367" i="14"/>
  <c r="Z14" i="22"/>
  <c r="E326" i="14" l="1"/>
  <c r="AA14" i="22"/>
  <c r="M46" i="13" l="1"/>
  <c r="B45" i="13"/>
  <c r="G45" i="13"/>
  <c r="G49" i="13" s="1"/>
  <c r="G50" i="13" s="1"/>
  <c r="G52" i="13" s="1"/>
  <c r="G54" i="13" s="1"/>
  <c r="B50" i="13"/>
  <c r="B54" i="13" s="1"/>
  <c r="E245" i="14"/>
  <c r="E214" i="14"/>
  <c r="AB14" i="22"/>
  <c r="E202" i="14" l="1"/>
  <c r="AC14" i="22"/>
  <c r="B13" i="22"/>
  <c r="E155" i="14" l="1"/>
  <c r="AD14" i="22"/>
  <c r="C13" i="22"/>
  <c r="E122" i="14" l="1"/>
  <c r="AE14" i="22"/>
  <c r="D13" i="22"/>
  <c r="E100" i="14" l="1"/>
  <c r="AF14" i="22"/>
  <c r="E13" i="22"/>
  <c r="E66" i="14" l="1"/>
  <c r="B10" i="13"/>
  <c r="G10" i="13"/>
  <c r="G15" i="13"/>
  <c r="G19" i="13" s="1"/>
  <c r="B15" i="13"/>
  <c r="B19" i="13" s="1"/>
  <c r="AG14" i="22"/>
  <c r="F13" i="22"/>
  <c r="E40" i="14" l="1"/>
  <c r="AH14" i="22"/>
  <c r="G13" i="22"/>
  <c r="E20" i="14" l="1"/>
  <c r="AI14" i="22"/>
  <c r="H13" i="22"/>
  <c r="I13" i="22"/>
  <c r="AJ14" i="22"/>
  <c r="AK14" i="22"/>
  <c r="J13" i="22"/>
  <c r="K13" i="22"/>
  <c r="AL14" i="22"/>
  <c r="AM14" i="22"/>
  <c r="L13" i="22"/>
  <c r="M13" i="22"/>
  <c r="AN14" i="22"/>
  <c r="AO14" i="22"/>
  <c r="N13" i="22"/>
  <c r="O13" i="22"/>
  <c r="AP14" i="22"/>
  <c r="AQ14" i="22"/>
  <c r="P13" i="22"/>
  <c r="Q13" i="22"/>
  <c r="AR14" i="22"/>
  <c r="AS14" i="22"/>
  <c r="R13" i="22"/>
  <c r="S13" i="22"/>
  <c r="AT14" i="22"/>
  <c r="AU14" i="22"/>
  <c r="T13" i="22"/>
  <c r="U13" i="22"/>
  <c r="AV14" i="22"/>
  <c r="AW14" i="22"/>
  <c r="V13" i="22"/>
  <c r="W13" i="22"/>
  <c r="AX14" i="22"/>
  <c r="AY14" i="22"/>
  <c r="X13" i="22"/>
  <c r="Y13" i="22"/>
  <c r="AZ14" i="22"/>
  <c r="BA14" i="22"/>
  <c r="Z13" i="22"/>
  <c r="AA13" i="22"/>
  <c r="BB14" i="22"/>
  <c r="BC14" i="22"/>
  <c r="AB13" i="22"/>
  <c r="AC13" i="22"/>
  <c r="AD13" i="22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5" i="22"/>
  <c r="AU13" i="22"/>
  <c r="AV13" i="22"/>
  <c r="AV15" i="22"/>
  <c r="AW15" i="22"/>
  <c r="AW13" i="22"/>
  <c r="AX13" i="22"/>
  <c r="AX15" i="22"/>
  <c r="AY13" i="22"/>
  <c r="AY15" i="22"/>
  <c r="AZ13" i="22"/>
  <c r="AZ15" i="22"/>
  <c r="BA15" i="22"/>
  <c r="BA13" i="22"/>
  <c r="BB15" i="22" s="1"/>
  <c r="BB13" i="22"/>
  <c r="BC15" i="22"/>
  <c r="BC13" i="22"/>
  <c r="BD14" i="22"/>
  <c r="BD13" i="22"/>
  <c r="BD15" i="22"/>
  <c r="BE13" i="22"/>
  <c r="BE15" i="22"/>
  <c r="BE14" i="22"/>
  <c r="BF15" i="22"/>
  <c r="BF13" i="22"/>
  <c r="BF14" i="22"/>
  <c r="BG14" i="22"/>
  <c r="BG13" i="22"/>
  <c r="BG15" i="22"/>
  <c r="BH15" i="22"/>
  <c r="BH14" i="22"/>
  <c r="BH13" i="22"/>
  <c r="BI13" i="22"/>
  <c r="BI15" i="22"/>
  <c r="BI14" i="22"/>
  <c r="BJ14" i="22"/>
  <c r="BJ15" i="22"/>
  <c r="BJ13" i="22"/>
  <c r="BK15" i="22"/>
  <c r="BK13" i="22"/>
  <c r="BK14" i="22"/>
  <c r="BL14" i="22"/>
  <c r="BL13" i="22"/>
  <c r="BL15" i="22"/>
  <c r="BM15" i="22"/>
  <c r="BM13" i="22"/>
  <c r="BM14" i="22"/>
  <c r="BN14" i="22"/>
  <c r="BN15" i="22"/>
  <c r="BN13" i="22"/>
  <c r="BO13" i="22"/>
  <c r="BO14" i="22"/>
  <c r="BP14" i="22"/>
  <c r="BP13" i="22"/>
  <c r="BQ13" i="22"/>
  <c r="BQ14" i="22"/>
  <c r="BR14" i="22"/>
  <c r="BR13" i="22"/>
  <c r="BS13" i="22"/>
  <c r="BS14" i="22"/>
  <c r="BT14" i="22"/>
  <c r="BT13" i="22"/>
  <c r="BU13" i="22"/>
  <c r="BU14" i="22"/>
  <c r="BV13" i="22"/>
  <c r="BW13" i="22"/>
  <c r="BX13" i="22"/>
  <c r="BY13" i="22"/>
  <c r="BZ13" i="22"/>
  <c r="CA13" i="22"/>
  <c r="CB13" i="22"/>
  <c r="CC13" i="22"/>
  <c r="CD13" i="22"/>
  <c r="CE13" i="22"/>
  <c r="CF13" i="22"/>
  <c r="CG13" i="22"/>
  <c r="CH13" i="22"/>
  <c r="CI13" i="22"/>
  <c r="CJ13" i="22"/>
  <c r="CK13" i="22"/>
  <c r="CL13" i="22"/>
  <c r="CM13" i="22"/>
  <c r="CN13" i="22"/>
  <c r="CO13" i="22"/>
  <c r="CP13" i="22"/>
  <c r="CQ13" i="22"/>
  <c r="CR13" i="22"/>
  <c r="CS13" i="22"/>
  <c r="CT13" i="22"/>
  <c r="CU13" i="22"/>
  <c r="CV13" i="22"/>
  <c r="CW13" i="22"/>
  <c r="CX13" i="22"/>
  <c r="CY13" i="22"/>
  <c r="CZ13" i="22"/>
  <c r="DA13" i="22"/>
  <c r="DB13" i="22"/>
  <c r="DC13" i="22"/>
  <c r="DD13" i="22"/>
  <c r="DE13" i="22"/>
  <c r="DF13" i="22"/>
  <c r="DG13" i="22"/>
  <c r="DH13" i="22"/>
  <c r="DI13" i="22"/>
  <c r="DJ13" i="22"/>
  <c r="DK13" i="22"/>
  <c r="DL13" i="22"/>
  <c r="DM13" i="22"/>
  <c r="DN13" i="22"/>
  <c r="DO13" i="22"/>
  <c r="DP13" i="22"/>
  <c r="DQ13" i="22"/>
  <c r="DR13" i="22"/>
  <c r="DS13" i="22"/>
  <c r="DT13" i="22"/>
  <c r="DT22" i="22" l="1"/>
  <c r="DT24" i="22" s="1"/>
  <c r="DT27" i="22" s="1"/>
  <c r="DT30" i="22" s="1"/>
  <c r="DT33" i="22" s="1"/>
</calcChain>
</file>

<file path=xl/sharedStrings.xml><?xml version="1.0" encoding="utf-8"?>
<sst xmlns="http://schemas.openxmlformats.org/spreadsheetml/2006/main" count="20653" uniqueCount="1590">
  <si>
    <t>DATA</t>
  </si>
  <si>
    <t>EMPRESA</t>
  </si>
  <si>
    <t>FORNECEDOR</t>
  </si>
  <si>
    <t>VALOR</t>
  </si>
  <si>
    <t>TIPO</t>
  </si>
  <si>
    <t>CENTRO DE CUSTO</t>
  </si>
  <si>
    <t>HSERV CABREUVA</t>
  </si>
  <si>
    <t>ELEKTRO SALA 16</t>
  </si>
  <si>
    <t>DESPESAS</t>
  </si>
  <si>
    <t>ENERGIA ELETRICA</t>
  </si>
  <si>
    <t>ELEKTRO SALA 17</t>
  </si>
  <si>
    <t>ELEKTRO SALA 18</t>
  </si>
  <si>
    <t>ELEKTRO LOJA CLEAN</t>
  </si>
  <si>
    <t xml:space="preserve">HSERV COMBINADOS </t>
  </si>
  <si>
    <t>CAIXINHA OPERACIONAL - OSSIRES</t>
  </si>
  <si>
    <t>CAIXINHA</t>
  </si>
  <si>
    <t xml:space="preserve">CAIXINHA OPERACIONAL </t>
  </si>
  <si>
    <t>VITOR DUARTE</t>
  </si>
  <si>
    <t>VIVA FOOD R E LTDA</t>
  </si>
  <si>
    <t>VALE ALIMENTAÇÃO</t>
  </si>
  <si>
    <t>HSERV TERCEIRIZADOS ND</t>
  </si>
  <si>
    <t xml:space="preserve">	ENCARGOS LIMITE DE CRED- HSERV TERCERIZADOS BRADESCO </t>
  </si>
  <si>
    <t>ENCARGOS</t>
  </si>
  <si>
    <t xml:space="preserve">BANCO ITAUCARD S.A.- </t>
  </si>
  <si>
    <t>FINANCIAMENTO</t>
  </si>
  <si>
    <t>HSERV COMBINADOS</t>
  </si>
  <si>
    <t>QUEILA JESUS BERNARDES DE OLIVEIRA</t>
  </si>
  <si>
    <t>FT</t>
  </si>
  <si>
    <t>TAR PLANO ADAPT 3 05/24</t>
  </si>
  <si>
    <t>TARIFA BANCARIA</t>
  </si>
  <si>
    <t>HSERV TERCERIZADOS</t>
  </si>
  <si>
    <t>HENRIQUE JEAN</t>
  </si>
  <si>
    <t>HSERV TECNOLOGIA</t>
  </si>
  <si>
    <t>HSERV LIMPEZA</t>
  </si>
  <si>
    <t>HSERV REPRESENTAÇÃO</t>
  </si>
  <si>
    <t xml:space="preserve">HSERV CABREUVA </t>
  </si>
  <si>
    <t>CREDIFIT</t>
  </si>
  <si>
    <t>CONSIGNADO</t>
  </si>
  <si>
    <t>CONDOMINIO NEX ONE CONSOLAÇÃO BELAS ARTES- ROBOTTON</t>
  </si>
  <si>
    <t>RESERVA</t>
  </si>
  <si>
    <t>SALARIO CLT, PENSÃO ALIMENTICIA, BONUS-</t>
  </si>
  <si>
    <t>SALARIOS</t>
  </si>
  <si>
    <t xml:space="preserve">ESTER CARDOZO DE LIMA </t>
  </si>
  <si>
    <t xml:space="preserve"> MEI  </t>
  </si>
  <si>
    <t>HSERV CLEAN</t>
  </si>
  <si>
    <t>EMPRESTIMO HSERV CLEAN BRADESCO M-PARCELA MENSAL</t>
  </si>
  <si>
    <t xml:space="preserve">EMPRESTIMO </t>
  </si>
  <si>
    <t xml:space="preserve">FT ASSIS E REGIÃO- </t>
  </si>
  <si>
    <t>PAPEL E CIA</t>
  </si>
  <si>
    <t>MATERIAL DE ESCRITÓRIO</t>
  </si>
  <si>
    <t xml:space="preserve">BRASIL MEDICINE - PROVISÃO </t>
  </si>
  <si>
    <t>SINDICATO</t>
  </si>
  <si>
    <t>SERGIO LUIZ BERTOLO</t>
  </si>
  <si>
    <t>ALUGUEL DE IMOVEIS</t>
  </si>
  <si>
    <t>JAIR RÉ</t>
  </si>
  <si>
    <t>COMISSOES</t>
  </si>
  <si>
    <t>MARCASA-SEGURANÇA</t>
  </si>
  <si>
    <t>SEGURANÇAS</t>
  </si>
  <si>
    <t>JHONNY WALACE</t>
  </si>
  <si>
    <t>PROLABORE</t>
  </si>
  <si>
    <t>CARTÃO VITOR</t>
  </si>
  <si>
    <t>INTERMEDICA</t>
  </si>
  <si>
    <t>CONVENIO MEDICO</t>
  </si>
  <si>
    <t>AUTO POSTO JARDIM DAS HORTENCI</t>
  </si>
  <si>
    <t>COMBUSTIVEL E PEDAGIO</t>
  </si>
  <si>
    <t>HENRIQUE JEAN ND</t>
  </si>
  <si>
    <t>FIT ADM (VIDA NOVA) 34-07</t>
  </si>
  <si>
    <t>VITOR  DUARTE</t>
  </si>
  <si>
    <t>RONDAWEB CONEXOES LTDA</t>
  </si>
  <si>
    <t>SISTEMA</t>
  </si>
  <si>
    <t>BRADESCO SEGUROS - QUY9F13- DEBITO AUTOMATICO HSERV CABREUVA BRADESCO</t>
  </si>
  <si>
    <t>SEGUROS EM GERAL</t>
  </si>
  <si>
    <t>HSERV TERCEIRIZADOS</t>
  </si>
  <si>
    <t>MOVIDA PARTICIPACOES S.A.-</t>
  </si>
  <si>
    <t>ALUGUEL DE VEICULOS</t>
  </si>
  <si>
    <t>MOVIDA PARTICIPACOES S.A.</t>
  </si>
  <si>
    <t>RESCISÕES</t>
  </si>
  <si>
    <t>NOVITA VEST CONFECCOES LTDA</t>
  </si>
  <si>
    <t xml:space="preserve"> MEI</t>
  </si>
  <si>
    <t>ASSIDUIDADE</t>
  </si>
  <si>
    <t>VALE ALIMENTAÇÃO MENSAL -</t>
  </si>
  <si>
    <t xml:space="preserve"> HSERV CABREUVA</t>
  </si>
  <si>
    <t>VALE TRANSPORTE BASE</t>
  </si>
  <si>
    <t>VALE TRANSPORTE</t>
  </si>
  <si>
    <t>BOLETO OTAVIO</t>
  </si>
  <si>
    <t>FABIOLA FARIAS FELIX</t>
  </si>
  <si>
    <t>CESTA BASICA</t>
  </si>
  <si>
    <t>MARISA DE SOUSA SILVA</t>
  </si>
  <si>
    <t>ESTER CARDOZO</t>
  </si>
  <si>
    <t xml:space="preserve">HSERV  COMBINADOS </t>
  </si>
  <si>
    <t xml:space="preserve">PAMELA ROCHA MARINHO-BONUS  GERENCIA </t>
  </si>
  <si>
    <t xml:space="preserve">SEM PARAR- </t>
  </si>
  <si>
    <t>CARTAO DE CRÉDITO- VITOR</t>
  </si>
  <si>
    <t>CARTÃO DE CREDITO</t>
  </si>
  <si>
    <t>TARIFA MAX EMPRESARIAL</t>
  </si>
  <si>
    <t>HSERV TERCERIZADOS ND</t>
  </si>
  <si>
    <t>HSERV LIMPEZA ND</t>
  </si>
  <si>
    <t>CELIO ROBERTO</t>
  </si>
  <si>
    <t>VALE COMBUSTIVEL-2 QUINZENA DE JANEIRO</t>
  </si>
  <si>
    <t>VALE COMBUSTIVEL</t>
  </si>
  <si>
    <t>SABESP SALA 16</t>
  </si>
  <si>
    <t>AGUA</t>
  </si>
  <si>
    <t>SABESP SALA 17</t>
  </si>
  <si>
    <t>SABESP SALA 18</t>
  </si>
  <si>
    <t>SABESP CLEAN</t>
  </si>
  <si>
    <t>OMIEXPERIENCE LTDA.</t>
  </si>
  <si>
    <t>HSERV REPRESENTACOES</t>
  </si>
  <si>
    <t>HSERV  COMBINADOS</t>
  </si>
  <si>
    <t xml:space="preserve">HENRIQUE JEAN DUARTE </t>
  </si>
  <si>
    <t xml:space="preserve">HSERV  LIMPEZA </t>
  </si>
  <si>
    <t xml:space="preserve">VITOR  DUARTE </t>
  </si>
  <si>
    <t>HSER CLEAN</t>
  </si>
  <si>
    <t>ATN COMERCIO DE ARTIGOS DE BORRACHA LTDA</t>
  </si>
  <si>
    <t>LOCALIZA - VENCIDA</t>
  </si>
  <si>
    <t>EXAMES MEDICOS</t>
  </si>
  <si>
    <t xml:space="preserve">BRADESCO </t>
  </si>
  <si>
    <t>SINDICATO DOS EMPREGADOS - VENCIDA</t>
  </si>
  <si>
    <t xml:space="preserve">SINDICATO DOS EMPREGADOS - VENCIDA </t>
  </si>
  <si>
    <t>BENEFICIO SOCIALVENCIDA</t>
  </si>
  <si>
    <t>JONESO EMPREENDIMENTOS</t>
  </si>
  <si>
    <t>SOFISA ACORDO- PROCESSO EXECUÇÃO</t>
  </si>
  <si>
    <t>IF EMPRESARIAL</t>
  </si>
  <si>
    <t>CONTABILIDADE</t>
  </si>
  <si>
    <t xml:space="preserve">RESOLVE ALIMENTAÇÃO </t>
  </si>
  <si>
    <t>ANJO AZUL ALARMES</t>
  </si>
  <si>
    <t>MAXIWEB INTERNET PROVIDER LTDA</t>
  </si>
  <si>
    <t xml:space="preserve">SIMPLES NACIONAL MENSAL </t>
  </si>
  <si>
    <t>IMPOSTO</t>
  </si>
  <si>
    <t>DARF DE COFINS, PIS- LUCRO REAL EMPRESA VITOR</t>
  </si>
  <si>
    <t>DARF DE COFINS, PIS- LUCRO  PRESUMIDO HSERV CABREUVA</t>
  </si>
  <si>
    <t>FGTS MENSAL</t>
  </si>
  <si>
    <t>DARF INSS-TODAS EMPRESAS</t>
  </si>
  <si>
    <t>VALE TRANSPORTE MENSAL VIAÇÕES</t>
  </si>
  <si>
    <t>MAC LUCER - VINEA (MENSAL)</t>
  </si>
  <si>
    <t>CLARO S/A</t>
  </si>
  <si>
    <t>TELEFONE</t>
  </si>
  <si>
    <t xml:space="preserve">IMOVEL NEX ONE </t>
  </si>
  <si>
    <t>GADE CORPORATIVA</t>
  </si>
  <si>
    <t>OPEN IT GROUP</t>
  </si>
  <si>
    <t>INTERNET</t>
  </si>
  <si>
    <t xml:space="preserve">MAC LUCER - VINEA (MENSAL) </t>
  </si>
  <si>
    <t>SOFT WORKS EPI CALCADOS LTDA</t>
  </si>
  <si>
    <t>UNIFORMES</t>
  </si>
  <si>
    <t>CHEQUES DR DUARTE</t>
  </si>
  <si>
    <t>GABRIEL DOS SANTOS NOVÃESCLOUD-TELEFONIA</t>
  </si>
  <si>
    <t>NEXTI DESENVOLVIMENTO DE SISTEMAS S.A.</t>
  </si>
  <si>
    <t xml:space="preserve">VALE TRANSPORTE </t>
  </si>
  <si>
    <t>SIMPLES NACIONAL-PARCELAMENTO</t>
  </si>
  <si>
    <t>VALE COMBUSTIVEL 1 QUINZENA DE FEVEREIRO</t>
  </si>
  <si>
    <t>54.055.078 MATHEUS PEIXOTO DE OLIVEIRA</t>
  </si>
  <si>
    <t>TI</t>
  </si>
  <si>
    <t>ADEMIR- IMPRESSÃO E IMPRESSORA</t>
  </si>
  <si>
    <t>REEMBOLSOS</t>
  </si>
  <si>
    <t>REEMBOLSO</t>
  </si>
  <si>
    <t xml:space="preserve">FÉRIAS- </t>
  </si>
  <si>
    <t>FÉRIAS</t>
  </si>
  <si>
    <t>APORTE</t>
  </si>
  <si>
    <t>GUIA DE PARCELAMENTO INSS VITOR JULHO A NOV 2024</t>
  </si>
  <si>
    <t>GUIA DE PARELAMENTO DE DIVIDA ATIVA HSERV CLEAN</t>
  </si>
  <si>
    <t>GUIA DE IMPOSTO VEPAKUM RETROATIVO 2024</t>
  </si>
  <si>
    <t>PARCELAMENTO DEBITOS PREVIDENCIARIOS</t>
  </si>
  <si>
    <t>PARCELA CREDITO PESSOAL CONTR 016721926 PARC</t>
  </si>
  <si>
    <t>TECNOLOGIA</t>
  </si>
  <si>
    <t>INTERBRILHO HIGIENE E LIMPEZA LTDA</t>
  </si>
  <si>
    <t>RECEITAS</t>
  </si>
  <si>
    <t>VENDAS DE SERVIÇOS</t>
  </si>
  <si>
    <t>LIMPEZA</t>
  </si>
  <si>
    <t>EDMAR APARECIDO MARTINEZ</t>
  </si>
  <si>
    <t>COMBINADOS</t>
  </si>
  <si>
    <t>TECNIPLAS EQUIPAMENTOS EM COMPOSITOS EIR</t>
  </si>
  <si>
    <t>REPRESENTAÇÃO</t>
  </si>
  <si>
    <t>VETTOR TORRES DE RESFRIAMENTO LTDA</t>
  </si>
  <si>
    <t>FT 2 QUINZENA DE FEVEREIRO</t>
  </si>
  <si>
    <t>CABREUVA</t>
  </si>
  <si>
    <t>TED 422.0115.KYN C V A L</t>
  </si>
  <si>
    <t>CONDOMINIO PALAZZO VENEZA</t>
  </si>
  <si>
    <t>TTB INDUSTRIA E COMERCIO DE PRODUTOS MET</t>
  </si>
  <si>
    <t>VITOR</t>
  </si>
  <si>
    <t>DEPOSITO SANTA CATARINA LTDA</t>
  </si>
  <si>
    <t>GIFEL</t>
  </si>
  <si>
    <t>CLEAN</t>
  </si>
  <si>
    <t>RICARO</t>
  </si>
  <si>
    <t>IMPROVEMENT FIT ACADEMIA LTDA</t>
  </si>
  <si>
    <t xml:space="preserve">AVENIDA </t>
  </si>
  <si>
    <t>TERCEIRIZADOS</t>
  </si>
  <si>
    <t>BELLART</t>
  </si>
  <si>
    <t>MIPAL INDUSTRIA DE EVAPORADORES LTDA</t>
  </si>
  <si>
    <t>PLASTY COMERCIAL DE PLASTICOS LTDA</t>
  </si>
  <si>
    <t>BOA</t>
  </si>
  <si>
    <t>ACORDO TRABALHISTA</t>
  </si>
  <si>
    <t>LUCAS LEONARDO MARQUES DE OLIVEIRA</t>
  </si>
  <si>
    <t>ZAMBONI, SOUSA, CARVALHO &amp; MARIANO ADVOGADOS</t>
  </si>
  <si>
    <t>CRISTIANI COSIM DE OLIVEIRA VILELA</t>
  </si>
  <si>
    <t>ANA PAULA HERKES MARTINS</t>
  </si>
  <si>
    <t>OKUYAMA &amp; ALVES SOCIEDADE DE ADVOGADOS</t>
  </si>
  <si>
    <t>VALERIA GEOVANNA DOS SANTOS</t>
  </si>
  <si>
    <t>TADIM NEVES SOCIEDADE INDIVIDUAL DE ADVOCACIA</t>
  </si>
  <si>
    <t>LUAN VIEIRA BARRETO</t>
  </si>
  <si>
    <t>CEF MATRIZ-EMPRESTIMO HSERV COMBINADOS VENCIDO</t>
  </si>
  <si>
    <t>SINDPRESTEM</t>
  </si>
  <si>
    <t>SIEMACO-PRUDENTE SINDICATO AVENIDA, ASSIS E REGIÃO</t>
  </si>
  <si>
    <t>EMPORIO MEGA 100 COMERCIO DE ALIMENTOS S.A.</t>
  </si>
  <si>
    <t>LOCALIZA FLEET S.A.</t>
  </si>
  <si>
    <t>JONESO EMPREENDIMENTOS E ADMINISTRACAO LTDA</t>
  </si>
  <si>
    <t>FMD FUNDO DE INVESTIMENTO EM DIREITOS CREDITORIOS-STAR CLEAN</t>
  </si>
  <si>
    <t>L. A. DE SOUZA - EQUIPAMENTOS DE SEGURANCA LTDA</t>
  </si>
  <si>
    <t>WIG COMERCIO DE BATERIAS COMPONENTES LTDA</t>
  </si>
  <si>
    <t>MANUTENÇÃO</t>
  </si>
  <si>
    <t>SPARTAN DO BRASIL PRODUTOS QUIMICOS LTDA</t>
  </si>
  <si>
    <t>LOTUS CENTRAL DE DISTRIBUICAO DE HIGIENICOS LTDA</t>
  </si>
  <si>
    <t>MÊS</t>
  </si>
  <si>
    <t>JULHO</t>
  </si>
  <si>
    <t>AGOSTO</t>
  </si>
  <si>
    <t>SETEMBRO</t>
  </si>
  <si>
    <t>EMPRESTIMO HSERV CLEAN BRADESCO -PARCELA MENSAL</t>
  </si>
  <si>
    <t>FT 2 QUINZENA</t>
  </si>
  <si>
    <t>OUTUBRO</t>
  </si>
  <si>
    <t>NOVEMBRO</t>
  </si>
  <si>
    <t>FT 1 QUINZENA E PACOTES, RT</t>
  </si>
  <si>
    <t xml:space="preserve">FT 2 QUINZENA </t>
  </si>
  <si>
    <t>DECIMO TERCEIRO SALARIOS</t>
  </si>
  <si>
    <t>DEZEMBRO</t>
  </si>
  <si>
    <t xml:space="preserve">BRADESCO SEGUROS - QUY9F13- DEBITO AUTOMATICO HSERV CABREUVA </t>
  </si>
  <si>
    <t>FT ANO NOVO</t>
  </si>
  <si>
    <t>FT NATAL</t>
  </si>
  <si>
    <t>Rótulos de Linha</t>
  </si>
  <si>
    <t>Soma de VALOR</t>
  </si>
  <si>
    <t>Total Geral</t>
  </si>
  <si>
    <t>Rótulos de Coluna</t>
  </si>
  <si>
    <t>PLANEJAMENTO JULHO A DEZEMBRO 2025</t>
  </si>
  <si>
    <t>SALDO</t>
  </si>
  <si>
    <t>DECIMO TERCEIRO SALARIO</t>
  </si>
  <si>
    <t>J.E. COMERCIO E SOLUCOES LTDA</t>
  </si>
  <si>
    <t>MERCADORIAS PARA REVENDA</t>
  </si>
  <si>
    <t>PAROLAR DIST DE UTENSILIOS DOMESTICOS LTDA</t>
  </si>
  <si>
    <t>FLORA DISTRIB PROD DE HIGIENE E LIMPEZA LTDA</t>
  </si>
  <si>
    <t>01/jul</t>
  </si>
  <si>
    <t>02/jul</t>
  </si>
  <si>
    <t>03/jul</t>
  </si>
  <si>
    <t>04/jul</t>
  </si>
  <si>
    <t>07/jul</t>
  </si>
  <si>
    <t>08/jul</t>
  </si>
  <si>
    <t>10/jul</t>
  </si>
  <si>
    <t>11/jul</t>
  </si>
  <si>
    <t>14/jul</t>
  </si>
  <si>
    <t>15/jul</t>
  </si>
  <si>
    <t>16/jul</t>
  </si>
  <si>
    <t>17/jul</t>
  </si>
  <si>
    <t>18/jul</t>
  </si>
  <si>
    <t>21/jul</t>
  </si>
  <si>
    <t>22/jul</t>
  </si>
  <si>
    <t>23/jul</t>
  </si>
  <si>
    <t>25/jul</t>
  </si>
  <si>
    <t>28/jul</t>
  </si>
  <si>
    <t>30/jul</t>
  </si>
  <si>
    <t>31/jul</t>
  </si>
  <si>
    <t>01/ago</t>
  </si>
  <si>
    <t>04/ago</t>
  </si>
  <si>
    <t>05/ago</t>
  </si>
  <si>
    <t>06/ago</t>
  </si>
  <si>
    <t>07/ago</t>
  </si>
  <si>
    <t>08/ago</t>
  </si>
  <si>
    <t>11/ago</t>
  </si>
  <si>
    <t>12/ago</t>
  </si>
  <si>
    <t>13/ago</t>
  </si>
  <si>
    <t>14/ago</t>
  </si>
  <si>
    <t>15/ago</t>
  </si>
  <si>
    <t>18/ago</t>
  </si>
  <si>
    <t>19/ago</t>
  </si>
  <si>
    <t>20/ago</t>
  </si>
  <si>
    <t>21/ago</t>
  </si>
  <si>
    <t>22/ago</t>
  </si>
  <si>
    <t>25/ago</t>
  </si>
  <si>
    <t>26/ago</t>
  </si>
  <si>
    <t>27/ago</t>
  </si>
  <si>
    <t>29/ago</t>
  </si>
  <si>
    <t>01/set</t>
  </si>
  <si>
    <t>02/set</t>
  </si>
  <si>
    <t>03/set</t>
  </si>
  <si>
    <t>04/set</t>
  </si>
  <si>
    <t>05/set</t>
  </si>
  <si>
    <t>08/set</t>
  </si>
  <si>
    <t>09/set</t>
  </si>
  <si>
    <t>10/set</t>
  </si>
  <si>
    <t>11/set</t>
  </si>
  <si>
    <t>12/set</t>
  </si>
  <si>
    <t>16/set</t>
  </si>
  <si>
    <t>17/set</t>
  </si>
  <si>
    <t>18/set</t>
  </si>
  <si>
    <t>19/set</t>
  </si>
  <si>
    <t>22/set</t>
  </si>
  <si>
    <t>23/set</t>
  </si>
  <si>
    <t>24/set</t>
  </si>
  <si>
    <t>25/set</t>
  </si>
  <si>
    <t>26/set</t>
  </si>
  <si>
    <t>29/set</t>
  </si>
  <si>
    <t>30/set</t>
  </si>
  <si>
    <t>01/out</t>
  </si>
  <si>
    <t>02/out</t>
  </si>
  <si>
    <t>03/out</t>
  </si>
  <si>
    <t>06/out</t>
  </si>
  <si>
    <t>08/out</t>
  </si>
  <si>
    <t>09/out</t>
  </si>
  <si>
    <t>10/out</t>
  </si>
  <si>
    <t>13/out</t>
  </si>
  <si>
    <t>14/out</t>
  </si>
  <si>
    <t>15/out</t>
  </si>
  <si>
    <t>16/out</t>
  </si>
  <si>
    <t>17/out</t>
  </si>
  <si>
    <t>20/out</t>
  </si>
  <si>
    <t>22/out</t>
  </si>
  <si>
    <t>24/out</t>
  </si>
  <si>
    <t>27/out</t>
  </si>
  <si>
    <t>29/out</t>
  </si>
  <si>
    <t>30/out</t>
  </si>
  <si>
    <t>31/out</t>
  </si>
  <si>
    <t>03/nov</t>
  </si>
  <si>
    <t>04/nov</t>
  </si>
  <si>
    <t>05/nov</t>
  </si>
  <si>
    <t>06/nov</t>
  </si>
  <si>
    <t>07/nov</t>
  </si>
  <si>
    <t>10/nov</t>
  </si>
  <si>
    <t>11/nov</t>
  </si>
  <si>
    <t>13/nov</t>
  </si>
  <si>
    <t>14/nov</t>
  </si>
  <si>
    <t>17/nov</t>
  </si>
  <si>
    <t>18/nov</t>
  </si>
  <si>
    <t>20/nov</t>
  </si>
  <si>
    <t>21/nov</t>
  </si>
  <si>
    <t>24/nov</t>
  </si>
  <si>
    <t>25/nov</t>
  </si>
  <si>
    <t>26/nov</t>
  </si>
  <si>
    <t>28/nov</t>
  </si>
  <si>
    <t>01/dez</t>
  </si>
  <si>
    <t>02/dez</t>
  </si>
  <si>
    <t>04/dez</t>
  </si>
  <si>
    <t>05/dez</t>
  </si>
  <si>
    <t>08/dez</t>
  </si>
  <si>
    <t>09/dez</t>
  </si>
  <si>
    <t>10/dez</t>
  </si>
  <si>
    <t>11/dez</t>
  </si>
  <si>
    <t>12/dez</t>
  </si>
  <si>
    <t>15/dez</t>
  </si>
  <si>
    <t>16/dez</t>
  </si>
  <si>
    <t>17/dez</t>
  </si>
  <si>
    <t>18/dez</t>
  </si>
  <si>
    <t>19/dez</t>
  </si>
  <si>
    <t>22/dez</t>
  </si>
  <si>
    <t>23/dez</t>
  </si>
  <si>
    <t>24/dez</t>
  </si>
  <si>
    <t>26/dez</t>
  </si>
  <si>
    <t>29/dez</t>
  </si>
  <si>
    <t>30/dez</t>
  </si>
  <si>
    <t>24/jul</t>
  </si>
  <si>
    <t>BOM FALCAO LOGISTICA E TRANSPORTE LTDA</t>
  </si>
  <si>
    <t>FRETE</t>
  </si>
  <si>
    <t>DANILO ENDRIGO GARAVELO</t>
  </si>
  <si>
    <t>GLOVAN CABREUVA ALUGUEL DE EQUIPAMENTOS LTDA</t>
  </si>
  <si>
    <t>EQUIPAMENTOS</t>
  </si>
  <si>
    <t>GRRF DANILO ENDRIGO GARAVELO</t>
  </si>
  <si>
    <t>LM SUPER TROCA DE OLEO</t>
  </si>
  <si>
    <t>MANUTENÇAO FIORINO</t>
  </si>
  <si>
    <t>ANDRADE FREITAS SOCIEDADE DE ADVOGADOS</t>
  </si>
  <si>
    <t>HIGOR HENRIQUE SANTOS</t>
  </si>
  <si>
    <t>YAIKEL MARTINEZ LEON</t>
  </si>
  <si>
    <t>RAFAEL MOREIRA ANDRELINO</t>
  </si>
  <si>
    <t>MARIA JOSE CONCEICAO DA SILVA</t>
  </si>
  <si>
    <t>FRANCINI MARQUES DA SILVA</t>
  </si>
  <si>
    <t>MARIA JOSE DA SILVA SANTOS</t>
  </si>
  <si>
    <t>MATHEUS SANT ANNA</t>
  </si>
  <si>
    <t>JENIFFER ADRIELE SANTOS SERGIO</t>
  </si>
  <si>
    <t>PRISCILA JESUS DOS SANTOS</t>
  </si>
  <si>
    <t>GUSTAVO HENRIQUE DOS SANTOS</t>
  </si>
  <si>
    <t>DAIANI SILVA RODRIGUES</t>
  </si>
  <si>
    <t>VALMIR DOS SANTOS</t>
  </si>
  <si>
    <t>VETTOR PECAS E TUBOS INDUSTRIA E COMERCIO LTDA.</t>
  </si>
  <si>
    <t>REBECCA ELONICE</t>
  </si>
  <si>
    <t>JOSE ADILSON LIMA BATISTA</t>
  </si>
  <si>
    <t>GRACE KELLY CUSTODIO AURELIANO</t>
  </si>
  <si>
    <t>LINDIMAR FERREIRA DOS SANTOS</t>
  </si>
  <si>
    <t>FABIO NOGUEIRA DA SILVA LOPES</t>
  </si>
  <si>
    <t>LINDENALVA FARIAS RIBEIRO</t>
  </si>
  <si>
    <t>RONALDO SILVA MARQUES</t>
  </si>
  <si>
    <t>ROSANGELA FRANCO</t>
  </si>
  <si>
    <t>IFOOD.COM AGENCIA DE RESTAURANTES ONLINE S.A.</t>
  </si>
  <si>
    <t>DIOGO HENRIQUE BARBOSA BERNARDINO-L  2 DIAS DE FT DESSE COLABORADOR NO UPA</t>
  </si>
  <si>
    <t>MARIA DE JESUS SANTOS</t>
  </si>
  <si>
    <t>ALEX APARECIDO DE MORAES</t>
  </si>
  <si>
    <t>LARAH MELYSSA ALVES DE SOUSA  NO VALOR DE R$ 921,71 A DAIANE CRISTINA ANDRADE - BELLART</t>
  </si>
  <si>
    <t>SALÁRIOS</t>
  </si>
  <si>
    <t>JESSICA NATALIA APARECIDA TEODORO</t>
  </si>
  <si>
    <t>LUZIA DE CARVALHO</t>
  </si>
  <si>
    <t>TAMIRES DA SILVA CAPUCHINHO</t>
  </si>
  <si>
    <t>RESOLVE ALIMENTACAO LTDA</t>
  </si>
  <si>
    <t>VALE ALIMENTAÇAO</t>
  </si>
  <si>
    <t>CREDIFIT SOCIEDADE DE CREDITO DIRETO S.A.</t>
  </si>
  <si>
    <t>GRRF JESSICA NATALIA APARECIDA TEODORO</t>
  </si>
  <si>
    <t>ALTOLIM COMERCIAL ASSIS EIRELI - ME</t>
  </si>
  <si>
    <t>PRIMETEC TECNOLOGIA LTDA</t>
  </si>
  <si>
    <t>NEXTI DESENVOLVIMENTO DE SISTEMAS S.A. VENCIDO 30/06/2025</t>
  </si>
  <si>
    <t>SIMPLES NACIONAL-PARCELAMENTO VENCIDO 30/06/2025</t>
  </si>
  <si>
    <t xml:space="preserve">HSERV REPRESENTAÇÃO </t>
  </si>
  <si>
    <t>GUIA DE PARCELAMENTO INSS VITOR JULHO A NOV 2024- VENCIMENTO 30/06/2025</t>
  </si>
  <si>
    <t xml:space="preserve">	DA REC FED DARF C211000 GUIA DE PARELAMENTO DE DIVIDA ATIVA HSERV CLEAN-  VENCIMENTO 30/06/2025</t>
  </si>
  <si>
    <t>PARCELAMENTO SIMPLICADO- HSERV CLEAN DEBITO PREVIDENCIARIO  VENCIMENTO 30/06/2025</t>
  </si>
  <si>
    <t>PARCELAMENTO SIMPLICADO- HSERV CABREUVA DEBITO PREVIDENCIARIO   VENCIMENTO 30/06/2025</t>
  </si>
  <si>
    <t>PARCELAMENTO SIMPLICADO- HSERV COMBINADOS  DEBITO PREVIDENCIARIO - VENCIMENTO 30/06/2025</t>
  </si>
  <si>
    <t>PARCELAMENTO SIMPLICADO- VITOR DUARTE  DEBITO PREVIDENCIARIO - VENCIMENTO 30/06/2025</t>
  </si>
  <si>
    <t>PARCELAMENTO SIMPLICADO- HSERV REPRESENTAÇÃO  DEBITO PREVIDENCIARIO  - VENCIMENTO 30/06/2025</t>
  </si>
  <si>
    <t>PARCELAMENTO SIMPLICADO- HSERV LIMPEZA - DEBITO PREVIDENCIARIO  - VENCIMENTO 30/06/2025</t>
  </si>
  <si>
    <t>EMPORIO MEGA 100 COMERCIO DE ALIMENTOS S.A.-CESTA NATALINA - VENCIMENTO 30/06/2025</t>
  </si>
  <si>
    <t>CESTA NATALINA</t>
  </si>
  <si>
    <t>54.055.078 MATHEUS PEIXOTO DE OLIVEIRA-VENCIDO 30/06/2025</t>
  </si>
  <si>
    <t>ADEMIR- IMPRESSÃO E IMPRESSORA VENCIDO 30/06/2025</t>
  </si>
  <si>
    <t>SOFT WORKS EPI CALCADOS LTDA- VENCIDO 30/06/2025</t>
  </si>
  <si>
    <t>GABRIEL DOS SANTOS NOVÃESCLOUD-TELEFONIA-VENCIDO 30/06/2025</t>
  </si>
  <si>
    <t>SPARTAN DO BRASIL PRODUTOS QUIMICOS LTDA-VENCIMENTO 01/07/2025</t>
  </si>
  <si>
    <t>JOSE JONAS DE ARAUJO SILVA- PROCESSO 0010137-76.2022.5.15.0018- MANOEL VICENTE  HONORARIOS</t>
  </si>
  <si>
    <t>JOSE JONAS DE ARAUJO SILVA- PROCESSO 0010137-76.2022.5.15.0018- MANOEL VICENTE  PARCELA 1/8</t>
  </si>
  <si>
    <t>RELAÇÃO DE PAGAMENTO DO DIA 01/06/2025</t>
  </si>
  <si>
    <t>29/jul</t>
  </si>
  <si>
    <t>IRMÃOS BOAS-RECEITAS DO DIA 30/06/2025-PAGAMENTO ATRASADO</t>
  </si>
  <si>
    <t>AVENIDA -ANTECIPADO DIA 02/07- VENCIMENTO 15/07</t>
  </si>
  <si>
    <t>SPARTAN DO BRASIL PRODUTOS QUIMICOS LTDA VENCIDA 02/07/2025</t>
  </si>
  <si>
    <t>LOTUS CENTRAL DE DISTRIBUICAO DE HIGIENICOS LTDA- NF  111185 -PARCELA 2/3 VENCIMENTO 01/07/2025</t>
  </si>
  <si>
    <t xml:space="preserve">WIG COMERCIO DE BATERIAS COMPONENTES LTDA NF 553- 02 BATERIAS - VENCIMENTO 02/07/2025 </t>
  </si>
  <si>
    <t xml:space="preserve">	EVERTON DOMINGOS LUIZ - ANTEDCIPAÇÃO DE SALARIOS- COLABORADOR SOLICITOU PARA COMPRA DE GAS </t>
  </si>
  <si>
    <t>RELAÇÃO DE PAGAMENTO DO DIA 02/06/2025</t>
  </si>
  <si>
    <t>BANCO SAFRA S A</t>
  </si>
  <si>
    <t>WAGNER BIONDO</t>
  </si>
  <si>
    <t>KELLY LOPES DA SILVA</t>
  </si>
  <si>
    <t>ND</t>
  </si>
  <si>
    <t xml:space="preserve">HSERV COMBINADOS  ND </t>
  </si>
  <si>
    <t>HSERV COMBINADOS ND</t>
  </si>
  <si>
    <t>DEIXAR NA CONTA</t>
  </si>
  <si>
    <t>ENVIAR PARA OUTRAS EMPRESAS</t>
  </si>
  <si>
    <t>ENVIAR PARA OUTRAS EMPRESAS OFICAIS</t>
  </si>
  <si>
    <t>CHEQUES</t>
  </si>
  <si>
    <t xml:space="preserve">FAZER 5 CHEQUES DE </t>
  </si>
  <si>
    <t>SALDO DE HOJE</t>
  </si>
  <si>
    <t xml:space="preserve">SALDO DE HOJE </t>
  </si>
  <si>
    <t xml:space="preserve">HENRIQUE DUARTE </t>
  </si>
  <si>
    <t>HERV COMBINADOS</t>
  </si>
  <si>
    <t>ASOMETRA ENGENHARIA VENCIDO 20/05/2025</t>
  </si>
  <si>
    <t xml:space="preserve">Antônio Cesar caffe benatti-FT FISCAIS DOM OLIVIO SOROCABA </t>
  </si>
  <si>
    <t xml:space="preserve">Welllington da Silva Araujoi-FT FISCAIS DOM OLIVIO SOROCABA </t>
  </si>
  <si>
    <t xml:space="preserve">Sidnei Silveira Rodrigues  -FT FISCAIS DOM OLIVIO SOROCABA </t>
  </si>
  <si>
    <t xml:space="preserve">Ezequiel Rodrigues dos Santos  -FT FISCAIS DOM OLIVIO SOROCABA </t>
  </si>
  <si>
    <t xml:space="preserve">Alexs Sandro lagos da Silva  -FT FISCAIS DOM OLIVIO SOROCABA </t>
  </si>
  <si>
    <t>RELAÇÃO DE PAGAMENTO DO DIA 03/06/2025</t>
  </si>
  <si>
    <t>TAR PLANO ADAPT 3 06/24</t>
  </si>
  <si>
    <t>MARIA SOCORRO DA SILVA PEREIRA- MEI</t>
  </si>
  <si>
    <t>RELAÇÃO DE PAGAMENTO DO DIA 04/06/2025</t>
  </si>
  <si>
    <t>ADRIANA APARECIDA DA SILVA</t>
  </si>
  <si>
    <t>ILAIDE JOSE RODRIGUES</t>
  </si>
  <si>
    <t>RODRIGO CESAR DOS SANTOS</t>
  </si>
  <si>
    <t>EDILMA SILVA SANTOS-COBRINDO FÉRIAS DIVA CORREA PADILHA DINIZ-SANTA CRUZ - LOJA 26</t>
  </si>
  <si>
    <t xml:space="preserve">FABIULA AP. CAIRES MASCALHUSK- COBRINDO FÉRIAS ADRIANA SOARES DE LIMA TARUMA LOJA 33 </t>
  </si>
  <si>
    <t>ERIKA DE PAULA SERAFIM -COBRINDO FÉRIAS  FATIMA APARECIDA RIBEIRO CANDIDO MOTA CD</t>
  </si>
  <si>
    <t>GLEYCE JAQUELINE DOS REIS OLIVEIRA -REFORMA MERCADO-APOIO EXTRA ASSIS - LOJA 13 PREMIUM</t>
  </si>
  <si>
    <t>CRISTIANA DOS SANTOS -COBRINDO AFASTAMENTO  REGIVANIA PEREIRA DA SILVA  RANCHARIA LOJA 12</t>
  </si>
  <si>
    <t>PATRICIA MARTON ZANINI DAMASCO-COBRINDO AFASTAMENTO  GISLAINE FERNANDA DA SILVA BARBOSA DRACENA LOJA 44</t>
  </si>
  <si>
    <t>LIVIA MARIA TAVARES-COBRINDO FÉRIA DIVA CORREA PADILHA DINIZ SANTA CRUZ - LOJA 26</t>
  </si>
  <si>
    <t xml:space="preserve">FT REDE AVENIDA -ASSIS E REGIÃO- </t>
  </si>
  <si>
    <t xml:space="preserve">	ENCARGOS DESCOBERTO CC</t>
  </si>
  <si>
    <t>RELAÇÃO DE PAGAMENTO DO DIA 07/07/2025</t>
  </si>
  <si>
    <t>VALERIA BARBOSA LEITE</t>
  </si>
  <si>
    <t>ANA CLAUDIA XAVIER DA SILVEIRA BATISTA</t>
  </si>
  <si>
    <t>DANIELE VIEIRA DA SILVA</t>
  </si>
  <si>
    <t>MAIKON CEZARIO DOS SANTOS COPINO</t>
  </si>
  <si>
    <t>GRRF VALMIR DOS SANTOS</t>
  </si>
  <si>
    <t>L. A. DE SOUZA - EQUIPAMENTOS DE SEGURANCA LTDA NF 11620 - SAPATO ASG AVENIDA- OSSIRES</t>
  </si>
  <si>
    <t>LOTUS CENTRAL DE DISTRIBUICAO DE HIGIENICOS LTDA- NF  111185 PARC 3/3</t>
  </si>
  <si>
    <t>PAROLAR DIST DE UTENSILIOS DOMESTICOS LTDA- NF 210.137</t>
  </si>
  <si>
    <t>SPARTAN DO BRASIL PRODUTOS QUIMICOS LTDA NF 253783 PARC 3/3</t>
  </si>
  <si>
    <t>LOCALIZA AFMTZ 2356665  VENCIDA 30/05/2025 KM EXCEDENTE</t>
  </si>
  <si>
    <t xml:space="preserve">LOCALIZA AFMTZ 2357800 -VENCIDA 30/05/2025 LOCAÇÃO 3 VTR </t>
  </si>
  <si>
    <t>LOCALIZA- AGMTZ 2454658-VENCIDA 02/05/2025-PREFIXAÇÃO DE DANOS - AVARIAS</t>
  </si>
  <si>
    <t>LOCALIZA -AFMTZ 2350662-VENCIDA 30/05/2025 QUILÔMETROS EXCEDENTES</t>
  </si>
  <si>
    <t>LOCALIZA-AGMTZ 2454656 VENCIDA 02/05/2025-REEMBOLSO DE CUSTOS REF. PNEUS EXCEDENTES / ATIVIDADES CORRELATAS</t>
  </si>
  <si>
    <t>LOCALIZA- AGMTZ 2561576-VENCIDA 03/07/2025 MULTA DE TRANSITO</t>
  </si>
  <si>
    <t>LOCALIZA- AGMTZ 2561586-VENCIDA 03/07/2025 MULTA DE TRANSITO</t>
  </si>
  <si>
    <t>LOCALIZA- AGMTZ 2561603-VENCIDA 03/07/2025 MULTA DE TRANSITO</t>
  </si>
  <si>
    <t>LOCALIZA- AGMTZ 2561625-VENCIDA 03/07/2025  MULTA DE TRANSITO</t>
  </si>
  <si>
    <t xml:space="preserve">OKUYAMA &amp; ALVES SOCIEDADE DE ADVOGADOS- - 0012457-65.2023.5.15.0018 JESSICA BARROS DOS SANTOS </t>
  </si>
  <si>
    <t xml:space="preserve">SAMARA DE JESUS VITOR 08/07- VT </t>
  </si>
  <si>
    <t>vALCILENE DOS SANTOS 08/07- VT PARA COBRIR A LOJ 22- ASG-</t>
  </si>
  <si>
    <t>SINDPRESTEM-VENCIDO 30/06/2025</t>
  </si>
  <si>
    <t>RELAÇÃO DE PAGAMENTO DO DIA 08/07/2025</t>
  </si>
  <si>
    <t>PREFEITURA M DE CABR</t>
  </si>
  <si>
    <t>VIVIAN APARECIDA MENDES</t>
  </si>
  <si>
    <t>ALTAMIRO LOPES SIQUEIRA</t>
  </si>
  <si>
    <t>DAIANA INDIANARA DE PAULA SILVA</t>
  </si>
  <si>
    <t>CELSO DE JESUS DANTAS</t>
  </si>
  <si>
    <t>ANA CLAUDIA DE FIGUEIREDO</t>
  </si>
  <si>
    <t>BRASIL MEDICINA E SAUDE PREVENTIVA ORGANIZACAO,-VENCIMENTO 10/07/2025</t>
  </si>
  <si>
    <t>GNB ADMINISTRACAO DE BENEFICIOS SOCIAIS LTDA</t>
  </si>
  <si>
    <t>SINDICATO DOS EMPREGADOS E TRABALHADORES NAS EMPRESAS DE PRE</t>
  </si>
  <si>
    <t>DESPESAS NÃO PROVISIONADAS</t>
  </si>
  <si>
    <t>VINICIUS JOSE EUGENIO - ME</t>
  </si>
  <si>
    <t>DAVID DA SILVA PORFIRIO-DEVOÇÃO DE DESCONTO DE FALTA INDEVIDO NA FOLHA 06/2025</t>
  </si>
  <si>
    <t>KARINA APARECIDA DE BRITO DOS SANTOS</t>
  </si>
  <si>
    <t>ELAINE BARBOSA DE SOUSA</t>
  </si>
  <si>
    <t>ASOMETRA ENGENHARIA DE SEGURANCA E MEDICINA DO TRABALHO LTDA</t>
  </si>
  <si>
    <t>PROLABORE SOCIOS -MARIA JOSE-THAIS MACEDO</t>
  </si>
  <si>
    <t>GISELE RODRIGUES- CAIXINHA</t>
  </si>
  <si>
    <t>HSERV CMBINAODS</t>
  </si>
  <si>
    <t>SINDITERCERIZADOSASSOCIADA- CICERA MARIA VENCIMENTO 10/07/2025</t>
  </si>
  <si>
    <t>SINDICADO</t>
  </si>
  <si>
    <t>FIT ADM (VIDA NOVA) 43-02</t>
  </si>
  <si>
    <t>RELAÇÃO DE PAGAMENTO DO DIA 10/07/2025</t>
  </si>
  <si>
    <t xml:space="preserve">CELIO ROBERTO </t>
  </si>
  <si>
    <t>MARCASA-SEGURANÇA VEPAKUM</t>
  </si>
  <si>
    <t>SANTOS SEPULVEDA SOCIEDADE - PROC 0010895-75.2023.5.15.009 AMANDA BRITO SANTOS PARCELA 3/17</t>
  </si>
  <si>
    <t>MARCIO FERREIRA TOLLER SILVA- 0012057-42.2022.5.15.0097-FELIPE ANGELO DE OLIVEIRA PARCELA 3/3</t>
  </si>
  <si>
    <t>SANTA CASA DE MISERICORDIA DE CABREUVA</t>
  </si>
  <si>
    <t>VENDAS DE PRODUTOS</t>
  </si>
  <si>
    <t>FAGNER LOPES DA SILVA</t>
  </si>
  <si>
    <t>MANOEL ALVES DE ANDRADE</t>
  </si>
  <si>
    <t>JHONY WALLACE GOMES DE OLIVEIRA</t>
  </si>
  <si>
    <t>THIAGO ALMEIDA SANTANA</t>
  </si>
  <si>
    <t>LARAH MELYSSA ALVES DE SOUSA</t>
  </si>
  <si>
    <t>GISELE RODRIGUES DOS SANTOS</t>
  </si>
  <si>
    <t>MARINALDA ALMEIDA PEREIRA</t>
  </si>
  <si>
    <t>MARCIA VALERIA DA SILVA</t>
  </si>
  <si>
    <t>GABRIEL DO NASCIMENTO NEVES</t>
  </si>
  <si>
    <t>ESTER CARDOZO DE LIMA</t>
  </si>
  <si>
    <t>PAMELA GREICE MARINHO ROCHA</t>
  </si>
  <si>
    <t>ELIANE ULITZKA DOS SANTOS</t>
  </si>
  <si>
    <t>JAIR APARECIDO RE</t>
  </si>
  <si>
    <t>INELTEC TECNOLOGIAS LTDA - EPP- COMPRA DE IBUTTONS</t>
  </si>
  <si>
    <t>GRRF FAGNER LOPES DA SILVA</t>
  </si>
  <si>
    <t>GRRF GRACE KELLY CUSTODIO AURELIANO</t>
  </si>
  <si>
    <t>GRRF MANOEL ALVES DE ANDRADE</t>
  </si>
  <si>
    <t>GRRF MATHEUS SANT ANNA</t>
  </si>
  <si>
    <t>WIG COMERCIO DE BATERIAS COMPONENTES LTDA-BATERIA EXCELL FORCE TRACIONARIA EXT150 EXT150</t>
  </si>
  <si>
    <t xml:space="preserve">PAMELA ROCHA MARINHO-SALARIO </t>
  </si>
  <si>
    <t>ESTER CARDOZO- SALARIO</t>
  </si>
  <si>
    <t>ZAMBONI, SOUSA, CARVALHO &amp; MARIANO-PROC 0012594-41.2022.5.15.0096 -CLAUDIA ARAUJO DOS SANTOS-PARCELA 2/2</t>
  </si>
  <si>
    <t>FABIANO SAMPAIO DAVILA- PROCESSO 0011969-47.2022.5.15.0018CLAUDINEIA SANTOS DA SILVA -PARCELA 8/9</t>
  </si>
  <si>
    <t>ZAMBONI, SOUSA, CARVALHO &amp; MARIANO --PROC 0012075-66.2022.5.15.0096 -CLAUDIA ARAUJO DOS SANTOS-PARCELA 2/6</t>
  </si>
  <si>
    <t>SAMANTHA PATRICIA MACHADO DE GOUVEIA -PROC  nº 0010287-43.2024.5.15.0097-SHEILA PASSALINE FERRAZ- PARCELA 2/4</t>
  </si>
  <si>
    <t>OKUYAMA &amp; ALVES SOCIEDADE DE ADVOGADOS- PROC 0012465-42.2023.5.15.0018-PROC GENILDA MARIA DA SILVA PARCELA 3/8</t>
  </si>
  <si>
    <t>FEMACON CONSTRUCOES LTDA-CAMACON- MATERIAS PARA CALÇADA DA LOJA CLEAN</t>
  </si>
  <si>
    <t>CARTAO DE CRÉDITO-EMPRESA VITOR DUARTE</t>
  </si>
  <si>
    <t>SALARIOS MEI</t>
  </si>
  <si>
    <t>VALE ALIMENTAÇÃO MENSAL DE JULHO</t>
  </si>
  <si>
    <t>IFOOD.COM AGENCIA DE RESTAURANTES-ASSIDUIDADE BOA</t>
  </si>
  <si>
    <t>IFOOD.COM AGENCIA DE RESTAURANTES -ASSIDUIDADE AVENID.</t>
  </si>
  <si>
    <t>IFOOD.COM AGENCIA DE RESTAURANTES -ASSIDUIDADE RICOY JUNHO</t>
  </si>
  <si>
    <t>IFOOD.COM AGENCIA DE RESTAURANTES -ASSIDUIDADE EMPRESAS</t>
  </si>
  <si>
    <t>IFOOD.COM AGENCIA DE RESTAURANTES- VALE COMBUSTIVEL-2º QUINZENA DE JULHO</t>
  </si>
  <si>
    <t>SAMANTHA PATRICIA MACHADO DE GOUVEIA- PROC 0011413-05.2022.5.15.0096-ANDERSON RAIMUNDO DUARTE -PARCELA 2/2</t>
  </si>
  <si>
    <t>BENEFICIOS SOCIAIS LTDA- VENCIMENTO 10/04/2025</t>
  </si>
  <si>
    <t>LOCALIZA - VENCIDA 30/04/2025- AFMTZ 2273080</t>
  </si>
  <si>
    <t>LOCALIZA - VENCIDA 30/05/2025-AFMTZ 2347763</t>
  </si>
  <si>
    <t>LOCALIZA - VENCIDA 30/06/2025 -AFMTZ 2417828</t>
  </si>
  <si>
    <t>JAIR APARECIDO RÉ -COMISSÃO MAIO/JUNHO</t>
  </si>
  <si>
    <t xml:space="preserve">NOVITA VEST CONFECCOES LTDA-SETTE UNIFORMES </t>
  </si>
  <si>
    <t>SOFISA ACORDO- PROCESSO EXECUÇÃO-PARCELA 18/24</t>
  </si>
  <si>
    <t>SOFISA ACORDO - HONORARIOS ADVICATICIOS-PARCELA 18/18</t>
  </si>
  <si>
    <t>FT 1 QUINZENA DE JUNHO E PACOTES, RT</t>
  </si>
  <si>
    <t>Exames medicos</t>
  </si>
  <si>
    <t>PROLABORE SOCIOS -CRISTIANE-E GUTHIERRI- BLOQUEADO ATE SOCIOS COMPARECER NA BASE</t>
  </si>
  <si>
    <t>MARCIO FERREIRA TOLLER SILVA-  PROC 1001220-97.2024.5.02.0291-NORTON DO NASCIMENTO GONÇALVES BUENO-PARCELA 4/4</t>
  </si>
  <si>
    <t>CLARO S/A-LINHAS TELEFONICAS</t>
  </si>
  <si>
    <t>ACORDO TRABALHISTA - ISABEL MACHADO PARCELA 1/6</t>
  </si>
  <si>
    <t>ELEKTRO SALA 16 07/2025- UNIDADE 42926742</t>
  </si>
  <si>
    <t>ELEKTRO SALA 18 07/2025- UNIDADE 9584765</t>
  </si>
  <si>
    <t>ELEKTRO SALA 17- 07/2025-UNIDADE 42926823</t>
  </si>
  <si>
    <t>LUPE LOCACAO E COMERCIO DE EQUIPAMENTOS ELETRONICOS E SERVIC</t>
  </si>
  <si>
    <t>OPEN IT GROUP- ESCRITORIO</t>
  </si>
  <si>
    <t xml:space="preserve">OPEN IT GROUP-LOJA CLEAN </t>
  </si>
  <si>
    <t>PEDRO LEOPOLDO BRUNELLI JUNIOR -Processo n. 0011252-29.2021.5.15.0096  AUTOR: DANILO MIGUEL DA SILVA  -PARCEL A 2/4</t>
  </si>
  <si>
    <t>MAC LUCER - MAITA (MENSAL) -20/07/2025 -RESIDENCIAL MAITÁ APTO 073 (contrato-170) PARCELA 16/27</t>
  </si>
  <si>
    <t>MAC LUCER - VINEA (MENSAL) PARCELA 13- VINEA -Apto 004 (contrato-95)</t>
  </si>
  <si>
    <t>ALINE CAMOLEZ SOARES ISCARO-PROC: 0012233-68.2024.5.15.0188 - GISLAINE CRISTINA FERNANDES PEREIRA PARCELA 5/5</t>
  </si>
  <si>
    <t xml:space="preserve">NEXTI </t>
  </si>
  <si>
    <t>SIND DAS EMP DE PREST DE SER T C A M O T T NO E DE SP</t>
  </si>
  <si>
    <t>ARAUJO E RIOS ADVOGADOS ASSOCIADOS PRoc 0010784-37.2023.5.15.0018 -: FABIO LUIZ ALVES -PARCELA 2/7</t>
  </si>
  <si>
    <t>LUCAS LEONARDO MARQUES DE OLIVEIRA-PROC 1000130-70.2024.5.02.0221-GILVAN ANTONIO DOS SANTOS SILVA  PARCELA 3/12</t>
  </si>
  <si>
    <t>EGLE SIQUEIRA SOCIEDADE INDIVIDUAL-PROC 1001012-96.2023.5.02.0211 SAMUEL DE SOUZA CAMARA - PARCELA 4/4</t>
  </si>
  <si>
    <t>MARIA APARECIDA ALVES DE MELO ATSum 0010327-82.2025.5.15.0002 RECLAMANTE: CRISTIANE DE SOUSA PARCELA 2/3</t>
  </si>
  <si>
    <t>TIAGO JOSE DE FREITAS OLIVEIRA-Proc 0012190-87.2022.5.15.0096 Reclamante: KASSIA VITAL FERREIRA PARCELA 2/10</t>
  </si>
  <si>
    <t>PATRICIA LOMBARDI PROC 1002854-81.2023.5.02.0221 TANIA MARIANO DOS SANTOS- PARCELA 2/6</t>
  </si>
  <si>
    <t>DALMAZO SOCIEDADE INDIVIDUAL-PROC 0011504-24.2024.5.15.0097 -ANDRE DE ARAUJO LEITE FILHO PARCELA 1/3</t>
  </si>
  <si>
    <t>LETICIA FERNANDA DO NASCIMENTO - PROC - 0012166-65.2023.5.15.0018- JADISON SOUZA FONTES PARCELA 4/5</t>
  </si>
  <si>
    <t>ANA PAULA HERKES MARTINS-  PROC 0011455-60.2023.5.15.0018-MARIA DE JESUS MARQUES GINO FERREIRA PARCELA 4/7</t>
  </si>
  <si>
    <t>JUAN PHILIPY STEPHANO AMARO SOCIEDADE IPROC 0011148-23.2024.5.15.0002- ANTONIA MILENA SOARES DE SOUZA PARCELA 1/10</t>
  </si>
  <si>
    <t>LUAN VIEIRA BARRETO - PROC 0012216-57.2024.5.15.0018-ANGELO JOSE ARANTES -PARCELA 3/10</t>
  </si>
  <si>
    <t>IVAN MARQUES DOS SANTOS Proc  0010898-64.2022.5.15.0097 AUTOR: FRANCISCA NEUDA FRANCALINO DE SOUZA PARCELA 2/9</t>
  </si>
  <si>
    <t>VALERIA GEOVANNA DOS SANTOS-- PROC 1001103-06.2024.5.02.0292 -ELIENE ALVES LISBOA PARCELA 3/12</t>
  </si>
  <si>
    <t>HM MAQ COMERCIO E ASSISTENCIA TECNICA INDUSTRIAL</t>
  </si>
  <si>
    <t>FEVEREIRO</t>
  </si>
  <si>
    <t>JOSE JONAS DE ARAUJO SILVA</t>
  </si>
  <si>
    <t>JOSE JONAS DE ARAUJO SILVA-PROC 0010137-76.2022.5.15.0018 MANOEL VICENTE DA SILVA PARCELA 2/8</t>
  </si>
  <si>
    <t>TADIM NEVES SOCIEDADE INDIVIDUAL DE ADVOCACIA -PROC  - 0012114-44.2023.5.15.0188-ADILIO SANTOS SOUZA PARCELA 5/8</t>
  </si>
  <si>
    <t xml:space="preserve">SALARIOS MEI  </t>
  </si>
  <si>
    <t>CRISTIANI COSIM DE OLIVEIRA VILELA-Proc 0011289-67.2024.5.15.0026 AUTOR: ELAINE JAQUES LOURENCONI PARCELA2/3</t>
  </si>
  <si>
    <t>MOVIDA PARTICIPACOES S.A.-PROVISÃO MENSAL</t>
  </si>
  <si>
    <t xml:space="preserve">SICOOB HSERV CABREUVA NEGOCIAÇÃO CHEQUE ESPECIAL </t>
  </si>
  <si>
    <t>PAMELA ROCHA MARINHO-SALARIOS</t>
  </si>
  <si>
    <t>ESTER CARDOZO-SALARIOS</t>
  </si>
  <si>
    <t>DESCRIÇÕA</t>
  </si>
  <si>
    <t xml:space="preserve">VALOR </t>
  </si>
  <si>
    <t>FABIANO SAMPAIO DAVILA- PROCESSO 0011969-47.2022.5.15.0018CLAUDINEIA SANTOS DA SILVA -PARCELA 9/9</t>
  </si>
  <si>
    <t>SAMANTHA PATRICIA MACHADO DE GOUVEIA -PROC  nº 0010287-43.2024.5.15.0097-SHEILA PASSALINE FERRAZ- PARCELA 3/4</t>
  </si>
  <si>
    <t>ZAMBONI, SOUSA, CARVALHO &amp; MARIANO --PROC 0012075-66.2022.5.15.0096 -CLAUDIA ARAUJO DOS SANTOS-PARCELA 3/6</t>
  </si>
  <si>
    <t>SOFISA ACORDO- PROCESSO EXECUÇÃO PARCELA 19/24</t>
  </si>
  <si>
    <t>ALEF MARTINS DE LIMA</t>
  </si>
  <si>
    <t>GRRF ALEF MARTINS DE LIMA</t>
  </si>
  <si>
    <t>RONALDO DE OLIVEIRA HOLANDA</t>
  </si>
  <si>
    <t>GRRF RONALDO DE OLIVEIRA HOLANDA</t>
  </si>
  <si>
    <t>PEDRO LEOPOLDO BRUNELLI JUNIOR -Processo n. 0011252-29.2021.5.15.0096  AUTOR: DANILO MIGUEL DA SILVA  -PARCEL A 3/4</t>
  </si>
  <si>
    <t xml:space="preserve">CEF MATRIZ--EMPRESTIMO HENRIQUE IEAN VENCIDO </t>
  </si>
  <si>
    <t>LUCAS LEONARDO MARQUES DE OLIVEIRA-PROC 1000130-70.2024.5.02.0221-GILVAN ANTONIO DOS SANTOS SILVA  PARCELA 4/12</t>
  </si>
  <si>
    <t>LETICIA FERNANDA DO NASCIMENTO - PROC - 0012166-65.2023.5.15.0018- JADISON SOUZA FONTES PARCELA 5/5</t>
  </si>
  <si>
    <t>ANA PAULA HERKES MARTINS-  PROC 0011455-60.2023.5.15.0018-MARIA DE JESUS MARQUES GINO FERREIRA PARCELA 5/7</t>
  </si>
  <si>
    <t>VALERIA GEOVANNA DOS SANTOS-- PROC 1001103-06.2024.5.02.0292 -ELIENE ALVES LISBOA PARCELA 4/12</t>
  </si>
  <si>
    <t>LUAN VIEIRA BARRETO - PROC 0012216-57.2024.5.15.0018-ANGELO JOSE ARANTES -PARCELA 4/10</t>
  </si>
  <si>
    <t>DALMAZO SOCIEDADE INDIVIDUAL DE ADVOCACIA</t>
  </si>
  <si>
    <t>ARAUJO E RIOS ADVOGADOS ASSOCIADOS</t>
  </si>
  <si>
    <t>TIAGO JOSE DE FREITAS OLIVEIRA</t>
  </si>
  <si>
    <t>JUAN PHILIPY STEPHANO AMARO SOCIEDADE INDIVIDUAL DE ADVOCACI</t>
  </si>
  <si>
    <t>IVAN MARQUES DOS SANTOS</t>
  </si>
  <si>
    <t>DALMAZO SOCIEDADE INDIVIDUAL-PROC 0011504-24.2024.5.15.0097 -ANDRE DE ARAUJO LEITE FILHO PARCELA 2/3</t>
  </si>
  <si>
    <t>ARAUJO E RIOS ADVOGADOS ASSOCIADOS PRoc 0010784-37.2023.5.15.0018 -: FABIO LUIZ ALVES -PARCELA 3/7</t>
  </si>
  <si>
    <t>TIAGO JOSE DE FREITAS OLIVEIRA-Proc 0012190-87.2022.5.15.0096 Reclamante: KASSIA VITAL FERREIRA PARCELA 3/10</t>
  </si>
  <si>
    <t>JUAN PHILIPY STEPHANO AMARO SOCIEDADE IPROC 0011148-23.2024.5.15.0002- ANTONIA MILENA SOARES DE SOUZA PARCELA 2/10</t>
  </si>
  <si>
    <t>IVAN MARQUES DOS SANTOS Proc  0010898-64.2022.5.15.0097 AUTOR: FRANCISCA NEUDA FRANCALINO DE SOUZA PARCELA 3/9</t>
  </si>
  <si>
    <t>MARIA APARECIDA ALVES DE MELO ATSum 0010327-82.2025.5.15.0002 RECLAMANTE: CRISTIANE DE SOUSA PARCELA 3/3</t>
  </si>
  <si>
    <t>ACORDO TRABALHISTA - ISABEL MACHADO PARCELA 6/6</t>
  </si>
  <si>
    <t>JOSE JONAS DE ARAUJO SILVA- PROCESSO 0010137-76.2022.5.15.0018- MANOEL VICENTE  PARCELA 3/8</t>
  </si>
  <si>
    <t>TADIM NEVES SOCIEDADE INDIVIDUAL DE ADVOCACIA -PROC  - 0012114-44.2023.5.15.0188-ADILIO SANTOS SOUZA PARCELA 6/8</t>
  </si>
  <si>
    <t>TADIM NEVES SOCIEDADE INDIVIDUAL DE ADVOCACIA -PROC  - 0012114-44.2023.5.15.0188-ADILIO SANTOS SOUZA PARCELA 8/8</t>
  </si>
  <si>
    <t>ANDRADE FREITAS SOCIEDADE DE ADVOGADOS-Proc 0012259-82.2024.5.15.0021 ESTEVAO GOMES DE SOUZA PARCELA 5/5</t>
  </si>
  <si>
    <t>ANDRADE FREITAS SOCIEDADE DE ADVOGADOS-Proc 0012259-82.2024.5.15.0021 ESTEVAO GOMES DE SOUZA PARCELA 4/5</t>
  </si>
  <si>
    <t>ANDRADE FREITAS SOCIEDADE DE ADVOGADOS-Proc 0012259-82.2024.5.15.0021 ESTEVAO GOMES DE SOUZA PARCELA 3/5</t>
  </si>
  <si>
    <t>ANDRADE FREITAS SOCIEDADE DE ADVOGADOS-Proc 0012259-82.2024.5.15.0021 ESTEVAO GOMES DE SOUZA PARCELA 2/5</t>
  </si>
  <si>
    <t>OKUYAMA &amp; ALVES SOCIEDADE DE ADVOGADOSS - PROC 0012457-65.2023.5.15.0018 -JESSICA BARROS DOS SANTO PARCELA 4/8</t>
  </si>
  <si>
    <t>OKUYAMA &amp; ALVES SOCIEDADE DE ADVOGADOSS - PROC 0012457-65.2023.5.15.0018 -JESSICA BARROS DOS SANTO PARCELA 5/8</t>
  </si>
  <si>
    <t>OKUYAMA &amp; ALVES SOCIEDADE DE ADVOGADOSS - PROC 0012457-65.2023.5.15.0018 -JESSICA BARROS DOS SANTO PARCELA 6/8</t>
  </si>
  <si>
    <t>OKUYAMA &amp; ALVES SOCIEDADE DE ADVOGADOSS - PROC 0012457-65.2023.5.15.0018 -JESSICA BARROS DOS SANTO PARCELA 7/8</t>
  </si>
  <si>
    <t>OKUYAMA &amp; ALVES SOCIEDADE DE ADVOGADOSS - PROC 0012457-65.2023.5.15.0018 -JESSICA BARROS DOS SANTO PARCELA 8/8</t>
  </si>
  <si>
    <t>SANTOS SEPULVEDA SOCIEDADE INDIVIDUAL DE ADVOCACIA- - PROC 0010895-75.2023.5.15.009-AMANDA BRITO SANTOS PARCELA 4/16</t>
  </si>
  <si>
    <t>SANTOS SEPULVEDA SOCIEDADE INDIVIDUAL DE ADVOCACIA- - PROC 0010895-75.2023.5.15.009-AMANDA BRITO SANTOS PARCELA 5/16</t>
  </si>
  <si>
    <t>SANTOS SEPULVEDA SOCIEDADE INDIVIDUAL DE ADVOCACIA- - PROC 0010895-75.2023.5.15.009-AMANDA BRITO SANTOS PARCELA 6/16</t>
  </si>
  <si>
    <t>SANTOS SEPULVEDA SOCIEDADE INDIVIDUAL DE ADVOCACIA- - PROC 0010895-75.2023.5.15.009-AMANDA BRITO SANTOS PARCELA 7/16</t>
  </si>
  <si>
    <t>SANTOS SEPULVEDA SOCIEDADE INDIVIDUAL DE ADVOCACIA- - PROC 0010895-75.2023.5.15.009-AMANDA BRITO SANTOS PARCELA 8/16</t>
  </si>
  <si>
    <t>SAMANTHA PATRICIA MACHADO DE GOUVEIA -PROC  nº 0010287-43.2024.5.15.0097-SHEILA PASSALINE FERRAZ- PARCELA 4/4</t>
  </si>
  <si>
    <t>ZAMBONI, SOUSA, CARVALHO &amp; MARIANO --PROC 0012075-66.2022.5.15.0096 -CLAUDIA ARAUJO DOS SANTOS-PARCELA 4/6</t>
  </si>
  <si>
    <t>OKUYAMA &amp; ALVES SOCIEDADE DE ADVOGADOS- PROC 0012465-42.2023.5.15.0018-PROC GENILDA MARIA DA SILVA PARCELA 5/8</t>
  </si>
  <si>
    <t>PEDRO LEOPOLDO BRUNELLI JUNIOR -Processo n. 0011252-29.2021.5.15.0096  AUTOR: DANILO MIGUEL DA SILVA  -PARCEL A 4/4</t>
  </si>
  <si>
    <t>JOSE JONAS DE ARAUJO SILVA- PROCESSO 0010137-76.2022.5.15.0018- MANOEL VICENTE  PARCELA 4/8</t>
  </si>
  <si>
    <t>JOSE JONAS DE ARAUJO SILVA- PROCESSO 0010137-76.2022.5.15.0018- MANOEL VICENTE  PARCELA 5/8</t>
  </si>
  <si>
    <t>JOSE JONAS DE ARAUJO SILVA- PROCESSO 0010137-76.2022.5.15.0018- MANOEL VICENTE  PARCELA 6/8</t>
  </si>
  <si>
    <t>ZAMBONI, SOUSA, CARVALHO &amp; MARIANO --PROC 0012075-66.2022.5.15.0096 -CLAUDIA ARAUJO DOS SANTOS-PARCELA 5/6</t>
  </si>
  <si>
    <t>OKUYAMA &amp; ALVES SOCIEDADE DE ADVOGADOS- PROC 0012465-42.2023.5.15.0018-PROC GENILDA MARIA DA SILVA PARCELA 6/8</t>
  </si>
  <si>
    <t>JHONNY WALACE REEMBOLSO</t>
  </si>
  <si>
    <t>21/out</t>
  </si>
  <si>
    <t>FMD FUNDO DE INVESTIMENTO EM DIREITOS CREDITORIOS-STAR CLEAN NF 1356</t>
  </si>
  <si>
    <t xml:space="preserve">LOCALIZA FLEET S.A.- FATURA  AGMTZ-2577180- MULTA DE TRANSITO </t>
  </si>
  <si>
    <t>LOCALIZA FLEET S.A. FATIRA AGMTZ-2577199-MULTA DE TRANSITO</t>
  </si>
  <si>
    <t>LOCALIZA FLEET S.A.-AGMTZ-2577162</t>
  </si>
  <si>
    <t>LEONARDO ANTONIO DO CARMO JUNIOR-.FGTS EM ATRASO 10/2023</t>
  </si>
  <si>
    <t>LEONARDO ANTONIO DO CARMO JUNIOR-.FGTS EM ATRASO 02/2023</t>
  </si>
  <si>
    <t>LEONARDO ANTONIO DO CARMO JUNIOR-.FGTS EM ATRASO 07/2023</t>
  </si>
  <si>
    <t>LEONARDO ANTONIO DO CARMO JUNIOR-.FGTS EM ATRASO 09/2023</t>
  </si>
  <si>
    <t>LEONARDO ANTONIO DO CARMO JUNIOR-.FGTS EM ATRASO 04/2023</t>
  </si>
  <si>
    <t>LEONARDO ANTONIO DO CARMO JUNIOR-.FGTS EM ATRASO 03/2023</t>
  </si>
  <si>
    <t>LEONARDO ANTONIO DO CARMO JUNIOR-.FGTS EM ATRASO 08/2023</t>
  </si>
  <si>
    <t>LEONARDO ANTONIO DO CARMO JUNIOR-.FGTS EM ATRASO 11/2023</t>
  </si>
  <si>
    <t>LEONARDO ANTONIO DO CARMO JUNIOR-.FGTS EM ATRASO 12/2023</t>
  </si>
  <si>
    <t>GP REFEIÇÕES- MARMITAS PESSOAL UPA</t>
  </si>
  <si>
    <t>VALERIA CRISTINA RAIEL- FT UPA CABREUVA</t>
  </si>
  <si>
    <t>ISTERFANY MATIAS PORTO - FT UPA CABREUVA</t>
  </si>
  <si>
    <t>DIOGO HENRIQUE BARBOSA BERNARDINO- FT UPA CABREUVA</t>
  </si>
  <si>
    <t>CELI MARIA DOS SANTOS DA SILVA- FT UPA CABREUVA</t>
  </si>
  <si>
    <t>ARIANE VITORIA SOUSA SANTOS -FT UPA CABREUVA</t>
  </si>
  <si>
    <t>RESSARCIMENTO</t>
  </si>
  <si>
    <t>MARIELE DE LIMA CANDIDO- RESSARCIMENTO DE MERCADORIA QUE O CONTROLADOR PAULO SERGIO (PALAZO VENEZA) FORNECEU AO MORADOR ERRADO</t>
  </si>
  <si>
    <t>RODRIGO GUIMARÃES - FT MOTORISTA</t>
  </si>
  <si>
    <t>OSSIRES DONAGELO-RREMBOLSO DE DESPESAS</t>
  </si>
  <si>
    <t>IRMÃOS BOA-ANTECIPAÇÃO</t>
  </si>
  <si>
    <t>CARTÃO DE CREDITO-PARCELAMENTO</t>
  </si>
  <si>
    <t>VITOR DUARTE ND</t>
  </si>
  <si>
    <t>HSERV COMBINADOS  ND</t>
  </si>
  <si>
    <t>H SERV CLEAN COMERCIO DE PRODU</t>
  </si>
  <si>
    <t>ASOMETRA ENGENHARIA DE SEGURAN</t>
  </si>
  <si>
    <t>CLE40</t>
  </si>
  <si>
    <t>Cobrança</t>
  </si>
  <si>
    <t>Vencido</t>
  </si>
  <si>
    <t>HENRIQUE JEAN DUARTE LTDA</t>
  </si>
  <si>
    <t>HJD40</t>
  </si>
  <si>
    <t>HSERV CABREUVA SERVICOS DE APO</t>
  </si>
  <si>
    <t>HCC40</t>
  </si>
  <si>
    <t>HSERV SERVICOS COMBINADOS DE F</t>
  </si>
  <si>
    <t>ESB40</t>
  </si>
  <si>
    <t>HSERV CABREUVA REPRESENTACOES</t>
  </si>
  <si>
    <t>HSU29</t>
  </si>
  <si>
    <t>HSERV SERVICOS DE LIMPEZA E SE</t>
  </si>
  <si>
    <t>HLS29</t>
  </si>
  <si>
    <t>HSERV SERVICOS TERCEIRIZADOS S</t>
  </si>
  <si>
    <t>HST29</t>
  </si>
  <si>
    <t>HSERV TECNOLOGIA E SERVICOS SO</t>
  </si>
  <si>
    <t>HTS29</t>
  </si>
  <si>
    <t>VITOR AUGUSTO DUARTE SOCIEDADE</t>
  </si>
  <si>
    <t>VIT40</t>
  </si>
  <si>
    <t xml:space="preserve">H SERV CLEAN </t>
  </si>
  <si>
    <t>HSERV  REPRESENTACOES</t>
  </si>
  <si>
    <t xml:space="preserve">HSERV TECNOLOGIA </t>
  </si>
  <si>
    <t>ASOMETRA ENGENHARIA DE SEGURANÇA- VENCIMENTO 20/06/2025</t>
  </si>
  <si>
    <t>Pagador / Agregado</t>
  </si>
  <si>
    <t>Beneficiário</t>
  </si>
  <si>
    <t>Nº do documento</t>
  </si>
  <si>
    <t>Tipo de boleto</t>
  </si>
  <si>
    <t>Situação</t>
  </si>
  <si>
    <t>Vencto</t>
  </si>
  <si>
    <t>Data limite</t>
  </si>
  <si>
    <t>para pagto.</t>
  </si>
  <si>
    <t>   </t>
  </si>
  <si>
    <t>Valores (R$)</t>
  </si>
  <si>
    <t>Banco</t>
  </si>
  <si>
    <t>Até o vencto.</t>
  </si>
  <si>
    <t>A pagar </t>
  </si>
  <si>
    <t>HSERV SERVICOS TERC</t>
  </si>
  <si>
    <t>BANCO BRADESCO S.A</t>
  </si>
  <si>
    <t>BENEFICIO SOCIAL SINDICAL</t>
  </si>
  <si>
    <t>ASSOCIACAO COMERCIAL E EMPRESA</t>
  </si>
  <si>
    <t>CAR SYSTEM</t>
  </si>
  <si>
    <t>HSU28</t>
  </si>
  <si>
    <t>CREDIFIT SOCIEDADE DE CREDITO</t>
  </si>
  <si>
    <t>A vista</t>
  </si>
  <si>
    <t>VITOR AUGUSTO DUARTE</t>
  </si>
  <si>
    <t>CAIXA CARTOES PRE-PAGOS S.A.</t>
  </si>
  <si>
    <t>Hserv Servicos Terceirizados S</t>
  </si>
  <si>
    <t>MOVIDA PARTICIPACOES S A</t>
  </si>
  <si>
    <t>SEBRACOM EMPRESARIAL</t>
  </si>
  <si>
    <t>HSERV CABREUVA - REPRESENTACOE</t>
  </si>
  <si>
    <t>BRASIL MEDICINA E SAUDE PREVEN</t>
  </si>
  <si>
    <t>GABRIEL SANTOS NOVAIS INFORMAT</t>
  </si>
  <si>
    <t>EMPORIO MEGA 100 C ALIM S A</t>
  </si>
  <si>
    <t>042971 4</t>
  </si>
  <si>
    <t>042972 4</t>
  </si>
  <si>
    <t>ELADIO SILVA BARRETO</t>
  </si>
  <si>
    <t> A   </t>
  </si>
  <si>
    <t>SPARTAN DO BRASIL PRODUTOS QUI</t>
  </si>
  <si>
    <t>254458B 01</t>
  </si>
  <si>
    <t>HSERV CABREUVA SERVICOS E COME</t>
  </si>
  <si>
    <t>SIND E T E A CONS LIMP URBANA</t>
  </si>
  <si>
    <t>H SERV CLEAN COMERCIAL LTDA ME</t>
  </si>
  <si>
    <t>BRADESCO SAUDE S A</t>
  </si>
  <si>
    <t>PROGRAMADO  PARA O DIA 18/07</t>
  </si>
  <si>
    <t>BOLETO PROPOSTA</t>
  </si>
  <si>
    <t>GERADO ERRONEAMENTO</t>
  </si>
  <si>
    <t>PAGAMENTO VIA PIX 11/07/2025</t>
  </si>
  <si>
    <t xml:space="preserve">HSERVTERCEIRIZADOS </t>
  </si>
  <si>
    <t>BENEFICIO SOCIAL SINDICAL-VENCIMENTO 10/05/2025</t>
  </si>
  <si>
    <t>PROGRAMADO PARA O DIA 18/07/2025</t>
  </si>
  <si>
    <t>BENEFICIO SOCIAL SINDICAL- VENCIMENTO 10/06/2025</t>
  </si>
  <si>
    <t>H SERV CLEAN</t>
  </si>
  <si>
    <t>HENRIQUE  DUARTE</t>
  </si>
  <si>
    <t xml:space="preserve">VITOR DUARTE </t>
  </si>
  <si>
    <t>HSERV  TERCEIRIZADOS S</t>
  </si>
  <si>
    <t xml:space="preserve">HSERV S COMBINADOS </t>
  </si>
  <si>
    <t xml:space="preserve">HSERV LIMPEZA </t>
  </si>
  <si>
    <t>PROGRAMADO PARA O DIA 24/07/2025</t>
  </si>
  <si>
    <t>MOVIDA PARTICIPACOES S A VENCIDO 16/06/2025</t>
  </si>
  <si>
    <t>MOVIDA PARTICIPACOES S A VENCIDO 17/06/2025- FATURA 6830253-CONTRATO 25884412/03/000</t>
  </si>
  <si>
    <t>MOVIDA PARTICIPACOES S A VENCIDO 12/06/2025 156154725</t>
  </si>
  <si>
    <t>MOVIDA PARTICIPACOES S A VENCIDO 13/06/2025 216178215</t>
  </si>
  <si>
    <t>MOVIDA PARTICIPACOES S A VENCIDO 18/06/2025 46445801</t>
  </si>
  <si>
    <t>MOVIDA PARTICIPACOES S A VENCIDO 28/06/2025 156400259</t>
  </si>
  <si>
    <t>LOCALIZA - VENCIDA 30/07/2025</t>
  </si>
  <si>
    <t>LOCALIZA FLEET S.-VENCIMENTO 01/08</t>
  </si>
  <si>
    <t>LOCALIZA FLEET S.A.-VENCIMENTO 10/08/2025</t>
  </si>
  <si>
    <t>MOVIDA PARTICIPACOES S.A. VENCIMENTO 14/07/2025</t>
  </si>
  <si>
    <t>MOVIDA PARTICIPACOES S.A. VENCIMENTO 15/07/2025</t>
  </si>
  <si>
    <t>MOVIDA PARTICIPACOES S.A. VENCIMENTO 16/07/2025</t>
  </si>
  <si>
    <t>MOVIDA PARTICIPACOES S.A. VENCIMENTO 21/07/2025</t>
  </si>
  <si>
    <t>MOVIDA PARTICIPACOES S.A. VENCIMENTO 29/07/2025</t>
  </si>
  <si>
    <t>MOVIDA PARTICIPACOES S.A. VENCIMENTO 11/07/2025</t>
  </si>
  <si>
    <t>PROGRAMADO PARA O DIA 18/08/2025</t>
  </si>
  <si>
    <t>SALDO FINAL</t>
  </si>
  <si>
    <t>PROCESSO</t>
  </si>
  <si>
    <t>13 SALARIO</t>
  </si>
  <si>
    <t>FGTS MENSAL HENRIQUE JEAN</t>
  </si>
  <si>
    <t>FGTS MENSAL HSERV CABREUVA</t>
  </si>
  <si>
    <t xml:space="preserve">FGTS MENSAL HSERV CLEAN </t>
  </si>
  <si>
    <t>FGTS MENSAL HSERV COMBINADOS</t>
  </si>
  <si>
    <t>FGTS MENSAL HSERV LIMPEZA</t>
  </si>
  <si>
    <t>FGTS MENSAL HSERV TECNOLOGIA</t>
  </si>
  <si>
    <t>FGTS MENSAL HSERV CABREUVA REPRESENTACOES</t>
  </si>
  <si>
    <t>FGTS MENSAL HSERV  TERCEIRIZADOS</t>
  </si>
  <si>
    <t>FGTS MENSAL VITOR DUARTE</t>
  </si>
  <si>
    <t>DARF INSS MENSAL HENRIQUE JEAN DUARTE</t>
  </si>
  <si>
    <t>DARF INSS MENSAL HSERV CABREUVA</t>
  </si>
  <si>
    <t xml:space="preserve">DARF INSS MENSAL HSERV CLEAN </t>
  </si>
  <si>
    <t xml:space="preserve">DARF INSS MENSAL HSERV  COMBINADOS </t>
  </si>
  <si>
    <t xml:space="preserve">DARF INSS MENSAL HSERV  LIMPEZA </t>
  </si>
  <si>
    <t xml:space="preserve">DARF INSS MENSAL HSERV TECNOLOGIA </t>
  </si>
  <si>
    <t>DARF INSS MENSAL HSERVTERCEIRIZADOS</t>
  </si>
  <si>
    <t>DARF INSS MNSAL VITOR DUARTE</t>
  </si>
  <si>
    <t>RAI INDUSTRIAL</t>
  </si>
  <si>
    <t>NEW PARK TENIS</t>
  </si>
  <si>
    <t>RIOS DAS PEDRAS</t>
  </si>
  <si>
    <t>07/out</t>
  </si>
  <si>
    <t xml:space="preserve">CEF MATRIZ--EMPRESTIMO HSERV COMBINADOS VENCIDO </t>
  </si>
  <si>
    <t>ASOMETRA</t>
  </si>
  <si>
    <t xml:space="preserve">DEVOLUÇÃO APORTE VITOR - APORTE </t>
  </si>
  <si>
    <t>CARLOS HENRIQUE CONCEICAO</t>
  </si>
  <si>
    <t>GABRIEL GATTI DA SILVA</t>
  </si>
  <si>
    <t>ROSALINA CRISTIANE JUSTINO</t>
  </si>
  <si>
    <t>MARIA ROSEANE DA SILVA</t>
  </si>
  <si>
    <t>FLAVIA KELI DE OLIVEIRA FELIX</t>
  </si>
  <si>
    <t>RELAÇÃO DE PAGAMENTO DO DIA 14/07/2025</t>
  </si>
  <si>
    <t>RELAÇÃO DE PAGAMENTO DO DIA 11/07/2025</t>
  </si>
  <si>
    <t>RAI INGREDIENTES INDUSTRIAL</t>
  </si>
  <si>
    <t>HOSPITALSÃO ROQUE</t>
  </si>
  <si>
    <t>SPARTAN DO BRASIL</t>
  </si>
  <si>
    <t>ENVIAR PARA VITOR</t>
  </si>
  <si>
    <t>[</t>
  </si>
  <si>
    <t>RELAÇÃO DE PAGAMENTO DO DIA 15/07/2025</t>
  </si>
  <si>
    <t>CBM TOWER -RATEIO MENSAL</t>
  </si>
  <si>
    <t>CBM TOWER -TAXA DE CONDOMINIO</t>
  </si>
  <si>
    <t>EZEQUIEL RODRIGUES DOS SANTOS</t>
  </si>
  <si>
    <t>MARIA SOCORRO DA SILVA PEREIRA</t>
  </si>
  <si>
    <t>ILMA FERREIRA DE SOUZA</t>
  </si>
  <si>
    <t>JESAIAS ROMANHA -PROC 0010363-38.2022.5.15.0097 - ISABEL MACHADO PARCELA 2/8</t>
  </si>
  <si>
    <t>ARGENTON E QUEIROZ ADVOGADOS ASSOCIADOS- Proc 0012026-51.2024.5.15.0097 Reclamante: SIMONE DA SILVA CORREIA PARCELA 2/6</t>
  </si>
  <si>
    <t>IF EMPRESARIAL-CONTABILIDADE, JURIDICO E DEPARTAMENTO PESSOAL</t>
  </si>
  <si>
    <t>FT ASSIS E REGIÃO- REDE AVENIDA</t>
  </si>
  <si>
    <t>OKUYAMA &amp; ALVES SOCIEDADE DE ADVOGADOS-PROC 0012360-22.2024.5.15.0021 ADRIANA TEIXEIRA DE OLIVEIRA PARCELA 1/8</t>
  </si>
  <si>
    <t>OKUYAMA &amp; ALVES SOCIEDADE DE ADVOGADOS-PROC 0012360-22.2024.5.15.0021 ADRIANA TEIXEIRA DE OLIVEIRA PARCELA 2/8</t>
  </si>
  <si>
    <t>OKUYAMA &amp; ALVES SOCIEDADE DE ADVOGADOS-PROC 0012360-22.2024.5.15.0021 ADRIANA TEIXEIRA DE OLIVEIRA PARCELA 3/8</t>
  </si>
  <si>
    <t>OKUYAMA &amp; ALVES SOCIEDADE DE ADVOGADOS-PROC 0012360-22.2024.5.15.0021 ADRIANA TEIXEIRA DE OLIVEIRA PARCELA 4/8</t>
  </si>
  <si>
    <t>OKUYAMA &amp; ALVES SOCIEDADE DE ADVOGADOS-PROC 0012360-22.2024.5.15.0021 ADRIANA TEIXEIRA DE OLIVEIRA PARCELA 5/8</t>
  </si>
  <si>
    <t>OKUYAMA &amp; ALVES SOCIEDADE DE ADVOGADOS-PROC 0012360-22.2024.5.15.0021 ADRIANA TEIXEIRA DE OLIVEIRA PARCELA 6/8</t>
  </si>
  <si>
    <t>OKUYAMA &amp; ALVES SOCIEDADE DE ADVOGADOS   PROC- 0012465-42.2023.5.15.0018 GENILDA MARIA DA SILVA CARRILHO PARCELA 4/8</t>
  </si>
  <si>
    <t>ARGENTON E QUEIROZ ADVOGADOS ASSOCIADOS-Proc 0012026-51.2024.5.15.0097-SIMONE DA SILVA CORREIA- PARCELA 3/6</t>
  </si>
  <si>
    <t>ARGENTON E QUEIROZ ADVOGADOS ASSOCIADOS-Proc 0012026-51.2024.5.15.0097-SIMONE DA SILVA CORREIA- PARCELA 4/6</t>
  </si>
  <si>
    <t>ARGENTON E QUEIROZ ADVOGADOS ASSOCIADOS-Proc 0012026-51.2024.5.15.0097-SIMONE DA SILVA CORREIA- PARCELA 5/6</t>
  </si>
  <si>
    <t>ARGENTON E QUEIROZ ADVOGADOS ASSOCIADOS-Proc 0012026-51.2024.5.15.0097-SIMONE DA SILVA CORREIA- PARCELA 6/6</t>
  </si>
  <si>
    <t>PATRICIA LOMBARDI-PROC 1002854-81.2023.5.02.0221 TANIA MARIANO DOS SANTOS PARCELA 3/6</t>
  </si>
  <si>
    <t>PATRICIA LOMBARDI-PROC 1002854-81.2023.5.02.0221 TANIA MARIANO DOS SANTOS PARCELA 4/6</t>
  </si>
  <si>
    <t>PATRICIA LOMBARDI-PROC 1002854-81.2023.5.02.0221 TANIA MARIANO DOS SANTOS PARCELA 5/6</t>
  </si>
  <si>
    <t>PATRICIA LOMBARDI-PROC 1002854-81.2023.5.02.0221 TANIA MARIANO DOS SANTOS PARCELA 6/6</t>
  </si>
  <si>
    <t>EMPORIO MEGA 100 COMERCIO DE ALIMENTOS S.A. NF 982.488</t>
  </si>
  <si>
    <t>SUFEX COMERCIO -JALECOS-COMPRA DE 150 UNIDADES</t>
  </si>
  <si>
    <t xml:space="preserve">SUFEX COMERCIO -CALÇAS ASG- COMPRA DE 100 CALÇAS ASG </t>
  </si>
  <si>
    <t>EMPORIO MEGA 100 COMERCIO DE ALIMENTOS S.A. NF982.489</t>
  </si>
  <si>
    <t>EMPORIO MEGA 100 COMERCIO DE ALIMENTOS S.A. NF 982.496</t>
  </si>
  <si>
    <t>EMPORIO MEGA 100 COMERCIO DE ALIMENTOS S.A. NF 982.491</t>
  </si>
  <si>
    <t>EMPORIO MEGA 100 COMERCIO DE ALIMENTOS S.A. NF 982.492</t>
  </si>
  <si>
    <t>EMPORIO MEGA 100 COMERCIO DE ALIMENTOS S.A. NF 982.497</t>
  </si>
  <si>
    <t>EMPORIO MEGA 100 COMERCIO DE ALIMENTOS S.A. NF 982.494</t>
  </si>
  <si>
    <t>EMPORIO MEGA 100 COMERCIO DE ALIMENTOS S.A. NF 982.495</t>
  </si>
  <si>
    <t>EMPORIO MEGA 100 COMERCIO DE ALIMENTOS S.A. NF 982.490</t>
  </si>
  <si>
    <t>LOTUS CENTRAL DE DISTRIBUICAO DE HIGIENICOS LTDA- NF 138.143</t>
  </si>
  <si>
    <t>EMPORIO MEGA 100 COMERCIO DE ALIMENTOS S.A. NF 982.493</t>
  </si>
  <si>
    <t>DEPOSITO GAS E AGUA CABREUVA-AGUA GALÕES DE AGUA  PARA BASE 1 SEMESTRE</t>
  </si>
  <si>
    <t>SPARTAN DO BRASIL PRODUTOS QUIMICOS LTDA NF 254.458 PARCELA 2/3</t>
  </si>
  <si>
    <t>SPARTAN DO BRASIL PRODUTOS QUIMICOS LTDA NF 254.458 PARCELA 3/3</t>
  </si>
  <si>
    <t>RELAÇÃO DE PAGAMENTO DO DIA 16/07/2025</t>
  </si>
  <si>
    <t>NEWPARK TENIS</t>
  </si>
  <si>
    <t>JESAIAS ROMANHA -PROC 0010363-38.2022.5.15.0097 - ISABEL MACHADO PARCELA 3/8</t>
  </si>
  <si>
    <t>JESAIAS ROMANHA -PROC 0010363-38.2022.5.15.0097 - ISABEL MACHADO PARCELA 4/8</t>
  </si>
  <si>
    <t>JESAIAS ROMANHA -PROC 0010363-38.2022.5.15.0097 - ISABEL MACHADO PARCELA 5/8</t>
  </si>
  <si>
    <t>JESAIAS ROMANHA -PROC 0010363-38.2022.5.15.0097 - ISABEL MACHADO PARCELA 6/8</t>
  </si>
  <si>
    <t xml:space="preserve">JOSÉ SANTOS DE PAULA- JARDINEIRO PALAZZO VENEZA- </t>
  </si>
  <si>
    <t>TAXA DE DESARQUIVAMENTO - PROCESSO 1012583-14.2021.8.26.0309</t>
  </si>
  <si>
    <t>JURIDICO</t>
  </si>
  <si>
    <t>FATIMA APARECIDA DOS ANJOS LUCIO-COMPLEMENTO DE SALARIOS</t>
  </si>
  <si>
    <t>PALOMA CARVALHO PINHEIRO</t>
  </si>
  <si>
    <t>ALCIDES PEREIRA DE SOUZA</t>
  </si>
  <si>
    <t>JOSELITA DA SILVA</t>
  </si>
  <si>
    <t>SANDRA RIBEIRO DA SILVA</t>
  </si>
  <si>
    <t>ORVANDA MARIA VITALINO FIGUEROA</t>
  </si>
  <si>
    <t>ROSEMEIRE VIEIRA BEZERRA</t>
  </si>
  <si>
    <t xml:space="preserve">BRASIL MEDICINA E SAUDE PREVENTIVA ORGANIZACAO- ABRIL </t>
  </si>
  <si>
    <t>CAIXA CARTOES PRE-PAGOS S.A.- VALE TRANSPORTE COLABORADORES -VIAÇÕES</t>
  </si>
  <si>
    <t>VERA LUCIA FELIX DE OLIVEIRA</t>
  </si>
  <si>
    <t>VANDERLEI APARECIDO SOARES DOS SANTOS</t>
  </si>
  <si>
    <t>GUIA DE PARCELAMENTO DE DIVIDA ATIVA HSERV CLEAN</t>
  </si>
  <si>
    <t>HENRIQUE JEAN DUARTE</t>
  </si>
  <si>
    <t>RELAÇÃO DE PAGAMENTO DO DIA 17/07/2025</t>
  </si>
  <si>
    <t>DEPOSITO GAS E AGUA CABREUVA- GALÕES DE AGUA  ESCRITORIO</t>
  </si>
  <si>
    <t>MAC LUCER -MAITA (MENSAL) - -RESIDENCIAL MAITÁ APTO 073 (contrato-170</t>
  </si>
  <si>
    <t>MAC LUCER - VINEA (MENSAL)   PARCELA 13- VINEA -Apto 004 (contrato-95)</t>
  </si>
  <si>
    <t xml:space="preserve">DEVOLUÇÃO APORTE VITOR -APORTE 16/12 </t>
  </si>
  <si>
    <t xml:space="preserve">DEVOLUÇÃO APORTE VITOR - APORTE 16/12 </t>
  </si>
  <si>
    <t>FT 1 QUINZENA  DE JULHO -PACOTES  DE AGOSTO</t>
  </si>
  <si>
    <t>FT 2 QUINZENA DE JULHO</t>
  </si>
  <si>
    <t>FT ASSIS E REGIÃO-REDE AVENIDA</t>
  </si>
  <si>
    <t>PARCELAMENTO SIMPLICADO- HSERV COMBINADOS  DEBITO PREVIDENCIARIO - VENCIMENTO 30/08/2025</t>
  </si>
  <si>
    <t>PARCELAMENTO SIMPLICADO- HSERV REPRESENTAÇÃO  DEBITO PREVIDENCIARIO  - VENCIMENTO 30/08/2025</t>
  </si>
  <si>
    <t>PARCELAMENTO SIMPLICADO- HSERV COMBINADOS  DEBITO PREVIDENCIARIO - VENCIMENTO 30/07/2025</t>
  </si>
  <si>
    <t>PARCELAMENTO SIMPLICADO- HSERV REPRESENTAÇÃO  DEBITO PREVIDENCIARIO  - VENCIMENTO 30/07/2025</t>
  </si>
  <si>
    <t>PARCELAMENTO SIMPLICADO- HSERV LIMPEZA - DEBITO PREVIDENCIARIO  - VENCIMENTO 30/07/2025</t>
  </si>
  <si>
    <t>DARF ISS MENSAL- EMPRESA VITOR</t>
  </si>
  <si>
    <t>DARF UNIFICADA DE IMPOSTO; COFINS,PIS - HSERV CABREUVA</t>
  </si>
  <si>
    <t>GUIA DE PARCELAMENTO INSS VITOR  JULHO A NOV 2024</t>
  </si>
  <si>
    <t>PROLABORE SOCIOS CRISTIANE-MARIA JOSE, GUTHIERRI</t>
  </si>
  <si>
    <t>MOVIDA PARTICIPACOES S A VENCIDO 12/06/2025 FATURA -06834107- PLACA TJL4F14/10</t>
  </si>
  <si>
    <t>MOVIDA PARTICIPACOES S A VENCIDO 13/06/2025-FATURA 06770206-LOCAÇÃO PLACAS:TJL4F14 E QMY1E00</t>
  </si>
  <si>
    <t>MOVIDA PARTICIPACOES S A VENCIDO 17/06/2025- FATURA 6830253-CONTRATO 25884412/03/000-PLACA: SHU-1C88</t>
  </si>
  <si>
    <t>MOVIDA PARTICIPACOES S A VENCIDO 29/05/2025 -FATURA 06770134-MULTA - PLACAS: TJL4F14 E QMY1E00</t>
  </si>
  <si>
    <t>MOVIDA PARTICIPACOES S A VENCIDO 28/06/2025-06902382- MULTA E/OU INFR.TRÂNSITO-PLACA : TJL4F14</t>
  </si>
  <si>
    <t>MOVIDA PARTICIPACOES S A-VENCIMENTO 05/07/2025 FATURA 6908514-CONTRATO  25884412-PLACA: TJG6B82</t>
  </si>
  <si>
    <t>MOVIDA PARTICIPACOES S A-VENCIMENTO 07/07/2025- FATURA 6915357 - CONTRATO -PLACA PLACA: STQ-7B01</t>
  </si>
  <si>
    <t>MOVIDA PARTICIPACOES S A-VENCIMENTO 02/07/2025 FATURA 6897892- CONTRATO 25884412-PLACA: TJG6B82</t>
  </si>
  <si>
    <t>MOVIDA PARTICIPACOES S.A.- FATURA 6962199 -CONTRATO -25884412 -PLACA: SHU1C88</t>
  </si>
  <si>
    <t>THIAGO ALMEIDA- COMISSÃO DE PRODUTOS</t>
  </si>
  <si>
    <t>CSLL TRIMESTRAL HSERV CABREUVA</t>
  </si>
  <si>
    <t>IRPJ TRIMESTRAL HSERV CABREUVA</t>
  </si>
  <si>
    <t>RELAÇÃO DE PAGAMENTO DO DIA 18/07/2025</t>
  </si>
  <si>
    <t xml:space="preserve">LOTUS CENTRAL DE DISTRIBUICAO DE HIGIENICOS LTDA-NF 143.048 </t>
  </si>
  <si>
    <t>RSC COM. MAT.P/ CONSTRUCAO LTDA. NF 106.601</t>
  </si>
  <si>
    <t>GUIA DE PAGAMENTO DO PROCESSO DA QUEBEC CATALOGOS - PROCESSO 0000704-93.2025.8.26.0080</t>
  </si>
  <si>
    <t>LOTUS CENTRAL DE DISTRIBUICAO DE HIGIENICOS LTDA- NF 135.334</t>
  </si>
  <si>
    <t>NOVITA VEST CONFECCOES LTDA-SETTE UNIFORMES NF 6.111</t>
  </si>
  <si>
    <t>LM SUPER TROCA DE OLEO NF 1.020</t>
  </si>
  <si>
    <t>NATHALIA THAIS- FT FALTANTE BELL ART</t>
  </si>
  <si>
    <t>RELAÇÃO DE PAGAMENTO DO DIA 21/07/2025</t>
  </si>
  <si>
    <t xml:space="preserve">DARE VITOR DUARTE- GUIA PARA ALTERAÇÃO SOCIETARIA </t>
  </si>
  <si>
    <t xml:space="preserve">DANIEL DE ARAUJO- FT REALIZADA DIA 18/07- </t>
  </si>
  <si>
    <t>RELAÇÃO DE PAGAMENTO DO DIA 22/07/2025</t>
  </si>
  <si>
    <t>IFOOD.COM AGENCIA DE RESTAURANTES ONLINE S.A.-VALE ALIMENTAÇÃO  AVENIDA SANDRA PATRICIA MARTON</t>
  </si>
  <si>
    <t>IFOOD.COM AGENCIA DE RESTAURANTES ONLINE S.A.-VALE COMBUSTIVEL RICARDO VAIZ TERMINAR O MÊS</t>
  </si>
  <si>
    <t>MATUSALEM NOGUEIRA-VALE TRANSPORTE DO DIA 23/07 AO DIA 03/08 R$12,80 POR DIA  LOJA 17</t>
  </si>
  <si>
    <t>KATIA HELENA DA SILVA-VALE TRANSPORTE DO DIA 23/07 AO DIA 03/08 R$12,40 POR DIA  VALINHOS</t>
  </si>
  <si>
    <t>RONALDO SILVA MARQUES-VALE TRANSPORTE DO DIA 23/07 AO DIA 03/08 R$11,80 POR DIA  LOJA 12</t>
  </si>
  <si>
    <t>LINDIMAR FERREIRA DOS SANTOS-VALE TRANSPORTE PARA FINALIZAR O MES  R$11,80 POR DIA  CAMPO LIMPO</t>
  </si>
  <si>
    <t>JOSE ADILSON LIMA BATISTA -VALE TRANSPORTE DO DIA 24/07 AO DIA 31/07 R$12,30 POR D</t>
  </si>
  <si>
    <t>ALUGUEL DE EQUIPAMENTOS</t>
  </si>
  <si>
    <t>LEIDIANE MENDES</t>
  </si>
  <si>
    <t>YGOR SILVA DA CONCEICAO</t>
  </si>
  <si>
    <t>GRRF LEIDIANE MENDES</t>
  </si>
  <si>
    <t>ALTEVYR SILVA GONCALVES -PROC-nº 0010321-03.2025.5.15.0026  IZILDA APARECIDA SABINO PARCELA 1/5</t>
  </si>
  <si>
    <t>ALTEVYR SILVA GONCALVES -PROC-nº 0010321-03.2025.5.15.0026  IZILDA APARECIDA SABINO PARCELA 2/5</t>
  </si>
  <si>
    <t>ALTEVYR SILVA GONCALVES -PROC-nº 0010321-03.2025.5.15.0026  IZILDA APARECIDA SABINO PARCELA 3/5</t>
  </si>
  <si>
    <t>ALTEVYR SILVA GONCALVES -PROC-nº 0010321-03.2025.5.15.0026  IZILDA APARECIDA SABINO PARCELA 4/5</t>
  </si>
  <si>
    <t>ALTEVYR SILVA GONCALVES -PROC-nº 0010321-03.2025.5.15.0026  IZILDA APARECIDA SABINO PARCELA 5/5</t>
  </si>
  <si>
    <t>VITOR DUARTE- Proc 0011845-30.2023.5.15.0018 RECLAMANTE: ALINE MARTINS DE ASSIS RECLAMADO</t>
  </si>
  <si>
    <t>CLAUDIO JESUS DE ALMEIDA ADVOGADOS ASSOCIADOS-Proc 0011865-05.2024.5.15.0109- ADRILENE PEREIRA DA SILVA-PARCELA 1/6</t>
  </si>
  <si>
    <t>REEMBOLSO DE DESPESAS</t>
  </si>
  <si>
    <t>MAURA VILELA PINTO</t>
  </si>
  <si>
    <t>MARIA INES VERDEIRO</t>
  </si>
  <si>
    <t>WILLIAN KIOSHI NEVES SAKAI</t>
  </si>
  <si>
    <t>JOSE DAVI DOS SANTOS MEDEIROS</t>
  </si>
  <si>
    <t>GUSTAVO AMARANTE DA SILVA</t>
  </si>
  <si>
    <t>REGINA DE SOUZA</t>
  </si>
  <si>
    <t>CICERA MATOS DA SILVA</t>
  </si>
  <si>
    <t>VANDERLEIA BISPO DE SOUZA</t>
  </si>
  <si>
    <t>Lucineia de Souza Megueiro</t>
  </si>
  <si>
    <t>SANDRO HELENO DE OLIVEIRA</t>
  </si>
  <si>
    <t>PATRICIA PEREIRA DOS SANTOS</t>
  </si>
  <si>
    <t>MANOEL FREIRE SANTOS</t>
  </si>
  <si>
    <t>CLAUDIO JESUS DE ALMEIDA ADVOGADOS ASSOCIADOS-Proc 0011865-05.2024.5.15.0109- ADRILENE PEREIRA DA SILVA-PARCELA 2/6</t>
  </si>
  <si>
    <t>CLAUDIO JESUS DE ALMEIDA ADVOGADOS ASSOCIADOS-Proc 0011865-05.2024.5.15.0109- ADRILENE PEREIRA DA SILVA-PARCELA 3/6</t>
  </si>
  <si>
    <t>CLAUDIO JESUS DE ALMEIDA ADVOGADOS ASSOCIADOS-Proc 0011865-05.2024.5.15.0109- ADRILENE PEREIRA DA SILVA-PARCELA 4/6</t>
  </si>
  <si>
    <t>CLAUDIO JESUS DE ALMEIDA ADVOGADOS ASSOCIADOS-Proc 0011865-05.2024.5.15.0109- ADRILENE PEREIRA DA SILVA-PARCELA 5/6</t>
  </si>
  <si>
    <t>CLAUDIO JESUS DE ALMEIDA ADVOGADOS ASSOCIADOS-Proc 0011865-05.2024.5.15.0109- ADRILENE PEREIRA DA SILVA-PARCELA 6/6</t>
  </si>
  <si>
    <t>J.E. COMERCIO E SOLUCOES LTDA- NF 10.679</t>
  </si>
  <si>
    <t>J.E. COMERCIO E SOLUCOES LTDA NF 10.676</t>
  </si>
  <si>
    <t>LOTUS CENTRAL DE DISTRIBUICAO DE HIGIENICOS LTDA NF 138.143</t>
  </si>
  <si>
    <t>CRISTIANA DOS SANTOS COBRINDO AFASTAMENTO REGIVANIA PEREIRA DA SILVA RANCHARIA LOJA 12</t>
  </si>
  <si>
    <t>PATRICIA MARTON ZANINI DAMASCENO COBRINDO AFASTAMENTO GISLAINE FERNANDA DA SILVA BARBOSA DRACENA LOJA 44</t>
  </si>
  <si>
    <t>HIABÁ DE OLIVEIRA COBRINDO FÉRIAS DA PATRICIA XAVIER  MARTINOPOLIS - LOJA 38</t>
  </si>
  <si>
    <t xml:space="preserve">ANDRESSA DA SILVA CASSALHO COBRINDO FÉRIAS MISLENE LANZA ECHAPORÃ - LOJA 08 </t>
  </si>
  <si>
    <t xml:space="preserve">RITA CARNEIRO  COBRINDO FÉRIAS MISLENE LANZA ECHAPORÃ - LOJA 08 </t>
  </si>
  <si>
    <t xml:space="preserve">GLEYCE JAQUELINE DOS REIS OLIVEIRA  COBRINDO AFASTAMENTO BRUNA MAIARA DA SILVA TEODORO ASSIS - LOJA 20 MAX </t>
  </si>
  <si>
    <t>IZABEL APARECIDA BARBOSA -COBRINDO AFASTAMENTO DA ALESSANDRA MOREIRA LEITE  LENÇOIS - LOJA 34</t>
  </si>
  <si>
    <t>RELAÇÃO DE PAGAMENTO DO DIA 23/07/2025</t>
  </si>
  <si>
    <t>MARIA INES VERDEIRO fazer 4 dias  R$49,20 R$12,30 POR DIA  vencedor</t>
  </si>
  <si>
    <t>LOTUS CENTRAL DE DISTRIBUICAO DE HIGIENICOS LTDA NF 140.263</t>
  </si>
  <si>
    <t>RELAÇÃO DE PAGAMENTO DO DIA 24/07/2025</t>
  </si>
  <si>
    <t>SELMA VIEIRA DOS SANTOS VALE TRANSPORTE PARA COBERTURA DA LOJA 06-  PERIODO MANHÃ DIA 25/07/2025</t>
  </si>
  <si>
    <t>ADENILZA MENDONÇA  VALE TRANSPORTE COBERTURA LOJA 14-VILA ARENS PERIODO TARDE DIA 24/07/2025</t>
  </si>
  <si>
    <t>DEBORA GOMES DOS SANTOS-VALE TRANSPORTE DO DIA 25/07 AO DIA 07/08 R$14,70 POR DIA  LOJA 08</t>
  </si>
  <si>
    <t>GUSTAVO HENRIQUE DOS SANTOS-vale transporte fiscal de sorocaba do dia 25/07 ao dia 07/08 R$23,60 por dia  escala 4x1</t>
  </si>
  <si>
    <t>RODRIGO CESAR DOS SANTOS-VALE TRANSPORTE DO DIA 25/07 AO DIA 07/08  28,80  POR DIA</t>
  </si>
  <si>
    <t>ELANDIO GONCALVES LIMA Limpador de Vidro loja 24 Sorocaba  Nos dias  15-07 ,16-07, 17-07, e 18-07</t>
  </si>
  <si>
    <t>GILBERTO SILVA SANTOS-VALE TRANSPORTE DO DIA 28/07 AO DIA 07/08 R$10,00 POR DIA  JARDINEIRO ADMISSÃO</t>
  </si>
  <si>
    <t>LAURINDA MARIA SANTOS NEVES-VALE TRANSPORTE DO DIA 28/07 AO DIA 07/08 R$10,00 POR DIA ADMISSÃO VETTOR</t>
  </si>
  <si>
    <t>FABIA REGIANE AMARO CABRAL-vale transporte do dia 28/07 ao dia 07/08 R$10,00 POR DIA  ADMISSÃO RAI</t>
  </si>
  <si>
    <t>MAQUISSUEL DE SOUZA FREITAS</t>
  </si>
  <si>
    <t>SPARTAN DO BRASIL PRODUTOS QUIMICOS LTDA - NF 256.344</t>
  </si>
  <si>
    <t>AUTO POSTO JARDIM DAS HORTENCIAS NF 869</t>
  </si>
  <si>
    <t>J.E. COMERCIO E SOLUCOES LTDA NF 10.734</t>
  </si>
  <si>
    <t>L. A. DE SOUZA - EQUIPAMENTOS DE SEGURANCA LTDA- NF</t>
  </si>
  <si>
    <t>FMD FUNDO DE INVESTIMENTO EM DIREITOS CREDITORIOS NF 1.356</t>
  </si>
  <si>
    <t xml:space="preserve">GISELE RODRIGUES- CAIXINHA OPERACIONAL </t>
  </si>
  <si>
    <t xml:space="preserve">FTS FALTANTE </t>
  </si>
  <si>
    <t>OSSIRES JOSÉ DONANGELO- CAIXINHA OPERACIONAL</t>
  </si>
  <si>
    <t>RELAÇÃO DE PAGAMENTO DO DIA 25/07/2025</t>
  </si>
  <si>
    <t>RELAÇÃO D597DE PAGAMENTO DO DIA 25/07/2025</t>
  </si>
  <si>
    <t>JURANDIR LUCAS BEZERRA</t>
  </si>
  <si>
    <t>MARIA LUCIA SOUSA SANTOS</t>
  </si>
  <si>
    <t>BRADESCO AUTO/RE COMPANHIA DE SEGUROS</t>
  </si>
  <si>
    <t>ALEX APARECIDO DE MORAIS</t>
  </si>
  <si>
    <t>EDIMARA GISELE SILVA JOANI-VALE TRANSPORTE AGOSTO</t>
  </si>
  <si>
    <t>KEMELLY THAIS TERTULIANO DE OLIVEIRA-VALE TRANSPORTE AGOSTO</t>
  </si>
  <si>
    <t>ROSANGELA DA SILVA-VALE TRANSPORTE AGOSTO</t>
  </si>
  <si>
    <t>TATIANE CRISTINA BARBOSA-VALE TRANSPORTE AGOSTO AVENIDA</t>
  </si>
  <si>
    <t>MARIA INES CHAGAS-VALE TRANSPORTE AGOSTO</t>
  </si>
  <si>
    <t>ELUSA ROSALVA DA ROCHA PEREIRA-VALE TRANSPORTE R$14,40 POR DIA  ASSIS</t>
  </si>
  <si>
    <t>JULIANA TOMAZ FERREIRA-VALE TRANSPORTE AGOSTO</t>
  </si>
  <si>
    <t>THAYANE TERTULIANO DOMINGOS DA SILVA-VALE TRANSPORTE AGOSTO</t>
  </si>
  <si>
    <t>JULIANA SANTANA CARAVANTE MENDES-VALE TRANSPORTE AGOSTO</t>
  </si>
  <si>
    <t>TATIANI LOPES-VALE TRANSPORTE DE AGOSTO  R$16,00 POR DIA</t>
  </si>
  <si>
    <t>NATALINA SILVA NIZIO-AVENIDA VALE TRANSPORTE AGOSTO</t>
  </si>
  <si>
    <t>NILDA FERREIRA SOBRINHO</t>
  </si>
  <si>
    <t>MARIA APARECIDA DOS SANTOS ROCHA</t>
  </si>
  <si>
    <t>ELENILZA PATRICIA ALMEIDA DUARTE</t>
  </si>
  <si>
    <t>ADRIANA SIMONE MARINHO GOULART-VALE TRANSPORTE DE AGOSTO</t>
  </si>
  <si>
    <t>MARIA SOCORRO DA SILVA PEREIRA-VALE TRANSPORTE DO DIA 01/08 AO DIA 15/08 R$10,00 POR DIA</t>
  </si>
  <si>
    <t>SIMONE PAIXAO VAIZ-VALE TRANSPORTE DE AGOSTO R$14,50 POR DIA</t>
  </si>
  <si>
    <t>TAMIRES DA SILVA CAPUCHINHO-VTE AGOSTO DESCONTANDO OS DIAS 15/07,16/07,17/07 E 18/07e 28/07  QUE TRABALHOU HOMEOFICCE</t>
  </si>
  <si>
    <t>GISELE RODRIGUES DOS SANTOS-VALE TRANSPORTE DE AGOSTO</t>
  </si>
  <si>
    <t>QUEILA JESUS BERNARDES DE OLIVEIRA-VALE TRANSPORTE DO DIA 01/08 AO DIA 15/08 R$10,00</t>
  </si>
  <si>
    <t>JAIR APARECIDO RE -AJUDA DE CUSTO DO DIA 01/08 AO DIA 15/08</t>
  </si>
  <si>
    <t>JHONY WALLACE GOMES DE OLIVEIRA-VALE TRANSPORTE DO DIA 01/08 AO DIA 15/08 R$10,00 POR DIA</t>
  </si>
  <si>
    <t>IFOOD BENEFICIOS - VALE COMBUSTIVEL 1 QUINZENA DE AGOSTO</t>
  </si>
  <si>
    <t>ELIANA DOS SANTOS</t>
  </si>
  <si>
    <t>GRRF ELIANA DOS SANTOS</t>
  </si>
  <si>
    <t>JULIO CESAR ALVES</t>
  </si>
  <si>
    <t>GRRF ELENILZA PATRICIA ALMEIDA DUARTE</t>
  </si>
  <si>
    <t xml:space="preserve">INSTITUTO LOJAS RENNE </t>
  </si>
  <si>
    <t>LOTUS CENTRAL DE DISTRIBUICAO DE HIGIENICOS LTDA-NF 143048</t>
  </si>
  <si>
    <t>SOFT WORKS EPI CALCADOS LTDA NF  216358</t>
  </si>
  <si>
    <t>ALTOLIM COMERCIAL ASSIS EIRELI - NF 40326</t>
  </si>
  <si>
    <t xml:space="preserve">HSERV TERCEIRIZADOS </t>
  </si>
  <si>
    <t>ANDERSON NASCIMENTO SANTOS</t>
  </si>
  <si>
    <t>JAIR RÉ-COMISSAO JUNHO/JULHO</t>
  </si>
  <si>
    <t>RELAÇÃO DE PAGAMENTO DO DIA 28/07/2025</t>
  </si>
  <si>
    <t>MARIA DA CONCEICAO DE BARROS LOGERIO-VT 1 DIA - DEVIDO RECARGA NÃO TER ENTRADO</t>
  </si>
  <si>
    <t>RFP MATERIAIS PARA CONSTRUCAO LTDA NF 3600</t>
  </si>
  <si>
    <t>DARE- HENRIQUE JEAN- PNº do protocolo: SPP2530984205</t>
  </si>
  <si>
    <t>RELAÇÃO DE PAGAMENTO DO DIA 29/07/2025</t>
  </si>
  <si>
    <t>WIG COMERCIO DE BATERIAS E COMP. LTDA NF 553 BATERIAS PARA B70</t>
  </si>
  <si>
    <t>LOTUS CENTRAL DE DISTRIBUICAO DE HIGIENICOS LTDA NF 138143-MERCADORIA PARA REVENDAS</t>
  </si>
  <si>
    <t>RFP MATERIAIS PARA CONSTRUCAO LTDA NF 138143-MERCADORIA PARA REVENDA</t>
  </si>
  <si>
    <t>JAIR RÉ- REEMBOLSO DE KM VISITA A PREFEITURA</t>
  </si>
  <si>
    <t>RELAÇÃO DE PAGAMENTO DO DIA 30/07/2025</t>
  </si>
  <si>
    <t>NEXTI DESENVOLVIMENTO DE SISTEMAS S.A-SISTEMA DE PONTO</t>
  </si>
  <si>
    <t>54.055.078 MATHEUS PEIXOTO DE OLIVEIRA- TI</t>
  </si>
  <si>
    <t xml:space="preserve">PARCELA CREDITO PESSOAL CONTR 016721925-NEGOCIAÇÃO CARTÃO DE CREDITO </t>
  </si>
  <si>
    <t xml:space="preserve">PARCELA CREDITO PESSOAL CONTR 016721926  -NEGOCIAÇÃO CARTÃO DE CREDITO </t>
  </si>
  <si>
    <t>ALEX APARECIDO DE MORAIS- VALE TRANSPORTE</t>
  </si>
  <si>
    <t>BRADESCO AUTO/RE COMPANHIA DE SEGUROS- SEGUROS SALAS PREDIO</t>
  </si>
  <si>
    <t>SOFT WORKS EPI CALCADOS LTDA NF 220732-SAPATOS ASG</t>
  </si>
  <si>
    <t>PARCELAMENTO SIMPLICADO- HENRIQUE JEAN DEBITO PREVIDENCIARIO  VENCIMENTO 30/07/2025</t>
  </si>
  <si>
    <t>GUIA DE IRRF_1708_07.2024 - HSERV CLEAN- VEPAKUM</t>
  </si>
  <si>
    <t>GUIA DE CSRF_1708_07.2024 - HSERV CLEAN- VEPAKUM</t>
  </si>
  <si>
    <t>GUIA DE PARCELAMENTO- ENTRADA PARC_SIMPLES NACIONAL_DIVIDA ATIVA  HSERV CABREUVA</t>
  </si>
  <si>
    <t>GUIA DE PARCELAMENTO- ENTRADA PARC_SIMPLES NACIONAL_DIVIDA ATIVA HSERV COMBINADOS</t>
  </si>
  <si>
    <t>PARCELAMENTO - VITOR DUARTE  DEBITO PREVIDENCIARIO-GPS JULHO A NOVEMBRO DE 2024- VENCIMENTO 30/07/2025</t>
  </si>
  <si>
    <t>PARCELAMENTO - VITOR DUARTE  DEBITO PREVIDENCIARIO-GPS DEZEMBRO A FEVEREIRO DE 2025- VENCIMENTO 30/07/2025</t>
  </si>
  <si>
    <t>GRRF MARIA LUCIA SOUSA SANTOS</t>
  </si>
  <si>
    <t>IFOOD.COM AGENCIA DE RESTAURANTES ONLINE S.A.-VALDILMA,GILBERTO,LAURINDA E FABIA</t>
  </si>
  <si>
    <t>LUCAS VITOR NUNES</t>
  </si>
  <si>
    <t>RICARO IMPORTACAO INDUSTRIA E COMERCIO DE EMBALAGENS E INSUM</t>
  </si>
  <si>
    <t>TTB INDUSTRIA E COMERCIO DE PRODUTOS METALICOS</t>
  </si>
  <si>
    <t xml:space="preserve">OTAVIO AUGUSTO FERREIRA </t>
  </si>
  <si>
    <t>RELAÇÃO DE PAGAMENTO DO DIA 31/07/2025</t>
  </si>
  <si>
    <t>JOSE ERIVALDO CAVALCANTE DA SILVA</t>
  </si>
  <si>
    <t>EDNA JOSE DE SOUZA COSTA</t>
  </si>
  <si>
    <t>FABIANA DE LIMA VIEIRA</t>
  </si>
  <si>
    <t>TABATHA TUANY TAVARES</t>
  </si>
  <si>
    <t>CARLOS WASHINGTON DE ALMEIDA</t>
  </si>
  <si>
    <t>MICAEL LINS SOUZA</t>
  </si>
  <si>
    <t>COSME FRANCA</t>
  </si>
  <si>
    <t>ALTOLIM COMERCIAL ASSIS EIRELI - NF 40442</t>
  </si>
  <si>
    <t>SPARTAN DO BRASIL PRODUTOS QUIMICOS LTDA NF 256344</t>
  </si>
  <si>
    <t>STAR CLEAN PRO INDUSTRIA E COMERCIO NF 10927</t>
  </si>
  <si>
    <t>MOVIDA PARTICIPACOES S.A.- FATURA 07116307 -MULTA PLACA TJL4F14</t>
  </si>
  <si>
    <t>LOCALIZA FLEET S.-VENCIMENTO 01/08- FATURA AGMTZ-2605527-PLACA RVF1A42</t>
  </si>
  <si>
    <t>IMPRESSORA</t>
  </si>
  <si>
    <t>ADEMIR- IMPRESSÃO E IMPRESSORA-ALUGUEL IMPRESSORA</t>
  </si>
  <si>
    <t>RELAÇÃO DE PAGAMENTO DO DIA 01/08/2025</t>
  </si>
  <si>
    <r>
      <t>PAMELA GREICE MARINHO ROCHA-</t>
    </r>
    <r>
      <rPr>
        <sz val="9"/>
        <rFont val="Calibri Light"/>
        <family val="2"/>
        <scheme val="major"/>
      </rPr>
      <t>UBER FISCAL DAVI DO RIO ACIMA E DANIEL DA VARZEA PAULISTA  - JUNDIAI  LOJA 08 -APOIO EXTRA-  CAIXINHA PARA CONDUÇÃO DE APOIOS EXTRAS LOJA 08</t>
    </r>
  </si>
  <si>
    <r>
      <t>PAMELA GREICE MARINHO ROCHA-</t>
    </r>
    <r>
      <rPr>
        <sz val="8"/>
        <rFont val="Calibri Light"/>
        <family val="2"/>
        <scheme val="major"/>
      </rPr>
      <t xml:space="preserve"> JONATHAN PRECISAVA IR PARA VALINHOS, O POSTO DE GASOLINA FECHOU- UBER DO BOA VALINHOS PARA VILA NAMBI  FISCAL FABIO E ASG FLAVIA KELLY</t>
    </r>
  </si>
  <si>
    <t>WILSON ZANON-VALE TRANSPORTE DE AGOSTO  R$10,80 POR DIA  CAMPINAS</t>
  </si>
  <si>
    <t>ANDRE VICENTE TAVARES-VALE TRANSPORTE DE AGOSTO  R$12,80 POR DIA  CAMPINAS</t>
  </si>
  <si>
    <t>ORVANDA MARIA VITALINO FIGUEROA-VALE TRANSPORTE DO DIA 04/08 AO DIA  20/08 LOJA 16 R$12,,80 POR DIA</t>
  </si>
  <si>
    <t>JOSELITA DA SILVA-vale transporte do dia 04/08 ao dia 13/08 vettor admissão dia 01/08</t>
  </si>
  <si>
    <t>ILAIDE JOSE RODRIGUES-VALE TRANSPORTE DO DIA 01/08 ao dia 14/08  R$11,80  POR DIA</t>
  </si>
  <si>
    <t>MARINALDA ALMEIDA PEREIRA-vale transporte do dia 05/08 ao dia 23/08</t>
  </si>
  <si>
    <t>ANA CLAUDIA DE FIGUEIREDO-VALE TRANSPORTE AGOSTO</t>
  </si>
  <si>
    <t>ELIANE ULITZKA DOS SANTOS-VALE TRANSPORTE DO DIA 01/08 ao dia 17/08 R$22,80 POR DIA  REGISTRADA DA LOJA 12</t>
  </si>
  <si>
    <t>KATIA HELENA DA SILVA-VALE TRANSPORTE DO DIA 05/08 AO DIA 21/08 R$12,40 POR DIA  VALINHOS</t>
  </si>
  <si>
    <t>LUCINEIA CANDIDA GONCALVES-VALE TRANSPORTE AGOSTO AVENIDA</t>
  </si>
  <si>
    <t>MARIA DAS DORES DA CONCEICAO-VALE TRANSPORTE DE AGOSTO</t>
  </si>
  <si>
    <t xml:space="preserve">JAIR RÉ-COMISSAO MARÇO </t>
  </si>
  <si>
    <t>WELLINGTON OLIVEIRA BORIAN DA CRUZ</t>
  </si>
  <si>
    <t>PATRICIA MARTON</t>
  </si>
  <si>
    <t>GRRF JURANDIR LUCAS BEZERRA</t>
  </si>
  <si>
    <t>BRASIL MEDICINA E SAUDE PREVENTIVA ORGANIZACAO, GESTAO E CON</t>
  </si>
  <si>
    <t>FERNANDO APARECIDO DOS SANTOS Proc 0013031-54.2024.5.15.0018 RECLAMANTE: MANOEL ROBERTO DE SOUSA -PARCELA 1/17</t>
  </si>
  <si>
    <t>JURANDIR BAVOSO JUNIOR-Proc 0010814-86.2024.5.15.0002 RECLAMANTE: JUAN ERICK REIS DOS SANTOS PARCELA 1/12</t>
  </si>
  <si>
    <t>ANDREIA SOARES DE LIMA DA SILVA</t>
  </si>
  <si>
    <t>FLAVIA KELI DE OLIVEIRA FELIX-VALE TRANSPORTE DO DIA 01/08 AO DIA 17/08 R$12,30 POR DIA  RT</t>
  </si>
  <si>
    <t>LOTUS CENTRAL DE DISTRIBUICAO DE HIGIENICOS LTDA- NF 155019</t>
  </si>
  <si>
    <t>LOTUS CENTRAL DE DISTRIBUICAO DE HIGIENICOS LTDA - NF 143048</t>
  </si>
  <si>
    <t>IOF</t>
  </si>
  <si>
    <t>RELAÇÃO DE PAGAMENTO DO DIA 04/08/2025</t>
  </si>
  <si>
    <t>ALTOLIM COMERCIAL ASSIS EIRELI - ME NF 40.501</t>
  </si>
  <si>
    <t>CLAUDIO DEL DUCA</t>
  </si>
  <si>
    <t>GISELE RODRIGUES - CAIXINHA OPERACIONAL E RECRUTAMENTO</t>
  </si>
  <si>
    <t>RELAÇÃO DE PAGAMENTO DO DIA 05/08/2025</t>
  </si>
  <si>
    <t>KATIA CRISTINA DE ALMEIDA - VT 4 DIAS LOJA 15 ( DIA 04/08 A 07/08)</t>
  </si>
  <si>
    <t xml:space="preserve">VALDENICE LIMA DE OLIVEIRA- VT EMERGÊNCIA COBERTURA LOJA 11 </t>
  </si>
  <si>
    <t>NATALIA BRITO LIMA VT EMERGÊNCIA COBERTURA LOJA 22</t>
  </si>
  <si>
    <t>KEILANE MACEDO DE OLIVEIRA- VT EMERGÊNCIA COBERTURA DA LOJA 01</t>
  </si>
  <si>
    <t>MARINALDA ALMEIDA PEREIRA-VALE TRANSPORTE DO DIA 05/08 AO DIA 23/08</t>
  </si>
  <si>
    <t>CREDIFIT SOCIEDADE DE CREDITO DIRETO S.A.-EMPRESTIMO CONSIGNADO DOS COLABORADORES</t>
  </si>
  <si>
    <t>ALTOLIM COMERCIAL ASSIS EIRELI - ME NF 40501</t>
  </si>
  <si>
    <t>TAR PLANO ADAPT 3</t>
  </si>
  <si>
    <t xml:space="preserve">SALDO </t>
  </si>
  <si>
    <t xml:space="preserve">DEIXAR </t>
  </si>
  <si>
    <t>SIND DAS EMP DE PREST DE SER T C A M O T T NO E DE SP- NEGOCIAL SINDEPRESTEN</t>
  </si>
  <si>
    <t xml:space="preserve">IOF </t>
  </si>
  <si>
    <t>RELAÇÃO DE PAGAMENTO DO DIA 06/08/2025</t>
  </si>
  <si>
    <t>ESTER CARDOZO DE LIMA -BONUS</t>
  </si>
  <si>
    <t>SALARIO CLT, PENSÃO ALIMENTICIA E BONUS</t>
  </si>
  <si>
    <t xml:space="preserve">MARIA SOCORRO PEREIRA -SALARIO MEI </t>
  </si>
  <si>
    <t>Liquido</t>
  </si>
  <si>
    <t>Pensão alimenticia</t>
  </si>
  <si>
    <t>Bonus</t>
  </si>
  <si>
    <t>FOLHA DE PAGAMENTO 06/08/2025</t>
  </si>
  <si>
    <t>ANA LUCIA CORREIA DA SILVA-VALE TRANSPORTE DA AVENIDA  R$4,00 POR DIA</t>
  </si>
  <si>
    <t>RODRIGO CESAR DOS SANTOS-VALE TRANSPORTE DO DIA 08/08 ao dia 18/08  28,80  POR DIA</t>
  </si>
  <si>
    <t>EZEQUIEL RODRIGUES DOS SANTOS-vale transporte do dia 08/08 ao dia 30/08 R$11,80 por dia</t>
  </si>
  <si>
    <t>CAMILA FERREIRA DA SILVA-VALE TRANSPORTE DE AGOSTO AVENIDA  COBRINDO FÉRIAS DA MAURA VILELA PINTO</t>
  </si>
  <si>
    <t>GUSTAVO HENRIQUE DOS SANTOS-vale transporte fiscal de sorocaba do dia 08/08 AO DIA 30/08  R$23,60 por dia  escala 4x1</t>
  </si>
  <si>
    <t>NATALIA DA SILVA-VALE TRANSPORTE DO DIA 07/08 AO DIA 23/08 R$11,80 POR DIA  LOJA 24  PACOTE</t>
  </si>
  <si>
    <t>EUNICE ALMEIDA DOS SANTOS-vale transporte do dia 07/08 até o dia 23/08 R$16,80 por dia</t>
  </si>
  <si>
    <t>L. A. DE SOUZA - EQUIPAMENTOS DE SEGURANCA LTDA- NF 11.747- SAPATOS ASG E LUVAS</t>
  </si>
  <si>
    <t>CRISTIANA DOS SANTOS  -COBRINDO AFASTAMENTO DA REGIVANIA PEREIRA DA SILVA -RANCHARIA LOJA 12</t>
  </si>
  <si>
    <t>HIABÁ DE OLIVEIRA COBRINDO FÉRIAS DA PATRICIA XAVIER-MARTINOPOLIS - LOJA 38</t>
  </si>
  <si>
    <t>VANESSA PEREIRA AMBROSIO-COBRINDO FÉRIAS DA JOICE CARREIRO ORTIZ-LOJA CANDIDO MOTA LOJA 11</t>
  </si>
  <si>
    <t xml:space="preserve">GLEYCE JAQUELINE DOS REIS OLIVEIRA  -COBRINDO AFASTAMENTO DA BRUNA MAIARA DA SILVA TEODORO-ASSIS - LOJA 20 MAX </t>
  </si>
  <si>
    <t>ERIKA DE PAULA SERAFIM  -APOIO EXTRA REFORMA -REFORMA DA LOJA CONFORME CONTRATO-C.MOTA LOJA 11</t>
  </si>
  <si>
    <t>ANAY VICTORIA DIAS NEIRA - APOIO EXTRA REFORMA -REFORMA DA LOJA CONFORME  CONTRATO-C.MOTA LOJA 09</t>
  </si>
  <si>
    <t>THAYANE TERTULIANO DOMINGOS DA SILVA DIFERENÇA VT AGOSTO -REDE AVENIDA</t>
  </si>
  <si>
    <t>RESOLVE ALIMENTACAO LTDA NF 12186</t>
  </si>
  <si>
    <t>RELAÇÃO DE PAGAMENTO DO DIA 07/08/2025</t>
  </si>
  <si>
    <t xml:space="preserve"> SONIA MARIA MALZONI</t>
  </si>
  <si>
    <t>RAI INGREDIENTES INDUSTRIAL S/A</t>
  </si>
  <si>
    <t>MARKETING</t>
  </si>
  <si>
    <t>ANDREIA APARECIDA BARBOSA- VALOR ADICIONAL DAS CANECAS PERSONALIZADAS</t>
  </si>
  <si>
    <t>GILBERTO SILVA SANTOS</t>
  </si>
  <si>
    <t>MARIA ISABELE CELESTE DUARTE</t>
  </si>
  <si>
    <t>LAURINDA MARIA SANTOS NEVES</t>
  </si>
  <si>
    <t>SPARTAN DO BRASIL PRODUTOS QUIMICOS LTDA NF 256.344</t>
  </si>
  <si>
    <t>STAR CLEAN PRO INDUSTRIA E COMERCIO DE EQUIPAMENTOS DE LIMPEZA- NF 10927-PRODUTOS PARA REVENDA</t>
  </si>
  <si>
    <t>TUTTI SPORT VECCHI LTDA- VITOR SOLICITOU PAGAMENTO VIA WHATSAPP- DESCONTAR NO PROLABORE</t>
  </si>
  <si>
    <t xml:space="preserve">ELIZANGELA APARECIDA VITOR - ALIMENTAÇÃO, SUPERVISORA ESTARÁ PRESENCIALMENTE NOS PROXIMOS DIAS NA BASE </t>
  </si>
  <si>
    <t>VIVA FOOD R E LTDA-ALIMENTAÇÃO SEMANAL REDE BOA</t>
  </si>
  <si>
    <t>RELAÇÃO DE PAGAMENTO DO DIA 08/08/2025</t>
  </si>
  <si>
    <t>DIANA MARCIA DE CAMARGO BARBOSA-VALE TRANSPORTE DO DIA 12/08 AO DIA 22/08 R$12,30</t>
  </si>
  <si>
    <t>KELLDRIE TALINE SILVA-VALE TRANSPORTE DO DIA 12/08 AO DIA 22/08 R$31,30 POR DIA LOJA 13</t>
  </si>
  <si>
    <t>MILIANE TALITA DA SILVA ALVES-VALE TRANSPORTE DO DIA 12/08 AO DIA 22/08 R$7,40 POR DIA  VALINHOS</t>
  </si>
  <si>
    <t>SANDRA BORGES-VALE TRANSPORTE DO DIA 12/08 AO DIA 22/08 R$19,00 POR DIA  DOM OLIVIO ADMISSAO</t>
  </si>
  <si>
    <t>SIND DAS EMP DE PREST DE SER T C A M O T T NO E DE SP-TAXA NEGICOAL SINDICATO - 08/2025</t>
  </si>
  <si>
    <t>KACIA SILVANIA DANTAS GOMES-DIFERENÇA DE BONUS</t>
  </si>
  <si>
    <t>JOSE CLAUDINO MESSIAS FILHO-DIFERENÇA DE BONUS DE RONDA - FOLHA 07/2025</t>
  </si>
  <si>
    <t>FRANCIELLY XAVIER DA SILVA</t>
  </si>
  <si>
    <t>PENSÃO ALIMENTÍCIA</t>
  </si>
  <si>
    <t>PAPEL E CIA NF 20.362</t>
  </si>
  <si>
    <t>ALTOLIM COMERCIAL ASSIS EIRELI - NF 40.577</t>
  </si>
  <si>
    <t>AUTO POSTO JARDIM DAS HORTENCIA NF 908</t>
  </si>
  <si>
    <t>J.E. COMERCIO E SOLUCOES LTDA NF 10.991</t>
  </si>
  <si>
    <t>RSC COM. MAT.P/ CONSTRUCAO LTDA. NF 107.078</t>
  </si>
  <si>
    <t>LOTUS CENTRAL DE DISTRIBUICAO DE HIGIENICOS LTDA NF161.290</t>
  </si>
  <si>
    <t>TAIRA SAITO LOPES -MARCASA-SEGURANÇA VEPAKUM</t>
  </si>
  <si>
    <t>PROLABORE SOCIOS MARIA JOSE</t>
  </si>
  <si>
    <t>FEMACON CONSTRUCOES LTDA NF 11.707</t>
  </si>
  <si>
    <t>DEBORA CARVALHO DA SILVA-VALE TRANSPORTE DO DIA 12/08 AO DIA 30/08 R$19,00 POR DIA</t>
  </si>
  <si>
    <t>MARIA JOSE CONCEICAO DA SILVA VALE TRANSPORTE DO DIA 12/08 AO DIA 31/08</t>
  </si>
  <si>
    <t>VIVIAN APARECIDA MENDES-DEVOLUÇÃO DE FALTAS DESCONTADAS  - TRABALHOU OS DIAS 26/07 E 30/07</t>
  </si>
  <si>
    <t>JONATHAN CANDIDO BATISTA</t>
  </si>
  <si>
    <t>EDNA JOSE DE SOUZA COSTA-VALE TRANSPORTE DO DIA 14/08 AO DIA 31/08 R$16,80 POR DIA  LOJA 0</t>
  </si>
  <si>
    <t>LINDIMAR FERREIRA DOS SANTOS-VALE TRANSPORTE DO DIA 14/08 AO DIA 31/08 R$11,80 POR DIA  SOLICITADO PELA ELISANGELA</t>
  </si>
  <si>
    <t>GRRF RONALDO SILVA MARQUES</t>
  </si>
  <si>
    <t>IFOOD.COM AGENCIA DE RESTAURANTES ONLINE S.A. -VALE COMBUSTIVEL-2 QUINZENA DE AGOSTO</t>
  </si>
  <si>
    <t>IFOOD.COM AGENCIA DE RESTAURANTES ONLINE S.A. -ASSIDUIDADE REDE BOA</t>
  </si>
  <si>
    <t>IFOOD.COM AGENCIA DE RESTAURANTES ONLINE S.A. -ASSIDUIDADE RICOY</t>
  </si>
  <si>
    <t>IFOOD.COM AGENCIA DE RESTAURANTES ONLINE S.A.-ASSIDUIDADE EMPRESAS</t>
  </si>
  <si>
    <t>IFOOD.COM AGENCIA DE RESTAURANTES ONLINE S.A.-ASSIDUIDADE REDE AVENIDA</t>
  </si>
  <si>
    <t>PABLO ITHALO SANTOS GUANDELINI</t>
  </si>
  <si>
    <t>FABIANA FERNANDA GUEDES DA SILVA-FOLHA MEI 07/2025 Período de prestação de serviço Início: 07/07/2025 Término: 05/08/2025</t>
  </si>
  <si>
    <t>JONATHAN DINIZ WESFAL-PROC 1001448-72.2024.5.02.0291 AUTOR: LUCIANA APARECIDA MARQUES DA SILVA  PARCELA 1/10</t>
  </si>
  <si>
    <t>ESCOBRAS INDUSTRIA E COMERCIO DE MAQUINAS LTDA</t>
  </si>
  <si>
    <t>AUTO POSTO JARDIM DAS HORTENCIAS</t>
  </si>
  <si>
    <t>BORELA ADVOGADOS ASSOCIADOS-Proc 0010084-90.2025.5.15.0018 AUTOR: VANESSA ALESSANDRA NUNES DA COSTA-PARCELA 1/2</t>
  </si>
  <si>
    <t>PAULO CEZAR FERREIRA DOS SANTOS-PROC 0012427-44.2024.5.15.0002 - MARIA NAZARE DA SILVA PARCELA 1/10</t>
  </si>
  <si>
    <t>FABIANA DE SOUZA CULBERT SOCIEDADE INDIVIDUAL DE ADVOCACIA-PROC 0010360-81.2025.5.15.0096- PAULO EDVAN HAHNE  -PARCELA 1/6</t>
  </si>
  <si>
    <t>FERNANDO APARECIDO DOS SANTOS-Proc 0013031-54.2024.5.15.0018  MANOEL ROBERTO DE SOUSA- PARCLEA 2/17</t>
  </si>
  <si>
    <t>SANTOS SEPULVEDA SOCIEDADE INDIVIDUAL DE ADVOCACIA-PRoc 0011475-02.2023.5.15.0002  ANA CAROLINA DOS SANTOS-PARCELA 1/10</t>
  </si>
  <si>
    <t>AUREA MOSCATINI- PROC 0012313-20.2024.5.15.0095 -GABRIEL BARBOSA DOS SANTOS -PARCELA 1/5</t>
  </si>
  <si>
    <t>JURANDIR BAVOSO JUNIOR-Proc 0010814-86.2024.5.15.0002 RECLAMANTE: JUAN ERICK REIS DOS SANTOS  PARCELA 2/12</t>
  </si>
  <si>
    <t xml:space="preserve">TAXA DE FISCALIZAÇÃO- VTM NEGOCIOS IMOBILIARIOS- EMPRESA VITOR PESSOAL- LEMBRAR O VITOR DE REALIZAR O PAGAMENTO </t>
  </si>
  <si>
    <t>PROLABORE  GUTHIERRI</t>
  </si>
  <si>
    <t>PROLABORE CRISTIANE</t>
  </si>
  <si>
    <t>RELAÇÃO DE PAGAMENTO DO DIA 12/08/2025</t>
  </si>
  <si>
    <t>RELAÇÃO DE PAGAMENTO DO DIA 11/08/2025</t>
  </si>
  <si>
    <t>07/dez</t>
  </si>
  <si>
    <t>MES</t>
  </si>
  <si>
    <t>VETTOR PECAS</t>
  </si>
  <si>
    <t>MARIA ROSEANE- FT FALTANTES</t>
  </si>
  <si>
    <t>JOSELITA DA SILVA:    FT FALTANTES</t>
  </si>
  <si>
    <t>GLOVAN CABREUVA ALUGUEL DE EQUIPAMENTOS LTDA- VENCIMENTO 13/08/2025 NF 6077</t>
  </si>
  <si>
    <t>SOFT WORKS EPI CALCADOS LTDA- VENCIMENTO 13/08/2025-PRORROGADO SEM JUROS PARA O DIA 29/08</t>
  </si>
  <si>
    <t>NOVITA VEST CONFECCOES LTDA- VENCIMENTO 13/08/2025-PRORROGADO PARA O DIA 29/08</t>
  </si>
  <si>
    <t>LOTUS CENTRAL DE DISTRIBUICAO DE HIGIENICOS LTDA- VENCIMENTO 13/08/2025-PRORROGADO PARA O DIA 20/08</t>
  </si>
  <si>
    <t>LOTUS CENTRAL DE DISTRIBUICAO DE HIGIENICOS LTDA VENCIMENTO 14/08 - NF 167.899</t>
  </si>
  <si>
    <t>LOTUS CENTRAL DE DISTRIBUICAO DE HIGIENICOS LTDA  NF 179.434</t>
  </si>
  <si>
    <t>LOTUS CENTRAL DE DISTRIBUICAO DE HIGIENICOS LTDA NF 173.719</t>
  </si>
  <si>
    <t>LOTUS CENTRAL DE DISTRIBUICAO DE HIGIENICOS LTDA NF 179.434</t>
  </si>
  <si>
    <t>LOTUS CENTRAL DE DISTRIBUICAO DE HIGIENICOS LTDA NF 189.843</t>
  </si>
  <si>
    <t>NOVITA VEST CONFECCOES LTDA- JUROS PELA PRORROGAÇÃO DAS NFS  6322, 6103 e 6111</t>
  </si>
  <si>
    <t>RELAÇÃO DE PAGAMENTO DO DIA 13/08/2025</t>
  </si>
  <si>
    <t>CARTAO DE CRÉDITO- VITOR-VENCIMENTO 15/08/2025</t>
  </si>
  <si>
    <t>CARTÃO DE CREDITO VENCIMENTO 15/08/2025</t>
  </si>
  <si>
    <t>MOVIDA PARTICIPACOES S.A. 18/08/2025</t>
  </si>
  <si>
    <t>JOSE SANTOS DE PAULA</t>
  </si>
  <si>
    <t>EMPRESTIMO HSERV CLEAN BRADESCO -PARCELA MENSAL- VENCIDO 14/08/2025</t>
  </si>
  <si>
    <t>SAMUEL ALEXANDER NARANJO RODRIGUEZ</t>
  </si>
  <si>
    <t xml:space="preserve">TAXA DE DESARQUIVAMENTO -PROCESSO SOFISA </t>
  </si>
  <si>
    <t>OSSIRES DONNANGELO-SUPERVISOR AVENIDA- CAIXINHA OSSIRES</t>
  </si>
  <si>
    <t xml:space="preserve">EDNA JOSE DE SOUZA COSTA-VALE TRANSPORTE DO DIA 14/08 AO DIA 31/08 R$16,80 POR DIA </t>
  </si>
  <si>
    <t>TAXA DE DESARQUIVAMENTO -PROCESSO SOFISA - DR MELISSA SOLICITOU PAGAMENTO</t>
  </si>
  <si>
    <t>HSERV LCLEAN</t>
  </si>
  <si>
    <t>EMPRESTIMO INTER</t>
  </si>
  <si>
    <t>DAIANE CRISTINA ANDRADE-DEVOLUÇÃO DESCONTO INDEVIDO FOLHA 04/2025</t>
  </si>
  <si>
    <t>SEM PARAR</t>
  </si>
  <si>
    <t xml:space="preserve">MANUTENÇÃO </t>
  </si>
  <si>
    <t>BRAN ENGENHARIA LTDA-0217/2025 CLCB (Certificado de licença do Corpo de Bombeiro) 021/2025 Equipamentos-LOJA CLEAN</t>
  </si>
  <si>
    <t>CUSTAS FINAIS -Proc 0011413-05.2022.5.15.0096 RECLAMANTE: ANDERSON RAIMUNDO DUARTE</t>
  </si>
  <si>
    <t xml:space="preserve">VALE ALIMENTAÇÃO </t>
  </si>
  <si>
    <t>Wellington Abreu de Jesus-Vale-Refeição e Vale transporte  R$ 20,76/dia × 4 dias</t>
  </si>
  <si>
    <t>RELAÇÃO DE PAGAMENTO DO DIA 15/08/2025</t>
  </si>
  <si>
    <t>SAFRA</t>
  </si>
  <si>
    <t>TERCERIZADOS</t>
  </si>
  <si>
    <t>LIMITE</t>
  </si>
  <si>
    <t>DALI OSCAR MARRERO PIQUERO-vale transporte do dia 20/08 ao dia 31/08  R$7,50 por dia  loja 22 valinhos</t>
  </si>
  <si>
    <t>LEIA ROSA DA SILVA-vale transporte do dia 20/08 ao dia 31/08 loja 14 a pedido da dona cicera  R$12,30 POR DIA</t>
  </si>
  <si>
    <t>WELLINTON ABREU DE JESUS-VALE TRANSPORTE DO DIA 20/08 AO DIA 31/08 R$23,30 POR DIA  NOVO SUPERVISOR  ESCALA 4X2</t>
  </si>
  <si>
    <t>DARF INSS MENSAL HENRIQUE JEAN DUARTE LTDA</t>
  </si>
  <si>
    <t>DARF INSS MENSAL HSERV CLEAN</t>
  </si>
  <si>
    <t xml:space="preserve">DARF INSS HSERV COMBINADOS </t>
  </si>
  <si>
    <t xml:space="preserve">DARF INSS MENSAL HSERV LIMPEZA </t>
  </si>
  <si>
    <t>DARF INSS MENSAL HSERV REPRESENTACOES</t>
  </si>
  <si>
    <t>DARF INSS MENSAL HSERV TERCEIRIZADOS</t>
  </si>
  <si>
    <t>DARF INSS MENSAL VITOR AUGUSTO DUARTE</t>
  </si>
  <si>
    <t xml:space="preserve">FGTS MENSAL HSERV COMBINADOS </t>
  </si>
  <si>
    <t xml:space="preserve">FGTS MENSAL HSERV LIMPEZA </t>
  </si>
  <si>
    <t xml:space="preserve">FGTS MENSAL HSERV  REPRESENTACOES </t>
  </si>
  <si>
    <t xml:space="preserve">FGTS MENSAL HSERV TECNOLOGIA </t>
  </si>
  <si>
    <t>FGTS MENSAL HSERV TERCEIRIZADOS</t>
  </si>
  <si>
    <t>FGTS MENSAL HENRIQUE JEAN DUARTE LTDA</t>
  </si>
  <si>
    <t>WELLINTON ABREU DE JESUS-VALE ALIMENTAÇÃO PARA FINALIZAR O MÊS NOVO SUPERVISOR</t>
  </si>
  <si>
    <t>DAVID DA SILVA PORFIRIO</t>
  </si>
  <si>
    <t>MARIA SELMA DE JESUS SOUZA</t>
  </si>
  <si>
    <t>ANDRADE FREITAS SOCIEDADE DE ADVOGADOS-Proc 0012259-82.2024.5.15.0021 AUTOR: ESTEVAO GOMES DE SOUZA   PARCELA 1/5</t>
  </si>
  <si>
    <t>CAETANO BERNARDES NEUBAUER-Proc 0010591-77.2025.5.15.0074 RECLAMANTE: SIMONE FERREIRA DA SILVA PARCELA 1/6</t>
  </si>
  <si>
    <t>BRAN ENGENHARIA LTDA-ENGENHERIA DE SEGURANÇA- BOMBEIRO LOJA CLEAN</t>
  </si>
  <si>
    <t xml:space="preserve">CAIXA CARTOES PRE-PAGOS S.A.-VALE ALIMENTAÇÃO </t>
  </si>
  <si>
    <t>GNB ADMINISTRACAO DE BENEFICIOS SOCIAIS LTDA-BENEFICIO SOCIAL- VENCIMENTO 10/07/2025</t>
  </si>
  <si>
    <t>L. A. DE SOUZA - EQUIPAMENTOS DE SEGURANCA LTDA NF 11.793</t>
  </si>
  <si>
    <t>RELAÇÃO DE PAGAMENTO DO DIA 18/08/2025</t>
  </si>
  <si>
    <t>COMISSÃO</t>
  </si>
  <si>
    <t>VALDECI BERTOZZI DA SILVA- COMISSÃO -SANTA CASA PARCELA 1/2</t>
  </si>
  <si>
    <t>PAMELA GREICE MARINHO ROCHA-UBER FISCAL DAVI DO RIO ACIMA E DANIEL DA VARZEA PAULISTA  - JUNDIAI  LOJA 08 -APOIO EXTRA-  CAIXINHA PARA CONDUÇÃO DE APOIOS EXTRAS LOJA 08</t>
  </si>
  <si>
    <t>PAMELA GREICE MARINHO ROCHA- JONATHAN PRECISAVA IR PARA VALINHOS, O POSTO DE GASOLINA FECHOU- UBER DO BOA VALINHOS PARA VILA NAMBI  FISCAL FABIO E ASG FLAVIA KELLY</t>
  </si>
  <si>
    <t>JAIR RÉ-COMISSÃO AGOSTO</t>
  </si>
  <si>
    <t>JAIR RÉ-COMISSAO JULHO</t>
  </si>
  <si>
    <t>JONESO EMPREENDIMENTOS-VECIMENTO 17/08/2025-PRORROGADO SEM JUROS</t>
  </si>
  <si>
    <t>DARF ISS MENSAL- EMPRESA HSERV LTDA</t>
  </si>
  <si>
    <t xml:space="preserve">HENRIQUE JEAN </t>
  </si>
  <si>
    <t>SIMPLES NACIONAL MENSAL -07.20.25217.7214735-5</t>
  </si>
  <si>
    <t xml:space="preserve">SIMPLES NACIONAL MENSAL -07.20.25217.7070891-0 </t>
  </si>
  <si>
    <t>SIMPLES NACIONAL MENSAL  07.20.25217.7160108-7</t>
  </si>
  <si>
    <t>SIMPLES NACIONAL MENSAL -07.20.25217.7804266-0</t>
  </si>
  <si>
    <t>SIMPLES NACIONAL MENSAL -07.20.25217.7740556-5</t>
  </si>
  <si>
    <t>SIMPLES NACIONAL MENSAL -07.20.25217.7286546-0</t>
  </si>
  <si>
    <t>SIMPLES NACIONAL MENSAL -07.20.25217.7618506-5</t>
  </si>
  <si>
    <t>LUPE LOCACAO E COMERCIO DE EQUIPAMENTOS</t>
  </si>
  <si>
    <t>JHONNY WALACE- REEMBOLSO DE DESPESAS PEDREIRA-GASTOS COM PEDAGIO</t>
  </si>
  <si>
    <t>VIVA FOOD PARCELA 1/3 - REAJUSTE REATROATIVO</t>
  </si>
  <si>
    <t xml:space="preserve"> 1 cheque vitor</t>
  </si>
  <si>
    <t>J.E. COMERCIO E SOLUCOES LTDA- NF 11.132 VENCIMENTO 15/08/2025-PRORROGADO</t>
  </si>
  <si>
    <t>SINDICATO DOS EMPREGADOS E TRABALHADORES - VENCIMENTO 10/07/2025</t>
  </si>
  <si>
    <t>EMPORIO MEGA 100 COMERCIO DE ALIMENTOS S.A. NF 995.259 VENCIMENTO 18/08/2025</t>
  </si>
  <si>
    <t>EMPORIO MEGA 100 COMERCIO DE ALIMENTOS S.A.-NF 995.260VENCIMENT 18/08/2025</t>
  </si>
  <si>
    <t>EMPORIO MEGA 100 COMERCIO DE ALIMENTOS S.A.-NF 995.267 VENCIMENTO 18/08/2025</t>
  </si>
  <si>
    <t>EMPORIO MEGA 100 COMERCIO DE ALIMENTOS S.A.-NF 995.263 VENCIMENTO 18/08/2025</t>
  </si>
  <si>
    <t>EMPORIO MEGA 100 COMERCIO DE ALIMENTOS S.A.-NF 995.268 VENCIMENTO 18/08/2025</t>
  </si>
  <si>
    <t>EMPORIO MEGA 100 COMERCIO DE ALIMENTOS S.A.- NF  VENCIMENTO 18/08/2025</t>
  </si>
  <si>
    <t>EMPORIO MEGA 100 COMERCIO DE ALIMENTOS S.A.-NF 995.266 VENCIMENTO 18/08/2025</t>
  </si>
  <si>
    <t>EMPORIO MEGA 100 COMERCIO DE ALIMENTOS S.A.-NF 995.264 VENCIMENTO 18/08/2025</t>
  </si>
  <si>
    <t>ALTOLIM COMERCIAL ASSIS EIRELI  NF 40.720</t>
  </si>
  <si>
    <t>HM MAQ COMERCIO E ASSISTENCIA TECNICA INDUSTRIAL-VENCIMENTO 14/08 NF 7.544</t>
  </si>
  <si>
    <t>LOTUS CENTRAL DE DISTRIBUICAO DE HIGIENICOS LTDA NF169.062-VENCIMENTO 15/08/2025</t>
  </si>
  <si>
    <t xml:space="preserve">EMPORIO MEGA 100 COMERCIO DE ALIMENTOS S.A.-NF 995.265 VENCIMENTO 18/08/2025 </t>
  </si>
  <si>
    <t>CANOPUS ADMNISTRADORA DE CONSORCIOS- EMPRESTIMO VITOR PESSOAL (VITOR SOLICITOU PAGAMENTO , DEVOLUÇÃO PROGRAMADA PARA 21/08-QUINTA FEIRA)</t>
  </si>
  <si>
    <t>BRADESCO SAUDE- DESCONTAR PROLABORE VITOR</t>
  </si>
  <si>
    <t>RELAÇÃO DE PAGAMENTO DO DIA 19/08/2025</t>
  </si>
  <si>
    <t>EMPORIO MEGA 100 COMERCIO DE ALIMENTOS S.A.- NF 995.261 VENCIMENTO 18/08/2025</t>
  </si>
  <si>
    <t>EMPORIO MEGA 100 COMERCIO DE ALIMENTOS S.A.-NF 995.261 VENCIMENTO 18/08/2025</t>
  </si>
  <si>
    <t>DARF ISS TOMADOS- NF -- VALDECI BERTOZZI DA SILVA - Serviço: 03.05- 44.505.123/0001-50 -</t>
  </si>
  <si>
    <t>IF SAO PAULO SERVICOS DE APOIO A MICRO E PEQUENA EMPRESA LTD</t>
  </si>
  <si>
    <t>ELIZANGELA APARECIDA VITOR -JANTA DO DIA 19/08- SUPERVISORA ESTÁ NO BOA DE PEDREIRA JUNTO A COLABORADORA FLAVIA KELLY</t>
  </si>
  <si>
    <t>ELIZANGELA APARECIDA VITOR -JANTA DO DIA 20/08- SUPERVISORA ESTÁ NO BOA DE PEDREIRA JUNTO A COLABORADORA FLAVIA KELLY</t>
  </si>
  <si>
    <t xml:space="preserve">ELIZANGELA APARECIDA VITOR -ALMOÇO DO DIA 20/08- SUPERVISORA ESTÁ NO BOA DE PEDREIRA </t>
  </si>
  <si>
    <t>LUANA VITORIA MARQUES LIMA</t>
  </si>
  <si>
    <t>MARIA LUCIA BENTO</t>
  </si>
  <si>
    <t>JULIA LOURENCIO FRANCO</t>
  </si>
  <si>
    <t>MILIANE TALITA DA SILVA ALVES</t>
  </si>
  <si>
    <t>ROSANGELA CAMPOS PERROUD</t>
  </si>
  <si>
    <t>SONIA REGINA DA SILVA SOUZA</t>
  </si>
  <si>
    <t>GRRF RODRIGO CESAR DOS SANTOS</t>
  </si>
  <si>
    <t>SCOLA &amp; FALCAO SOCIEDADE DE ADVOGADAS-Processo: 0010503-86.2025.5.15.0026 -NAIR DONIZETE TEODORO DE ANDRADE  PARCELA 1/5</t>
  </si>
  <si>
    <t>ASOMETRA ENGENHARIA DE SEGURANÇA- VENCIMENTO 20/07/205</t>
  </si>
  <si>
    <t>MOVIDA PARTICIPACOES S.A. VENCIMENTO 29/07/2025-PLACA SVQ7D60- PERIODO DE LOCAÇÃO 03/08 Á 03/07 CARRO HENRIQUE JEAN</t>
  </si>
  <si>
    <t>MOVIDA PARTICIPACOES S.A. VENCIMENTO 07/07/2025- PLACA: STQ7B01-PERIODO DE LOCAÇÃO 09/06 Á 13/06- CARRO OPERAÇAO</t>
  </si>
  <si>
    <t>MOVIDA PARTICIPACOES S.A. VENCIMENTO 16/07/2025-PLACA QMYE00 (COORDENAÇÃO) E TJL4F14 (VITOR)-PERIODO DE LOCAÇÃO 31/05 Á 30/06</t>
  </si>
  <si>
    <t xml:space="preserve">MOVIDA PARTICIPACOES S.A. VENCIMENTO 19/07/2025- PLACA TJGB82-PERIODO DE LOCAÇÃO 22/06 Á 27/06- CARRO DA OPERAÇÃO </t>
  </si>
  <si>
    <t xml:space="preserve">CRISTIANA DOS SANTOS  COBRINDO AFASTAMENTO REGIVANIA PEREIRA DA SILVA RANCHARIA LOJA 12 </t>
  </si>
  <si>
    <t>CAMILA FERREIRA DA SILVA  COBRINDO FÉRIAS MAURA VILELE VIANA  OURINHOS - LOJA 25</t>
  </si>
  <si>
    <t>AMANDA SILVA DE SOUZA COBRINDO FÉRIAS NILDA FERREIRA SOBRINHO PRES. VENCESLAU - LOJA 41</t>
  </si>
  <si>
    <t xml:space="preserve">GLEYCE JAQUELINE DOS REIS OLIVEIRA COBRINDO AFASTAMENTO BRUNA MAIARA DA SILVA ASSIS - LOJA 20 MAX </t>
  </si>
  <si>
    <t xml:space="preserve">JANAINA APARECIDA LOPES COBRINDO AFASTAMENTO DIVA CORREIA PADILHA SANTA CRUZ - LOJA-26 </t>
  </si>
  <si>
    <t>KELLY LOPES DA SILVA - FTS FALTANTE RICOY PERIODO DO DIA 03/7 A 16/07</t>
  </si>
  <si>
    <t>JOAO CAETANO GUEDES-VALE TRANSPORTE DO DIA 18/08 AO DIA 27/08 PEDREIRA R$10,00</t>
  </si>
  <si>
    <t>SUELEN DOS REIS FOSTINO FELIX VALE TRANSPORTE DO DIA 18/08 AO DIA 27/08 PEDREIRA R$10,00</t>
  </si>
  <si>
    <t>CRISTIANA APARECIDA PEREIRA LIMA-VALE TRANSPORTE DO DIA 18/08 AO DIA 27/08</t>
  </si>
  <si>
    <t xml:space="preserve">SUELEN DOS REIS FOSTINO FELIX-VALE ALIMENTAÇÃO DO DIA 18/08 AO DIA 27/08 </t>
  </si>
  <si>
    <t>CRISTIANA APARECIDA PEREIRA LIMA-VALE  ALIEMNTAÇAO DO DIA 18/08 AO DIA 27/08</t>
  </si>
  <si>
    <t xml:space="preserve">JOAO CAETANO GUEDES -VALE T ALIMENTAÇÃO DO DIA 20/08 AO DIA 27/08 </t>
  </si>
  <si>
    <t>LUCINEIA CANDIDA GONCALVES-ADIANTAMENTO SALARIAL</t>
  </si>
  <si>
    <t>RELAÇÃO DE PAGAMENTO DO DIA 22/08/2025</t>
  </si>
  <si>
    <t>28/ago</t>
  </si>
  <si>
    <t xml:space="preserve">FATIMA ANJO LUCIO - COMISSÃO </t>
  </si>
  <si>
    <t>J.E. COMERCIO E SOLUCOES LTDA NF 11.279</t>
  </si>
  <si>
    <t>J.E. COMERCIO E SOLUCOES LTDA NF 11.280</t>
  </si>
  <si>
    <t>FLORA DISTRIB PROD DE HIGIENE E LIMPEZA LTDA NF 1.063.702</t>
  </si>
  <si>
    <t>RELAÇÃO DE PAGAMENTO DO DIA 25/08/2025</t>
  </si>
  <si>
    <t>JHONNY WALACE-COMISSÃO DE VENDAS DE PRODUTOS</t>
  </si>
  <si>
    <t>FATIMA ANJO LUCIO - COMISSÃO DE VENDAS DE PRODUTOS-PORTAL DA CONCORDIA</t>
  </si>
  <si>
    <t>PEDRO LEOPOLDO BRUNELLI JUNIOR -Processo n. 0011252-29.2021.5.15.0096  AUTOR: DANILO MIGUEL DA SILVA -PARCELA 3/4</t>
  </si>
  <si>
    <t>TARIFAS BANCARIAS</t>
  </si>
  <si>
    <t>TARIFA MANUTENCAO CONTA- BANCO CAIXA</t>
  </si>
  <si>
    <t>COBERTURA DE LIMITE-HSERV TERCERIZADOS ND</t>
  </si>
  <si>
    <t xml:space="preserve">CBM OBRAS EM ANDAMENTO -PARCELA </t>
  </si>
  <si>
    <t>SONIA MARIA MALZONI M 22/08</t>
  </si>
  <si>
    <t>JOSIMARA LINO DOS SANTOS</t>
  </si>
  <si>
    <t>RODNEI APARECIDO PACCINI DE LIMA</t>
  </si>
  <si>
    <t>SARA ALMEIDA LOPES</t>
  </si>
  <si>
    <t>RAFAEL DA SILVA RIBEIRO</t>
  </si>
  <si>
    <t>LUAN HENRIQUE COSTA RIBEIRO</t>
  </si>
  <si>
    <t>KEDLEI PATRICK FERREIRA</t>
  </si>
  <si>
    <t>ROSANGELA MARIA CALO</t>
  </si>
  <si>
    <t>MICHELLE SILVA DE JESUS</t>
  </si>
  <si>
    <t>IFOOD.COM AGENCIA -VALE ALIMENTAÇÃO DE AGOSTO  ADMISSÃO DIA 22/08 SONIA REGINA NA LOJA 05</t>
  </si>
  <si>
    <t>IFOOD.COM AGENCIA DE RESTAURANTES ONLINE S.A.-ALIMENTAÇÃO COLABORADORES UPA</t>
  </si>
  <si>
    <t>FABIA REGIANE AMARO CABRAL</t>
  </si>
  <si>
    <t>SUELEN DOS REIS FOSTINO FELIX-VALE ALIMENTAÇÃO DO DIA 28/08 AO DIA 31/08  PEDREIRA</t>
  </si>
  <si>
    <t>JOAO CAETANO GUEDES-VALE ALIMENTAÇÃO DO DIA 28/08 AO DIA 31/08  PEDREIRA</t>
  </si>
  <si>
    <t>CRISTIANA APARECIDA PEREIRA LIMA-VALE ALIMENTAÇÃO DO DIA 28/08 AO DIA 31/08  PEDREIRA</t>
  </si>
  <si>
    <t>IFOOD.COM AGENCIA DE RESTAURANTES ONLINE S.A.-VALE COMBUSTIVEL GEDSON</t>
  </si>
  <si>
    <t>TALITA SEABRA VEIGA</t>
  </si>
  <si>
    <t>EUNICE ALMEIDA DOS SANTOS</t>
  </si>
  <si>
    <t>JOAO CAETANO GUEDES</t>
  </si>
  <si>
    <t>CRISTIANA APARECIDA PEREIRA LIMA</t>
  </si>
  <si>
    <t>SUELEN DOS REIS FOSTINO FELIX</t>
  </si>
  <si>
    <t>IFOOD.COM AGENCIA DE RESTAURANTES ONLINE S.A. VALE COMBUSTIVEL 1º QUINZENA DE SETEMBRO</t>
  </si>
  <si>
    <t>IFOOD.COM AGENCIA DE RESTAURANTES ONLINE S.A.-COLABORADORES VALINHO</t>
  </si>
  <si>
    <t>ROSANGELA APARECIDA FURQUIM DA CRUZ</t>
  </si>
  <si>
    <t>MARCOS PAULO DE ANDRADE AMERICO</t>
  </si>
  <si>
    <t>DEBORA GOMES DOS SANTOS</t>
  </si>
  <si>
    <t>RECOLHIMENTO FGTS EM ATRASO-JONATHAN CANDIDO BATISTA 10.2023</t>
  </si>
  <si>
    <t>RECOLHIMENTO FGTS EM ATRASO-JONATHAN CANDIDO BATISTA 03.2023</t>
  </si>
  <si>
    <t>RECOLHIMENTO FGTS EM ATRASO-JONATHAN CANDIDO BATISTA 07.2023</t>
  </si>
  <si>
    <t>RECOLHIMENTO FGTS EM ATRASO-JONATHAN CANDIDO BATISTA 04.2023</t>
  </si>
  <si>
    <t>RECOLHIMENTO FGTS EM ATRASO-JONATHAN CANDIDO BATISTA 12.2023</t>
  </si>
  <si>
    <t>RECOLHIMENTO FGTS EM ATRASO-JONATHAN CANDIDO BATISTA 02.2023</t>
  </si>
  <si>
    <t>RECOLHIMENTO FGTS EM ATRASO-JONATHAN CANDIDO BATISTA 01.2023</t>
  </si>
  <si>
    <t>RECOLHIMENTO FGTS EM ATRASO-JONATHAN CANDIDO BATISTA 09.2023</t>
  </si>
  <si>
    <t>VITOR SANTANA FGTS EM ATRASO 09/20245 E 13° 2024</t>
  </si>
  <si>
    <t>OZEIAS ROBERTO DA SILVEIRA</t>
  </si>
  <si>
    <t>CEF MATRIZ--EMPRESTIMO HENRIQUE IEAN VENCIDO EM JUNHO 2025</t>
  </si>
  <si>
    <t>CEF MATRIZ-EMPRESTIMO HSERV COMBINADOS VENCIDO EM JUNHO 2025</t>
  </si>
  <si>
    <t>RELAÇÃO DE PAGAMENTO DO DIA 26/08/2025</t>
  </si>
  <si>
    <t>RESCISÃO</t>
  </si>
  <si>
    <t>STAR CLEAN PRO INDUSTRIA E COMERCIO DE EQUIPAMENTOS - NF 11.270</t>
  </si>
  <si>
    <t>ELIZANGELA APARECIDA VITOR- REEMBOLSO DE PEDAGIO</t>
  </si>
  <si>
    <t>PEDAGIO</t>
  </si>
  <si>
    <t>RELAÇÃO DE PAGAMENTO DO DIA 27/08/2025</t>
  </si>
  <si>
    <t>EMPRESTIMO BRADESCO -HSERV CABREUVA</t>
  </si>
  <si>
    <t>HENRIQUE JEAN - PROLABORE</t>
  </si>
  <si>
    <t>BOA R$ 856.612,19 -- FALTAVA R$ 162.068,9</t>
  </si>
  <si>
    <t>ELIZANGELA APARECIDA VITOR- ALIMENTAÇÃO LAVAÇÃO SP -PLURIX</t>
  </si>
  <si>
    <t xml:space="preserve">MOVIDA PARTICIPACOES S.A. VENCIMENTO 15/07/2025-PLACA TJGB82-PERIODO DE LOCAÇÃO 22/05 Á 21/06- CARRO DA OPERAÇÃO -FATURA  06913500 </t>
  </si>
  <si>
    <t>ELIZANGELA APARECIDA VITOR-  ALIMENTAÇÃO (JANTAR) DO DIA 24/08 Á 01/09</t>
  </si>
  <si>
    <t>ROGERIO APARECIDA DE MOREIRA A- UBER QUE LEVOU FLAVIA KELLI DA POUSADA ATE A LOJA DO BOA EM PEDREIRA</t>
  </si>
  <si>
    <t>SPARTAN DO BRASIL PRODUTOS QUIMICOS LTDA- NF 258.675</t>
  </si>
  <si>
    <t xml:space="preserve">NUCLEO- JC SOARES DE OLIVEIRA ESTAMPARIA-CAMISETAS PERSONALIZADAS ADMNISTRATIVO </t>
  </si>
  <si>
    <t>RELAÇÃO DE PAGAMENTO DO DIA 28/08/2025</t>
  </si>
  <si>
    <t>THIAGO ALMEIDA SANTANA-VALE ALIMENTAÇÃO DO DIA  20/08 e 29/08  SOLICITADO PELA PAMELA VIA EMAIL</t>
  </si>
  <si>
    <t>GUIA GRU - FELIPE ANGELO</t>
  </si>
  <si>
    <t>RECOLHIMENTO FGTS EM ATRASO -JONATHAN CANDIDO BATISTA 08.2023</t>
  </si>
  <si>
    <t>RECOLHIMENTO FGTS EM ATRASO-JONATHAN CANDIDO BATISTA 11.2023</t>
  </si>
  <si>
    <t>JANAINE DOS SANTOS SILVA</t>
  </si>
  <si>
    <t>ANA PAULA DOS SANTOS</t>
  </si>
  <si>
    <t>DAYANE CRISTINA SILVA SOUZA</t>
  </si>
  <si>
    <t>PATRICIA CRISTINA HAHNE</t>
  </si>
  <si>
    <t>RITA DE CASSIA GOMES DE OLIVEIRA HERRERA</t>
  </si>
  <si>
    <t>MARISA GEREMIAS</t>
  </si>
  <si>
    <t>WELLINGTON DE SOUZA FONCECA</t>
  </si>
  <si>
    <t>ANTONIO PLACIDO NETO</t>
  </si>
  <si>
    <t>KELI CRISTINA SAMPAIO DE FARIA</t>
  </si>
  <si>
    <t>SIMONE DE FATIMA OLIVEIRA</t>
  </si>
  <si>
    <t>ANDREA FARIAS RIBEIRO PEREIRA</t>
  </si>
  <si>
    <t>KAUE HENRIQUE DA SILVA OLIVEIRA</t>
  </si>
  <si>
    <t>PARCELAMENTO SIMPLICADO- VITOR DUARTE  DEBITO PREVIDENCIARIO - VENCIMENTO 30/08/2025-GPS NOVEMBRO,DEZEMBRO E JANEIRO 2025</t>
  </si>
  <si>
    <t>IRMÃOS BOAS -ASSIDUIDADE</t>
  </si>
  <si>
    <t xml:space="preserve">AVENIDA -ANTECIPAÇÃO </t>
  </si>
  <si>
    <t xml:space="preserve">IRMÃOS BOAS </t>
  </si>
  <si>
    <t>ITW DO BRASIL</t>
  </si>
  <si>
    <t>SOFT WORKS EPI CALCADOS LTDA- NF 220.732</t>
  </si>
  <si>
    <t>NOVITA VEST CONFECCOES LTDA- VENCIMENTO 19/08/2025-PRORROGADO PARA O DIA 29/08</t>
  </si>
  <si>
    <t>NOVITA VEST CONFECCOES LTDA- VENCIMENTO 18/08/2025-PRORROGADO PARA O DIA 29/08</t>
  </si>
  <si>
    <t>PARCELAMENTO SIMPLICADO- HENRIQUE JEAN DEBITO PREVIDENCIARIO  VENCIMENTO 30/08/2025</t>
  </si>
  <si>
    <t>PARCELAMENTO SIMPLICADO- HSERV CLEAN - DEBITO PREVIDENCIARIO  - VENCIMENTO 30/06/2025</t>
  </si>
  <si>
    <t>LUCIANO FERREIRA DOS SANTOS</t>
  </si>
  <si>
    <t>ELIZANGELA APARECIDA VITOR- REEMBOLSO DE PEDAGIO SP-PLURIX</t>
  </si>
  <si>
    <t>ELIZANGELA APARECIDA VITOR- ALIMENTAÇÃO PEDREIRA</t>
  </si>
  <si>
    <t>ELIZANGELA APARECIDA VITOR- JANTA DOA DIA 29/08 A 031/08</t>
  </si>
  <si>
    <t>RELAÇÃO DE PAGAMENTO DO DIA 29/08/2025</t>
  </si>
  <si>
    <t>LUCINEIA CANDIDA GONCALVES</t>
  </si>
  <si>
    <t>EDIMARA GISELE SILVA JOANI</t>
  </si>
  <si>
    <t>MARIA DAS DORES DA CONCEICAO</t>
  </si>
  <si>
    <t>NATALINA SILVA NIZIO</t>
  </si>
  <si>
    <t>TATIANE CRISTINA BARBOSA</t>
  </si>
  <si>
    <t>ELUSA ROSALVA DA ROCHA PEREIRA</t>
  </si>
  <si>
    <t>JULIANA TOMAZ FERREIRA</t>
  </si>
  <si>
    <t>MARIA INES CHAGAS</t>
  </si>
  <si>
    <t>TATIANI LOPES</t>
  </si>
  <si>
    <t>ROSANGELA DA SILVA</t>
  </si>
  <si>
    <t>KEMILLY CRISTINA DE SOUZA</t>
  </si>
  <si>
    <t>THAYANE TERTULIANO DOMINGOS DA SILVA</t>
  </si>
  <si>
    <t>JULIANA SANTANA CARAVANTE MENDES</t>
  </si>
  <si>
    <t>WENDRES BRAZ RODRIGUES</t>
  </si>
  <si>
    <t>GRACE ADRIANA DE ANDRADE</t>
  </si>
  <si>
    <t>ANA CELIA DA SILVA LOPES</t>
  </si>
  <si>
    <t>RICARDO BARBOSA DA SILVA</t>
  </si>
  <si>
    <t>MARCELO EVANGELISTA SANTOS</t>
  </si>
  <si>
    <t>SIMONE COSTA DA SILVA</t>
  </si>
  <si>
    <t>ADRIANA SIMONE MARINHO GOULART</t>
  </si>
  <si>
    <t>WELLINTON ABREU DE JESUS</t>
  </si>
  <si>
    <t>MAURO TADEU COSTA DOS SANTOS-BONIFICAÇÃO</t>
  </si>
  <si>
    <t>JULIO CEZAR IGLESIAS DE LIMA</t>
  </si>
  <si>
    <t>RECOLHIMENTO FGTS EM ATRASO _11/2022-JONATHAN CANDIDO BATISTA</t>
  </si>
  <si>
    <t>RECOLHIMENTO FGTS EM ATRASO _12/2022-JONATHAN CANDIDO BATISTA</t>
  </si>
  <si>
    <t>TRANSURB TRANSPORTES URBANOS DE JUNDIAI LTDA</t>
  </si>
  <si>
    <t>CLAUDIO EDUARDO DEL DUCA CARDOSO DOS SANTOS</t>
  </si>
  <si>
    <t>GRRF WELLINGTON OLIVEIRA BORIAN DA CRUZ</t>
  </si>
  <si>
    <t>MERCADORIA PARA REVENDA</t>
  </si>
  <si>
    <t>VIVA FOOD PARCELA 1/3 - REAJUSTE REATROATIVO NF 3.039</t>
  </si>
  <si>
    <t>L. A. DE SOUZA - EQUIPAMENTOS DE SEGURANCA LTDA NF11.867</t>
  </si>
  <si>
    <t>ALTOLIM COMERCIAL ASSIS EIRELI  NF 40.912</t>
  </si>
  <si>
    <t xml:space="preserve">JC SOARES DE OLIVEIRA - NUCLEO- CAMISAS PERSONALIZADAS ADM </t>
  </si>
  <si>
    <t>ANDERSON-CONSERTO DO PNEU VIATURA ARGOS</t>
  </si>
  <si>
    <t>FABIOLA FELIX- REEMBOLSO DE VT COLABORADORES  DIANA ALVES (ASG loja 01), -DESLOCAMENTO PARA JUNDIAI</t>
  </si>
  <si>
    <t xml:space="preserve">ELISANGELA APARECIDA VITOR </t>
  </si>
  <si>
    <t xml:space="preserve">VIAGEM E HOSPEAGEM </t>
  </si>
  <si>
    <t xml:space="preserve">ERIKA DE PAULA SERAFIM -ATESTADO COLABORADORA DA CASA- APOIO EXTRA CD - CENTRO DISTRIBUIÇÃO </t>
  </si>
  <si>
    <t>SANDRA REGINA MARTINS FT FALTANTES</t>
  </si>
  <si>
    <t>MARCIA VALERIA-FT FALTANTE</t>
  </si>
  <si>
    <t>MARIA HELENA CORREA- FTS EM PEDREIRA DIA 23 E 24</t>
  </si>
  <si>
    <t>MATUSALEM NOGUEIRA- FT FALNTANTE</t>
  </si>
  <si>
    <t xml:space="preserve">JOÃO VICTOR RODRIGUES DA SILVA COBRINDO ATESTADO THAYANE  (LOJA 18) E JULIANA SANTANA LOJA 29 PRUDENTE </t>
  </si>
  <si>
    <t>RELAÇÃO DE PAGAMENTO DO DIA 01/09/2025</t>
  </si>
  <si>
    <t>FRANCISCO PEREIRA DOS SANTOS</t>
  </si>
  <si>
    <t>J.E. COMERCIO E SOLUCOES LTDA NF 11.491</t>
  </si>
  <si>
    <t>LOTUS CENTRAL DE DISTRIBUICAO DE HIGIENICOS LTDA NF  179.434</t>
  </si>
  <si>
    <t>RELAÇÃO DE PAGAMENTO DO DIA 02/09/2025</t>
  </si>
  <si>
    <t>ALEXANDRA SILVA DE LIMA</t>
  </si>
  <si>
    <t>JHENNIFER KETREN LOPES FERREIRA</t>
  </si>
  <si>
    <t>DOUGLAS ALCANTARA FIGUEIREDO</t>
  </si>
  <si>
    <t>IFOOD.COM AGENCIA DE RESTAURANTES ONLINE S.A.BRUNA MAYARA - VA 22/08 AO DIA 31/08 R$20,76 - VOLTOU DE AFASTAMENTO</t>
  </si>
  <si>
    <t>J.E. COMERCIO E SOLUCOES LTDA NF 11.431</t>
  </si>
  <si>
    <t>RSC COM. MAT.P/ CONSTRUCAO LTDA. NF 107.700</t>
  </si>
  <si>
    <t>RELAÇÃO DE PAGAMENTO DO DIA 03/09/2025</t>
  </si>
  <si>
    <t xml:space="preserve">	IOF S/ UTILIZACAO LIMITE</t>
  </si>
  <si>
    <t xml:space="preserve">MARIA HELENA - FT DIA 25/08 PEDREIRA- DESCONTADO R$ 69,00 DO DIA DE TRABALHO DELA </t>
  </si>
  <si>
    <t>DENIS CARLOS DA ROCHA</t>
  </si>
  <si>
    <t>NATALIA DA SILVA</t>
  </si>
  <si>
    <t>ALEXANDRE DONIZETE DOS SANTOS ALVES</t>
  </si>
  <si>
    <t>SPARTAN DO BRASIL PRODUTOS QUIMICOS LTDA NF 258.675</t>
  </si>
  <si>
    <t>CASA AVENIDA</t>
  </si>
  <si>
    <t>RELAÇÃO DE PAGAMENTO DO DIA 04/09/2025</t>
  </si>
  <si>
    <t xml:space="preserve">MARIA HELENA - FT DIA 25/08/2025 BOA  PEDREIRA- DESCONTADO R$ 69,00 DO DIA DE TRABALHO DELA </t>
  </si>
  <si>
    <t>LUANA RODRIGUES DOS REIS</t>
  </si>
  <si>
    <t>ANA LUCIA CORREIA DA SILVA</t>
  </si>
  <si>
    <t>FELIPE ANGELO-GUIA DE GPS</t>
  </si>
  <si>
    <t>F. L. CABRERO-LAVA FACIL - LAVAGE DE UNIFORMES</t>
  </si>
  <si>
    <t>J.E. COMERCIO E SOLUCOES LTDA  NF 11.571</t>
  </si>
  <si>
    <t>J.E. COMERCIO E SOLUCOES LTDA NF 11.570</t>
  </si>
  <si>
    <t>MARCOS ANTONIO COUTO DO NASCIMENTO</t>
  </si>
  <si>
    <t>RELAÇÃO DE PAGAMENTO DO DIA 05/09/2025</t>
  </si>
  <si>
    <t>VIAGEM E HOSPEDAGEM</t>
  </si>
  <si>
    <t>FABIOLA FARIAS FELIX-DEVOLUÇÃO DESCONTO - CASO DAIANE CRISTINA ANDRADE - BELLART</t>
  </si>
  <si>
    <t>MICHEL CRHISTIAN CARVALHO</t>
  </si>
  <si>
    <t>LUIZ RICARDO DE MORAES</t>
  </si>
  <si>
    <t>GRRF LUIZ RICARDO DE MORAES</t>
  </si>
  <si>
    <t>IFOOD.COM AGENCIA DE RESTAURANTES ONLINE S.A.-ASSIDUIDADE RICOY</t>
  </si>
  <si>
    <t xml:space="preserve">IFOOD.COM AGENCIA DE RESTAURANTES ONLINE S.A.- ASSIDUIDADE AVENIDA </t>
  </si>
  <si>
    <t xml:space="preserve">IFOOD.COM AGENCIA DE RESTAURANTES ONLINE S.A.-ASSIDUIDADE </t>
  </si>
  <si>
    <t>NILCEIA CRISTINA DA CUNHA</t>
  </si>
  <si>
    <t>JONATHAN DINIZ WESFAL 0-PROC 1001448-72.2024.5.02.0291 AUTOR: LUCIANA APARECIDA MARQUES DA SILVA -PARCELA  1/10</t>
  </si>
  <si>
    <t>STAR CLEAN PRO INDUSTRIA E COMERCIO DE EQUIPAMENTOS DE LIMPE</t>
  </si>
  <si>
    <t>BORELA ADVOGADOS ASSOCIADOS Proc 0010084-90.2025.5.15.0018 AUTOR: VANESSA ALESSANDRA NUNES DA COSTA SANTOS  -PARCELA 1/2</t>
  </si>
  <si>
    <t>PAULO CEZAR FERREIRA DOS SANTOS-PROC 0012427-44.2024.5.15.0002 -MARIA NAZARE DA SILVA PARCELA 2/10</t>
  </si>
  <si>
    <t>FABIANA DE SOUZA CULBERT SOCIEDADE INDIVIDUAL DE ADVOCACIA- PROC 0010360-81.2025.5.15.0096PAULO EDVAN HAHNE -PARCELA 2/6</t>
  </si>
  <si>
    <t>SANTOS SEPULVEDA SOCIEDADE INDIVIDUAL DE ADVOCACIA-PROC  0011475-02.2023.5.15.0002 RECLAMANTE: ANA CAROLINA DOS SANTOS PARCELA 2/10</t>
  </si>
  <si>
    <t>AUREA MOSCATINI-PROC 0012313-20.2024.5.15.0095  - GABRIEL BARBOSA DOS SANTOS   PARCELA 2/5</t>
  </si>
  <si>
    <t>STAR CLEAN PRO INDUSTRIA E COMERCIO DE EQUIPAMENTOS DE LIMPE - FMD FUNDO DE INVESTIMENTO EM DIREITOS CREDITORIOS</t>
  </si>
  <si>
    <t>FERNANDO APARECIDO DOS SANTOS-Proc 0013031-54.2024.5.15.0018 RECLAMANTE: MANOEL ROBERTO DE SOUSA   PARCELA 3/17</t>
  </si>
  <si>
    <t>JURANDIR BAVOSO JUNIOR- Proc 0010814-86.2024.5.15.0002 RECLAMANTE: JUAN ERICK REIS DOS SANTOS  PARCELA 3/12</t>
  </si>
  <si>
    <t>INTER</t>
  </si>
  <si>
    <t>DEVOLUÇÃO EMPRESTIMO INTER- RETIRADA DE R$ 110.000,00 DIA 15/08 E R$ 10.000,00 DIA 05/09</t>
  </si>
  <si>
    <t>FTS ASG, FISCAL E PORTARIA 2º QUINZENA DE AGOSTO</t>
  </si>
  <si>
    <t xml:space="preserve">FTS FALTANTES -ASG, FISCAL E PORTARIA </t>
  </si>
  <si>
    <t>PAMELA ROCHA MARINHO -REEMBOLSOS DE DESPESAS</t>
  </si>
  <si>
    <t>LOCALIZA - VENCIDA  30/08/2025</t>
  </si>
  <si>
    <t>SOFISA ACORDO- PROCESSO EXECUÇÃO PARCELA 20/24</t>
  </si>
  <si>
    <t>FT 1º QUINZENA E PACOTES, RT</t>
  </si>
  <si>
    <t>CEF MATRIZ--EMPRESTIMO HENRIQUE IEAN VENCIDO JULHO</t>
  </si>
  <si>
    <t>CEF MATRIZ-EMPRESTIMO HSERV COMBINADOS VENCIDO JULHO</t>
  </si>
  <si>
    <t>AUTO POSTO JARDIM DAS HORTENCIA</t>
  </si>
  <si>
    <t>LUPE LOCACAO E COMERCIO DE EQUIPAMENTOS ELETRONICOS E SERVICO- LOCAÇÃO NOTEBOOK ELISANGELA APARECIDA VITOR</t>
  </si>
  <si>
    <t xml:space="preserve">JAIR RÉ-COMISSÃO DE VENDAS DE SERVIÇOS </t>
  </si>
  <si>
    <t>OPEN IT GROUP ESCRITORIO E LOJA CLEAN</t>
  </si>
  <si>
    <t>BRADESCO -RENEGOCIAÇÃO DO EMPRESTIMO</t>
  </si>
  <si>
    <t>MAC LUCER - MAITÁ APTO 073 CONTRATO 170 (MENSAL) PARCELA 18 /27</t>
  </si>
  <si>
    <t xml:space="preserve">MAC LUCER - VINEA AP 004 CONTRATO 095 (MENSAL) </t>
  </si>
  <si>
    <t>JC SOARES DE OLVEIRA ESTAMPARIA- CAMISAS PERSONALIZADAS</t>
  </si>
  <si>
    <t>CAMILA FERREIRA DA SILVA- COBRINDO FÉRIAS  MAURA VILELE VIANA  OURINHOS - LOJA 25</t>
  </si>
  <si>
    <t xml:space="preserve">CRISTIANA DOS SANTO-   COBRINDO AFASTAMENTO  REGIVANIA PEREIRA DA SILVA RANCHARIA LOJA 12  </t>
  </si>
  <si>
    <t>ANA CECILIA CUSTODIO DA SILVA  COBRINDO FÉRIAS  MAURA VILELE VIANA  OURINHOS - LOJA 25 01/09 e 02/09</t>
  </si>
  <si>
    <t>AMANDA SILVA DE SOUZA   COBRINDO FÉRIAS -NILDA FERREIRA SOBRINHO PRES. VENCESLAU - LOJA 41</t>
  </si>
  <si>
    <t>ANA CLAUDIA SILVA DOS ANJOS  COBRINDO AFASTAMENTO  JUSCELENE CORREIA DE PAULA PARAGUAÇU - LOJA 10</t>
  </si>
  <si>
    <t xml:space="preserve">JANAINA APARECIDA LOPES COBRINDO AFASTAMENTO  DIVA CORREIA PADILHA  SANTA CRUZ - LOJA-26 </t>
  </si>
  <si>
    <t xml:space="preserve">ANAY VICTORIA DIAS NEIRA   COBRINDO AFASTAMENTO  ANTONIA MARCELINA JORGE  C.MOTA LOJA 09 </t>
  </si>
  <si>
    <t>RELAÇÃO DE PAGAMENTO DO DIA 08/09/2025</t>
  </si>
  <si>
    <t>TIAGO PAULO TEIXEIRA</t>
  </si>
  <si>
    <t>JOSE SEVERINO LEONARDO CONCEICAO DA SILVA</t>
  </si>
  <si>
    <t>FABRICIO DOS SANTOS FURQUIM-ADICONAL NOTURNO - 120 HORAS</t>
  </si>
  <si>
    <t>WASHINGTON LUIZ DO NASCIMENTO SILVA-FT MOEMA 02/09</t>
  </si>
  <si>
    <t>LUANA RODRIGUES DOS REIS-FT MOEMA - 02,03,04 E 05/09</t>
  </si>
  <si>
    <t>MICHELLE SILVA DE JESUS-FT MOEMA - 25/08, 26/08, 27/08 ,28/09, 29/08 E 02/09</t>
  </si>
  <si>
    <t>FLORA DISTRIB PROD DE HIGIENE E LIMPEZA LTDA NF1.072.019</t>
  </si>
  <si>
    <t>RELAÇÃO DE PAGAMENTO DO DIA 09/09/2025</t>
  </si>
  <si>
    <t>ANTONIO LUIZ FELIX DE ALMEIDA - FT FISCAL VOTORATIM</t>
  </si>
  <si>
    <t>RELAÇÃO DE PAGAMENTO DO DIA 10/09/2025</t>
  </si>
  <si>
    <t xml:space="preserve">TECNIPLAS EQUIPAMENTOS EM COMPOSITOS EIR-NO DIA 10/09/2025 PAGRAM R$ 11.225,96 RESTA </t>
  </si>
  <si>
    <t>KEVYN TAWAN BERTONHA FERREIRA</t>
  </si>
  <si>
    <t>JEFFERSON FERREIRA SANTOS</t>
  </si>
  <si>
    <t>ELIANA CRISTINA DE OLIVEIRA</t>
  </si>
  <si>
    <t>JOSE FERNANDO CAVALCANTE DE ALBUQUERQUE</t>
  </si>
  <si>
    <t>FELIPE NUNES MACHADO</t>
  </si>
  <si>
    <t>MATHEUS RODRIGUES RIBEIRO</t>
  </si>
  <si>
    <t>JOAO VITOR RODRIGUES DA SILVA</t>
  </si>
  <si>
    <t xml:space="preserve">IFOOD.COM AGENCIA DE RESTAURANTES ONLINE S.A. VALE COMBUSTIVEL-2 QUINZENA </t>
  </si>
  <si>
    <t>NICOLAS BARBATI BERNARDO</t>
  </si>
  <si>
    <t>FGTS EM ATRASO - MICHAEL NOVAES DE FRANCA</t>
  </si>
  <si>
    <t xml:space="preserve">CARLOS DAMIAO -PERITO - PRoc 0012545-94.2022.5.15.0097 RECLAMANTE: EDNALVA PEDREIRA DA CONCEICAO DA SILVA  </t>
  </si>
  <si>
    <t>FGTS EM ATRASO GUSTAVO AMARANTE DA SILVA</t>
  </si>
  <si>
    <t>FGTS EM ATRASO JOSE CICERO DOS SANTOS COSTA</t>
  </si>
  <si>
    <t xml:space="preserve">CLAUDIO DEL DUCA- REEMBOLSO DE KM, PEDAGIO E ESTACIONAMENTO - REUNIÃO PLURIX </t>
  </si>
  <si>
    <t xml:space="preserve">CLAUDIO DEL DUCA- REEMBOLSO DE  KM, PEDAGIO,ESTACIONAMENTO E REFEIÇÃO-CONNAR RH 2025 </t>
  </si>
  <si>
    <t>SOFT WORKS EPI CALCADOS LTDA NF 223.836</t>
  </si>
  <si>
    <t>WIG COMERCIO DE BATERIAS COMPONENTES LTDA NF 1.728</t>
  </si>
  <si>
    <t xml:space="preserve">YASMIN VITORIA GOMES BUENO- REEMBOLSO ADENILZA COBERTURA LOJA  HOJE </t>
  </si>
  <si>
    <t>RELAÇÃO DE PAGAMENTO DO DIA 11/09/2025</t>
  </si>
  <si>
    <t xml:space="preserve">TAXA IPTU PREFEITURA DE CABREUVA 30/06 E 30/07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</si>
</sst>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R$ ]\ #,##0.00;\-[$R$ ]#,##0.00"/>
    <numFmt numFmtId="165" formatCode="#,##0.0#########;\-#,##0.0#########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 Light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0"/>
      <color rgb="FFFF0000"/>
      <name val="Calibri Light"/>
      <family val="2"/>
    </font>
    <font>
      <sz val="10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FF0000"/>
      <name val="Calibri Light"/>
      <family val="2"/>
      <scheme val="major"/>
    </font>
    <font>
      <sz val="11"/>
      <color rgb="FFFF0000"/>
      <name val="Calibri Light"/>
      <family val="2"/>
    </font>
    <font>
      <sz val="11"/>
      <color rgb="FFED0000"/>
      <name val="Calibri Light"/>
      <family val="2"/>
      <scheme val="major"/>
    </font>
    <font>
      <sz val="10"/>
      <color rgb="FFED0000"/>
      <name val="Calibri Light"/>
      <family val="2"/>
      <scheme val="maj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 Light"/>
      <family val="2"/>
      <scheme val="major"/>
    </font>
    <font>
      <sz val="10"/>
      <color rgb="FF11111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1"/>
      <color rgb="FFEE0000"/>
      <name val="Calibri Light"/>
      <family val="2"/>
      <scheme val="major"/>
    </font>
    <font>
      <sz val="10"/>
      <color rgb="FFEE0000"/>
      <name val="Calibri Light"/>
      <family val="2"/>
      <scheme val="major"/>
    </font>
    <font>
      <sz val="10"/>
      <color rgb="FFEE0000"/>
      <name val="Calibri Light"/>
      <family val="2"/>
    </font>
    <font>
      <b/>
      <sz val="11"/>
      <color rgb="FFEE0000"/>
      <name val="Calibri"/>
      <family val="2"/>
      <scheme val="minor"/>
    </font>
    <font>
      <sz val="10"/>
      <color theme="1"/>
      <name val="Calibri Light"/>
      <family val="2"/>
    </font>
    <font>
      <sz val="11"/>
      <color theme="1"/>
      <name val="Calibri Light"/>
      <family val="2"/>
    </font>
    <font>
      <sz val="11"/>
      <color rgb="FF111111"/>
      <name val="Calibri Light"/>
      <family val="2"/>
      <scheme val="major"/>
    </font>
    <font>
      <sz val="10"/>
      <name val="Calibri Light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u val="singleAccounting"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b/>
      <sz val="11"/>
      <color rgb="FF333333"/>
      <name val="Calibri Light"/>
      <family val="2"/>
      <scheme val="major"/>
    </font>
    <font>
      <sz val="9"/>
      <name val="Calibri Light"/>
      <family val="2"/>
      <scheme val="major"/>
    </font>
    <font>
      <sz val="9"/>
      <name val="Arial"/>
      <family val="2"/>
    </font>
    <font>
      <sz val="8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6"/>
      <color rgb="FF333333"/>
      <name val="Arial"/>
      <family val="2"/>
    </font>
    <font>
      <b/>
      <sz val="11"/>
      <color rgb="FFED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B8B8B8"/>
      </left>
      <right style="medium">
        <color rgb="FFB8B8B8"/>
      </right>
      <top/>
      <bottom/>
      <diagonal/>
    </border>
    <border>
      <left style="medium">
        <color rgb="FFB8B8B8"/>
      </left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 style="medium">
        <color rgb="FFB8B8B8"/>
      </right>
      <top/>
      <bottom style="medium">
        <color rgb="FFB8B8B8"/>
      </bottom>
      <diagonal/>
    </border>
    <border>
      <left style="medium">
        <color rgb="FFB8B8B8"/>
      </left>
      <right/>
      <top style="medium">
        <color rgb="FFB8B8B8"/>
      </top>
      <bottom/>
      <diagonal/>
    </border>
    <border>
      <left/>
      <right/>
      <top style="medium">
        <color rgb="FFB8B8B8"/>
      </top>
      <bottom/>
      <diagonal/>
    </border>
    <border>
      <left/>
      <right style="medium">
        <color rgb="FFB8B8B8"/>
      </right>
      <top style="medium">
        <color rgb="FFB8B8B8"/>
      </top>
      <bottom/>
      <diagonal/>
    </border>
    <border>
      <left style="medium">
        <color rgb="FFB8B8B8"/>
      </left>
      <right/>
      <top/>
      <bottom/>
      <diagonal/>
    </border>
    <border>
      <left/>
      <right style="medium">
        <color rgb="FFB8B8B8"/>
      </right>
      <top/>
      <bottom/>
      <diagonal/>
    </border>
    <border>
      <left style="medium">
        <color rgb="FFB8B8B8"/>
      </left>
      <right/>
      <top/>
      <bottom style="medium">
        <color rgb="FFB8B8B8"/>
      </bottom>
      <diagonal/>
    </border>
    <border>
      <left/>
      <right/>
      <top/>
      <bottom style="medium">
        <color rgb="FFB8B8B8"/>
      </bottom>
      <diagonal/>
    </border>
    <border>
      <left/>
      <right style="medium">
        <color rgb="FFB8B8B8"/>
      </right>
      <top/>
      <bottom style="medium">
        <color rgb="FFB8B8B8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64">
    <xf numFmtId="0" fontId="0" fillId="0" borderId="0" xfId="0"/>
    <xf numFmtId="44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44" fontId="3" fillId="3" borderId="1" xfId="0" applyNumberFormat="1" applyFont="1" applyFill="1" applyBorder="1" applyAlignment="1">
      <alignment horizontal="right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4" fontId="2" fillId="2" borderId="1" xfId="0" applyNumberFormat="1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left" vertical="center" wrapText="1"/>
    </xf>
    <xf numFmtId="44" fontId="0" fillId="0" borderId="0" xfId="0" applyNumberFormat="1"/>
    <xf numFmtId="14" fontId="7" fillId="2" borderId="1" xfId="0" applyNumberFormat="1" applyFont="1" applyFill="1" applyBorder="1" applyAlignment="1">
      <alignment horizontal="left" vertical="center" wrapText="1"/>
    </xf>
    <xf numFmtId="44" fontId="6" fillId="0" borderId="1" xfId="0" applyNumberFormat="1" applyFont="1" applyBorder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/>
    <xf numFmtId="0" fontId="7" fillId="2" borderId="1" xfId="0" applyFont="1" applyFill="1" applyBorder="1" applyAlignment="1">
      <alignment horizontal="left" vertical="center"/>
    </xf>
    <xf numFmtId="4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4" fillId="0" borderId="0" xfId="0" applyFont="1"/>
    <xf numFmtId="0" fontId="4" fillId="8" borderId="0" xfId="0" applyFont="1" applyFill="1"/>
    <xf numFmtId="14" fontId="10" fillId="2" borderId="1" xfId="0" applyNumberFormat="1" applyFont="1" applyFill="1" applyBorder="1" applyAlignment="1">
      <alignment horizontal="left" vertical="center" wrapText="1"/>
    </xf>
    <xf numFmtId="0" fontId="10" fillId="0" borderId="0" xfId="0" applyFont="1"/>
    <xf numFmtId="0" fontId="10" fillId="4" borderId="1" xfId="0" applyFont="1" applyFill="1" applyBorder="1" applyAlignment="1">
      <alignment horizontal="left" vertical="center" wrapText="1"/>
    </xf>
    <xf numFmtId="44" fontId="10" fillId="4" borderId="1" xfId="0" applyNumberFormat="1" applyFont="1" applyFill="1" applyBorder="1" applyAlignment="1">
      <alignment horizontal="right" vertical="center" wrapText="1"/>
    </xf>
    <xf numFmtId="14" fontId="10" fillId="4" borderId="1" xfId="0" applyNumberFormat="1" applyFont="1" applyFill="1" applyBorder="1" applyAlignment="1">
      <alignment horizontal="left" vertical="center" wrapText="1"/>
    </xf>
    <xf numFmtId="14" fontId="12" fillId="2" borderId="1" xfId="0" applyNumberFormat="1" applyFont="1" applyFill="1" applyBorder="1" applyAlignment="1">
      <alignment horizontal="left" vertical="center" wrapText="1"/>
    </xf>
    <xf numFmtId="0" fontId="2" fillId="2" borderId="3" xfId="0" applyFont="1" applyFill="1" applyBorder="1"/>
    <xf numFmtId="0" fontId="0" fillId="0" borderId="1" xfId="0" pivotButton="1" applyBorder="1"/>
    <xf numFmtId="0" fontId="0" fillId="0" borderId="1" xfId="0" applyBorder="1"/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14" fontId="6" fillId="2" borderId="1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44" fontId="14" fillId="0" borderId="0" xfId="0" applyNumberFormat="1" applyFont="1"/>
    <xf numFmtId="14" fontId="7" fillId="2" borderId="8" xfId="0" applyNumberFormat="1" applyFont="1" applyFill="1" applyBorder="1" applyAlignment="1">
      <alignment horizontal="left" vertical="center" wrapText="1"/>
    </xf>
    <xf numFmtId="4" fontId="7" fillId="2" borderId="8" xfId="0" applyNumberFormat="1" applyFont="1" applyFill="1" applyBorder="1" applyAlignment="1">
      <alignment horizontal="center" vertical="center"/>
    </xf>
    <xf numFmtId="44" fontId="1" fillId="0" borderId="1" xfId="0" applyNumberFormat="1" applyFont="1" applyBorder="1"/>
    <xf numFmtId="0" fontId="16" fillId="2" borderId="1" xfId="0" applyFont="1" applyFill="1" applyBorder="1" applyAlignment="1">
      <alignment horizontal="left"/>
    </xf>
    <xf numFmtId="44" fontId="17" fillId="3" borderId="1" xfId="0" applyNumberFormat="1" applyFont="1" applyFill="1" applyBorder="1" applyAlignment="1">
      <alignment horizontal="right" vertical="center" wrapText="1"/>
    </xf>
    <xf numFmtId="0" fontId="18" fillId="6" borderId="1" xfId="0" applyFont="1" applyFill="1" applyBorder="1" applyAlignment="1">
      <alignment vertical="center" wrapText="1"/>
    </xf>
    <xf numFmtId="44" fontId="16" fillId="2" borderId="1" xfId="0" applyNumberFormat="1" applyFont="1" applyFill="1" applyBorder="1" applyAlignment="1">
      <alignment wrapText="1"/>
    </xf>
    <xf numFmtId="0" fontId="8" fillId="2" borderId="0" xfId="0" applyFont="1" applyFill="1"/>
    <xf numFmtId="0" fontId="19" fillId="0" borderId="0" xfId="0" applyFont="1"/>
    <xf numFmtId="14" fontId="20" fillId="2" borderId="1" xfId="0" applyNumberFormat="1" applyFont="1" applyFill="1" applyBorder="1" applyAlignment="1">
      <alignment horizontal="left" vertical="center" wrapText="1"/>
    </xf>
    <xf numFmtId="4" fontId="20" fillId="2" borderId="1" xfId="0" applyNumberFormat="1" applyFont="1" applyFill="1" applyBorder="1" applyAlignment="1">
      <alignment horizontal="center" vertical="center"/>
    </xf>
    <xf numFmtId="4" fontId="6" fillId="2" borderId="6" xfId="0" applyNumberFormat="1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2" borderId="1" xfId="0" applyFont="1" applyFill="1" applyBorder="1"/>
    <xf numFmtId="14" fontId="20" fillId="3" borderId="1" xfId="0" applyNumberFormat="1" applyFont="1" applyFill="1" applyBorder="1" applyAlignment="1">
      <alignment horizontal="left" vertical="center" wrapText="1"/>
    </xf>
    <xf numFmtId="44" fontId="20" fillId="3" borderId="1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44" fontId="10" fillId="3" borderId="1" xfId="0" applyNumberFormat="1" applyFont="1" applyFill="1" applyBorder="1" applyAlignment="1">
      <alignment horizontal="right" vertical="center" wrapText="1"/>
    </xf>
    <xf numFmtId="0" fontId="0" fillId="2" borderId="0" xfId="0" applyFill="1"/>
    <xf numFmtId="44" fontId="22" fillId="0" borderId="1" xfId="0" applyNumberFormat="1" applyFont="1" applyBorder="1"/>
    <xf numFmtId="14" fontId="23" fillId="0" borderId="1" xfId="0" applyNumberFormat="1" applyFont="1" applyBorder="1" applyAlignment="1">
      <alignment horizontal="left"/>
    </xf>
    <xf numFmtId="14" fontId="18" fillId="2" borderId="1" xfId="0" applyNumberFormat="1" applyFont="1" applyFill="1" applyBorder="1" applyAlignment="1">
      <alignment horizontal="left" vertical="center" wrapText="1"/>
    </xf>
    <xf numFmtId="0" fontId="23" fillId="2" borderId="1" xfId="0" applyFont="1" applyFill="1" applyBorder="1"/>
    <xf numFmtId="44" fontId="23" fillId="0" borderId="1" xfId="0" applyNumberFormat="1" applyFont="1" applyBorder="1"/>
    <xf numFmtId="4" fontId="23" fillId="2" borderId="1" xfId="0" applyNumberFormat="1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14" fontId="18" fillId="3" borderId="8" xfId="0" applyNumberFormat="1" applyFont="1" applyFill="1" applyBorder="1" applyAlignment="1">
      <alignment horizontal="left" vertical="center" wrapText="1"/>
    </xf>
    <xf numFmtId="14" fontId="18" fillId="2" borderId="8" xfId="0" applyNumberFormat="1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vertical="center" wrapText="1"/>
    </xf>
    <xf numFmtId="44" fontId="18" fillId="3" borderId="8" xfId="0" applyNumberFormat="1" applyFont="1" applyFill="1" applyBorder="1" applyAlignment="1">
      <alignment horizontal="right" vertical="center" wrapText="1"/>
    </xf>
    <xf numFmtId="0" fontId="18" fillId="3" borderId="8" xfId="0" applyFont="1" applyFill="1" applyBorder="1" applyAlignment="1">
      <alignment horizontal="center" vertical="center" wrapText="1"/>
    </xf>
    <xf numFmtId="14" fontId="24" fillId="3" borderId="1" xfId="0" applyNumberFormat="1" applyFont="1" applyFill="1" applyBorder="1" applyAlignment="1">
      <alignment horizontal="left" vertical="center" wrapText="1"/>
    </xf>
    <xf numFmtId="14" fontId="24" fillId="2" borderId="1" xfId="0" applyNumberFormat="1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left" vertical="center" wrapText="1"/>
    </xf>
    <xf numFmtId="44" fontId="23" fillId="3" borderId="1" xfId="0" applyNumberFormat="1" applyFont="1" applyFill="1" applyBorder="1" applyAlignment="1">
      <alignment horizontal="right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14" fontId="18" fillId="3" borderId="1" xfId="0" applyNumberFormat="1" applyFont="1" applyFill="1" applyBorder="1" applyAlignment="1">
      <alignment horizontal="left" vertical="center" wrapText="1"/>
    </xf>
    <xf numFmtId="0" fontId="18" fillId="3" borderId="1" xfId="0" applyFont="1" applyFill="1" applyBorder="1" applyAlignment="1">
      <alignment horizontal="left" vertical="center" wrapText="1"/>
    </xf>
    <xf numFmtId="44" fontId="18" fillId="3" borderId="1" xfId="0" applyNumberFormat="1" applyFont="1" applyFill="1" applyBorder="1" applyAlignment="1">
      <alignment horizontal="right" vertical="center" wrapText="1"/>
    </xf>
    <xf numFmtId="4" fontId="18" fillId="2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44" fontId="18" fillId="3" borderId="5" xfId="0" applyNumberFormat="1" applyFont="1" applyFill="1" applyBorder="1" applyAlignment="1">
      <alignment horizontal="right" vertical="center" wrapText="1"/>
    </xf>
    <xf numFmtId="44" fontId="18" fillId="3" borderId="10" xfId="0" applyNumberFormat="1" applyFont="1" applyFill="1" applyBorder="1" applyAlignment="1">
      <alignment horizontal="right" vertical="center" wrapText="1"/>
    </xf>
    <xf numFmtId="14" fontId="16" fillId="2" borderId="1" xfId="0" applyNumberFormat="1" applyFont="1" applyFill="1" applyBorder="1" applyAlignment="1">
      <alignment horizontal="left" vertical="center" wrapText="1"/>
    </xf>
    <xf numFmtId="14" fontId="16" fillId="3" borderId="1" xfId="0" applyNumberFormat="1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 wrapText="1"/>
    </xf>
    <xf numFmtId="44" fontId="16" fillId="3" borderId="1" xfId="0" applyNumberFormat="1" applyFont="1" applyFill="1" applyBorder="1" applyAlignment="1">
      <alignment horizontal="right" vertical="center" wrapText="1"/>
    </xf>
    <xf numFmtId="4" fontId="26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2" borderId="0" xfId="0" applyFont="1" applyFill="1"/>
    <xf numFmtId="0" fontId="26" fillId="2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vertical="center" wrapText="1"/>
    </xf>
    <xf numFmtId="4" fontId="16" fillId="2" borderId="1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 wrapText="1"/>
    </xf>
    <xf numFmtId="44" fontId="2" fillId="2" borderId="5" xfId="0" applyNumberFormat="1" applyFont="1" applyFill="1" applyBorder="1"/>
    <xf numFmtId="4" fontId="2" fillId="2" borderId="1" xfId="0" applyNumberFormat="1" applyFont="1" applyFill="1" applyBorder="1" applyAlignment="1">
      <alignment horizontal="center" vertical="center"/>
    </xf>
    <xf numFmtId="44" fontId="2" fillId="2" borderId="1" xfId="0" applyNumberFormat="1" applyFont="1" applyFill="1" applyBorder="1"/>
    <xf numFmtId="0" fontId="27" fillId="0" borderId="0" xfId="0" applyFont="1"/>
    <xf numFmtId="0" fontId="0" fillId="0" borderId="1" xfId="0" applyBorder="1" applyAlignment="1">
      <alignment horizontal="center"/>
    </xf>
    <xf numFmtId="44" fontId="1" fillId="13" borderId="1" xfId="0" applyNumberFormat="1" applyFont="1" applyFill="1" applyBorder="1"/>
    <xf numFmtId="0" fontId="28" fillId="13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44" fontId="1" fillId="12" borderId="1" xfId="0" applyNumberFormat="1" applyFont="1" applyFill="1" applyBorder="1"/>
    <xf numFmtId="44" fontId="29" fillId="0" borderId="0" xfId="0" applyNumberFormat="1" applyFont="1"/>
    <xf numFmtId="0" fontId="1" fillId="0" borderId="0" xfId="0" applyFont="1"/>
    <xf numFmtId="0" fontId="16" fillId="2" borderId="1" xfId="0" applyFont="1" applyFill="1" applyBorder="1" applyAlignment="1">
      <alignment horizontal="left" vertical="center"/>
    </xf>
    <xf numFmtId="44" fontId="16" fillId="2" borderId="1" xfId="0" applyNumberFormat="1" applyFont="1" applyFill="1" applyBorder="1" applyAlignment="1">
      <alignment horizontal="right" vertical="center" wrapText="1"/>
    </xf>
    <xf numFmtId="44" fontId="16" fillId="2" borderId="1" xfId="0" applyNumberFormat="1" applyFont="1" applyFill="1" applyBorder="1"/>
    <xf numFmtId="14" fontId="26" fillId="2" borderId="1" xfId="0" applyNumberFormat="1" applyFont="1" applyFill="1" applyBorder="1" applyAlignment="1">
      <alignment horizontal="left" vertical="center"/>
    </xf>
    <xf numFmtId="0" fontId="26" fillId="2" borderId="3" xfId="0" applyFont="1" applyFill="1" applyBorder="1"/>
    <xf numFmtId="44" fontId="16" fillId="2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6" fillId="3" borderId="8" xfId="0" applyFont="1" applyFill="1" applyBorder="1" applyAlignment="1">
      <alignment horizontal="center" vertical="center" wrapText="1"/>
    </xf>
    <xf numFmtId="14" fontId="26" fillId="2" borderId="1" xfId="0" applyNumberFormat="1" applyFont="1" applyFill="1" applyBorder="1" applyAlignment="1">
      <alignment horizontal="left"/>
    </xf>
    <xf numFmtId="0" fontId="26" fillId="2" borderId="1" xfId="0" applyFont="1" applyFill="1" applyBorder="1"/>
    <xf numFmtId="44" fontId="26" fillId="2" borderId="1" xfId="0" applyNumberFormat="1" applyFont="1" applyFill="1" applyBorder="1"/>
    <xf numFmtId="14" fontId="16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/>
    </xf>
    <xf numFmtId="14" fontId="26" fillId="3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14" fontId="16" fillId="3" borderId="8" xfId="0" applyNumberFormat="1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44" fontId="16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4" fontId="3" fillId="3" borderId="6" xfId="0" applyNumberFormat="1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44" fontId="3" fillId="3" borderId="6" xfId="0" applyNumberFormat="1" applyFont="1" applyFill="1" applyBorder="1" applyAlignment="1">
      <alignment horizontal="right" vertical="center" wrapText="1"/>
    </xf>
    <xf numFmtId="4" fontId="16" fillId="2" borderId="6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horizontal="left" wrapText="1"/>
    </xf>
    <xf numFmtId="0" fontId="16" fillId="3" borderId="3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horizontal="left" vertical="center" wrapText="1"/>
    </xf>
    <xf numFmtId="14" fontId="26" fillId="2" borderId="1" xfId="0" applyNumberFormat="1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44" fontId="26" fillId="3" borderId="1" xfId="0" applyNumberFormat="1" applyFont="1" applyFill="1" applyBorder="1" applyAlignment="1">
      <alignment horizontal="right" vertical="center" wrapText="1"/>
    </xf>
    <xf numFmtId="14" fontId="10" fillId="3" borderId="1" xfId="0" applyNumberFormat="1" applyFont="1" applyFill="1" applyBorder="1" applyAlignment="1">
      <alignment horizontal="left" vertical="center" wrapText="1"/>
    </xf>
    <xf numFmtId="0" fontId="7" fillId="3" borderId="6" xfId="0" applyFont="1" applyFill="1" applyBorder="1" applyAlignment="1">
      <alignment horizontal="center" vertical="center" wrapText="1"/>
    </xf>
    <xf numFmtId="14" fontId="25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vertical="center" wrapText="1"/>
    </xf>
    <xf numFmtId="164" fontId="10" fillId="4" borderId="1" xfId="0" applyNumberFormat="1" applyFont="1" applyFill="1" applyBorder="1" applyAlignment="1">
      <alignment horizontal="right" wrapText="1"/>
    </xf>
    <xf numFmtId="0" fontId="25" fillId="4" borderId="1" xfId="0" applyFont="1" applyFill="1" applyBorder="1" applyAlignment="1">
      <alignment horizontal="left" wrapText="1"/>
    </xf>
    <xf numFmtId="14" fontId="25" fillId="4" borderId="1" xfId="0" applyNumberFormat="1" applyFont="1" applyFill="1" applyBorder="1" applyAlignment="1">
      <alignment horizontal="right" vertical="center" wrapText="1"/>
    </xf>
    <xf numFmtId="164" fontId="10" fillId="4" borderId="1" xfId="0" applyNumberFormat="1" applyFont="1" applyFill="1" applyBorder="1" applyAlignment="1">
      <alignment horizontal="right" vertical="center" wrapText="1"/>
    </xf>
    <xf numFmtId="14" fontId="24" fillId="2" borderId="1" xfId="0" applyNumberFormat="1" applyFont="1" applyFill="1" applyBorder="1" applyAlignment="1">
      <alignment horizontal="left"/>
    </xf>
    <xf numFmtId="0" fontId="24" fillId="3" borderId="1" xfId="0" applyFont="1" applyFill="1" applyBorder="1" applyAlignment="1">
      <alignment horizontal="left" vertical="center" wrapText="1"/>
    </xf>
    <xf numFmtId="44" fontId="24" fillId="3" borderId="1" xfId="0" applyNumberFormat="1" applyFont="1" applyFill="1" applyBorder="1" applyAlignment="1">
      <alignment horizontal="right" vertical="center" wrapText="1"/>
    </xf>
    <xf numFmtId="0" fontId="24" fillId="2" borderId="1" xfId="0" applyFont="1" applyFill="1" applyBorder="1" applyAlignment="1">
      <alignment horizontal="center" vertical="center"/>
    </xf>
    <xf numFmtId="14" fontId="23" fillId="2" borderId="1" xfId="0" applyNumberFormat="1" applyFont="1" applyFill="1" applyBorder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44" fontId="23" fillId="2" borderId="1" xfId="0" applyNumberFormat="1" applyFont="1" applyFill="1" applyBorder="1"/>
    <xf numFmtId="44" fontId="31" fillId="2" borderId="1" xfId="0" applyNumberFormat="1" applyFont="1" applyFill="1" applyBorder="1"/>
    <xf numFmtId="0" fontId="23" fillId="2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14" fontId="23" fillId="2" borderId="1" xfId="0" applyNumberFormat="1" applyFont="1" applyFill="1" applyBorder="1" applyAlignment="1">
      <alignment horizontal="left" vertical="center" wrapText="1"/>
    </xf>
    <xf numFmtId="14" fontId="4" fillId="3" borderId="1" xfId="0" applyNumberFormat="1" applyFont="1" applyFill="1" applyBorder="1" applyAlignment="1">
      <alignment horizontal="left" vertical="center" wrapText="1"/>
    </xf>
    <xf numFmtId="14" fontId="4" fillId="2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4" fontId="4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left" vertical="center" wrapText="1"/>
    </xf>
    <xf numFmtId="14" fontId="4" fillId="2" borderId="6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44" fontId="4" fillId="3" borderId="6" xfId="0" applyNumberFormat="1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16" fillId="2" borderId="1" xfId="0" applyFont="1" applyFill="1" applyBorder="1"/>
    <xf numFmtId="14" fontId="7" fillId="3" borderId="8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left" wrapText="1"/>
    </xf>
    <xf numFmtId="44" fontId="7" fillId="3" borderId="8" xfId="0" applyNumberFormat="1" applyFont="1" applyFill="1" applyBorder="1" applyAlignment="1">
      <alignment horizontal="right" vertical="center" wrapText="1"/>
    </xf>
    <xf numFmtId="14" fontId="7" fillId="3" borderId="1" xfId="0" applyNumberFormat="1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32" fillId="0" borderId="0" xfId="0" applyFont="1"/>
    <xf numFmtId="14" fontId="10" fillId="4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center" vertical="center"/>
    </xf>
    <xf numFmtId="14" fontId="11" fillId="2" borderId="1" xfId="0" applyNumberFormat="1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 vertical="center" wrapText="1"/>
    </xf>
    <xf numFmtId="4" fontId="7" fillId="2" borderId="7" xfId="0" applyNumberFormat="1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4" fontId="6" fillId="2" borderId="5" xfId="0" applyNumberFormat="1" applyFont="1" applyFill="1" applyBorder="1" applyAlignment="1">
      <alignment horizontal="center" vertical="center"/>
    </xf>
    <xf numFmtId="44" fontId="7" fillId="2" borderId="1" xfId="0" applyNumberFormat="1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left" vertical="center" wrapText="1"/>
    </xf>
    <xf numFmtId="14" fontId="6" fillId="3" borderId="1" xfId="0" applyNumberFormat="1" applyFont="1" applyFill="1" applyBorder="1" applyAlignment="1">
      <alignment horizontal="left" vertical="center" wrapText="1"/>
    </xf>
    <xf numFmtId="44" fontId="6" fillId="3" borderId="1" xfId="0" applyNumberFormat="1" applyFont="1" applyFill="1" applyBorder="1" applyAlignment="1">
      <alignment horizontal="right" vertical="center" wrapText="1"/>
    </xf>
    <xf numFmtId="0" fontId="7" fillId="3" borderId="3" xfId="0" applyFont="1" applyFill="1" applyBorder="1" applyAlignment="1">
      <alignment vertical="center" wrapText="1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4" fontId="33" fillId="3" borderId="1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center" vertical="center" wrapText="1"/>
    </xf>
    <xf numFmtId="14" fontId="7" fillId="3" borderId="6" xfId="0" applyNumberFormat="1" applyFont="1" applyFill="1" applyBorder="1" applyAlignment="1">
      <alignment horizontal="left" vertical="center" wrapText="1"/>
    </xf>
    <xf numFmtId="0" fontId="7" fillId="3" borderId="12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wrapText="1"/>
    </xf>
    <xf numFmtId="44" fontId="7" fillId="3" borderId="6" xfId="0" applyNumberFormat="1" applyFont="1" applyFill="1" applyBorder="1" applyAlignment="1">
      <alignment horizontal="right" vertical="center" wrapText="1"/>
    </xf>
    <xf numFmtId="44" fontId="7" fillId="3" borderId="1" xfId="0" applyNumberFormat="1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44" fontId="7" fillId="2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44" fontId="12" fillId="2" borderId="1" xfId="0" applyNumberFormat="1" applyFont="1" applyFill="1" applyBorder="1" applyAlignment="1">
      <alignment horizontal="righ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14" fontId="21" fillId="2" borderId="6" xfId="0" applyNumberFormat="1" applyFont="1" applyFill="1" applyBorder="1" applyAlignment="1">
      <alignment horizontal="left"/>
    </xf>
    <xf numFmtId="0" fontId="6" fillId="2" borderId="6" xfId="0" applyFont="1" applyFill="1" applyBorder="1" applyAlignment="1">
      <alignment wrapText="1"/>
    </xf>
    <xf numFmtId="0" fontId="21" fillId="3" borderId="6" xfId="0" applyFont="1" applyFill="1" applyBorder="1" applyAlignment="1">
      <alignment horizontal="left" vertical="center" wrapText="1"/>
    </xf>
    <xf numFmtId="44" fontId="21" fillId="3" borderId="6" xfId="0" applyNumberFormat="1" applyFont="1" applyFill="1" applyBorder="1" applyAlignment="1">
      <alignment horizontal="right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44" fontId="7" fillId="2" borderId="6" xfId="0" applyNumberFormat="1" applyFont="1" applyFill="1" applyBorder="1" applyAlignment="1">
      <alignment vertical="center"/>
    </xf>
    <xf numFmtId="0" fontId="7" fillId="3" borderId="7" xfId="0" applyFont="1" applyFill="1" applyBorder="1" applyAlignment="1">
      <alignment horizontal="left" vertical="center" wrapText="1"/>
    </xf>
    <xf numFmtId="4" fontId="33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vertical="center"/>
    </xf>
    <xf numFmtId="0" fontId="7" fillId="2" borderId="8" xfId="0" applyFont="1" applyFill="1" applyBorder="1"/>
    <xf numFmtId="0" fontId="7" fillId="2" borderId="6" xfId="0" applyFont="1" applyFill="1" applyBorder="1" applyAlignment="1">
      <alignment vertical="center"/>
    </xf>
    <xf numFmtId="0" fontId="7" fillId="2" borderId="6" xfId="0" applyFont="1" applyFill="1" applyBorder="1"/>
    <xf numFmtId="4" fontId="7" fillId="2" borderId="6" xfId="0" applyNumberFormat="1" applyFont="1" applyFill="1" applyBorder="1" applyAlignment="1">
      <alignment horizontal="center" vertical="center"/>
    </xf>
    <xf numFmtId="0" fontId="7" fillId="7" borderId="1" xfId="0" applyFont="1" applyFill="1" applyBorder="1"/>
    <xf numFmtId="44" fontId="7" fillId="7" borderId="1" xfId="0" applyNumberFormat="1" applyFont="1" applyFill="1" applyBorder="1" applyAlignment="1">
      <alignment vertical="center"/>
    </xf>
    <xf numFmtId="14" fontId="7" fillId="2" borderId="8" xfId="0" applyNumberFormat="1" applyFont="1" applyFill="1" applyBorder="1" applyAlignment="1">
      <alignment horizontal="left" vertical="center"/>
    </xf>
    <xf numFmtId="0" fontId="7" fillId="2" borderId="8" xfId="0" applyFont="1" applyFill="1" applyBorder="1" applyAlignment="1">
      <alignment vertical="center" wrapText="1"/>
    </xf>
    <xf numFmtId="0" fontId="7" fillId="2" borderId="3" xfId="0" applyFont="1" applyFill="1" applyBorder="1"/>
    <xf numFmtId="0" fontId="13" fillId="3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44" fontId="13" fillId="3" borderId="1" xfId="0" applyNumberFormat="1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wrapText="1"/>
    </xf>
    <xf numFmtId="0" fontId="16" fillId="2" borderId="1" xfId="0" applyFont="1" applyFill="1" applyBorder="1" applyAlignment="1">
      <alignment vertical="center"/>
    </xf>
    <xf numFmtId="44" fontId="16" fillId="2" borderId="1" xfId="0" applyNumberFormat="1" applyFont="1" applyFill="1" applyBorder="1" applyAlignment="1">
      <alignment vertical="center"/>
    </xf>
    <xf numFmtId="4" fontId="16" fillId="2" borderId="1" xfId="0" applyNumberFormat="1" applyFont="1" applyFill="1" applyBorder="1" applyAlignment="1">
      <alignment horizontal="left" wrapText="1"/>
    </xf>
    <xf numFmtId="14" fontId="16" fillId="2" borderId="1" xfId="0" applyNumberFormat="1" applyFont="1" applyFill="1" applyBorder="1" applyAlignment="1">
      <alignment horizontal="left" vertical="center"/>
    </xf>
    <xf numFmtId="0" fontId="16" fillId="6" borderId="1" xfId="0" applyFont="1" applyFill="1" applyBorder="1" applyAlignment="1">
      <alignment wrapText="1"/>
    </xf>
    <xf numFmtId="44" fontId="16" fillId="6" borderId="1" xfId="0" applyNumberFormat="1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center" vertical="center" wrapText="1"/>
    </xf>
    <xf numFmtId="44" fontId="16" fillId="2" borderId="1" xfId="0" applyNumberFormat="1" applyFont="1" applyFill="1" applyBorder="1" applyAlignment="1">
      <alignment horizontal="left" vertical="center"/>
    </xf>
    <xf numFmtId="44" fontId="18" fillId="6" borderId="1" xfId="0" applyNumberFormat="1" applyFont="1" applyFill="1" applyBorder="1"/>
    <xf numFmtId="0" fontId="2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4" fontId="16" fillId="2" borderId="0" xfId="0" applyNumberFormat="1" applyFont="1" applyFill="1" applyAlignment="1">
      <alignment horizontal="center" vertical="center"/>
    </xf>
    <xf numFmtId="0" fontId="13" fillId="2" borderId="0" xfId="0" applyFont="1" applyFill="1"/>
    <xf numFmtId="14" fontId="13" fillId="3" borderId="1" xfId="0" applyNumberFormat="1" applyFont="1" applyFill="1" applyBorder="1" applyAlignment="1">
      <alignment horizontal="left" vertical="center" wrapText="1"/>
    </xf>
    <xf numFmtId="14" fontId="13" fillId="2" borderId="1" xfId="0" applyNumberFormat="1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/>
    </xf>
    <xf numFmtId="14" fontId="20" fillId="2" borderId="1" xfId="0" applyNumberFormat="1" applyFont="1" applyFill="1" applyBorder="1" applyAlignment="1">
      <alignment horizontal="left"/>
    </xf>
    <xf numFmtId="0" fontId="20" fillId="2" borderId="0" xfId="0" applyFont="1" applyFill="1"/>
    <xf numFmtId="0" fontId="20" fillId="3" borderId="1" xfId="0" applyFont="1" applyFill="1" applyBorder="1" applyAlignment="1">
      <alignment horizontal="left" wrapText="1"/>
    </xf>
    <xf numFmtId="0" fontId="7" fillId="2" borderId="0" xfId="0" applyFont="1" applyFill="1"/>
    <xf numFmtId="0" fontId="20" fillId="2" borderId="1" xfId="0" applyFont="1" applyFill="1" applyBorder="1" applyAlignment="1">
      <alignment horizontal="left" vertical="center"/>
    </xf>
    <xf numFmtId="44" fontId="20" fillId="2" borderId="1" xfId="0" applyNumberFormat="1" applyFont="1" applyFill="1" applyBorder="1" applyAlignment="1">
      <alignment horizontal="right" vertical="center" wrapText="1"/>
    </xf>
    <xf numFmtId="4" fontId="13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/>
    <xf numFmtId="14" fontId="33" fillId="2" borderId="1" xfId="0" applyNumberFormat="1" applyFont="1" applyFill="1" applyBorder="1" applyAlignment="1">
      <alignment horizontal="left" vertical="center"/>
    </xf>
    <xf numFmtId="44" fontId="7" fillId="2" borderId="8" xfId="0" applyNumberFormat="1" applyFont="1" applyFill="1" applyBorder="1" applyAlignment="1">
      <alignment vertical="center"/>
    </xf>
    <xf numFmtId="14" fontId="7" fillId="2" borderId="6" xfId="0" applyNumberFormat="1" applyFont="1" applyFill="1" applyBorder="1" applyAlignment="1">
      <alignment horizontal="left" vertical="center"/>
    </xf>
    <xf numFmtId="14" fontId="16" fillId="2" borderId="1" xfId="0" applyNumberFormat="1" applyFont="1" applyFill="1" applyBorder="1" applyAlignment="1">
      <alignment vertical="center"/>
    </xf>
    <xf numFmtId="0" fontId="1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4" fontId="7" fillId="2" borderId="0" xfId="0" applyNumberFormat="1" applyFont="1" applyFill="1"/>
    <xf numFmtId="0" fontId="33" fillId="2" borderId="0" xfId="0" applyFont="1" applyFill="1"/>
    <xf numFmtId="44" fontId="20" fillId="2" borderId="1" xfId="0" applyNumberFormat="1" applyFont="1" applyFill="1" applyBorder="1"/>
    <xf numFmtId="44" fontId="7" fillId="2" borderId="1" xfId="0" applyNumberFormat="1" applyFont="1" applyFill="1" applyBorder="1" applyAlignment="1">
      <alignment horizontal="center"/>
    </xf>
    <xf numFmtId="44" fontId="7" fillId="3" borderId="1" xfId="0" applyNumberFormat="1" applyFont="1" applyFill="1" applyBorder="1" applyAlignment="1">
      <alignment horizontal="center" wrapText="1"/>
    </xf>
    <xf numFmtId="14" fontId="13" fillId="2" borderId="1" xfId="0" applyNumberFormat="1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44" fontId="13" fillId="2" borderId="1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left" wrapText="1"/>
    </xf>
    <xf numFmtId="44" fontId="13" fillId="2" borderId="1" xfId="0" applyNumberFormat="1" applyFont="1" applyFill="1" applyBorder="1"/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3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4" fontId="16" fillId="2" borderId="7" xfId="0" applyNumberFormat="1" applyFont="1" applyFill="1" applyBorder="1" applyAlignment="1">
      <alignment horizontal="center" vertical="center"/>
    </xf>
    <xf numFmtId="4" fontId="16" fillId="2" borderId="1" xfId="0" applyNumberFormat="1" applyFont="1" applyFill="1" applyBorder="1" applyAlignment="1">
      <alignment horizontal="center"/>
    </xf>
    <xf numFmtId="14" fontId="7" fillId="2" borderId="8" xfId="0" applyNumberFormat="1" applyFont="1" applyFill="1" applyBorder="1" applyAlignment="1">
      <alignment horizontal="left"/>
    </xf>
    <xf numFmtId="44" fontId="7" fillId="2" borderId="8" xfId="0" applyNumberFormat="1" applyFont="1" applyFill="1" applyBorder="1"/>
    <xf numFmtId="14" fontId="13" fillId="2" borderId="8" xfId="0" applyNumberFormat="1" applyFont="1" applyFill="1" applyBorder="1" applyAlignment="1">
      <alignment horizontal="left"/>
    </xf>
    <xf numFmtId="14" fontId="13" fillId="2" borderId="8" xfId="0" applyNumberFormat="1" applyFont="1" applyFill="1" applyBorder="1" applyAlignment="1">
      <alignment horizontal="left" vertical="center" wrapText="1"/>
    </xf>
    <xf numFmtId="0" fontId="13" fillId="3" borderId="8" xfId="0" applyFont="1" applyFill="1" applyBorder="1" applyAlignment="1">
      <alignment horizontal="left" vertical="center" wrapText="1"/>
    </xf>
    <xf numFmtId="44" fontId="13" fillId="3" borderId="8" xfId="0" applyNumberFormat="1" applyFont="1" applyFill="1" applyBorder="1" applyAlignment="1">
      <alignment horizontal="righ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wrapText="1"/>
    </xf>
    <xf numFmtId="44" fontId="13" fillId="2" borderId="8" xfId="0" applyNumberFormat="1" applyFont="1" applyFill="1" applyBorder="1"/>
    <xf numFmtId="4" fontId="13" fillId="2" borderId="8" xfId="0" applyNumberFormat="1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wrapText="1"/>
    </xf>
    <xf numFmtId="0" fontId="13" fillId="3" borderId="6" xfId="0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/>
    </xf>
    <xf numFmtId="14" fontId="20" fillId="3" borderId="6" xfId="0" applyNumberFormat="1" applyFont="1" applyFill="1" applyBorder="1" applyAlignment="1">
      <alignment horizontal="left" vertical="center" wrapText="1"/>
    </xf>
    <xf numFmtId="14" fontId="20" fillId="2" borderId="6" xfId="0" applyNumberFormat="1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44" fontId="20" fillId="3" borderId="6" xfId="0" applyNumberFormat="1" applyFont="1" applyFill="1" applyBorder="1" applyAlignment="1">
      <alignment horizontal="right" vertical="center" wrapText="1"/>
    </xf>
    <xf numFmtId="0" fontId="20" fillId="3" borderId="6" xfId="0" applyFont="1" applyFill="1" applyBorder="1" applyAlignment="1">
      <alignment horizontal="center" vertical="center" wrapText="1"/>
    </xf>
    <xf numFmtId="14" fontId="7" fillId="2" borderId="7" xfId="0" applyNumberFormat="1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left" vertical="center" wrapText="1"/>
    </xf>
    <xf numFmtId="44" fontId="7" fillId="3" borderId="7" xfId="0" applyNumberFormat="1" applyFont="1" applyFill="1" applyBorder="1" applyAlignment="1">
      <alignment horizontal="righ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/>
    </xf>
    <xf numFmtId="0" fontId="7" fillId="3" borderId="7" xfId="0" applyFont="1" applyFill="1" applyBorder="1" applyAlignment="1">
      <alignment horizontal="left" wrapText="1"/>
    </xf>
    <xf numFmtId="0" fontId="7" fillId="3" borderId="7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7" fillId="2" borderId="7" xfId="0" applyFont="1" applyFill="1" applyBorder="1"/>
    <xf numFmtId="44" fontId="7" fillId="2" borderId="7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left" vertical="center"/>
    </xf>
    <xf numFmtId="44" fontId="7" fillId="2" borderId="6" xfId="0" applyNumberFormat="1" applyFont="1" applyFill="1" applyBorder="1"/>
    <xf numFmtId="0" fontId="20" fillId="2" borderId="6" xfId="0" applyFont="1" applyFill="1" applyBorder="1" applyAlignment="1">
      <alignment horizontal="left" vertical="center"/>
    </xf>
    <xf numFmtId="0" fontId="20" fillId="2" borderId="6" xfId="0" applyFont="1" applyFill="1" applyBorder="1"/>
    <xf numFmtId="44" fontId="20" fillId="2" borderId="6" xfId="0" applyNumberFormat="1" applyFont="1" applyFill="1" applyBorder="1" applyAlignment="1">
      <alignment horizontal="right" vertical="center" wrapText="1"/>
    </xf>
    <xf numFmtId="4" fontId="20" fillId="2" borderId="6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wrapText="1"/>
    </xf>
    <xf numFmtId="14" fontId="20" fillId="2" borderId="6" xfId="0" applyNumberFormat="1" applyFont="1" applyFill="1" applyBorder="1" applyAlignment="1">
      <alignment horizontal="left"/>
    </xf>
    <xf numFmtId="14" fontId="7" fillId="8" borderId="1" xfId="0" applyNumberFormat="1" applyFont="1" applyFill="1" applyBorder="1" applyAlignment="1">
      <alignment horizontal="left" vertical="center" wrapText="1"/>
    </xf>
    <xf numFmtId="0" fontId="7" fillId="15" borderId="1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left" wrapText="1"/>
    </xf>
    <xf numFmtId="44" fontId="7" fillId="15" borderId="1" xfId="0" applyNumberFormat="1" applyFont="1" applyFill="1" applyBorder="1" applyAlignment="1">
      <alignment horizontal="right" vertical="center" wrapText="1"/>
    </xf>
    <xf numFmtId="14" fontId="20" fillId="15" borderId="1" xfId="0" applyNumberFormat="1" applyFont="1" applyFill="1" applyBorder="1" applyAlignment="1">
      <alignment horizontal="left" vertical="center" wrapText="1"/>
    </xf>
    <xf numFmtId="0" fontId="20" fillId="15" borderId="1" xfId="0" applyFont="1" applyFill="1" applyBorder="1" applyAlignment="1">
      <alignment horizontal="left" vertical="center" wrapText="1"/>
    </xf>
    <xf numFmtId="44" fontId="20" fillId="15" borderId="1" xfId="0" applyNumberFormat="1" applyFont="1" applyFill="1" applyBorder="1" applyAlignment="1">
      <alignment horizontal="right" vertical="center" wrapText="1"/>
    </xf>
    <xf numFmtId="0" fontId="20" fillId="15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left" vertical="center" wrapText="1"/>
    </xf>
    <xf numFmtId="0" fontId="34" fillId="16" borderId="14" xfId="0" applyFont="1" applyFill="1" applyBorder="1" applyAlignment="1">
      <alignment horizontal="right" vertical="center" wrapText="1"/>
    </xf>
    <xf numFmtId="0" fontId="34" fillId="5" borderId="14" xfId="0" applyFont="1" applyFill="1" applyBorder="1" applyAlignment="1">
      <alignment horizontal="left" vertical="center" wrapText="1"/>
    </xf>
    <xf numFmtId="0" fontId="34" fillId="5" borderId="14" xfId="0" applyFont="1" applyFill="1" applyBorder="1" applyAlignment="1">
      <alignment horizontal="right" vertical="center" wrapText="1"/>
    </xf>
    <xf numFmtId="0" fontId="4" fillId="16" borderId="0" xfId="0" applyFont="1" applyFill="1"/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center" vertical="center" wrapText="1"/>
    </xf>
    <xf numFmtId="0" fontId="34" fillId="5" borderId="14" xfId="0" applyFont="1" applyFill="1" applyBorder="1" applyAlignment="1">
      <alignment horizontal="left" vertical="center"/>
    </xf>
    <xf numFmtId="14" fontId="34" fillId="5" borderId="14" xfId="0" applyNumberFormat="1" applyFont="1" applyFill="1" applyBorder="1" applyAlignment="1">
      <alignment horizontal="center" vertical="center" wrapText="1"/>
    </xf>
    <xf numFmtId="4" fontId="34" fillId="5" borderId="14" xfId="0" applyNumberFormat="1" applyFont="1" applyFill="1" applyBorder="1" applyAlignment="1">
      <alignment horizontal="right" vertical="center" wrapText="1"/>
    </xf>
    <xf numFmtId="0" fontId="34" fillId="16" borderId="14" xfId="0" applyFont="1" applyFill="1" applyBorder="1" applyAlignment="1">
      <alignment horizontal="center" vertical="center" wrapText="1"/>
    </xf>
    <xf numFmtId="0" fontId="34" fillId="16" borderId="14" xfId="0" applyFont="1" applyFill="1" applyBorder="1" applyAlignment="1">
      <alignment horizontal="left" vertical="center"/>
    </xf>
    <xf numFmtId="14" fontId="34" fillId="16" borderId="14" xfId="0" applyNumberFormat="1" applyFont="1" applyFill="1" applyBorder="1" applyAlignment="1">
      <alignment horizontal="center" vertical="center" wrapText="1"/>
    </xf>
    <xf numFmtId="4" fontId="34" fillId="16" borderId="14" xfId="0" applyNumberFormat="1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left" vertical="center" wrapText="1"/>
    </xf>
    <xf numFmtId="0" fontId="10" fillId="16" borderId="14" xfId="0" applyFont="1" applyFill="1" applyBorder="1" applyAlignment="1">
      <alignment horizontal="left" vertical="center"/>
    </xf>
    <xf numFmtId="0" fontId="10" fillId="16" borderId="14" xfId="0" applyFont="1" applyFill="1" applyBorder="1" applyAlignment="1">
      <alignment horizontal="center" vertical="center" wrapText="1"/>
    </xf>
    <xf numFmtId="14" fontId="10" fillId="16" borderId="14" xfId="0" applyNumberFormat="1" applyFont="1" applyFill="1" applyBorder="1" applyAlignment="1">
      <alignment horizontal="center" vertical="center" wrapText="1"/>
    </xf>
    <xf numFmtId="4" fontId="10" fillId="16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center" vertical="center" wrapText="1"/>
    </xf>
    <xf numFmtId="14" fontId="10" fillId="5" borderId="14" xfId="0" applyNumberFormat="1" applyFont="1" applyFill="1" applyBorder="1" applyAlignment="1">
      <alignment horizontal="center" vertical="center" wrapText="1"/>
    </xf>
    <xf numFmtId="4" fontId="10" fillId="5" borderId="14" xfId="0" applyNumberFormat="1" applyFont="1" applyFill="1" applyBorder="1" applyAlignment="1">
      <alignment horizontal="right" vertical="center" wrapText="1"/>
    </xf>
    <xf numFmtId="0" fontId="10" fillId="5" borderId="14" xfId="0" applyFont="1" applyFill="1" applyBorder="1" applyAlignment="1">
      <alignment horizontal="right" vertical="center" wrapText="1"/>
    </xf>
    <xf numFmtId="0" fontId="10" fillId="16" borderId="14" xfId="0" applyFont="1" applyFill="1" applyBorder="1" applyAlignment="1">
      <alignment horizontal="right" vertical="center" wrapText="1"/>
    </xf>
    <xf numFmtId="0" fontId="34" fillId="8" borderId="14" xfId="0" applyFont="1" applyFill="1" applyBorder="1" applyAlignment="1">
      <alignment horizontal="left" vertical="center" wrapText="1"/>
    </xf>
    <xf numFmtId="0" fontId="34" fillId="8" borderId="14" xfId="0" applyFont="1" applyFill="1" applyBorder="1" applyAlignment="1">
      <alignment horizontal="left" vertical="center"/>
    </xf>
    <xf numFmtId="0" fontId="34" fillId="8" borderId="14" xfId="0" applyFont="1" applyFill="1" applyBorder="1" applyAlignment="1">
      <alignment horizontal="center" vertical="center" wrapText="1"/>
    </xf>
    <xf numFmtId="14" fontId="34" fillId="8" borderId="14" xfId="0" applyNumberFormat="1" applyFont="1" applyFill="1" applyBorder="1" applyAlignment="1">
      <alignment horizontal="center" vertical="center" wrapText="1"/>
    </xf>
    <xf numFmtId="0" fontId="34" fillId="8" borderId="14" xfId="0" applyFont="1" applyFill="1" applyBorder="1" applyAlignment="1">
      <alignment horizontal="right" vertical="center" wrapText="1"/>
    </xf>
    <xf numFmtId="0" fontId="0" fillId="8" borderId="0" xfId="0" applyFill="1"/>
    <xf numFmtId="4" fontId="34" fillId="8" borderId="14" xfId="0" applyNumberFormat="1" applyFont="1" applyFill="1" applyBorder="1" applyAlignment="1">
      <alignment horizontal="right" vertical="center" wrapText="1"/>
    </xf>
    <xf numFmtId="0" fontId="34" fillId="11" borderId="14" xfId="0" applyFont="1" applyFill="1" applyBorder="1" applyAlignment="1">
      <alignment horizontal="left" vertical="center" wrapText="1"/>
    </xf>
    <xf numFmtId="0" fontId="4" fillId="11" borderId="0" xfId="0" applyFont="1" applyFill="1"/>
    <xf numFmtId="0" fontId="34" fillId="11" borderId="14" xfId="0" applyFont="1" applyFill="1" applyBorder="1" applyAlignment="1">
      <alignment horizontal="left" vertical="center"/>
    </xf>
    <xf numFmtId="0" fontId="34" fillId="11" borderId="14" xfId="0" applyFont="1" applyFill="1" applyBorder="1" applyAlignment="1">
      <alignment horizontal="center" vertical="center" wrapText="1"/>
    </xf>
    <xf numFmtId="14" fontId="34" fillId="11" borderId="14" xfId="0" applyNumberFormat="1" applyFont="1" applyFill="1" applyBorder="1" applyAlignment="1">
      <alignment horizontal="center" vertical="center" wrapText="1"/>
    </xf>
    <xf numFmtId="0" fontId="34" fillId="11" borderId="14" xfId="0" applyFont="1" applyFill="1" applyBorder="1" applyAlignment="1">
      <alignment horizontal="right" vertical="center" wrapText="1"/>
    </xf>
    <xf numFmtId="4" fontId="34" fillId="11" borderId="14" xfId="0" applyNumberFormat="1" applyFont="1" applyFill="1" applyBorder="1" applyAlignment="1">
      <alignment horizontal="right" vertical="center" wrapText="1"/>
    </xf>
    <xf numFmtId="0" fontId="5" fillId="8" borderId="0" xfId="0" applyFont="1" applyFill="1"/>
    <xf numFmtId="0" fontId="34" fillId="12" borderId="14" xfId="0" applyFont="1" applyFill="1" applyBorder="1" applyAlignment="1">
      <alignment horizontal="left" vertical="center" wrapText="1"/>
    </xf>
    <xf numFmtId="0" fontId="4" fillId="12" borderId="0" xfId="0" applyFont="1" applyFill="1"/>
    <xf numFmtId="0" fontId="34" fillId="12" borderId="14" xfId="0" applyFont="1" applyFill="1" applyBorder="1" applyAlignment="1">
      <alignment horizontal="left" vertical="center"/>
    </xf>
    <xf numFmtId="0" fontId="34" fillId="12" borderId="14" xfId="0" applyFont="1" applyFill="1" applyBorder="1" applyAlignment="1">
      <alignment horizontal="center" vertical="center" wrapText="1"/>
    </xf>
    <xf numFmtId="14" fontId="34" fillId="12" borderId="14" xfId="0" applyNumberFormat="1" applyFont="1" applyFill="1" applyBorder="1" applyAlignment="1">
      <alignment horizontal="center" vertical="center" wrapText="1"/>
    </xf>
    <xf numFmtId="0" fontId="34" fillId="12" borderId="14" xfId="0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left" vertical="center" wrapText="1"/>
    </xf>
    <xf numFmtId="164" fontId="10" fillId="15" borderId="1" xfId="0" applyNumberFormat="1" applyFont="1" applyFill="1" applyBorder="1" applyAlignment="1">
      <alignment horizontal="right" vertical="center" wrapText="1"/>
    </xf>
    <xf numFmtId="0" fontId="10" fillId="8" borderId="0" xfId="0" applyFont="1" applyFill="1"/>
    <xf numFmtId="14" fontId="10" fillId="15" borderId="1" xfId="0" applyNumberFormat="1" applyFont="1" applyFill="1" applyBorder="1" applyAlignment="1">
      <alignment horizontal="left" vertical="center" wrapText="1"/>
    </xf>
    <xf numFmtId="44" fontId="10" fillId="15" borderId="1" xfId="0" applyNumberFormat="1" applyFont="1" applyFill="1" applyBorder="1" applyAlignment="1">
      <alignment horizontal="righ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8" fillId="8" borderId="0" xfId="0" applyFont="1" applyFill="1"/>
    <xf numFmtId="0" fontId="19" fillId="15" borderId="1" xfId="0" applyFont="1" applyFill="1" applyBorder="1" applyAlignment="1">
      <alignment horizontal="left" vertical="center" wrapText="1"/>
    </xf>
    <xf numFmtId="44" fontId="19" fillId="8" borderId="1" xfId="0" applyNumberFormat="1" applyFont="1" applyFill="1" applyBorder="1" applyAlignment="1">
      <alignment horizontal="right" vertical="center" wrapText="1"/>
    </xf>
    <xf numFmtId="0" fontId="19" fillId="15" borderId="1" xfId="0" applyFont="1" applyFill="1" applyBorder="1" applyAlignment="1">
      <alignment horizontal="center" vertical="center" wrapText="1"/>
    </xf>
    <xf numFmtId="14" fontId="6" fillId="8" borderId="1" xfId="0" applyNumberFormat="1" applyFont="1" applyFill="1" applyBorder="1" applyAlignment="1">
      <alignment horizontal="left"/>
    </xf>
    <xf numFmtId="0" fontId="7" fillId="1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44" fontId="7" fillId="8" borderId="1" xfId="0" applyNumberFormat="1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8" borderId="0" xfId="0" applyFont="1" applyFill="1"/>
    <xf numFmtId="0" fontId="20" fillId="8" borderId="0" xfId="0" applyFont="1" applyFill="1"/>
    <xf numFmtId="44" fontId="4" fillId="8" borderId="1" xfId="0" applyNumberFormat="1" applyFont="1" applyFill="1" applyBorder="1"/>
    <xf numFmtId="44" fontId="14" fillId="0" borderId="1" xfId="0" applyNumberFormat="1" applyFont="1" applyBorder="1"/>
    <xf numFmtId="44" fontId="32" fillId="9" borderId="1" xfId="0" applyNumberFormat="1" applyFont="1" applyFill="1" applyBorder="1" applyAlignment="1">
      <alignment horizontal="left"/>
    </xf>
    <xf numFmtId="44" fontId="32" fillId="9" borderId="1" xfId="0" applyNumberFormat="1" applyFont="1" applyFill="1" applyBorder="1"/>
    <xf numFmtId="0" fontId="7" fillId="2" borderId="6" xfId="0" applyFont="1" applyFill="1" applyBorder="1" applyAlignment="1">
      <alignment wrapText="1"/>
    </xf>
    <xf numFmtId="44" fontId="1" fillId="0" borderId="0" xfId="0" applyNumberFormat="1" applyFont="1"/>
    <xf numFmtId="0" fontId="0" fillId="0" borderId="0" xfId="0" pivotButton="1"/>
    <xf numFmtId="0" fontId="0" fillId="0" borderId="1" xfId="0" applyBorder="1" applyAlignment="1">
      <alignment horizontal="left"/>
    </xf>
    <xf numFmtId="44" fontId="0" fillId="8" borderId="1" xfId="0" applyNumberFormat="1" applyFill="1" applyBorder="1"/>
    <xf numFmtId="44" fontId="0" fillId="0" borderId="1" xfId="0" pivotButton="1" applyNumberFormat="1" applyBorder="1"/>
    <xf numFmtId="0" fontId="14" fillId="0" borderId="0" xfId="0" applyFont="1"/>
    <xf numFmtId="0" fontId="5" fillId="0" borderId="1" xfId="0" applyFont="1" applyBorder="1" applyAlignment="1">
      <alignment horizontal="left"/>
    </xf>
    <xf numFmtId="44" fontId="5" fillId="0" borderId="1" xfId="0" applyNumberFormat="1" applyFont="1" applyBorder="1"/>
    <xf numFmtId="0" fontId="5" fillId="0" borderId="0" xfId="0" applyFont="1"/>
    <xf numFmtId="16" fontId="0" fillId="0" borderId="0" xfId="0" applyNumberFormat="1"/>
    <xf numFmtId="44" fontId="15" fillId="0" borderId="1" xfId="0" applyNumberFormat="1" applyFont="1" applyBorder="1"/>
    <xf numFmtId="0" fontId="0" fillId="12" borderId="1" xfId="0" applyFill="1" applyBorder="1" applyAlignment="1">
      <alignment horizontal="left"/>
    </xf>
    <xf numFmtId="44" fontId="0" fillId="12" borderId="1" xfId="0" applyNumberFormat="1" applyFill="1" applyBorder="1"/>
    <xf numFmtId="0" fontId="0" fillId="12" borderId="0" xfId="0" applyFill="1"/>
    <xf numFmtId="44" fontId="0" fillId="0" borderId="8" xfId="0" pivotButton="1" applyNumberFormat="1" applyBorder="1"/>
    <xf numFmtId="44" fontId="0" fillId="0" borderId="8" xfId="0" applyNumberFormat="1" applyBorder="1"/>
    <xf numFmtId="44" fontId="32" fillId="9" borderId="8" xfId="0" applyNumberFormat="1" applyFont="1" applyFill="1" applyBorder="1"/>
    <xf numFmtId="44" fontId="0" fillId="8" borderId="8" xfId="0" applyNumberFormat="1" applyFill="1" applyBorder="1"/>
    <xf numFmtId="0" fontId="0" fillId="0" borderId="0" xfId="0" applyAlignment="1">
      <alignment horizontal="left"/>
    </xf>
    <xf numFmtId="14" fontId="16" fillId="3" borderId="6" xfId="0" applyNumberFormat="1" applyFont="1" applyFill="1" applyBorder="1" applyAlignment="1">
      <alignment horizontal="left" vertical="center" wrapText="1"/>
    </xf>
    <xf numFmtId="14" fontId="16" fillId="2" borderId="6" xfId="0" applyNumberFormat="1" applyFont="1" applyFill="1" applyBorder="1" applyAlignment="1">
      <alignment horizontal="left" vertical="center" wrapText="1"/>
    </xf>
    <xf numFmtId="0" fontId="16" fillId="3" borderId="6" xfId="0" applyFont="1" applyFill="1" applyBorder="1" applyAlignment="1">
      <alignment horizontal="left" vertical="center" wrapText="1"/>
    </xf>
    <xf numFmtId="44" fontId="16" fillId="3" borderId="6" xfId="0" applyNumberFormat="1" applyFont="1" applyFill="1" applyBorder="1" applyAlignment="1">
      <alignment horizontal="right" vertical="center" wrapText="1"/>
    </xf>
    <xf numFmtId="0" fontId="16" fillId="3" borderId="6" xfId="0" applyFont="1" applyFill="1" applyBorder="1" applyAlignment="1">
      <alignment horizontal="center" vertical="center" wrapText="1"/>
    </xf>
    <xf numFmtId="14" fontId="16" fillId="2" borderId="8" xfId="0" applyNumberFormat="1" applyFont="1" applyFill="1" applyBorder="1" applyAlignment="1">
      <alignment horizontal="left"/>
    </xf>
    <xf numFmtId="44" fontId="16" fillId="2" borderId="8" xfId="0" applyNumberFormat="1" applyFont="1" applyFill="1" applyBorder="1"/>
    <xf numFmtId="0" fontId="16" fillId="2" borderId="8" xfId="0" applyFont="1" applyFill="1" applyBorder="1" applyAlignment="1">
      <alignment horizontal="center" vertical="center"/>
    </xf>
    <xf numFmtId="14" fontId="18" fillId="2" borderId="1" xfId="0" applyNumberFormat="1" applyFont="1" applyFill="1" applyBorder="1" applyAlignment="1">
      <alignment horizontal="left"/>
    </xf>
    <xf numFmtId="0" fontId="18" fillId="2" borderId="1" xfId="0" applyFont="1" applyFill="1" applyBorder="1"/>
    <xf numFmtId="44" fontId="18" fillId="2" borderId="1" xfId="0" applyNumberFormat="1" applyFont="1" applyFill="1" applyBorder="1"/>
    <xf numFmtId="0" fontId="18" fillId="2" borderId="1" xfId="0" applyFont="1" applyFill="1" applyBorder="1" applyAlignment="1">
      <alignment horizontal="center" vertical="center"/>
    </xf>
    <xf numFmtId="44" fontId="1" fillId="0" borderId="6" xfId="0" applyNumberFormat="1" applyFont="1" applyBorder="1"/>
    <xf numFmtId="44" fontId="0" fillId="0" borderId="6" xfId="0" applyNumberFormat="1" applyBorder="1"/>
    <xf numFmtId="44" fontId="10" fillId="2" borderId="1" xfId="0" applyNumberFormat="1" applyFont="1" applyFill="1" applyBorder="1" applyAlignment="1">
      <alignment horizontal="right" vertical="center" wrapText="1"/>
    </xf>
    <xf numFmtId="44" fontId="0" fillId="0" borderId="1" xfId="0" applyNumberFormat="1" applyBorder="1" applyAlignment="1">
      <alignment horizontal="center"/>
    </xf>
    <xf numFmtId="44" fontId="1" fillId="11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14" fontId="16" fillId="2" borderId="6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6" fillId="2" borderId="6" xfId="0" applyFont="1" applyFill="1" applyBorder="1"/>
    <xf numFmtId="44" fontId="16" fillId="2" borderId="6" xfId="0" applyNumberFormat="1" applyFont="1" applyFill="1" applyBorder="1"/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 wrapText="1"/>
    </xf>
    <xf numFmtId="0" fontId="16" fillId="2" borderId="6" xfId="0" applyFont="1" applyFill="1" applyBorder="1" applyAlignment="1">
      <alignment horizontal="center"/>
    </xf>
    <xf numFmtId="0" fontId="16" fillId="3" borderId="6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horizontal="center"/>
    </xf>
    <xf numFmtId="0" fontId="20" fillId="3" borderId="3" xfId="0" applyFont="1" applyFill="1" applyBorder="1" applyAlignment="1">
      <alignment horizontal="left" vertical="center" wrapText="1"/>
    </xf>
    <xf numFmtId="44" fontId="7" fillId="3" borderId="5" xfId="0" applyNumberFormat="1" applyFont="1" applyFill="1" applyBorder="1" applyAlignment="1">
      <alignment horizontal="right" vertical="center" wrapText="1"/>
    </xf>
    <xf numFmtId="44" fontId="7" fillId="2" borderId="5" xfId="0" applyNumberFormat="1" applyFont="1" applyFill="1" applyBorder="1" applyAlignment="1">
      <alignment vertical="center"/>
    </xf>
    <xf numFmtId="44" fontId="7" fillId="3" borderId="25" xfId="0" applyNumberFormat="1" applyFont="1" applyFill="1" applyBorder="1" applyAlignment="1">
      <alignment horizontal="right" vertical="center" wrapText="1"/>
    </xf>
    <xf numFmtId="14" fontId="3" fillId="2" borderId="1" xfId="0" applyNumberFormat="1" applyFont="1" applyFill="1" applyBorder="1" applyAlignment="1">
      <alignment horizontal="left"/>
    </xf>
    <xf numFmtId="0" fontId="16" fillId="2" borderId="6" xfId="0" applyFont="1" applyFill="1" applyBorder="1" applyAlignment="1">
      <alignment wrapText="1"/>
    </xf>
    <xf numFmtId="0" fontId="16" fillId="2" borderId="6" xfId="0" applyFont="1" applyFill="1" applyBorder="1" applyAlignment="1">
      <alignment horizontal="center" vertical="center" wrapText="1"/>
    </xf>
    <xf numFmtId="44" fontId="14" fillId="2" borderId="1" xfId="0" applyNumberFormat="1" applyFont="1" applyFill="1" applyBorder="1"/>
    <xf numFmtId="44" fontId="16" fillId="2" borderId="14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horizontal="left" vertical="center" wrapText="1"/>
    </xf>
    <xf numFmtId="44" fontId="16" fillId="2" borderId="8" xfId="0" applyNumberFormat="1" applyFont="1" applyFill="1" applyBorder="1" applyAlignment="1">
      <alignment horizontal="right" vertical="center" wrapText="1"/>
    </xf>
    <xf numFmtId="44" fontId="7" fillId="2" borderId="14" xfId="0" applyNumberFormat="1" applyFont="1" applyFill="1" applyBorder="1" applyAlignment="1">
      <alignment horizontal="right" vertical="center" wrapText="1"/>
    </xf>
    <xf numFmtId="0" fontId="7" fillId="2" borderId="8" xfId="0" applyFont="1" applyFill="1" applyBorder="1" applyAlignment="1">
      <alignment horizontal="left" vertical="center" wrapText="1"/>
    </xf>
    <xf numFmtId="44" fontId="7" fillId="2" borderId="8" xfId="0" applyNumberFormat="1" applyFont="1" applyFill="1" applyBorder="1" applyAlignment="1">
      <alignment horizontal="right" vertical="center" wrapText="1"/>
    </xf>
    <xf numFmtId="0" fontId="33" fillId="3" borderId="1" xfId="0" applyFont="1" applyFill="1" applyBorder="1" applyAlignment="1">
      <alignment horizontal="left" vertical="center" wrapText="1"/>
    </xf>
    <xf numFmtId="14" fontId="7" fillId="17" borderId="1" xfId="0" applyNumberFormat="1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right" vertical="center" wrapText="1"/>
    </xf>
    <xf numFmtId="4" fontId="7" fillId="17" borderId="1" xfId="0" applyNumberFormat="1" applyFont="1" applyFill="1" applyBorder="1" applyAlignment="1">
      <alignment horizontal="center" vertical="center"/>
    </xf>
    <xf numFmtId="0" fontId="7" fillId="17" borderId="0" xfId="0" applyFont="1" applyFill="1"/>
    <xf numFmtId="14" fontId="7" fillId="18" borderId="1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vertical="center" wrapText="1"/>
    </xf>
    <xf numFmtId="0" fontId="7" fillId="18" borderId="1" xfId="0" applyFont="1" applyFill="1" applyBorder="1" applyAlignment="1">
      <alignment horizontal="left" wrapText="1"/>
    </xf>
    <xf numFmtId="0" fontId="7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14" fontId="33" fillId="2" borderId="1" xfId="0" applyNumberFormat="1" applyFont="1" applyFill="1" applyBorder="1" applyAlignment="1">
      <alignment horizontal="left" vertical="center" wrapText="1"/>
    </xf>
    <xf numFmtId="14" fontId="7" fillId="17" borderId="8" xfId="0" applyNumberFormat="1" applyFont="1" applyFill="1" applyBorder="1" applyAlignment="1">
      <alignment horizontal="left"/>
    </xf>
    <xf numFmtId="14" fontId="7" fillId="17" borderId="8" xfId="0" applyNumberFormat="1" applyFont="1" applyFill="1" applyBorder="1" applyAlignment="1">
      <alignment horizontal="left" vertical="center" wrapText="1"/>
    </xf>
    <xf numFmtId="44" fontId="7" fillId="17" borderId="8" xfId="0" applyNumberFormat="1" applyFont="1" applyFill="1" applyBorder="1"/>
    <xf numFmtId="14" fontId="20" fillId="18" borderId="1" xfId="0" applyNumberFormat="1" applyFont="1" applyFill="1" applyBorder="1" applyAlignment="1">
      <alignment horizontal="left" vertical="center" wrapText="1"/>
    </xf>
    <xf numFmtId="14" fontId="20" fillId="17" borderId="1" xfId="0" applyNumberFormat="1" applyFont="1" applyFill="1" applyBorder="1" applyAlignment="1">
      <alignment horizontal="left" vertical="center" wrapText="1"/>
    </xf>
    <xf numFmtId="0" fontId="20" fillId="17" borderId="0" xfId="0" applyFont="1" applyFill="1"/>
    <xf numFmtId="0" fontId="20" fillId="18" borderId="1" xfId="0" applyFont="1" applyFill="1" applyBorder="1" applyAlignment="1">
      <alignment horizontal="left" vertical="center" wrapText="1"/>
    </xf>
    <xf numFmtId="44" fontId="20" fillId="18" borderId="1" xfId="0" applyNumberFormat="1" applyFont="1" applyFill="1" applyBorder="1" applyAlignment="1">
      <alignment horizontal="right" vertical="center" wrapText="1"/>
    </xf>
    <xf numFmtId="0" fontId="33" fillId="2" borderId="1" xfId="0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center"/>
    </xf>
    <xf numFmtId="0" fontId="33" fillId="2" borderId="0" xfId="0" applyFont="1" applyFill="1" applyAlignment="1">
      <alignment horizontal="center" vertical="center"/>
    </xf>
    <xf numFmtId="14" fontId="18" fillId="2" borderId="1" xfId="0" applyNumberFormat="1" applyFont="1" applyFill="1" applyBorder="1" applyAlignment="1">
      <alignment horizontal="left" vertical="center"/>
    </xf>
    <xf numFmtId="0" fontId="18" fillId="2" borderId="1" xfId="0" applyFont="1" applyFill="1" applyBorder="1" applyAlignment="1">
      <alignment horizontal="left" vertical="center"/>
    </xf>
    <xf numFmtId="44" fontId="18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vertical="center" wrapText="1"/>
    </xf>
    <xf numFmtId="0" fontId="18" fillId="2" borderId="1" xfId="0" applyFont="1" applyFill="1" applyBorder="1" applyAlignment="1">
      <alignment vertical="center"/>
    </xf>
    <xf numFmtId="0" fontId="18" fillId="3" borderId="1" xfId="0" applyFont="1" applyFill="1" applyBorder="1" applyAlignment="1">
      <alignment horizontal="center" wrapText="1"/>
    </xf>
    <xf numFmtId="14" fontId="18" fillId="2" borderId="8" xfId="0" applyNumberFormat="1" applyFont="1" applyFill="1" applyBorder="1" applyAlignment="1">
      <alignment horizontal="left"/>
    </xf>
    <xf numFmtId="44" fontId="18" fillId="2" borderId="8" xfId="0" applyNumberFormat="1" applyFont="1" applyFill="1" applyBorder="1"/>
    <xf numFmtId="4" fontId="18" fillId="2" borderId="8" xfId="0" applyNumberFormat="1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wrapText="1"/>
    </xf>
    <xf numFmtId="44" fontId="18" fillId="3" borderId="2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/>
    </xf>
    <xf numFmtId="44" fontId="4" fillId="3" borderId="5" xfId="0" applyNumberFormat="1" applyFont="1" applyFill="1" applyBorder="1" applyAlignment="1">
      <alignment horizontal="right" vertical="center" wrapText="1"/>
    </xf>
    <xf numFmtId="44" fontId="18" fillId="3" borderId="25" xfId="0" applyNumberFormat="1" applyFont="1" applyFill="1" applyBorder="1" applyAlignment="1">
      <alignment horizontal="right" vertical="center" wrapText="1"/>
    </xf>
    <xf numFmtId="44" fontId="18" fillId="2" borderId="5" xfId="0" applyNumberFormat="1" applyFont="1" applyFill="1" applyBorder="1"/>
    <xf numFmtId="44" fontId="18" fillId="3" borderId="1" xfId="0" applyNumberFormat="1" applyFont="1" applyFill="1" applyBorder="1" applyAlignment="1">
      <alignment horizontal="center" wrapText="1"/>
    </xf>
    <xf numFmtId="0" fontId="18" fillId="2" borderId="3" xfId="0" applyFont="1" applyFill="1" applyBorder="1" applyAlignment="1">
      <alignment horizontal="left" vertical="center"/>
    </xf>
    <xf numFmtId="0" fontId="20" fillId="18" borderId="1" xfId="0" applyFont="1" applyFill="1" applyBorder="1" applyAlignment="1">
      <alignment horizontal="center" vertical="center" wrapText="1"/>
    </xf>
    <xf numFmtId="0" fontId="7" fillId="18" borderId="8" xfId="0" applyFont="1" applyFill="1" applyBorder="1" applyAlignment="1">
      <alignment horizontal="center" vertical="center" wrapText="1"/>
    </xf>
    <xf numFmtId="0" fontId="18" fillId="17" borderId="0" xfId="0" applyFont="1" applyFill="1"/>
    <xf numFmtId="0" fontId="3" fillId="3" borderId="1" xfId="0" applyFont="1" applyFill="1" applyBorder="1" applyAlignment="1">
      <alignment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44" fontId="3" fillId="2" borderId="1" xfId="0" applyNumberFormat="1" applyFont="1" applyFill="1" applyBorder="1"/>
    <xf numFmtId="4" fontId="16" fillId="2" borderId="5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14" fontId="3" fillId="2" borderId="1" xfId="0" applyNumberFormat="1" applyFont="1" applyFill="1" applyBorder="1" applyAlignment="1">
      <alignment horizontal="left" wrapText="1"/>
    </xf>
    <xf numFmtId="44" fontId="3" fillId="3" borderId="1" xfId="0" applyNumberFormat="1" applyFont="1" applyFill="1" applyBorder="1" applyAlignment="1">
      <alignment horizontal="right" wrapText="1"/>
    </xf>
    <xf numFmtId="0" fontId="7" fillId="17" borderId="1" xfId="0" applyFont="1" applyFill="1" applyBorder="1" applyAlignment="1">
      <alignment horizontal="left" vertical="center" wrapText="1"/>
    </xf>
    <xf numFmtId="0" fontId="7" fillId="17" borderId="3" xfId="0" applyFont="1" applyFill="1" applyBorder="1"/>
    <xf numFmtId="0" fontId="7" fillId="17" borderId="8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right" vertical="center" wrapText="1"/>
    </xf>
    <xf numFmtId="44" fontId="3" fillId="3" borderId="25" xfId="0" applyNumberFormat="1" applyFont="1" applyFill="1" applyBorder="1" applyAlignment="1">
      <alignment horizontal="right" vertical="center" wrapText="1"/>
    </xf>
    <xf numFmtId="0" fontId="37" fillId="3" borderId="1" xfId="0" applyFont="1" applyFill="1" applyBorder="1" applyAlignment="1">
      <alignment horizontal="center" vertical="center" wrapText="1"/>
    </xf>
    <xf numFmtId="14" fontId="16" fillId="2" borderId="6" xfId="0" applyNumberFormat="1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left"/>
    </xf>
    <xf numFmtId="164" fontId="7" fillId="3" borderId="1" xfId="0" applyNumberFormat="1" applyFont="1" applyFill="1" applyBorder="1" applyAlignment="1">
      <alignment horizontal="right" vertical="center" wrapText="1"/>
    </xf>
    <xf numFmtId="14" fontId="33" fillId="3" borderId="1" xfId="0" applyNumberFormat="1" applyFont="1" applyFill="1" applyBorder="1" applyAlignment="1">
      <alignment horizontal="left" vertical="center" wrapText="1"/>
    </xf>
    <xf numFmtId="44" fontId="16" fillId="3" borderId="2" xfId="0" applyNumberFormat="1" applyFont="1" applyFill="1" applyBorder="1" applyAlignment="1">
      <alignment horizontal="right" vertical="center" wrapText="1"/>
    </xf>
    <xf numFmtId="0" fontId="7" fillId="3" borderId="26" xfId="0" applyFont="1" applyFill="1" applyBorder="1" applyAlignment="1">
      <alignment horizontal="center" vertical="center" wrapText="1"/>
    </xf>
    <xf numFmtId="44" fontId="7" fillId="3" borderId="2" xfId="0" applyNumberFormat="1" applyFont="1" applyFill="1" applyBorder="1" applyAlignment="1">
      <alignment horizontal="right" vertical="center" wrapText="1"/>
    </xf>
    <xf numFmtId="4" fontId="7" fillId="2" borderId="5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 wrapText="1"/>
    </xf>
    <xf numFmtId="4" fontId="20" fillId="2" borderId="5" xfId="0" applyNumberFormat="1" applyFont="1" applyFill="1" applyBorder="1" applyAlignment="1">
      <alignment horizontal="center" vertical="center"/>
    </xf>
    <xf numFmtId="44" fontId="16" fillId="2" borderId="1" xfId="0" applyNumberFormat="1" applyFont="1" applyFill="1" applyBorder="1" applyAlignment="1">
      <alignment horizontal="center"/>
    </xf>
    <xf numFmtId="14" fontId="13" fillId="3" borderId="8" xfId="0" applyNumberFormat="1" applyFont="1" applyFill="1" applyBorder="1" applyAlignment="1">
      <alignment horizontal="left" vertical="center" wrapText="1"/>
    </xf>
    <xf numFmtId="44" fontId="13" fillId="3" borderId="5" xfId="0" applyNumberFormat="1" applyFont="1" applyFill="1" applyBorder="1" applyAlignment="1">
      <alignment horizontal="right" vertical="center" wrapText="1"/>
    </xf>
    <xf numFmtId="0" fontId="13" fillId="2" borderId="1" xfId="0" applyFont="1" applyFill="1" applyBorder="1"/>
    <xf numFmtId="44" fontId="13" fillId="2" borderId="5" xfId="0" applyNumberFormat="1" applyFont="1" applyFill="1" applyBorder="1"/>
    <xf numFmtId="0" fontId="13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/>
    </xf>
    <xf numFmtId="44" fontId="7" fillId="3" borderId="9" xfId="0" applyNumberFormat="1" applyFont="1" applyFill="1" applyBorder="1" applyAlignment="1">
      <alignment horizontal="right" vertical="center" wrapText="1"/>
    </xf>
    <xf numFmtId="0" fontId="20" fillId="18" borderId="5" xfId="0" applyFont="1" applyFill="1" applyBorder="1" applyAlignment="1">
      <alignment horizontal="center" vertical="center" wrapText="1"/>
    </xf>
    <xf numFmtId="0" fontId="7" fillId="17" borderId="8" xfId="0" applyFont="1" applyFill="1" applyBorder="1" applyAlignment="1">
      <alignment wrapText="1"/>
    </xf>
    <xf numFmtId="0" fontId="7" fillId="17" borderId="8" xfId="0" applyFont="1" applyFill="1" applyBorder="1" applyAlignment="1">
      <alignment vertical="center"/>
    </xf>
    <xf numFmtId="0" fontId="16" fillId="2" borderId="8" xfId="0" applyFont="1" applyFill="1" applyBorder="1" applyAlignment="1">
      <alignment wrapText="1"/>
    </xf>
    <xf numFmtId="44" fontId="3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 applyAlignment="1">
      <alignment horizontal="right" vertical="center" wrapText="1"/>
    </xf>
    <xf numFmtId="0" fontId="7" fillId="18" borderId="1" xfId="0" applyFont="1" applyFill="1" applyBorder="1" applyAlignment="1">
      <alignment horizontal="left" vertical="center" wrapText="1"/>
    </xf>
    <xf numFmtId="44" fontId="7" fillId="18" borderId="5" xfId="0" applyNumberFormat="1" applyFont="1" applyFill="1" applyBorder="1" applyAlignment="1">
      <alignment horizontal="right" vertical="center" wrapText="1"/>
    </xf>
    <xf numFmtId="44" fontId="20" fillId="18" borderId="5" xfId="0" applyNumberFormat="1" applyFont="1" applyFill="1" applyBorder="1" applyAlignment="1">
      <alignment horizontal="right" vertical="center" wrapText="1"/>
    </xf>
    <xf numFmtId="44" fontId="16" fillId="3" borderId="5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vertical="center" wrapText="1"/>
    </xf>
    <xf numFmtId="44" fontId="7" fillId="18" borderId="1" xfId="0" applyNumberFormat="1" applyFont="1" applyFill="1" applyBorder="1" applyAlignment="1">
      <alignment horizontal="center" vertical="center" wrapText="1"/>
    </xf>
    <xf numFmtId="44" fontId="7" fillId="18" borderId="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/>
    </xf>
    <xf numFmtId="0" fontId="7" fillId="17" borderId="1" xfId="0" applyFont="1" applyFill="1" applyBorder="1"/>
    <xf numFmtId="44" fontId="7" fillId="17" borderId="1" xfId="0" applyNumberFormat="1" applyFont="1" applyFill="1" applyBorder="1" applyAlignment="1">
      <alignment horizontal="center"/>
    </xf>
    <xf numFmtId="44" fontId="7" fillId="18" borderId="25" xfId="0" applyNumberFormat="1" applyFont="1" applyFill="1" applyBorder="1" applyAlignment="1">
      <alignment horizontal="center" vertical="center" wrapText="1"/>
    </xf>
    <xf numFmtId="44" fontId="13" fillId="18" borderId="1" xfId="0" applyNumberFormat="1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left" vertical="center" wrapText="1"/>
    </xf>
    <xf numFmtId="0" fontId="13" fillId="17" borderId="0" xfId="0" applyFont="1" applyFill="1"/>
    <xf numFmtId="44" fontId="20" fillId="18" borderId="5" xfId="0" applyNumberFormat="1" applyFont="1" applyFill="1" applyBorder="1" applyAlignment="1">
      <alignment horizontal="center" vertical="center" wrapText="1"/>
    </xf>
    <xf numFmtId="44" fontId="7" fillId="17" borderId="1" xfId="0" applyNumberFormat="1" applyFont="1" applyFill="1" applyBorder="1" applyAlignment="1">
      <alignment horizontal="center" vertical="center"/>
    </xf>
    <xf numFmtId="14" fontId="7" fillId="18" borderId="8" xfId="0" applyNumberFormat="1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wrapText="1"/>
    </xf>
    <xf numFmtId="0" fontId="16" fillId="3" borderId="1" xfId="0" applyFont="1" applyFill="1" applyBorder="1" applyAlignment="1">
      <alignment wrapText="1"/>
    </xf>
    <xf numFmtId="44" fontId="16" fillId="3" borderId="1" xfId="0" applyNumberFormat="1" applyFont="1" applyFill="1" applyBorder="1" applyAlignment="1">
      <alignment horizontal="center" vertical="center" wrapText="1"/>
    </xf>
    <xf numFmtId="44" fontId="16" fillId="3" borderId="5" xfId="0" applyNumberFormat="1" applyFont="1" applyFill="1" applyBorder="1" applyAlignment="1">
      <alignment horizontal="center" vertical="center" wrapText="1"/>
    </xf>
    <xf numFmtId="44" fontId="3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44" fontId="16" fillId="3" borderId="25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/>
    </xf>
    <xf numFmtId="0" fontId="20" fillId="17" borderId="1" xfId="0" applyFont="1" applyFill="1" applyBorder="1" applyAlignment="1">
      <alignment horizontal="left" vertical="center"/>
    </xf>
    <xf numFmtId="44" fontId="20" fillId="18" borderId="1" xfId="0" applyNumberFormat="1" applyFont="1" applyFill="1" applyBorder="1" applyAlignment="1">
      <alignment horizontal="center" vertical="center" wrapText="1"/>
    </xf>
    <xf numFmtId="4" fontId="20" fillId="17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/>
    </xf>
    <xf numFmtId="44" fontId="7" fillId="18" borderId="1" xfId="0" applyNumberFormat="1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vertical="center" wrapText="1"/>
    </xf>
    <xf numFmtId="44" fontId="16" fillId="3" borderId="1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left" vertical="center" wrapText="1"/>
    </xf>
    <xf numFmtId="44" fontId="16" fillId="2" borderId="5" xfId="0" applyNumberFormat="1" applyFont="1" applyFill="1" applyBorder="1" applyAlignment="1">
      <alignment horizontal="right" vertical="center" wrapText="1"/>
    </xf>
    <xf numFmtId="14" fontId="7" fillId="17" borderId="1" xfId="0" applyNumberFormat="1" applyFont="1" applyFill="1" applyBorder="1" applyAlignment="1">
      <alignment horizontal="left" vertical="center"/>
    </xf>
    <xf numFmtId="44" fontId="7" fillId="17" borderId="1" xfId="0" applyNumberFormat="1" applyFont="1" applyFill="1" applyBorder="1" applyAlignment="1">
      <alignment vertical="center"/>
    </xf>
    <xf numFmtId="44" fontId="7" fillId="17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 applyAlignment="1">
      <alignment vertical="center"/>
    </xf>
    <xf numFmtId="44" fontId="16" fillId="2" borderId="5" xfId="0" applyNumberFormat="1" applyFont="1" applyFill="1" applyBorder="1"/>
    <xf numFmtId="14" fontId="3" fillId="2" borderId="1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44" fontId="7" fillId="17" borderId="1" xfId="0" applyNumberFormat="1" applyFont="1" applyFill="1" applyBorder="1"/>
    <xf numFmtId="0" fontId="4" fillId="3" borderId="1" xfId="0" applyFont="1" applyFill="1" applyBorder="1" applyAlignment="1">
      <alignment horizontal="left" wrapText="1"/>
    </xf>
    <xf numFmtId="0" fontId="16" fillId="17" borderId="0" xfId="0" applyFont="1" applyFill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3" fillId="2" borderId="1" xfId="0" applyFont="1" applyFill="1" applyBorder="1"/>
    <xf numFmtId="4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44" fontId="39" fillId="0" borderId="1" xfId="0" applyNumberFormat="1" applyFont="1" applyBorder="1"/>
    <xf numFmtId="14" fontId="7" fillId="17" borderId="8" xfId="0" applyNumberFormat="1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wrapText="1"/>
    </xf>
    <xf numFmtId="44" fontId="18" fillId="2" borderId="5" xfId="0" applyNumberFormat="1" applyFont="1" applyFill="1" applyBorder="1" applyAlignment="1">
      <alignment vertical="center"/>
    </xf>
    <xf numFmtId="44" fontId="4" fillId="3" borderId="25" xfId="0" applyNumberFormat="1" applyFont="1" applyFill="1" applyBorder="1" applyAlignment="1">
      <alignment horizontal="right" vertical="center" wrapText="1"/>
    </xf>
    <xf numFmtId="14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8" xfId="0" applyNumberFormat="1" applyFont="1" applyFill="1" applyBorder="1" applyAlignment="1">
      <alignment horizontal="left" vertical="center"/>
    </xf>
    <xf numFmtId="44" fontId="4" fillId="3" borderId="26" xfId="0" applyNumberFormat="1" applyFont="1" applyFill="1" applyBorder="1" applyAlignment="1">
      <alignment horizontal="right" vertical="center" wrapText="1"/>
    </xf>
    <xf numFmtId="4" fontId="4" fillId="2" borderId="8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4" fontId="18" fillId="2" borderId="1" xfId="0" applyNumberFormat="1" applyFont="1" applyFill="1" applyBorder="1" applyAlignment="1">
      <alignment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wrapText="1"/>
    </xf>
    <xf numFmtId="44" fontId="4" fillId="3" borderId="2" xfId="0" applyNumberFormat="1" applyFont="1" applyFill="1" applyBorder="1" applyAlignment="1">
      <alignment horizontal="right" vertical="center" wrapText="1"/>
    </xf>
    <xf numFmtId="0" fontId="18" fillId="2" borderId="1" xfId="0" applyFont="1" applyFill="1" applyBorder="1" applyAlignment="1">
      <alignment wrapText="1"/>
    </xf>
    <xf numFmtId="14" fontId="4" fillId="2" borderId="6" xfId="0" applyNumberFormat="1" applyFont="1" applyFill="1" applyBorder="1" applyAlignment="1">
      <alignment horizontal="left" vertical="center"/>
    </xf>
    <xf numFmtId="0" fontId="4" fillId="2" borderId="6" xfId="0" applyFont="1" applyFill="1" applyBorder="1"/>
    <xf numFmtId="0" fontId="18" fillId="3" borderId="1" xfId="0" applyFont="1" applyFill="1" applyBorder="1" applyAlignment="1">
      <alignment horizontal="left" wrapText="1"/>
    </xf>
    <xf numFmtId="0" fontId="16" fillId="3" borderId="6" xfId="0" applyFont="1" applyFill="1" applyBorder="1" applyAlignment="1">
      <alignment horizontal="left" wrapText="1"/>
    </xf>
    <xf numFmtId="0" fontId="16" fillId="2" borderId="8" xfId="0" applyFont="1" applyFill="1" applyBorder="1"/>
    <xf numFmtId="44" fontId="16" fillId="2" borderId="5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horizontal="left" vertical="center" wrapText="1"/>
    </xf>
    <xf numFmtId="44" fontId="7" fillId="4" borderId="1" xfId="0" applyNumberFormat="1" applyFont="1" applyFill="1" applyBorder="1" applyAlignment="1">
      <alignment horizontal="right" vertical="center" wrapText="1"/>
    </xf>
    <xf numFmtId="0" fontId="7" fillId="4" borderId="2" xfId="0" applyFont="1" applyFill="1" applyBorder="1" applyAlignment="1">
      <alignment horizontal="left" vertical="center" wrapText="1"/>
    </xf>
    <xf numFmtId="14" fontId="3" fillId="2" borderId="6" xfId="0" applyNumberFormat="1" applyFont="1" applyFill="1" applyBorder="1" applyAlignment="1">
      <alignment horizontal="left" vertical="center"/>
    </xf>
    <xf numFmtId="14" fontId="36" fillId="2" borderId="6" xfId="0" applyNumberFormat="1" applyFont="1" applyFill="1" applyBorder="1" applyAlignment="1">
      <alignment horizontal="left" vertical="center"/>
    </xf>
    <xf numFmtId="0" fontId="3" fillId="3" borderId="29" xfId="0" applyFont="1" applyFill="1" applyBorder="1" applyAlignment="1">
      <alignment horizontal="left" vertical="center" wrapText="1"/>
    </xf>
    <xf numFmtId="14" fontId="36" fillId="2" borderId="1" xfId="0" applyNumberFormat="1" applyFont="1" applyFill="1" applyBorder="1" applyAlignment="1">
      <alignment horizontal="left" vertical="center"/>
    </xf>
    <xf numFmtId="14" fontId="3" fillId="2" borderId="8" xfId="0" applyNumberFormat="1" applyFont="1" applyFill="1" applyBorder="1" applyAlignment="1">
      <alignment horizontal="left" vertical="center"/>
    </xf>
    <xf numFmtId="14" fontId="36" fillId="2" borderId="8" xfId="0" applyNumberFormat="1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 wrapText="1"/>
    </xf>
    <xf numFmtId="44" fontId="3" fillId="3" borderId="8" xfId="0" applyNumberFormat="1" applyFont="1" applyFill="1" applyBorder="1" applyAlignment="1">
      <alignment horizontal="right" vertical="center" wrapText="1"/>
    </xf>
    <xf numFmtId="4" fontId="3" fillId="2" borderId="8" xfId="0" applyNumberFormat="1" applyFont="1" applyFill="1" applyBorder="1" applyAlignment="1">
      <alignment horizontal="center" vertical="center"/>
    </xf>
    <xf numFmtId="44" fontId="17" fillId="3" borderId="2" xfId="0" applyNumberFormat="1" applyFont="1" applyFill="1" applyBorder="1" applyAlignment="1">
      <alignment horizontal="right" vertical="center" wrapText="1"/>
    </xf>
    <xf numFmtId="44" fontId="7" fillId="3" borderId="28" xfId="0" applyNumberFormat="1" applyFont="1" applyFill="1" applyBorder="1" applyAlignment="1">
      <alignment horizontal="right" vertical="center" wrapText="1"/>
    </xf>
    <xf numFmtId="165" fontId="17" fillId="3" borderId="2" xfId="0" applyNumberFormat="1" applyFont="1" applyFill="1" applyBorder="1" applyAlignment="1">
      <alignment horizontal="right" vertical="center" wrapText="1"/>
    </xf>
    <xf numFmtId="0" fontId="7" fillId="18" borderId="3" xfId="0" applyFont="1" applyFill="1" applyBorder="1" applyAlignment="1">
      <alignment horizontal="left" wrapText="1"/>
    </xf>
    <xf numFmtId="44" fontId="7" fillId="18" borderId="2" xfId="0" applyNumberFormat="1" applyFont="1" applyFill="1" applyBorder="1" applyAlignment="1">
      <alignment horizontal="right" vertical="center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29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4" xfId="0" applyFont="1" applyFill="1" applyBorder="1" applyAlignment="1">
      <alignment horizontal="left" vertical="center" wrapText="1"/>
    </xf>
    <xf numFmtId="14" fontId="7" fillId="2" borderId="1" xfId="0" applyNumberFormat="1" applyFont="1" applyFill="1" applyBorder="1" applyAlignment="1">
      <alignment horizontal="left" wrapText="1"/>
    </xf>
    <xf numFmtId="44" fontId="7" fillId="3" borderId="1" xfId="0" applyNumberFormat="1" applyFont="1" applyFill="1" applyBorder="1" applyAlignment="1">
      <alignment horizontal="right" wrapText="1"/>
    </xf>
    <xf numFmtId="44" fontId="7" fillId="18" borderId="25" xfId="0" applyNumberFormat="1" applyFont="1" applyFill="1" applyBorder="1" applyAlignment="1">
      <alignment horizontal="right" vertical="center" wrapText="1"/>
    </xf>
    <xf numFmtId="0" fontId="7" fillId="18" borderId="2" xfId="0" applyFont="1" applyFill="1" applyBorder="1" applyAlignment="1">
      <alignment horizontal="center" vertical="center" wrapText="1"/>
    </xf>
    <xf numFmtId="44" fontId="7" fillId="18" borderId="8" xfId="0" applyNumberFormat="1" applyFont="1" applyFill="1" applyBorder="1" applyAlignment="1">
      <alignment horizontal="right" vertical="center" wrapText="1"/>
    </xf>
    <xf numFmtId="44" fontId="16" fillId="3" borderId="31" xfId="0" applyNumberFormat="1" applyFont="1" applyFill="1" applyBorder="1" applyAlignment="1">
      <alignment horizontal="right" vertical="center" wrapText="1"/>
    </xf>
    <xf numFmtId="0" fontId="7" fillId="19" borderId="1" xfId="0" applyFont="1" applyFill="1" applyBorder="1" applyAlignment="1">
      <alignment horizontal="left" vertical="center" wrapText="1"/>
    </xf>
    <xf numFmtId="44" fontId="7" fillId="19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44" fontId="18" fillId="2" borderId="0" xfId="0" applyNumberFormat="1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44" fontId="18" fillId="2" borderId="1" xfId="0" applyNumberFormat="1" applyFont="1" applyFill="1" applyBorder="1" applyAlignment="1">
      <alignment horizontal="center"/>
    </xf>
    <xf numFmtId="44" fontId="7" fillId="2" borderId="5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44" fontId="7" fillId="2" borderId="5" xfId="0" applyNumberFormat="1" applyFont="1" applyFill="1" applyBorder="1" applyAlignment="1">
      <alignment horizontal="center" vertical="center"/>
    </xf>
    <xf numFmtId="44" fontId="7" fillId="3" borderId="26" xfId="0" applyNumberFormat="1" applyFont="1" applyFill="1" applyBorder="1" applyAlignment="1">
      <alignment horizontal="right" vertical="center" wrapText="1"/>
    </xf>
    <xf numFmtId="0" fontId="7" fillId="3" borderId="4" xfId="0" applyFont="1" applyFill="1" applyBorder="1" applyAlignment="1">
      <alignment horizontal="left" vertical="center" wrapText="1"/>
    </xf>
    <xf numFmtId="44" fontId="25" fillId="3" borderId="1" xfId="0" applyNumberFormat="1" applyFont="1" applyFill="1" applyBorder="1" applyAlignment="1">
      <alignment horizontal="right" vertical="center" wrapText="1"/>
    </xf>
    <xf numFmtId="14" fontId="13" fillId="2" borderId="1" xfId="0" applyNumberFormat="1" applyFont="1" applyFill="1" applyBorder="1" applyAlignment="1">
      <alignment horizontal="left" vertical="center"/>
    </xf>
    <xf numFmtId="0" fontId="7" fillId="12" borderId="1" xfId="0" applyFont="1" applyFill="1" applyBorder="1"/>
    <xf numFmtId="44" fontId="7" fillId="12" borderId="1" xfId="0" applyNumberFormat="1" applyFont="1" applyFill="1" applyBorder="1" applyAlignment="1">
      <alignment vertical="center"/>
    </xf>
    <xf numFmtId="0" fontId="7" fillId="17" borderId="1" xfId="0" applyFont="1" applyFill="1" applyBorder="1" applyAlignment="1">
      <alignment horizontal="left"/>
    </xf>
    <xf numFmtId="0" fontId="16" fillId="17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left" vertical="center" wrapText="1"/>
    </xf>
    <xf numFmtId="44" fontId="7" fillId="17" borderId="0" xfId="0" applyNumberFormat="1" applyFont="1" applyFill="1" applyAlignment="1">
      <alignment horizontal="center" vertical="center"/>
    </xf>
    <xf numFmtId="0" fontId="7" fillId="18" borderId="8" xfId="0" applyFont="1" applyFill="1" applyBorder="1" applyAlignment="1">
      <alignment vertical="center" wrapText="1"/>
    </xf>
    <xf numFmtId="44" fontId="10" fillId="18" borderId="1" xfId="0" applyNumberFormat="1" applyFont="1" applyFill="1" applyBorder="1" applyAlignment="1">
      <alignment horizontal="right" vertical="center" wrapText="1"/>
    </xf>
    <xf numFmtId="0" fontId="16" fillId="3" borderId="4" xfId="0" applyFont="1" applyFill="1" applyBorder="1" applyAlignment="1">
      <alignment horizontal="left" vertical="center" wrapText="1"/>
    </xf>
    <xf numFmtId="44" fontId="16" fillId="2" borderId="0" xfId="0" applyNumberFormat="1" applyFont="1" applyFill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/>
    </xf>
    <xf numFmtId="14" fontId="16" fillId="2" borderId="8" xfId="0" applyNumberFormat="1" applyFont="1" applyFill="1" applyBorder="1" applyAlignment="1">
      <alignment horizontal="left" vertical="center"/>
    </xf>
    <xf numFmtId="0" fontId="16" fillId="3" borderId="8" xfId="0" applyFont="1" applyFill="1" applyBorder="1" applyAlignment="1">
      <alignment vertical="center" wrapText="1"/>
    </xf>
    <xf numFmtId="44" fontId="14" fillId="0" borderId="6" xfId="0" applyNumberFormat="1" applyFont="1" applyBorder="1"/>
    <xf numFmtId="14" fontId="7" fillId="17" borderId="1" xfId="0" applyNumberFormat="1" applyFont="1" applyFill="1" applyBorder="1" applyAlignment="1">
      <alignment horizontal="left"/>
    </xf>
    <xf numFmtId="44" fontId="4" fillId="0" borderId="0" xfId="0" applyNumberFormat="1" applyFont="1"/>
    <xf numFmtId="0" fontId="7" fillId="17" borderId="3" xfId="0" applyFont="1" applyFill="1" applyBorder="1" applyAlignment="1">
      <alignment vertical="center"/>
    </xf>
    <xf numFmtId="0" fontId="7" fillId="18" borderId="8" xfId="0" applyFont="1" applyFill="1" applyBorder="1" applyAlignment="1">
      <alignment horizontal="left" vertical="center" wrapText="1"/>
    </xf>
    <xf numFmtId="4" fontId="7" fillId="17" borderId="8" xfId="0" applyNumberFormat="1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wrapText="1"/>
    </xf>
    <xf numFmtId="14" fontId="7" fillId="8" borderId="1" xfId="0" applyNumberFormat="1" applyFont="1" applyFill="1" applyBorder="1" applyAlignment="1">
      <alignment horizontal="left"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/>
    <xf numFmtId="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wrapText="1"/>
    </xf>
    <xf numFmtId="14" fontId="10" fillId="17" borderId="1" xfId="0" applyNumberFormat="1" applyFont="1" applyFill="1" applyBorder="1" applyAlignment="1">
      <alignment horizontal="left" vertical="center"/>
    </xf>
    <xf numFmtId="0" fontId="10" fillId="17" borderId="0" xfId="0" applyFont="1" applyFill="1"/>
    <xf numFmtId="0" fontId="40" fillId="5" borderId="14" xfId="0" applyFont="1" applyFill="1" applyBorder="1" applyAlignment="1">
      <alignment horizontal="left" vertical="center" wrapText="1"/>
    </xf>
    <xf numFmtId="0" fontId="40" fillId="5" borderId="14" xfId="0" applyFont="1" applyFill="1" applyBorder="1" applyAlignment="1">
      <alignment horizontal="center" vertical="center" wrapText="1"/>
    </xf>
    <xf numFmtId="0" fontId="40" fillId="5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center" vertical="center" wrapText="1"/>
    </xf>
    <xf numFmtId="0" fontId="40" fillId="16" borderId="14" xfId="0" applyFont="1" applyFill="1" applyBorder="1" applyAlignment="1">
      <alignment horizontal="left" vertical="center"/>
    </xf>
    <xf numFmtId="0" fontId="40" fillId="16" borderId="14" xfId="0" applyFont="1" applyFill="1" applyBorder="1" applyAlignment="1">
      <alignment horizontal="left" vertical="center" wrapText="1"/>
    </xf>
    <xf numFmtId="44" fontId="7" fillId="17" borderId="1" xfId="0" applyNumberFormat="1" applyFont="1" applyFill="1" applyBorder="1" applyAlignment="1">
      <alignment horizontal="right" vertical="center" wrapText="1"/>
    </xf>
    <xf numFmtId="14" fontId="7" fillId="17" borderId="6" xfId="0" applyNumberFormat="1" applyFont="1" applyFill="1" applyBorder="1" applyAlignment="1">
      <alignment horizontal="left" vertical="center"/>
    </xf>
    <xf numFmtId="0" fontId="7" fillId="17" borderId="6" xfId="0" applyFont="1" applyFill="1" applyBorder="1" applyAlignment="1">
      <alignment vertical="center"/>
    </xf>
    <xf numFmtId="0" fontId="7" fillId="17" borderId="6" xfId="0" applyFont="1" applyFill="1" applyBorder="1"/>
    <xf numFmtId="0" fontId="10" fillId="18" borderId="8" xfId="0" applyFont="1" applyFill="1" applyBorder="1" applyAlignment="1">
      <alignment horizontal="left" vertical="center" wrapText="1"/>
    </xf>
    <xf numFmtId="44" fontId="10" fillId="18" borderId="8" xfId="0" applyNumberFormat="1" applyFont="1" applyFill="1" applyBorder="1" applyAlignment="1">
      <alignment horizontal="right" vertical="center" wrapText="1"/>
    </xf>
    <xf numFmtId="164" fontId="7" fillId="3" borderId="8" xfId="0" applyNumberFormat="1" applyFont="1" applyFill="1" applyBorder="1" applyAlignment="1">
      <alignment horizontal="righ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10" fillId="4" borderId="6" xfId="0" applyFont="1" applyFill="1" applyBorder="1" applyAlignment="1">
      <alignment horizontal="left" vertical="center" wrapText="1"/>
    </xf>
    <xf numFmtId="164" fontId="10" fillId="4" borderId="6" xfId="0" applyNumberFormat="1" applyFont="1" applyFill="1" applyBorder="1" applyAlignment="1">
      <alignment horizontal="right" vertical="center" wrapText="1"/>
    </xf>
    <xf numFmtId="164" fontId="7" fillId="18" borderId="1" xfId="0" applyNumberFormat="1" applyFont="1" applyFill="1" applyBorder="1" applyAlignment="1">
      <alignment horizontal="right" vertical="center" wrapText="1"/>
    </xf>
    <xf numFmtId="0" fontId="7" fillId="17" borderId="3" xfId="0" applyFont="1" applyFill="1" applyBorder="1" applyAlignment="1">
      <alignment horizontal="left" vertical="center" wrapText="1"/>
    </xf>
    <xf numFmtId="0" fontId="7" fillId="18" borderId="11" xfId="0" applyFont="1" applyFill="1" applyBorder="1" applyAlignment="1">
      <alignment horizontal="left" vertical="center" wrapText="1"/>
    </xf>
    <xf numFmtId="0" fontId="7" fillId="18" borderId="8" xfId="0" applyFont="1" applyFill="1" applyBorder="1" applyAlignment="1">
      <alignment horizontal="left" wrapText="1"/>
    </xf>
    <xf numFmtId="164" fontId="7" fillId="18" borderId="8" xfId="0" applyNumberFormat="1" applyFont="1" applyFill="1" applyBorder="1" applyAlignment="1">
      <alignment horizontal="right" vertical="center" wrapText="1"/>
    </xf>
    <xf numFmtId="0" fontId="7" fillId="18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44" fontId="1" fillId="20" borderId="1" xfId="0" applyNumberFormat="1" applyFont="1" applyFill="1" applyBorder="1"/>
    <xf numFmtId="44" fontId="33" fillId="2" borderId="0" xfId="0" applyNumberFormat="1" applyFont="1" applyFill="1" applyAlignment="1">
      <alignment horizontal="center"/>
    </xf>
    <xf numFmtId="44" fontId="7" fillId="8" borderId="1" xfId="0" applyNumberFormat="1" applyFont="1" applyFill="1" applyBorder="1" applyAlignment="1">
      <alignment vertical="center"/>
    </xf>
    <xf numFmtId="4" fontId="7" fillId="17" borderId="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 wrapText="1"/>
    </xf>
    <xf numFmtId="14" fontId="7" fillId="18" borderId="6" xfId="0" applyNumberFormat="1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vertical="center" wrapText="1"/>
    </xf>
    <xf numFmtId="44" fontId="7" fillId="18" borderId="6" xfId="0" applyNumberFormat="1" applyFont="1" applyFill="1" applyBorder="1" applyAlignment="1">
      <alignment horizontal="right" vertical="center" wrapText="1"/>
    </xf>
    <xf numFmtId="0" fontId="16" fillId="2" borderId="8" xfId="0" applyFont="1" applyFill="1" applyBorder="1" applyAlignment="1">
      <alignment vertical="center"/>
    </xf>
    <xf numFmtId="0" fontId="7" fillId="17" borderId="6" xfId="0" applyFont="1" applyFill="1" applyBorder="1" applyAlignment="1">
      <alignment horizontal="center" vertical="center"/>
    </xf>
    <xf numFmtId="0" fontId="32" fillId="17" borderId="0" xfId="0" applyFont="1" applyFill="1"/>
    <xf numFmtId="44" fontId="7" fillId="21" borderId="1" xfId="0" applyNumberFormat="1" applyFont="1" applyFill="1" applyBorder="1"/>
    <xf numFmtId="44" fontId="16" fillId="6" borderId="1" xfId="0" applyNumberFormat="1" applyFont="1" applyFill="1" applyBorder="1"/>
    <xf numFmtId="0" fontId="7" fillId="18" borderId="29" xfId="0" applyFont="1" applyFill="1" applyBorder="1" applyAlignment="1">
      <alignment horizontal="left" vertical="center" wrapText="1"/>
    </xf>
    <xf numFmtId="0" fontId="7" fillId="18" borderId="28" xfId="0" applyFont="1" applyFill="1" applyBorder="1" applyAlignment="1">
      <alignment horizontal="left" vertical="center" wrapText="1"/>
    </xf>
    <xf numFmtId="0" fontId="16" fillId="6" borderId="1" xfId="0" applyFont="1" applyFill="1" applyBorder="1" applyAlignment="1">
      <alignment vertical="center" wrapText="1"/>
    </xf>
    <xf numFmtId="44" fontId="16" fillId="6" borderId="1" xfId="0" applyNumberFormat="1" applyFont="1" applyFill="1" applyBorder="1" applyAlignment="1">
      <alignment horizontal="center" vertical="center" wrapText="1"/>
    </xf>
    <xf numFmtId="44" fontId="1" fillId="2" borderId="1" xfId="0" applyNumberFormat="1" applyFont="1" applyFill="1" applyBorder="1"/>
    <xf numFmtId="14" fontId="10" fillId="18" borderId="1" xfId="0" applyNumberFormat="1" applyFont="1" applyFill="1" applyBorder="1" applyAlignment="1">
      <alignment horizontal="left" vertical="center" wrapText="1"/>
    </xf>
    <xf numFmtId="14" fontId="10" fillId="17" borderId="1" xfId="0" applyNumberFormat="1" applyFont="1" applyFill="1" applyBorder="1" applyAlignment="1">
      <alignment horizontal="left" vertical="center" wrapText="1"/>
    </xf>
    <xf numFmtId="0" fontId="10" fillId="18" borderId="3" xfId="0" applyFont="1" applyFill="1" applyBorder="1" applyAlignment="1">
      <alignment horizontal="left" vertical="center" wrapText="1"/>
    </xf>
    <xf numFmtId="0" fontId="10" fillId="18" borderId="4" xfId="0" applyFont="1" applyFill="1" applyBorder="1" applyAlignment="1">
      <alignment horizontal="left" vertical="center" wrapText="1"/>
    </xf>
    <xf numFmtId="4" fontId="10" fillId="17" borderId="1" xfId="0" applyNumberFormat="1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vertical="center" wrapText="1"/>
    </xf>
    <xf numFmtId="44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0" fontId="5" fillId="2" borderId="1" xfId="0" applyFont="1" applyFill="1" applyBorder="1"/>
    <xf numFmtId="0" fontId="7" fillId="18" borderId="3" xfId="0" applyFont="1" applyFill="1" applyBorder="1" applyAlignment="1">
      <alignment vertical="center" wrapText="1"/>
    </xf>
    <xf numFmtId="0" fontId="7" fillId="18" borderId="30" xfId="0" applyFont="1" applyFill="1" applyBorder="1" applyAlignment="1">
      <alignment horizontal="left" vertical="center" wrapText="1"/>
    </xf>
    <xf numFmtId="0" fontId="10" fillId="18" borderId="1" xfId="0" applyFont="1" applyFill="1" applyBorder="1" applyAlignment="1">
      <alignment vertical="center" wrapText="1"/>
    </xf>
    <xf numFmtId="0" fontId="10" fillId="18" borderId="1" xfId="0" applyFont="1" applyFill="1" applyBorder="1" applyAlignment="1">
      <alignment horizontal="left" wrapText="1"/>
    </xf>
    <xf numFmtId="0" fontId="20" fillId="18" borderId="1" xfId="0" applyFont="1" applyFill="1" applyBorder="1" applyAlignment="1">
      <alignment horizontal="left" wrapText="1"/>
    </xf>
    <xf numFmtId="0" fontId="10" fillId="17" borderId="1" xfId="0" applyFont="1" applyFill="1" applyBorder="1" applyAlignment="1">
      <alignment horizontal="center" vertical="center"/>
    </xf>
    <xf numFmtId="14" fontId="7" fillId="15" borderId="1" xfId="0" applyNumberFormat="1" applyFont="1" applyFill="1" applyBorder="1" applyAlignment="1">
      <alignment horizontal="left" vertical="center" wrapText="1"/>
    </xf>
    <xf numFmtId="44" fontId="7" fillId="17" borderId="6" xfId="0" applyNumberFormat="1" applyFont="1" applyFill="1" applyBorder="1"/>
    <xf numFmtId="0" fontId="7" fillId="15" borderId="1" xfId="0" applyFont="1" applyFill="1" applyBorder="1" applyAlignment="1">
      <alignment horizontal="center" wrapText="1"/>
    </xf>
    <xf numFmtId="44" fontId="16" fillId="2" borderId="7" xfId="0" applyNumberFormat="1" applyFont="1" applyFill="1" applyBorder="1"/>
    <xf numFmtId="44" fontId="32" fillId="17" borderId="1" xfId="0" applyNumberFormat="1" applyFont="1" applyFill="1" applyBorder="1"/>
    <xf numFmtId="44" fontId="14" fillId="17" borderId="1" xfId="0" applyNumberFormat="1" applyFont="1" applyFill="1" applyBorder="1"/>
    <xf numFmtId="44" fontId="33" fillId="2" borderId="1" xfId="0" applyNumberFormat="1" applyFont="1" applyFill="1" applyBorder="1" applyAlignment="1">
      <alignment horizontal="center"/>
    </xf>
    <xf numFmtId="14" fontId="16" fillId="3" borderId="1" xfId="0" applyNumberFormat="1" applyFont="1" applyFill="1" applyBorder="1" applyAlignment="1">
      <alignment horizontal="left" vertical="top" wrapText="1"/>
    </xf>
    <xf numFmtId="44" fontId="16" fillId="3" borderId="27" xfId="0" applyNumberFormat="1" applyFont="1" applyFill="1" applyBorder="1" applyAlignment="1">
      <alignment horizontal="right" vertical="center" wrapText="1"/>
    </xf>
    <xf numFmtId="44" fontId="16" fillId="3" borderId="25" xfId="0" applyNumberFormat="1" applyFont="1" applyFill="1" applyBorder="1" applyAlignment="1">
      <alignment horizontal="right" vertical="center" wrapText="1"/>
    </xf>
    <xf numFmtId="44" fontId="5" fillId="2" borderId="1" xfId="0" applyNumberFormat="1" applyFont="1" applyFill="1" applyBorder="1"/>
    <xf numFmtId="0" fontId="16" fillId="3" borderId="30" xfId="0" applyFont="1" applyFill="1" applyBorder="1" applyAlignment="1">
      <alignment horizontal="left" vertical="center" wrapText="1"/>
    </xf>
    <xf numFmtId="0" fontId="7" fillId="18" borderId="6" xfId="0" applyFont="1" applyFill="1" applyBorder="1" applyAlignment="1">
      <alignment horizontal="left" wrapText="1"/>
    </xf>
    <xf numFmtId="14" fontId="10" fillId="17" borderId="8" xfId="0" applyNumberFormat="1" applyFont="1" applyFill="1" applyBorder="1" applyAlignment="1">
      <alignment horizontal="left" vertical="center"/>
    </xf>
    <xf numFmtId="0" fontId="16" fillId="2" borderId="8" xfId="0" applyFont="1" applyFill="1" applyBorder="1" applyAlignment="1">
      <alignment horizontal="left"/>
    </xf>
    <xf numFmtId="44" fontId="7" fillId="17" borderId="6" xfId="0" applyNumberFormat="1" applyFont="1" applyFill="1" applyBorder="1" applyAlignment="1">
      <alignment vertical="center"/>
    </xf>
    <xf numFmtId="44" fontId="16" fillId="2" borderId="6" xfId="0" applyNumberFormat="1" applyFont="1" applyFill="1" applyBorder="1" applyAlignment="1">
      <alignment vertical="center"/>
    </xf>
    <xf numFmtId="0" fontId="7" fillId="2" borderId="8" xfId="0" applyFont="1" applyFill="1" applyBorder="1" applyAlignment="1">
      <alignment wrapText="1"/>
    </xf>
    <xf numFmtId="44" fontId="15" fillId="0" borderId="0" xfId="0" applyNumberFormat="1" applyFont="1"/>
    <xf numFmtId="0" fontId="16" fillId="2" borderId="12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14" fontId="20" fillId="17" borderId="8" xfId="0" applyNumberFormat="1" applyFont="1" applyFill="1" applyBorder="1" applyAlignment="1">
      <alignment horizontal="left"/>
    </xf>
    <xf numFmtId="14" fontId="20" fillId="17" borderId="8" xfId="0" applyNumberFormat="1" applyFont="1" applyFill="1" applyBorder="1" applyAlignment="1">
      <alignment horizontal="left" vertical="center" wrapText="1"/>
    </xf>
    <xf numFmtId="14" fontId="16" fillId="17" borderId="1" xfId="0" applyNumberFormat="1" applyFont="1" applyFill="1" applyBorder="1" applyAlignment="1">
      <alignment horizontal="left" vertical="center"/>
    </xf>
    <xf numFmtId="0" fontId="16" fillId="17" borderId="1" xfId="0" applyFont="1" applyFill="1" applyBorder="1" applyAlignment="1">
      <alignment vertical="center"/>
    </xf>
    <xf numFmtId="0" fontId="16" fillId="17" borderId="1" xfId="0" applyFont="1" applyFill="1" applyBorder="1"/>
    <xf numFmtId="4" fontId="16" fillId="17" borderId="1" xfId="0" applyNumberFormat="1" applyFont="1" applyFill="1" applyBorder="1" applyAlignment="1">
      <alignment horizontal="center" vertical="center"/>
    </xf>
    <xf numFmtId="0" fontId="16" fillId="17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44" fontId="18" fillId="0" borderId="1" xfId="0" applyNumberFormat="1" applyFont="1" applyBorder="1"/>
    <xf numFmtId="14" fontId="20" fillId="2" borderId="8" xfId="0" applyNumberFormat="1" applyFont="1" applyFill="1" applyBorder="1" applyAlignment="1">
      <alignment horizontal="left"/>
    </xf>
    <xf numFmtId="14" fontId="20" fillId="2" borderId="8" xfId="0" applyNumberFormat="1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44" fontId="20" fillId="3" borderId="8" xfId="0" applyNumberFormat="1" applyFont="1" applyFill="1" applyBorder="1" applyAlignment="1">
      <alignment horizontal="right" vertical="center" wrapText="1"/>
    </xf>
    <xf numFmtId="14" fontId="7" fillId="18" borderId="8" xfId="0" applyNumberFormat="1" applyFont="1" applyFill="1" applyBorder="1" applyAlignment="1">
      <alignment horizontal="left" vertical="top" wrapText="1"/>
    </xf>
    <xf numFmtId="14" fontId="13" fillId="18" borderId="8" xfId="0" applyNumberFormat="1" applyFont="1" applyFill="1" applyBorder="1" applyAlignment="1">
      <alignment horizontal="left" vertical="center" wrapText="1"/>
    </xf>
    <xf numFmtId="14" fontId="13" fillId="17" borderId="8" xfId="0" applyNumberFormat="1" applyFont="1" applyFill="1" applyBorder="1" applyAlignment="1">
      <alignment horizontal="left" vertical="center" wrapText="1"/>
    </xf>
    <xf numFmtId="0" fontId="13" fillId="18" borderId="8" xfId="0" applyFont="1" applyFill="1" applyBorder="1" applyAlignment="1">
      <alignment horizontal="left" vertical="center" wrapText="1"/>
    </xf>
    <xf numFmtId="44" fontId="13" fillId="18" borderId="8" xfId="0" applyNumberFormat="1" applyFont="1" applyFill="1" applyBorder="1" applyAlignment="1">
      <alignment horizontal="center" vertical="center" wrapText="1"/>
    </xf>
    <xf numFmtId="4" fontId="13" fillId="17" borderId="8" xfId="0" applyNumberFormat="1" applyFont="1" applyFill="1" applyBorder="1" applyAlignment="1">
      <alignment horizontal="center" vertical="center"/>
    </xf>
    <xf numFmtId="44" fontId="7" fillId="18" borderId="32" xfId="0" applyNumberFormat="1" applyFont="1" applyFill="1" applyBorder="1" applyAlignment="1">
      <alignment horizontal="right" vertical="center" wrapText="1"/>
    </xf>
    <xf numFmtId="44" fontId="7" fillId="17" borderId="8" xfId="0" applyNumberFormat="1" applyFont="1" applyFill="1" applyBorder="1" applyAlignment="1">
      <alignment vertical="center"/>
    </xf>
    <xf numFmtId="0" fontId="7" fillId="17" borderId="8" xfId="0" applyFont="1" applyFill="1" applyBorder="1"/>
    <xf numFmtId="0" fontId="7" fillId="17" borderId="11" xfId="0" applyFont="1" applyFill="1" applyBorder="1" applyAlignment="1">
      <alignment vertical="center"/>
    </xf>
    <xf numFmtId="0" fontId="20" fillId="17" borderId="8" xfId="0" applyFont="1" applyFill="1" applyBorder="1" applyAlignment="1">
      <alignment horizontal="left" vertical="center"/>
    </xf>
    <xf numFmtId="0" fontId="20" fillId="18" borderId="8" xfId="0" applyFont="1" applyFill="1" applyBorder="1" applyAlignment="1">
      <alignment horizontal="left" wrapText="1"/>
    </xf>
    <xf numFmtId="44" fontId="20" fillId="18" borderId="8" xfId="0" applyNumberFormat="1" applyFont="1" applyFill="1" applyBorder="1" applyAlignment="1">
      <alignment horizontal="right" vertical="center" wrapText="1"/>
    </xf>
    <xf numFmtId="4" fontId="20" fillId="17" borderId="8" xfId="0" applyNumberFormat="1" applyFont="1" applyFill="1" applyBorder="1" applyAlignment="1">
      <alignment horizontal="center" vertical="center"/>
    </xf>
    <xf numFmtId="0" fontId="13" fillId="17" borderId="8" xfId="0" applyFont="1" applyFill="1" applyBorder="1" applyAlignment="1">
      <alignment horizontal="center"/>
    </xf>
    <xf numFmtId="0" fontId="18" fillId="6" borderId="8" xfId="0" applyFont="1" applyFill="1" applyBorder="1" applyAlignment="1">
      <alignment vertical="center" wrapText="1"/>
    </xf>
    <xf numFmtId="44" fontId="17" fillId="3" borderId="8" xfId="0" applyNumberFormat="1" applyFont="1" applyFill="1" applyBorder="1" applyAlignment="1">
      <alignment horizontal="right" vertical="center" wrapText="1"/>
    </xf>
    <xf numFmtId="4" fontId="16" fillId="2" borderId="8" xfId="0" applyNumberFormat="1" applyFont="1" applyFill="1" applyBorder="1" applyAlignment="1">
      <alignment horizontal="center"/>
    </xf>
    <xf numFmtId="4" fontId="16" fillId="2" borderId="8" xfId="0" applyNumberFormat="1" applyFont="1" applyFill="1" applyBorder="1" applyAlignment="1">
      <alignment horizontal="left" wrapText="1"/>
    </xf>
    <xf numFmtId="44" fontId="16" fillId="2" borderId="8" xfId="0" applyNumberFormat="1" applyFont="1" applyFill="1" applyBorder="1" applyAlignment="1">
      <alignment vertical="center"/>
    </xf>
    <xf numFmtId="0" fontId="16" fillId="6" borderId="8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vertical="center" wrapText="1"/>
    </xf>
    <xf numFmtId="14" fontId="10" fillId="17" borderId="8" xfId="0" applyNumberFormat="1" applyFont="1" applyFill="1" applyBorder="1" applyAlignment="1">
      <alignment horizontal="left" vertical="center" wrapText="1"/>
    </xf>
    <xf numFmtId="0" fontId="10" fillId="18" borderId="8" xfId="0" applyFont="1" applyFill="1" applyBorder="1" applyAlignment="1">
      <alignment horizontal="center" vertical="center" wrapText="1"/>
    </xf>
    <xf numFmtId="0" fontId="7" fillId="18" borderId="9" xfId="0" applyFont="1" applyFill="1" applyBorder="1" applyAlignment="1">
      <alignment horizontal="left" vertical="center" wrapText="1"/>
    </xf>
    <xf numFmtId="0" fontId="7" fillId="18" borderId="9" xfId="0" applyFont="1" applyFill="1" applyBorder="1" applyAlignment="1">
      <alignment horizontal="left" wrapText="1"/>
    </xf>
    <xf numFmtId="44" fontId="7" fillId="18" borderId="9" xfId="0" applyNumberFormat="1" applyFont="1" applyFill="1" applyBorder="1" applyAlignment="1">
      <alignment horizontal="right" vertical="center" wrapText="1"/>
    </xf>
    <xf numFmtId="14" fontId="10" fillId="18" borderId="8" xfId="0" applyNumberFormat="1" applyFont="1" applyFill="1" applyBorder="1" applyAlignment="1">
      <alignment horizontal="left" vertical="center" wrapText="1"/>
    </xf>
    <xf numFmtId="14" fontId="7" fillId="17" borderId="6" xfId="0" applyNumberFormat="1" applyFont="1" applyFill="1" applyBorder="1" applyAlignment="1">
      <alignment horizontal="left" vertical="center" wrapText="1"/>
    </xf>
    <xf numFmtId="0" fontId="20" fillId="18" borderId="6" xfId="0" applyFont="1" applyFill="1" applyBorder="1" applyAlignment="1">
      <alignment horizontal="left" vertical="center" wrapText="1"/>
    </xf>
    <xf numFmtId="44" fontId="7" fillId="17" borderId="6" xfId="0" applyNumberFormat="1" applyFont="1" applyFill="1" applyBorder="1" applyAlignment="1">
      <alignment horizontal="center"/>
    </xf>
    <xf numFmtId="44" fontId="7" fillId="18" borderId="6" xfId="0" applyNumberFormat="1" applyFont="1" applyFill="1" applyBorder="1" applyAlignment="1">
      <alignment horizontal="center" wrapText="1"/>
    </xf>
    <xf numFmtId="44" fontId="7" fillId="3" borderId="27" xfId="0" applyNumberFormat="1" applyFont="1" applyFill="1" applyBorder="1" applyAlignment="1">
      <alignment horizontal="right" vertical="center" wrapText="1"/>
    </xf>
    <xf numFmtId="14" fontId="7" fillId="18" borderId="7" xfId="0" applyNumberFormat="1" applyFont="1" applyFill="1" applyBorder="1" applyAlignment="1">
      <alignment horizontal="left" vertical="center" wrapText="1"/>
    </xf>
    <xf numFmtId="14" fontId="7" fillId="17" borderId="7" xfId="0" applyNumberFormat="1" applyFont="1" applyFill="1" applyBorder="1" applyAlignment="1">
      <alignment horizontal="left" vertical="center" wrapText="1"/>
    </xf>
    <xf numFmtId="0" fontId="7" fillId="17" borderId="7" xfId="0" applyFont="1" applyFill="1" applyBorder="1"/>
    <xf numFmtId="0" fontId="7" fillId="17" borderId="7" xfId="0" applyFont="1" applyFill="1" applyBorder="1" applyAlignment="1">
      <alignment vertical="center"/>
    </xf>
    <xf numFmtId="44" fontId="7" fillId="17" borderId="7" xfId="0" applyNumberFormat="1" applyFont="1" applyFill="1" applyBorder="1" applyAlignment="1">
      <alignment horizontal="center"/>
    </xf>
    <xf numFmtId="4" fontId="7" fillId="17" borderId="7" xfId="0" applyNumberFormat="1" applyFont="1" applyFill="1" applyBorder="1" applyAlignment="1">
      <alignment horizontal="center" vertical="center"/>
    </xf>
    <xf numFmtId="0" fontId="7" fillId="17" borderId="7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 wrapText="1"/>
    </xf>
    <xf numFmtId="44" fontId="7" fillId="19" borderId="6" xfId="0" applyNumberFormat="1" applyFont="1" applyFill="1" applyBorder="1" applyAlignment="1">
      <alignment horizontal="right" vertical="center" wrapText="1"/>
    </xf>
    <xf numFmtId="0" fontId="7" fillId="18" borderId="6" xfId="0" applyFont="1" applyFill="1" applyBorder="1" applyAlignment="1">
      <alignment vertical="center" wrapText="1"/>
    </xf>
    <xf numFmtId="0" fontId="10" fillId="18" borderId="6" xfId="0" applyFont="1" applyFill="1" applyBorder="1" applyAlignment="1">
      <alignment horizontal="left" vertical="center" wrapText="1"/>
    </xf>
    <xf numFmtId="44" fontId="10" fillId="18" borderId="6" xfId="0" applyNumberFormat="1" applyFont="1" applyFill="1" applyBorder="1" applyAlignment="1">
      <alignment horizontal="right" vertical="center" wrapText="1"/>
    </xf>
    <xf numFmtId="0" fontId="13" fillId="18" borderId="6" xfId="0" applyFont="1" applyFill="1" applyBorder="1" applyAlignment="1">
      <alignment horizontal="left" vertical="center" wrapText="1"/>
    </xf>
    <xf numFmtId="0" fontId="13" fillId="18" borderId="6" xfId="0" applyFont="1" applyFill="1" applyBorder="1" applyAlignment="1">
      <alignment horizontal="left" wrapText="1"/>
    </xf>
    <xf numFmtId="44" fontId="32" fillId="17" borderId="6" xfId="0" applyNumberFormat="1" applyFont="1" applyFill="1" applyBorder="1"/>
    <xf numFmtId="4" fontId="20" fillId="17" borderId="6" xfId="0" applyNumberFormat="1" applyFont="1" applyFill="1" applyBorder="1" applyAlignment="1">
      <alignment horizontal="center" vertical="center"/>
    </xf>
    <xf numFmtId="0" fontId="13" fillId="17" borderId="6" xfId="0" applyFont="1" applyFill="1" applyBorder="1" applyAlignment="1">
      <alignment horizontal="center"/>
    </xf>
    <xf numFmtId="4" fontId="16" fillId="2" borderId="6" xfId="0" applyNumberFormat="1" applyFont="1" applyFill="1" applyBorder="1" applyAlignment="1">
      <alignment horizontal="left" wrapText="1"/>
    </xf>
    <xf numFmtId="0" fontId="16" fillId="6" borderId="6" xfId="0" applyFont="1" applyFill="1" applyBorder="1" applyAlignment="1">
      <alignment horizontal="center" vertical="center" wrapText="1"/>
    </xf>
    <xf numFmtId="14" fontId="10" fillId="18" borderId="6" xfId="0" applyNumberFormat="1" applyFont="1" applyFill="1" applyBorder="1" applyAlignment="1">
      <alignment horizontal="left" vertical="center" wrapText="1"/>
    </xf>
    <xf numFmtId="14" fontId="10" fillId="17" borderId="6" xfId="0" applyNumberFormat="1" applyFont="1" applyFill="1" applyBorder="1" applyAlignment="1">
      <alignment horizontal="left" vertical="center" wrapText="1"/>
    </xf>
    <xf numFmtId="4" fontId="10" fillId="17" borderId="6" xfId="0" applyNumberFormat="1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 wrapText="1"/>
    </xf>
    <xf numFmtId="0" fontId="7" fillId="18" borderId="31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14" fontId="16" fillId="2" borderId="7" xfId="0" applyNumberFormat="1" applyFont="1" applyFill="1" applyBorder="1" applyAlignment="1">
      <alignment horizontal="left" vertical="center"/>
    </xf>
    <xf numFmtId="0" fontId="16" fillId="2" borderId="7" xfId="0" applyFont="1" applyFill="1" applyBorder="1" applyAlignment="1">
      <alignment vertical="center"/>
    </xf>
    <xf numFmtId="0" fontId="16" fillId="2" borderId="7" xfId="0" applyFont="1" applyFill="1" applyBorder="1" applyAlignment="1">
      <alignment horizontal="left"/>
    </xf>
    <xf numFmtId="44" fontId="16" fillId="2" borderId="7" xfId="0" applyNumberFormat="1" applyFont="1" applyFill="1" applyBorder="1" applyAlignment="1">
      <alignment vertical="center"/>
    </xf>
    <xf numFmtId="0" fontId="16" fillId="2" borderId="7" xfId="0" applyFont="1" applyFill="1" applyBorder="1" applyAlignment="1">
      <alignment horizontal="center" vertical="center"/>
    </xf>
    <xf numFmtId="44" fontId="16" fillId="17" borderId="1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 wrapText="1"/>
    </xf>
    <xf numFmtId="0" fontId="26" fillId="2" borderId="3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9" fillId="0" borderId="0" xfId="0" applyFont="1" applyAlignment="1">
      <alignment vertical="center"/>
    </xf>
    <xf numFmtId="0" fontId="18" fillId="2" borderId="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 wrapText="1"/>
    </xf>
    <xf numFmtId="44" fontId="4" fillId="8" borderId="1" xfId="0" applyNumberFormat="1" applyFont="1" applyFill="1" applyBorder="1" applyAlignment="1">
      <alignment horizontal="left"/>
    </xf>
    <xf numFmtId="44" fontId="41" fillId="0" borderId="1" xfId="0" applyNumberFormat="1" applyFont="1" applyBorder="1"/>
    <xf numFmtId="0" fontId="4" fillId="0" borderId="3" xfId="0" applyFont="1" applyBorder="1"/>
    <xf numFmtId="0" fontId="16" fillId="2" borderId="3" xfId="0" applyFont="1" applyFill="1" applyBorder="1" applyAlignment="1">
      <alignment horizontal="left"/>
    </xf>
    <xf numFmtId="44" fontId="4" fillId="0" borderId="1" xfId="0" applyNumberFormat="1" applyFont="1" applyBorder="1" applyAlignment="1">
      <alignment horizontal="center"/>
    </xf>
    <xf numFmtId="0" fontId="9" fillId="10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20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5" fillId="16" borderId="17" xfId="0" applyFont="1" applyFill="1" applyBorder="1" applyAlignment="1">
      <alignment horizontal="center" vertical="center" wrapText="1"/>
    </xf>
    <xf numFmtId="0" fontId="35" fillId="16" borderId="18" xfId="0" applyFont="1" applyFill="1" applyBorder="1" applyAlignment="1">
      <alignment horizontal="center" vertical="center" wrapText="1"/>
    </xf>
    <xf numFmtId="0" fontId="35" fillId="16" borderId="19" xfId="0" applyFont="1" applyFill="1" applyBorder="1" applyAlignment="1">
      <alignment horizontal="center" vertical="center" wrapText="1"/>
    </xf>
    <xf numFmtId="0" fontId="35" fillId="16" borderId="20" xfId="0" applyFont="1" applyFill="1" applyBorder="1" applyAlignment="1">
      <alignment horizontal="center" vertical="center" wrapText="1"/>
    </xf>
    <xf numFmtId="0" fontId="35" fillId="16" borderId="0" xfId="0" applyFont="1" applyFill="1" applyAlignment="1">
      <alignment horizontal="center" vertical="center" wrapText="1"/>
    </xf>
    <xf numFmtId="0" fontId="35" fillId="16" borderId="21" xfId="0" applyFont="1" applyFill="1" applyBorder="1" applyAlignment="1">
      <alignment horizontal="center" vertical="center" wrapText="1"/>
    </xf>
    <xf numFmtId="0" fontId="35" fillId="16" borderId="22" xfId="0" applyFont="1" applyFill="1" applyBorder="1" applyAlignment="1">
      <alignment horizontal="center" vertical="center" wrapText="1"/>
    </xf>
    <xf numFmtId="0" fontId="35" fillId="16" borderId="23" xfId="0" applyFont="1" applyFill="1" applyBorder="1" applyAlignment="1">
      <alignment horizontal="center" vertical="center" wrapText="1"/>
    </xf>
    <xf numFmtId="0" fontId="35" fillId="16" borderId="24" xfId="0" applyFont="1" applyFill="1" applyBorder="1" applyAlignment="1">
      <alignment horizontal="center" vertical="center" wrapText="1"/>
    </xf>
    <xf numFmtId="0" fontId="35" fillId="16" borderId="15" xfId="0" applyFont="1" applyFill="1" applyBorder="1" applyAlignment="1">
      <alignment horizontal="center" vertical="center" wrapText="1"/>
    </xf>
    <xf numFmtId="0" fontId="35" fillId="16" borderId="14" xfId="0" applyFont="1" applyFill="1" applyBorder="1" applyAlignment="1">
      <alignment horizontal="center" vertical="center" wrapText="1"/>
    </xf>
    <xf numFmtId="0" fontId="35" fillId="16" borderId="16" xfId="0" applyFont="1" applyFill="1" applyBorder="1" applyAlignment="1">
      <alignment horizontal="center" vertical="center" wrapText="1"/>
    </xf>
    <xf numFmtId="0" fontId="30" fillId="10" borderId="0" xfId="0" applyFont="1" applyFill="1" applyAlignment="1">
      <alignment horizontal="center" vertical="center"/>
    </xf>
    <xf numFmtId="0" fontId="30" fillId="10" borderId="13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center"/>
    </xf>
    <xf numFmtId="44" fontId="4" fillId="0" borderId="1" xfId="0" applyNumberFormat="1" applyFont="1" applyBorder="1"/>
    <xf numFmtId="0" fontId="13" fillId="4" borderId="1" xfId="0" applyFont="1" applyFill="1" applyBorder="1" applyAlignment="1">
      <alignment horizontal="left" vertical="center" wrapText="1"/>
    </xf>
    <xf numFmtId="44" fontId="13" fillId="4" borderId="1" xfId="0" applyNumberFormat="1" applyFont="1" applyFill="1" applyBorder="1" applyAlignment="1">
      <alignment horizontal="right" vertical="center" wrapText="1"/>
    </xf>
    <xf numFmtId="164" fontId="13" fillId="4" borderId="1" xfId="0" applyNumberFormat="1" applyFont="1" applyFill="1" applyBorder="1" applyAlignment="1">
      <alignment horizontal="right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44" fontId="12" fillId="4" borderId="1" xfId="0" applyNumberFormat="1" applyFont="1" applyFill="1" applyBorder="1" applyAlignment="1">
      <alignment horizontal="right" vertical="center" wrapText="1"/>
    </xf>
    <xf numFmtId="14" fontId="12" fillId="2" borderId="1" xfId="0" applyNumberFormat="1" applyFont="1" applyFill="1" applyBorder="1" applyAlignment="1">
      <alignment horizontal="left" vertical="center"/>
    </xf>
    <xf numFmtId="8" fontId="7" fillId="3" borderId="1" xfId="0" applyNumberFormat="1" applyFont="1" applyFill="1" applyBorder="1" applyAlignment="1">
      <alignment horizontal="right" vertical="center" wrapText="1"/>
    </xf>
    <xf numFmtId="0" fontId="13" fillId="4" borderId="1" xfId="0" applyFont="1" applyFill="1" applyBorder="1" applyAlignment="1">
      <alignment horizontal="center" vertical="center" wrapText="1"/>
    </xf>
    <xf numFmtId="44" fontId="13" fillId="4" borderId="2" xfId="0" applyNumberFormat="1" applyFont="1" applyFill="1" applyBorder="1" applyAlignment="1">
      <alignment horizontal="right" vertical="center" wrapText="1"/>
    </xf>
    <xf numFmtId="0" fontId="7" fillId="4" borderId="28" xfId="0" applyFont="1" applyFill="1" applyBorder="1" applyAlignment="1">
      <alignment horizontal="left" vertical="center" wrapText="1"/>
    </xf>
    <xf numFmtId="44" fontId="7" fillId="4" borderId="28" xfId="0" applyNumberFormat="1" applyFont="1" applyFill="1" applyBorder="1" applyAlignment="1">
      <alignment horizontal="right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3" fillId="4" borderId="3" xfId="0" applyFont="1" applyFill="1" applyBorder="1" applyAlignment="1">
      <alignment horizontal="left" vertical="center" wrapText="1"/>
    </xf>
    <xf numFmtId="14" fontId="13" fillId="17" borderId="1" xfId="0" applyNumberFormat="1" applyFont="1" applyFill="1" applyBorder="1" applyAlignment="1">
      <alignment horizontal="left" vertical="center"/>
    </xf>
    <xf numFmtId="44" fontId="13" fillId="18" borderId="1" xfId="0" applyNumberFormat="1" applyFont="1" applyFill="1" applyBorder="1" applyAlignment="1">
      <alignment horizontal="right" vertical="center" wrapText="1"/>
    </xf>
    <xf numFmtId="4" fontId="13" fillId="17" borderId="1" xfId="0" applyNumberFormat="1" applyFont="1" applyFill="1" applyBorder="1" applyAlignment="1">
      <alignment horizontal="center" vertical="center"/>
    </xf>
    <xf numFmtId="14" fontId="13" fillId="8" borderId="1" xfId="0" applyNumberFormat="1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left" vertical="center" wrapText="1"/>
    </xf>
    <xf numFmtId="44" fontId="13" fillId="15" borderId="1" xfId="0" applyNumberFormat="1" applyFont="1" applyFill="1" applyBorder="1" applyAlignment="1">
      <alignment horizontal="right" vertical="center" wrapText="1"/>
    </xf>
    <xf numFmtId="4" fontId="13" fillId="8" borderId="1" xfId="0" applyNumberFormat="1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vertical="center" wrapText="1"/>
    </xf>
    <xf numFmtId="0" fontId="13" fillId="17" borderId="1" xfId="0" applyFont="1" applyFill="1" applyBorder="1"/>
  </cellXfs>
  <cellStyles count="1">
    <cellStyle name="Normal" xfId="0" builtinId="0"/>
  </cellStyles>
  <dxfs count="101"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border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79998168889431442"/>
        </patternFill>
      </fill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font>
        <color auto="1"/>
      </font>
    </dxf>
    <dxf>
      <font>
        <color auto="1"/>
      </font>
    </dxf>
    <dxf>
      <font>
        <b val="0"/>
      </font>
    </dxf>
    <dxf>
      <font>
        <b val="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FF0000"/>
      </font>
    </dxf>
    <dxf>
      <font>
        <color rgb="FFFF0000"/>
      </font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name val="Calibri Light"/>
        <scheme val="major"/>
      </font>
    </dxf>
    <dxf>
      <font>
        <name val="Calibri Light"/>
        <scheme val="major"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</dxfs>
  <tableStyles count="0" defaultTableStyle="TableStyleMedium2" defaultPivotStyle="PivotStyleLight16"/>
  <colors>
    <mruColors>
      <color rgb="FFFFFFFF"/>
      <color rgb="FF003366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javascript:Classifica('AD');" TargetMode="External"/><Relationship Id="rId13" Type="http://schemas.openxmlformats.org/officeDocument/2006/relationships/hyperlink" Target="javascript:Classifica('4D');" TargetMode="External"/><Relationship Id="rId3" Type="http://schemas.openxmlformats.org/officeDocument/2006/relationships/hyperlink" Target="javascript:Classifica('5D');" TargetMode="External"/><Relationship Id="rId7" Type="http://schemas.openxmlformats.org/officeDocument/2006/relationships/image" Target="../media/image5.gif"/><Relationship Id="rId12" Type="http://schemas.openxmlformats.org/officeDocument/2006/relationships/hyperlink" Target="javascript:Classifica('3D');" TargetMode="External"/><Relationship Id="rId2" Type="http://schemas.openxmlformats.org/officeDocument/2006/relationships/image" Target="../media/image4.gif"/><Relationship Id="rId1" Type="http://schemas.openxmlformats.org/officeDocument/2006/relationships/hyperlink" Target="javascript:Classifica('1D');" TargetMode="External"/><Relationship Id="rId6" Type="http://schemas.openxmlformats.org/officeDocument/2006/relationships/hyperlink" Target="javascript:Classifica('6D');" TargetMode="External"/><Relationship Id="rId11" Type="http://schemas.openxmlformats.org/officeDocument/2006/relationships/hyperlink" Target="javascript:Classifica('2D');" TargetMode="External"/><Relationship Id="rId5" Type="http://schemas.openxmlformats.org/officeDocument/2006/relationships/hyperlink" Target="javascript:Classifica('7D');" TargetMode="External"/><Relationship Id="rId15" Type="http://schemas.openxmlformats.org/officeDocument/2006/relationships/hyperlink" Target="javascript:Classifica('9D');" TargetMode="External"/><Relationship Id="rId10" Type="http://schemas.openxmlformats.org/officeDocument/2006/relationships/image" Target="../media/image6.gif"/><Relationship Id="rId4" Type="http://schemas.openxmlformats.org/officeDocument/2006/relationships/hyperlink" Target="javascript:Classifica('BD');" TargetMode="External"/><Relationship Id="rId9" Type="http://schemas.openxmlformats.org/officeDocument/2006/relationships/hyperlink" Target="javascript:legendaajuda2('','Boleto%20n%C3%A3o%20dispon%C3%ADvel%20para%20pagamento%20ap%C3%B3s%20a%20data%20limite%20para%20pagamento.','150','50',%20getPosicaoElemento(document.getElementById('ajuda2')).left%20-%20205,%20getPosicaoElemento(document.getElementById('ajuda2')).top%20+%2018,%20imagem23362);" TargetMode="External"/><Relationship Id="rId14" Type="http://schemas.openxmlformats.org/officeDocument/2006/relationships/hyperlink" Target="javascript:Classifica('8D');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228600</xdr:colOff>
          <xdr:row>2</xdr:row>
          <xdr:rowOff>7620</xdr:rowOff>
        </xdr:to>
        <xdr:sp macro="" textlink="">
          <xdr:nvSpPr>
            <xdr:cNvPr id="26625" name="Control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A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228600</xdr:colOff>
          <xdr:row>3</xdr:row>
          <xdr:rowOff>7620</xdr:rowOff>
        </xdr:to>
        <xdr:sp macro="" textlink="">
          <xdr:nvSpPr>
            <xdr:cNvPr id="26626" name="Control 2" hidden="1">
              <a:extLst>
                <a:ext uri="{63B3BB69-23CF-44E3-9099-C40C66FF867C}">
                  <a14:compatExt spid="_x0000_s26626"/>
                </a:ext>
                <a:ext uri="{FF2B5EF4-FFF2-40B4-BE49-F238E27FC236}">
                  <a16:creationId xmlns:a16="http://schemas.microsoft.com/office/drawing/2014/main" id="{00000000-0008-0000-0A00-000002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3</xdr:row>
          <xdr:rowOff>205740</xdr:rowOff>
        </xdr:to>
        <xdr:sp macro="" textlink="">
          <xdr:nvSpPr>
            <xdr:cNvPr id="26627" name="Control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A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4</xdr:row>
          <xdr:rowOff>205740</xdr:rowOff>
        </xdr:to>
        <xdr:sp macro="" textlink="">
          <xdr:nvSpPr>
            <xdr:cNvPr id="26628" name="Control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A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7620</xdr:rowOff>
        </xdr:to>
        <xdr:sp macro="" textlink="">
          <xdr:nvSpPr>
            <xdr:cNvPr id="26629" name="Control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A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228600</xdr:colOff>
          <xdr:row>7</xdr:row>
          <xdr:rowOff>7620</xdr:rowOff>
        </xdr:to>
        <xdr:sp macro="" textlink="">
          <xdr:nvSpPr>
            <xdr:cNvPr id="26630" name="Control 6" hidden="1">
              <a:extLst>
                <a:ext uri="{63B3BB69-23CF-44E3-9099-C40C66FF867C}">
                  <a14:compatExt spid="_x0000_s26630"/>
                </a:ext>
                <a:ext uri="{FF2B5EF4-FFF2-40B4-BE49-F238E27FC236}">
                  <a16:creationId xmlns:a16="http://schemas.microsoft.com/office/drawing/2014/main" id="{00000000-0008-0000-0A00-000006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228600</xdr:colOff>
          <xdr:row>8</xdr:row>
          <xdr:rowOff>7620</xdr:rowOff>
        </xdr:to>
        <xdr:sp macro="" textlink="">
          <xdr:nvSpPr>
            <xdr:cNvPr id="26631" name="Control 7" hidden="1">
              <a:extLst>
                <a:ext uri="{63B3BB69-23CF-44E3-9099-C40C66FF867C}">
                  <a14:compatExt spid="_x0000_s26631"/>
                </a:ext>
                <a:ext uri="{FF2B5EF4-FFF2-40B4-BE49-F238E27FC236}">
                  <a16:creationId xmlns:a16="http://schemas.microsoft.com/office/drawing/2014/main" id="{00000000-0008-0000-0A00-000007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228600</xdr:colOff>
          <xdr:row>8</xdr:row>
          <xdr:rowOff>205740</xdr:rowOff>
        </xdr:to>
        <xdr:sp macro="" textlink="">
          <xdr:nvSpPr>
            <xdr:cNvPr id="26632" name="Control 8" hidden="1">
              <a:extLst>
                <a:ext uri="{63B3BB69-23CF-44E3-9099-C40C66FF867C}">
                  <a14:compatExt spid="_x0000_s26632"/>
                </a:ext>
                <a:ext uri="{FF2B5EF4-FFF2-40B4-BE49-F238E27FC236}">
                  <a16:creationId xmlns:a16="http://schemas.microsoft.com/office/drawing/2014/main" id="{00000000-0008-0000-0A00-000008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1</xdr:row>
      <xdr:rowOff>38100</xdr:rowOff>
    </xdr:from>
    <xdr:to>
      <xdr:col>0</xdr:col>
      <xdr:colOff>899159</xdr:colOff>
      <xdr:row>2</xdr:row>
      <xdr:rowOff>441960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61D7308-91EC-4C73-AD64-ACA15CB3273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220980"/>
          <a:ext cx="609599" cy="586740"/>
        </a:xfrm>
        <a:prstGeom prst="rect">
          <a:avLst/>
        </a:prstGeom>
      </xdr:spPr>
    </xdr:pic>
    <xdr:clientData/>
  </xdr:twoCellAnchor>
  <xdr:oneCellAnchor>
    <xdr:from>
      <xdr:col>0</xdr:col>
      <xdr:colOff>381000</xdr:colOff>
      <xdr:row>22</xdr:row>
      <xdr:rowOff>68580</xdr:rowOff>
    </xdr:from>
    <xdr:ext cx="609599" cy="586740"/>
    <xdr:pic>
      <xdr:nvPicPr>
        <xdr:cNvPr id="3" name="image1.png">
          <a:extLst>
            <a:ext uri="{FF2B5EF4-FFF2-40B4-BE49-F238E27FC236}">
              <a16:creationId xmlns:a16="http://schemas.microsoft.com/office/drawing/2014/main" id="{346E4054-7CFC-488A-8904-83BC7F7F849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442460"/>
          <a:ext cx="609599" cy="58674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40</xdr:row>
      <xdr:rowOff>68580</xdr:rowOff>
    </xdr:from>
    <xdr:ext cx="693420" cy="609600"/>
    <xdr:pic>
      <xdr:nvPicPr>
        <xdr:cNvPr id="4" name="image1.png">
          <a:extLst>
            <a:ext uri="{FF2B5EF4-FFF2-40B4-BE49-F238E27FC236}">
              <a16:creationId xmlns:a16="http://schemas.microsoft.com/office/drawing/2014/main" id="{49D3FB7D-9F3B-4F49-A02E-83B7C5A0A3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1076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67</xdr:row>
      <xdr:rowOff>68580</xdr:rowOff>
    </xdr:from>
    <xdr:ext cx="693420" cy="609600"/>
    <xdr:pic>
      <xdr:nvPicPr>
        <xdr:cNvPr id="5" name="image1.png">
          <a:extLst>
            <a:ext uri="{FF2B5EF4-FFF2-40B4-BE49-F238E27FC236}">
              <a16:creationId xmlns:a16="http://schemas.microsoft.com/office/drawing/2014/main" id="{40BADF0B-7636-456B-B72E-BB4559A3F7D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845820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102</xdr:row>
      <xdr:rowOff>68580</xdr:rowOff>
    </xdr:from>
    <xdr:ext cx="693420" cy="609600"/>
    <xdr:pic>
      <xdr:nvPicPr>
        <xdr:cNvPr id="6" name="image1.png">
          <a:extLst>
            <a:ext uri="{FF2B5EF4-FFF2-40B4-BE49-F238E27FC236}">
              <a16:creationId xmlns:a16="http://schemas.microsoft.com/office/drawing/2014/main" id="{D00C7448-C88C-4058-AFB8-2DF9D9B3B4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126</xdr:row>
      <xdr:rowOff>68580</xdr:rowOff>
    </xdr:from>
    <xdr:ext cx="693420" cy="609600"/>
    <xdr:pic>
      <xdr:nvPicPr>
        <xdr:cNvPr id="7" name="image1.png">
          <a:extLst>
            <a:ext uri="{FF2B5EF4-FFF2-40B4-BE49-F238E27FC236}">
              <a16:creationId xmlns:a16="http://schemas.microsoft.com/office/drawing/2014/main" id="{6FE73AD5-7E43-4FD8-BBE6-BA92ABBB009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023872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182880</xdr:colOff>
      <xdr:row>157</xdr:row>
      <xdr:rowOff>68580</xdr:rowOff>
    </xdr:from>
    <xdr:ext cx="693420" cy="609600"/>
    <xdr:pic>
      <xdr:nvPicPr>
        <xdr:cNvPr id="8" name="image1.png">
          <a:extLst>
            <a:ext uri="{FF2B5EF4-FFF2-40B4-BE49-F238E27FC236}">
              <a16:creationId xmlns:a16="http://schemas.microsoft.com/office/drawing/2014/main" id="{4433720E-6655-41F8-BBCB-8D974353E9F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2880" y="25024080"/>
          <a:ext cx="693420" cy="60960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205</xdr:row>
      <xdr:rowOff>45720</xdr:rowOff>
    </xdr:from>
    <xdr:ext cx="594360" cy="563880"/>
    <xdr:pic>
      <xdr:nvPicPr>
        <xdr:cNvPr id="9" name="image1.png">
          <a:extLst>
            <a:ext uri="{FF2B5EF4-FFF2-40B4-BE49-F238E27FC236}">
              <a16:creationId xmlns:a16="http://schemas.microsoft.com/office/drawing/2014/main" id="{1B5C90E4-5374-41DE-BDB6-080C953915E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42672000"/>
          <a:ext cx="594360" cy="56388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218</xdr:row>
      <xdr:rowOff>60960</xdr:rowOff>
    </xdr:from>
    <xdr:ext cx="541020" cy="541020"/>
    <xdr:pic>
      <xdr:nvPicPr>
        <xdr:cNvPr id="10" name="image1.png">
          <a:extLst>
            <a:ext uri="{FF2B5EF4-FFF2-40B4-BE49-F238E27FC236}">
              <a16:creationId xmlns:a16="http://schemas.microsoft.com/office/drawing/2014/main" id="{DFD31F6D-E3D1-4C5D-9517-DFAC5752E72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3632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525780</xdr:colOff>
      <xdr:row>251</xdr:row>
      <xdr:rowOff>60960</xdr:rowOff>
    </xdr:from>
    <xdr:ext cx="541020" cy="541020"/>
    <xdr:pic>
      <xdr:nvPicPr>
        <xdr:cNvPr id="11" name="image1.png">
          <a:extLst>
            <a:ext uri="{FF2B5EF4-FFF2-40B4-BE49-F238E27FC236}">
              <a16:creationId xmlns:a16="http://schemas.microsoft.com/office/drawing/2014/main" id="{6B974908-821E-43FA-9762-48CEB184627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5780" y="463143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426720</xdr:colOff>
      <xdr:row>328</xdr:row>
      <xdr:rowOff>15240</xdr:rowOff>
    </xdr:from>
    <xdr:ext cx="541020" cy="541020"/>
    <xdr:pic>
      <xdr:nvPicPr>
        <xdr:cNvPr id="12" name="image1.png">
          <a:extLst>
            <a:ext uri="{FF2B5EF4-FFF2-40B4-BE49-F238E27FC236}">
              <a16:creationId xmlns:a16="http://schemas.microsoft.com/office/drawing/2014/main" id="{A6141091-A090-4D39-9C54-27C608070B5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6720" y="636041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373</xdr:row>
      <xdr:rowOff>38100</xdr:rowOff>
    </xdr:from>
    <xdr:ext cx="541020" cy="541020"/>
    <xdr:pic>
      <xdr:nvPicPr>
        <xdr:cNvPr id="13" name="image1.png">
          <a:extLst>
            <a:ext uri="{FF2B5EF4-FFF2-40B4-BE49-F238E27FC236}">
              <a16:creationId xmlns:a16="http://schemas.microsoft.com/office/drawing/2014/main" id="{80D9B6A1-AB23-419D-866E-94AB8840B88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404</xdr:row>
      <xdr:rowOff>38100</xdr:rowOff>
    </xdr:from>
    <xdr:ext cx="541020" cy="541020"/>
    <xdr:pic>
      <xdr:nvPicPr>
        <xdr:cNvPr id="14" name="image1.png">
          <a:extLst>
            <a:ext uri="{FF2B5EF4-FFF2-40B4-BE49-F238E27FC236}">
              <a16:creationId xmlns:a16="http://schemas.microsoft.com/office/drawing/2014/main" id="{E32B3312-CCB3-4343-804A-26279897D25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21080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457</xdr:row>
      <xdr:rowOff>38100</xdr:rowOff>
    </xdr:from>
    <xdr:ext cx="541020" cy="541020"/>
    <xdr:pic>
      <xdr:nvPicPr>
        <xdr:cNvPr id="15" name="image1.png">
          <a:extLst>
            <a:ext uri="{FF2B5EF4-FFF2-40B4-BE49-F238E27FC236}">
              <a16:creationId xmlns:a16="http://schemas.microsoft.com/office/drawing/2014/main" id="{EDE0F307-67A3-4DB7-87B6-11B2118136C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780669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505</xdr:row>
      <xdr:rowOff>38100</xdr:rowOff>
    </xdr:from>
    <xdr:ext cx="541020" cy="541020"/>
    <xdr:pic>
      <xdr:nvPicPr>
        <xdr:cNvPr id="16" name="image1.png">
          <a:extLst>
            <a:ext uri="{FF2B5EF4-FFF2-40B4-BE49-F238E27FC236}">
              <a16:creationId xmlns:a16="http://schemas.microsoft.com/office/drawing/2014/main" id="{8A5ADA74-22CC-460E-B591-EFA4273DEA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8804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532</xdr:row>
      <xdr:rowOff>38100</xdr:rowOff>
    </xdr:from>
    <xdr:ext cx="541020" cy="541020"/>
    <xdr:pic>
      <xdr:nvPicPr>
        <xdr:cNvPr id="17" name="image1.png">
          <a:extLst>
            <a:ext uri="{FF2B5EF4-FFF2-40B4-BE49-F238E27FC236}">
              <a16:creationId xmlns:a16="http://schemas.microsoft.com/office/drawing/2014/main" id="{0D6655CD-F5F4-4E4F-969A-87C86B0F65E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971550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457200</xdr:colOff>
      <xdr:row>568</xdr:row>
      <xdr:rowOff>38100</xdr:rowOff>
    </xdr:from>
    <xdr:ext cx="541020" cy="541020"/>
    <xdr:pic>
      <xdr:nvPicPr>
        <xdr:cNvPr id="18" name="image1.png">
          <a:extLst>
            <a:ext uri="{FF2B5EF4-FFF2-40B4-BE49-F238E27FC236}">
              <a16:creationId xmlns:a16="http://schemas.microsoft.com/office/drawing/2014/main" id="{FC9C8FF8-DC53-4259-BDD3-12C565A0D66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7200" y="10235184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518160</xdr:colOff>
      <xdr:row>601</xdr:row>
      <xdr:rowOff>137160</xdr:rowOff>
    </xdr:from>
    <xdr:ext cx="541020" cy="541020"/>
    <xdr:pic>
      <xdr:nvPicPr>
        <xdr:cNvPr id="20" name="image1.png">
          <a:extLst>
            <a:ext uri="{FF2B5EF4-FFF2-40B4-BE49-F238E27FC236}">
              <a16:creationId xmlns:a16="http://schemas.microsoft.com/office/drawing/2014/main" id="{A1A2C9F5-7BBD-4ADE-87B7-3DAC5CB767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8160" y="1155954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480060</xdr:colOff>
      <xdr:row>635</xdr:row>
      <xdr:rowOff>167640</xdr:rowOff>
    </xdr:from>
    <xdr:ext cx="541020" cy="541020"/>
    <xdr:pic>
      <xdr:nvPicPr>
        <xdr:cNvPr id="19" name="image1.png">
          <a:extLst>
            <a:ext uri="{FF2B5EF4-FFF2-40B4-BE49-F238E27FC236}">
              <a16:creationId xmlns:a16="http://schemas.microsoft.com/office/drawing/2014/main" id="{47C6F1F6-3C2B-4450-9C21-66CFA746FE3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0060" y="1223314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388620</xdr:colOff>
      <xdr:row>660</xdr:row>
      <xdr:rowOff>99060</xdr:rowOff>
    </xdr:from>
    <xdr:ext cx="541020" cy="541020"/>
    <xdr:pic>
      <xdr:nvPicPr>
        <xdr:cNvPr id="21" name="image1.png">
          <a:extLst>
            <a:ext uri="{FF2B5EF4-FFF2-40B4-BE49-F238E27FC236}">
              <a16:creationId xmlns:a16="http://schemas.microsoft.com/office/drawing/2014/main" id="{8EACD5F5-2DD1-4073-95FF-3846D9CE7C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8620" y="12732258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672</xdr:row>
      <xdr:rowOff>45720</xdr:rowOff>
    </xdr:from>
    <xdr:ext cx="541020" cy="541020"/>
    <xdr:pic>
      <xdr:nvPicPr>
        <xdr:cNvPr id="22" name="image1.png">
          <a:extLst>
            <a:ext uri="{FF2B5EF4-FFF2-40B4-BE49-F238E27FC236}">
              <a16:creationId xmlns:a16="http://schemas.microsoft.com/office/drawing/2014/main" id="{D63414FF-48B2-4746-B574-0A5F701DE4C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710</xdr:row>
      <xdr:rowOff>45720</xdr:rowOff>
    </xdr:from>
    <xdr:ext cx="541020" cy="541020"/>
    <xdr:pic>
      <xdr:nvPicPr>
        <xdr:cNvPr id="23" name="image1.png">
          <a:extLst>
            <a:ext uri="{FF2B5EF4-FFF2-40B4-BE49-F238E27FC236}">
              <a16:creationId xmlns:a16="http://schemas.microsoft.com/office/drawing/2014/main" id="{B601C324-E041-4B4E-B111-D116780172D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299286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785</xdr:row>
      <xdr:rowOff>45720</xdr:rowOff>
    </xdr:from>
    <xdr:ext cx="541020" cy="541020"/>
    <xdr:pic>
      <xdr:nvPicPr>
        <xdr:cNvPr id="24" name="image1.png">
          <a:extLst>
            <a:ext uri="{FF2B5EF4-FFF2-40B4-BE49-F238E27FC236}">
              <a16:creationId xmlns:a16="http://schemas.microsoft.com/office/drawing/2014/main" id="{6CCC2DB5-E412-406D-9272-2E7EFE7ED1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370152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824</xdr:row>
      <xdr:rowOff>45720</xdr:rowOff>
    </xdr:from>
    <xdr:ext cx="541020" cy="541020"/>
    <xdr:pic>
      <xdr:nvPicPr>
        <xdr:cNvPr id="25" name="image1.png">
          <a:extLst>
            <a:ext uri="{FF2B5EF4-FFF2-40B4-BE49-F238E27FC236}">
              <a16:creationId xmlns:a16="http://schemas.microsoft.com/office/drawing/2014/main" id="{4859FB64-FEEE-4B60-9680-78BAA608DB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107412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839</xdr:row>
      <xdr:rowOff>45720</xdr:rowOff>
    </xdr:from>
    <xdr:ext cx="541020" cy="541020"/>
    <xdr:pic>
      <xdr:nvPicPr>
        <xdr:cNvPr id="26" name="image1.png">
          <a:extLst>
            <a:ext uri="{FF2B5EF4-FFF2-40B4-BE49-F238E27FC236}">
              <a16:creationId xmlns:a16="http://schemas.microsoft.com/office/drawing/2014/main" id="{E0DE8474-6CDC-4600-B049-29A61A8DA224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593189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865</xdr:row>
      <xdr:rowOff>45720</xdr:rowOff>
    </xdr:from>
    <xdr:ext cx="541020" cy="541020"/>
    <xdr:pic>
      <xdr:nvPicPr>
        <xdr:cNvPr id="27" name="image1.png">
          <a:extLst>
            <a:ext uri="{FF2B5EF4-FFF2-40B4-BE49-F238E27FC236}">
              <a16:creationId xmlns:a16="http://schemas.microsoft.com/office/drawing/2014/main" id="{3763C079-9C4B-4465-9D91-4510983AE0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36776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878</xdr:row>
      <xdr:rowOff>45720</xdr:rowOff>
    </xdr:from>
    <xdr:ext cx="541020" cy="541020"/>
    <xdr:pic>
      <xdr:nvPicPr>
        <xdr:cNvPr id="28" name="image1.png">
          <a:extLst>
            <a:ext uri="{FF2B5EF4-FFF2-40B4-BE49-F238E27FC236}">
              <a16:creationId xmlns:a16="http://schemas.microsoft.com/office/drawing/2014/main" id="{3B0FAC09-CA7C-4F09-A493-0A995CC9BC9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6876776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904</xdr:row>
      <xdr:rowOff>45720</xdr:rowOff>
    </xdr:from>
    <xdr:ext cx="541020" cy="541020"/>
    <xdr:pic>
      <xdr:nvPicPr>
        <xdr:cNvPr id="29" name="image1.png">
          <a:extLst>
            <a:ext uri="{FF2B5EF4-FFF2-40B4-BE49-F238E27FC236}">
              <a16:creationId xmlns:a16="http://schemas.microsoft.com/office/drawing/2014/main" id="{4FE559C0-54C0-496E-B1A1-32E7EA2C33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70345100"/>
          <a:ext cx="541020" cy="541020"/>
        </a:xfrm>
        <a:prstGeom prst="rect">
          <a:avLst/>
        </a:prstGeom>
      </xdr:spPr>
    </xdr:pic>
    <xdr:clientData/>
  </xdr:oneCellAnchor>
  <xdr:oneCellAnchor>
    <xdr:from>
      <xdr:col>0</xdr:col>
      <xdr:colOff>358140</xdr:colOff>
      <xdr:row>934</xdr:row>
      <xdr:rowOff>45719</xdr:rowOff>
    </xdr:from>
    <xdr:ext cx="606520" cy="651429"/>
    <xdr:pic>
      <xdr:nvPicPr>
        <xdr:cNvPr id="30" name="image1.png">
          <a:extLst>
            <a:ext uri="{FF2B5EF4-FFF2-40B4-BE49-F238E27FC236}">
              <a16:creationId xmlns:a16="http://schemas.microsoft.com/office/drawing/2014/main" id="{10B1621B-2A09-43C5-8AD6-D65539D6BA7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8140" y="183655293"/>
          <a:ext cx="606520" cy="651429"/>
        </a:xfrm>
        <a:prstGeom prst="rect">
          <a:avLst/>
        </a:prstGeom>
      </xdr:spPr>
    </xdr:pic>
    <xdr:clientData/>
  </xdr:oneCellAnchor>
  <xdr:oneCellAnchor>
    <xdr:from>
      <xdr:col>0</xdr:col>
      <xdr:colOff>252757</xdr:colOff>
      <xdr:row>949</xdr:row>
      <xdr:rowOff>61933</xdr:rowOff>
    </xdr:from>
    <xdr:ext cx="582200" cy="578472"/>
    <xdr:pic>
      <xdr:nvPicPr>
        <xdr:cNvPr id="31" name="image1.png">
          <a:extLst>
            <a:ext uri="{FF2B5EF4-FFF2-40B4-BE49-F238E27FC236}">
              <a16:creationId xmlns:a16="http://schemas.microsoft.com/office/drawing/2014/main" id="{D1DDE5FA-CAA6-40C9-AB5B-9CA8075050C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2757" y="186824890"/>
          <a:ext cx="582200" cy="578472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990</xdr:row>
      <xdr:rowOff>61933</xdr:rowOff>
    </xdr:from>
    <xdr:ext cx="655157" cy="529833"/>
    <xdr:pic>
      <xdr:nvPicPr>
        <xdr:cNvPr id="32" name="image1.png">
          <a:extLst>
            <a:ext uri="{FF2B5EF4-FFF2-40B4-BE49-F238E27FC236}">
              <a16:creationId xmlns:a16="http://schemas.microsoft.com/office/drawing/2014/main" id="{2F9CA7C1-E724-4825-9B9E-38C09FC8315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4769146"/>
          <a:ext cx="655157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1006</xdr:row>
      <xdr:rowOff>61933</xdr:rowOff>
    </xdr:from>
    <xdr:ext cx="574095" cy="529833"/>
    <xdr:pic>
      <xdr:nvPicPr>
        <xdr:cNvPr id="33" name="image1.png">
          <a:extLst>
            <a:ext uri="{FF2B5EF4-FFF2-40B4-BE49-F238E27FC236}">
              <a16:creationId xmlns:a16="http://schemas.microsoft.com/office/drawing/2014/main" id="{210424AD-5D7C-4B2D-ACD1-6B180F5CEE9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285182</xdr:colOff>
      <xdr:row>1018</xdr:row>
      <xdr:rowOff>61933</xdr:rowOff>
    </xdr:from>
    <xdr:ext cx="574095" cy="529833"/>
    <xdr:pic>
      <xdr:nvPicPr>
        <xdr:cNvPr id="34" name="image1.png">
          <a:extLst>
            <a:ext uri="{FF2B5EF4-FFF2-40B4-BE49-F238E27FC236}">
              <a16:creationId xmlns:a16="http://schemas.microsoft.com/office/drawing/2014/main" id="{E3BC446B-7C09-4592-B977-4D8B9273073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182" y="19844944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1077</xdr:row>
      <xdr:rowOff>110572</xdr:rowOff>
    </xdr:from>
    <xdr:ext cx="574095" cy="529833"/>
    <xdr:pic>
      <xdr:nvPicPr>
        <xdr:cNvPr id="35" name="image1.png">
          <a:extLst>
            <a:ext uri="{FF2B5EF4-FFF2-40B4-BE49-F238E27FC236}">
              <a16:creationId xmlns:a16="http://schemas.microsoft.com/office/drawing/2014/main" id="{CCCE8FAA-9FE7-47EC-8B19-ABF5FB4D8EB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1117</xdr:row>
      <xdr:rowOff>110572</xdr:rowOff>
    </xdr:from>
    <xdr:ext cx="574095" cy="529833"/>
    <xdr:pic>
      <xdr:nvPicPr>
        <xdr:cNvPr id="36" name="image1.png">
          <a:extLst>
            <a:ext uri="{FF2B5EF4-FFF2-40B4-BE49-F238E27FC236}">
              <a16:creationId xmlns:a16="http://schemas.microsoft.com/office/drawing/2014/main" id="{BB6DE470-3AF8-49EB-8C37-BC7BDC6781D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1954678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1170</xdr:row>
      <xdr:rowOff>110572</xdr:rowOff>
    </xdr:from>
    <xdr:ext cx="574095" cy="529833"/>
    <xdr:pic>
      <xdr:nvPicPr>
        <xdr:cNvPr id="37" name="image1.png">
          <a:extLst>
            <a:ext uri="{FF2B5EF4-FFF2-40B4-BE49-F238E27FC236}">
              <a16:creationId xmlns:a16="http://schemas.microsoft.com/office/drawing/2014/main" id="{4F646A68-9E4F-47D8-BE31-7F8B068CEA1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1973680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1250</xdr:row>
      <xdr:rowOff>110572</xdr:rowOff>
    </xdr:from>
    <xdr:ext cx="574095" cy="529833"/>
    <xdr:pic>
      <xdr:nvPicPr>
        <xdr:cNvPr id="38" name="image1.png">
          <a:extLst>
            <a:ext uri="{FF2B5EF4-FFF2-40B4-BE49-F238E27FC236}">
              <a16:creationId xmlns:a16="http://schemas.microsoft.com/office/drawing/2014/main" id="{4ABF230F-6355-4F3D-B8AE-615BB0F66A1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3008865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350033</xdr:colOff>
      <xdr:row>1304</xdr:row>
      <xdr:rowOff>110572</xdr:rowOff>
    </xdr:from>
    <xdr:ext cx="574095" cy="529833"/>
    <xdr:pic>
      <xdr:nvPicPr>
        <xdr:cNvPr id="39" name="image1.png">
          <a:extLst>
            <a:ext uri="{FF2B5EF4-FFF2-40B4-BE49-F238E27FC236}">
              <a16:creationId xmlns:a16="http://schemas.microsoft.com/office/drawing/2014/main" id="{B3DCF43A-EBC4-40CE-8A9F-470C5309C02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0033" y="245004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1329</xdr:row>
      <xdr:rowOff>70040</xdr:rowOff>
    </xdr:from>
    <xdr:ext cx="574095" cy="529833"/>
    <xdr:pic>
      <xdr:nvPicPr>
        <xdr:cNvPr id="41" name="image1.png">
          <a:extLst>
            <a:ext uri="{FF2B5EF4-FFF2-40B4-BE49-F238E27FC236}">
              <a16:creationId xmlns:a16="http://schemas.microsoft.com/office/drawing/2014/main" id="{C9F5612D-A0DE-4A60-97BF-39ABC408CEE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1353</xdr:row>
      <xdr:rowOff>70040</xdr:rowOff>
    </xdr:from>
    <xdr:ext cx="574095" cy="529833"/>
    <xdr:pic>
      <xdr:nvPicPr>
        <xdr:cNvPr id="40" name="image1.png">
          <a:extLst>
            <a:ext uri="{FF2B5EF4-FFF2-40B4-BE49-F238E27FC236}">
              <a16:creationId xmlns:a16="http://schemas.microsoft.com/office/drawing/2014/main" id="{DF0D7F92-E849-491D-A5A9-670764A280D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1168529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1370</xdr:row>
      <xdr:rowOff>70040</xdr:rowOff>
    </xdr:from>
    <xdr:ext cx="574095" cy="529833"/>
    <xdr:pic>
      <xdr:nvPicPr>
        <xdr:cNvPr id="42" name="image1.png">
          <a:extLst>
            <a:ext uri="{FF2B5EF4-FFF2-40B4-BE49-F238E27FC236}">
              <a16:creationId xmlns:a16="http://schemas.microsoft.com/office/drawing/2014/main" id="{04B0699A-A64C-4523-B123-76BA37D094D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5910763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309501</xdr:colOff>
      <xdr:row>1398</xdr:row>
      <xdr:rowOff>70040</xdr:rowOff>
    </xdr:from>
    <xdr:ext cx="574095" cy="529833"/>
    <xdr:pic>
      <xdr:nvPicPr>
        <xdr:cNvPr id="43" name="image1.png">
          <a:extLst>
            <a:ext uri="{FF2B5EF4-FFF2-40B4-BE49-F238E27FC236}">
              <a16:creationId xmlns:a16="http://schemas.microsoft.com/office/drawing/2014/main" id="{4FF9833F-F0A0-4766-8016-6665E70494B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9501" y="26865072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1504</xdr:row>
      <xdr:rowOff>142998</xdr:rowOff>
    </xdr:from>
    <xdr:ext cx="574095" cy="529833"/>
    <xdr:pic>
      <xdr:nvPicPr>
        <xdr:cNvPr id="44" name="image1.png">
          <a:extLst>
            <a:ext uri="{FF2B5EF4-FFF2-40B4-BE49-F238E27FC236}">
              <a16:creationId xmlns:a16="http://schemas.microsoft.com/office/drawing/2014/main" id="{47A75434-020C-48E9-8E89-6F18A5B8E10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1557</xdr:row>
      <xdr:rowOff>142998</xdr:rowOff>
    </xdr:from>
    <xdr:ext cx="574095" cy="529833"/>
    <xdr:pic>
      <xdr:nvPicPr>
        <xdr:cNvPr id="45" name="image1.png">
          <a:extLst>
            <a:ext uri="{FF2B5EF4-FFF2-40B4-BE49-F238E27FC236}">
              <a16:creationId xmlns:a16="http://schemas.microsoft.com/office/drawing/2014/main" id="{525DD733-8D5C-47AF-B645-452FE66CEAE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294234466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1570</xdr:row>
      <xdr:rowOff>142998</xdr:rowOff>
    </xdr:from>
    <xdr:ext cx="574095" cy="529833"/>
    <xdr:pic>
      <xdr:nvPicPr>
        <xdr:cNvPr id="46" name="image1.png">
          <a:extLst>
            <a:ext uri="{FF2B5EF4-FFF2-40B4-BE49-F238E27FC236}">
              <a16:creationId xmlns:a16="http://schemas.microsoft.com/office/drawing/2014/main" id="{7177E84C-F6C4-4C51-B813-3020F3AC2C3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748357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1590</xdr:row>
      <xdr:rowOff>142998</xdr:rowOff>
    </xdr:from>
    <xdr:ext cx="574095" cy="529833"/>
    <xdr:pic>
      <xdr:nvPicPr>
        <xdr:cNvPr id="47" name="image1.png">
          <a:extLst>
            <a:ext uri="{FF2B5EF4-FFF2-40B4-BE49-F238E27FC236}">
              <a16:creationId xmlns:a16="http://schemas.microsoft.com/office/drawing/2014/main" id="{5BBE2C90-D638-4B55-AC51-8795A7114F0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0778023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1608</xdr:row>
      <xdr:rowOff>142998</xdr:rowOff>
    </xdr:from>
    <xdr:ext cx="574095" cy="529833"/>
    <xdr:pic>
      <xdr:nvPicPr>
        <xdr:cNvPr id="48" name="image1.png">
          <a:extLst>
            <a:ext uri="{FF2B5EF4-FFF2-40B4-BE49-F238E27FC236}">
              <a16:creationId xmlns:a16="http://schemas.microsoft.com/office/drawing/2014/main" id="{02700B2E-AA02-419B-A746-656F0B11B44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16632402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1642</xdr:row>
      <xdr:rowOff>142998</xdr:rowOff>
    </xdr:from>
    <xdr:ext cx="574095" cy="529833"/>
    <xdr:pic>
      <xdr:nvPicPr>
        <xdr:cNvPr id="49" name="image1.png">
          <a:extLst>
            <a:ext uri="{FF2B5EF4-FFF2-40B4-BE49-F238E27FC236}">
              <a16:creationId xmlns:a16="http://schemas.microsoft.com/office/drawing/2014/main" id="{2E5FE3D0-8C83-4107-8692-90B70C223A8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0215424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1674</xdr:row>
      <xdr:rowOff>142998</xdr:rowOff>
    </xdr:from>
    <xdr:ext cx="574095" cy="529833"/>
    <xdr:pic>
      <xdr:nvPicPr>
        <xdr:cNvPr id="50" name="image1.png">
          <a:extLst>
            <a:ext uri="{FF2B5EF4-FFF2-40B4-BE49-F238E27FC236}">
              <a16:creationId xmlns:a16="http://schemas.microsoft.com/office/drawing/2014/main" id="{0525F7A3-5994-4509-8E83-8539FD7C76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260680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1700</xdr:row>
      <xdr:rowOff>142998</xdr:rowOff>
    </xdr:from>
    <xdr:ext cx="574095" cy="529833"/>
    <xdr:pic>
      <xdr:nvPicPr>
        <xdr:cNvPr id="51" name="image1.png">
          <a:extLst>
            <a:ext uri="{FF2B5EF4-FFF2-40B4-BE49-F238E27FC236}">
              <a16:creationId xmlns:a16="http://schemas.microsoft.com/office/drawing/2014/main" id="{1A3F9994-62DA-4E78-97B1-402CD772CB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28962211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1710</xdr:row>
      <xdr:rowOff>142998</xdr:rowOff>
    </xdr:from>
    <xdr:ext cx="574095" cy="529833"/>
    <xdr:pic>
      <xdr:nvPicPr>
        <xdr:cNvPr id="52" name="image1.png">
          <a:extLst>
            <a:ext uri="{FF2B5EF4-FFF2-40B4-BE49-F238E27FC236}">
              <a16:creationId xmlns:a16="http://schemas.microsoft.com/office/drawing/2014/main" id="{C41B2F90-07B5-47AD-B5D8-0BF5A23FD9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4304317"/>
          <a:ext cx="574095" cy="529833"/>
        </a:xfrm>
        <a:prstGeom prst="rect">
          <a:avLst/>
        </a:prstGeom>
      </xdr:spPr>
    </xdr:pic>
    <xdr:clientData/>
  </xdr:oneCellAnchor>
  <xdr:oneCellAnchor>
    <xdr:from>
      <xdr:col>0</xdr:col>
      <xdr:colOff>260863</xdr:colOff>
      <xdr:row>1739</xdr:row>
      <xdr:rowOff>142998</xdr:rowOff>
    </xdr:from>
    <xdr:ext cx="574095" cy="529833"/>
    <xdr:pic>
      <xdr:nvPicPr>
        <xdr:cNvPr id="53" name="image1.png">
          <a:extLst>
            <a:ext uri="{FF2B5EF4-FFF2-40B4-BE49-F238E27FC236}">
              <a16:creationId xmlns:a16="http://schemas.microsoft.com/office/drawing/2014/main" id="{6A256752-737A-4B92-A6F2-4EB697D89606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0863" y="336557892"/>
          <a:ext cx="574095" cy="52983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4</xdr:col>
      <xdr:colOff>114300</xdr:colOff>
      <xdr:row>6</xdr:row>
      <xdr:rowOff>7620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FBCC6F-A07E-EC32-7573-27DD0B2E2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114300</xdr:colOff>
      <xdr:row>6</xdr:row>
      <xdr:rowOff>7620</xdr:rowOff>
    </xdr:to>
    <xdr:pic>
      <xdr:nvPicPr>
        <xdr:cNvPr id="3" name="Imagem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4DE444B-2022-23A0-83E5-DAA0F8256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68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114300</xdr:colOff>
      <xdr:row>6</xdr:row>
      <xdr:rowOff>7620</xdr:rowOff>
    </xdr:to>
    <xdr:pic>
      <xdr:nvPicPr>
        <xdr:cNvPr id="4" name="Imagem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0CDD6E-4D53-D5B7-83BA-607F67A7F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114300</xdr:colOff>
      <xdr:row>6</xdr:row>
      <xdr:rowOff>7620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37E9437-2B83-C740-6973-0FE6225FD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114300</xdr:colOff>
      <xdr:row>6</xdr:row>
      <xdr:rowOff>7620</xdr:rowOff>
    </xdr:to>
    <xdr:pic>
      <xdr:nvPicPr>
        <xdr:cNvPr id="6" name="Imagem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156F527-2415-67BD-FFE8-5F14B8B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0490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114300</xdr:colOff>
      <xdr:row>7</xdr:row>
      <xdr:rowOff>0</xdr:rowOff>
    </xdr:to>
    <xdr:pic>
      <xdr:nvPicPr>
        <xdr:cNvPr id="7" name="Imagem 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B5C0035-47F2-2A2E-9F9A-E780842B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06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</xdr:row>
      <xdr:rowOff>7620</xdr:rowOff>
    </xdr:from>
    <xdr:to>
      <xdr:col>10</xdr:col>
      <xdr:colOff>152400</xdr:colOff>
      <xdr:row>7</xdr:row>
      <xdr:rowOff>160020</xdr:rowOff>
    </xdr:to>
    <xdr:pic>
      <xdr:nvPicPr>
        <xdr:cNvPr id="8" name="ajuda2" descr="Boleto não disponível para pagamento após a data limite para pagamento.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CDF8575-E446-0944-73B4-5FDE254BA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687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114300</xdr:colOff>
      <xdr:row>9</xdr:row>
      <xdr:rowOff>0</xdr:rowOff>
    </xdr:to>
    <xdr:pic>
      <xdr:nvPicPr>
        <xdr:cNvPr id="9" name="Imagem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000475-D9CC-9DD4-2253-61833A4CC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0" name="Imagem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FC534F-7633-44AF-80E4-05AAE6E31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114300</xdr:colOff>
      <xdr:row>9</xdr:row>
      <xdr:rowOff>0</xdr:rowOff>
    </xdr:to>
    <xdr:pic>
      <xdr:nvPicPr>
        <xdr:cNvPr id="11" name="Imagem 1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75E9BEB-6CDD-AA63-38A1-18E04EA4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184404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114300</xdr:colOff>
      <xdr:row>8</xdr:row>
      <xdr:rowOff>7620</xdr:rowOff>
    </xdr:to>
    <xdr:pic>
      <xdr:nvPicPr>
        <xdr:cNvPr id="12" name="Imagem 1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96EA63B-55F8-62B6-87F9-153C463A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114300</xdr:colOff>
      <xdr:row>8</xdr:row>
      <xdr:rowOff>7620</xdr:rowOff>
    </xdr:to>
    <xdr:pic>
      <xdr:nvPicPr>
        <xdr:cNvPr id="13" name="Imagem 1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F7A3A7C2-CA2C-C985-E843-813398B16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661160"/>
          <a:ext cx="1143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</xdr:row>
          <xdr:rowOff>0</xdr:rowOff>
        </xdr:from>
        <xdr:to>
          <xdr:col>3</xdr:col>
          <xdr:colOff>228600</xdr:colOff>
          <xdr:row>10</xdr:row>
          <xdr:rowOff>60960</xdr:rowOff>
        </xdr:to>
        <xdr:sp macro="" textlink="">
          <xdr:nvSpPr>
            <xdr:cNvPr id="12400" name="Control 112" hidden="1">
              <a:extLst>
                <a:ext uri="{63B3BB69-23CF-44E3-9099-C40C66FF867C}">
                  <a14:compatExt spid="_x0000_s12400"/>
                </a:ext>
                <a:ext uri="{FF2B5EF4-FFF2-40B4-BE49-F238E27FC236}">
                  <a16:creationId xmlns:a16="http://schemas.microsoft.com/office/drawing/2014/main" id="{00000000-0008-0000-1400-00007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</xdr:row>
          <xdr:rowOff>0</xdr:rowOff>
        </xdr:from>
        <xdr:to>
          <xdr:col>3</xdr:col>
          <xdr:colOff>228600</xdr:colOff>
          <xdr:row>11</xdr:row>
          <xdr:rowOff>60960</xdr:rowOff>
        </xdr:to>
        <xdr:sp macro="" textlink="">
          <xdr:nvSpPr>
            <xdr:cNvPr id="12401" name="Control 113" hidden="1">
              <a:extLst>
                <a:ext uri="{63B3BB69-23CF-44E3-9099-C40C66FF867C}">
                  <a14:compatExt spid="_x0000_s12401"/>
                </a:ext>
                <a:ext uri="{FF2B5EF4-FFF2-40B4-BE49-F238E27FC236}">
                  <a16:creationId xmlns:a16="http://schemas.microsoft.com/office/drawing/2014/main" id="{00000000-0008-0000-1400-00007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228600</xdr:colOff>
          <xdr:row>12</xdr:row>
          <xdr:rowOff>60960</xdr:rowOff>
        </xdr:to>
        <xdr:sp macro="" textlink="">
          <xdr:nvSpPr>
            <xdr:cNvPr id="12402" name="Control 114" hidden="1">
              <a:extLst>
                <a:ext uri="{63B3BB69-23CF-44E3-9099-C40C66FF867C}">
                  <a14:compatExt spid="_x0000_s12402"/>
                </a:ext>
                <a:ext uri="{FF2B5EF4-FFF2-40B4-BE49-F238E27FC236}">
                  <a16:creationId xmlns:a16="http://schemas.microsoft.com/office/drawing/2014/main" id="{00000000-0008-0000-1400-00007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228600</xdr:colOff>
          <xdr:row>13</xdr:row>
          <xdr:rowOff>60960</xdr:rowOff>
        </xdr:to>
        <xdr:sp macro="" textlink="">
          <xdr:nvSpPr>
            <xdr:cNvPr id="12403" name="Control 115" hidden="1">
              <a:extLst>
                <a:ext uri="{63B3BB69-23CF-44E3-9099-C40C66FF867C}">
                  <a14:compatExt spid="_x0000_s12403"/>
                </a:ext>
                <a:ext uri="{FF2B5EF4-FFF2-40B4-BE49-F238E27FC236}">
                  <a16:creationId xmlns:a16="http://schemas.microsoft.com/office/drawing/2014/main" id="{00000000-0008-0000-1400-00007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0</xdr:rowOff>
        </xdr:from>
        <xdr:to>
          <xdr:col>3</xdr:col>
          <xdr:colOff>228600</xdr:colOff>
          <xdr:row>14</xdr:row>
          <xdr:rowOff>60960</xdr:rowOff>
        </xdr:to>
        <xdr:sp macro="" textlink="">
          <xdr:nvSpPr>
            <xdr:cNvPr id="12404" name="Control 116" hidden="1">
              <a:extLst>
                <a:ext uri="{63B3BB69-23CF-44E3-9099-C40C66FF867C}">
                  <a14:compatExt spid="_x0000_s12404"/>
                </a:ext>
                <a:ext uri="{FF2B5EF4-FFF2-40B4-BE49-F238E27FC236}">
                  <a16:creationId xmlns:a16="http://schemas.microsoft.com/office/drawing/2014/main" id="{00000000-0008-0000-1400-00007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</xdr:row>
          <xdr:rowOff>0</xdr:rowOff>
        </xdr:from>
        <xdr:to>
          <xdr:col>3</xdr:col>
          <xdr:colOff>228600</xdr:colOff>
          <xdr:row>15</xdr:row>
          <xdr:rowOff>60960</xdr:rowOff>
        </xdr:to>
        <xdr:sp macro="" textlink="">
          <xdr:nvSpPr>
            <xdr:cNvPr id="12405" name="Control 117" hidden="1">
              <a:extLst>
                <a:ext uri="{63B3BB69-23CF-44E3-9099-C40C66FF867C}">
                  <a14:compatExt spid="_x0000_s12405"/>
                </a:ext>
                <a:ext uri="{FF2B5EF4-FFF2-40B4-BE49-F238E27FC236}">
                  <a16:creationId xmlns:a16="http://schemas.microsoft.com/office/drawing/2014/main" id="{00000000-0008-0000-1400-00007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0</xdr:rowOff>
        </xdr:from>
        <xdr:to>
          <xdr:col>3</xdr:col>
          <xdr:colOff>228600</xdr:colOff>
          <xdr:row>16</xdr:row>
          <xdr:rowOff>60960</xdr:rowOff>
        </xdr:to>
        <xdr:sp macro="" textlink="">
          <xdr:nvSpPr>
            <xdr:cNvPr id="12406" name="Control 118" hidden="1">
              <a:extLst>
                <a:ext uri="{63B3BB69-23CF-44E3-9099-C40C66FF867C}">
                  <a14:compatExt spid="_x0000_s12406"/>
                </a:ext>
                <a:ext uri="{FF2B5EF4-FFF2-40B4-BE49-F238E27FC236}">
                  <a16:creationId xmlns:a16="http://schemas.microsoft.com/office/drawing/2014/main" id="{00000000-0008-0000-1400-00007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0</xdr:rowOff>
        </xdr:from>
        <xdr:to>
          <xdr:col>3</xdr:col>
          <xdr:colOff>228600</xdr:colOff>
          <xdr:row>17</xdr:row>
          <xdr:rowOff>60960</xdr:rowOff>
        </xdr:to>
        <xdr:sp macro="" textlink="">
          <xdr:nvSpPr>
            <xdr:cNvPr id="12407" name="Control 119" hidden="1">
              <a:extLst>
                <a:ext uri="{63B3BB69-23CF-44E3-9099-C40C66FF867C}">
                  <a14:compatExt spid="_x0000_s12407"/>
                </a:ext>
                <a:ext uri="{FF2B5EF4-FFF2-40B4-BE49-F238E27FC236}">
                  <a16:creationId xmlns:a16="http://schemas.microsoft.com/office/drawing/2014/main" id="{00000000-0008-0000-1400-00007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17</xdr:row>
          <xdr:rowOff>0</xdr:rowOff>
        </xdr:from>
        <xdr:to>
          <xdr:col>3</xdr:col>
          <xdr:colOff>228600</xdr:colOff>
          <xdr:row>18</xdr:row>
          <xdr:rowOff>60960</xdr:rowOff>
        </xdr:to>
        <xdr:sp macro="" textlink="">
          <xdr:nvSpPr>
            <xdr:cNvPr id="12408" name="Control 120" hidden="1">
              <a:extLst>
                <a:ext uri="{63B3BB69-23CF-44E3-9099-C40C66FF867C}">
                  <a14:compatExt spid="_x0000_s12408"/>
                </a:ext>
                <a:ext uri="{FF2B5EF4-FFF2-40B4-BE49-F238E27FC236}">
                  <a16:creationId xmlns:a16="http://schemas.microsoft.com/office/drawing/2014/main" id="{00000000-0008-0000-1400-00007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18</xdr:row>
          <xdr:rowOff>0</xdr:rowOff>
        </xdr:from>
        <xdr:to>
          <xdr:col>3</xdr:col>
          <xdr:colOff>228600</xdr:colOff>
          <xdr:row>19</xdr:row>
          <xdr:rowOff>60960</xdr:rowOff>
        </xdr:to>
        <xdr:sp macro="" textlink="">
          <xdr:nvSpPr>
            <xdr:cNvPr id="12409" name="Control 121" hidden="1">
              <a:extLst>
                <a:ext uri="{63B3BB69-23CF-44E3-9099-C40C66FF867C}">
                  <a14:compatExt spid="_x0000_s12409"/>
                </a:ext>
                <a:ext uri="{FF2B5EF4-FFF2-40B4-BE49-F238E27FC236}">
                  <a16:creationId xmlns:a16="http://schemas.microsoft.com/office/drawing/2014/main" id="{00000000-0008-0000-1400-00007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0</xdr:rowOff>
        </xdr:from>
        <xdr:to>
          <xdr:col>3</xdr:col>
          <xdr:colOff>228600</xdr:colOff>
          <xdr:row>20</xdr:row>
          <xdr:rowOff>60960</xdr:rowOff>
        </xdr:to>
        <xdr:sp macro="" textlink="">
          <xdr:nvSpPr>
            <xdr:cNvPr id="12410" name="Control 122" hidden="1">
              <a:extLst>
                <a:ext uri="{63B3BB69-23CF-44E3-9099-C40C66FF867C}">
                  <a14:compatExt spid="_x0000_s12410"/>
                </a:ext>
                <a:ext uri="{FF2B5EF4-FFF2-40B4-BE49-F238E27FC236}">
                  <a16:creationId xmlns:a16="http://schemas.microsoft.com/office/drawing/2014/main" id="{00000000-0008-0000-1400-00007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3</xdr:col>
          <xdr:colOff>228600</xdr:colOff>
          <xdr:row>21</xdr:row>
          <xdr:rowOff>60960</xdr:rowOff>
        </xdr:to>
        <xdr:sp macro="" textlink="">
          <xdr:nvSpPr>
            <xdr:cNvPr id="12411" name="Control 123" hidden="1">
              <a:extLst>
                <a:ext uri="{63B3BB69-23CF-44E3-9099-C40C66FF867C}">
                  <a14:compatExt spid="_x0000_s12411"/>
                </a:ext>
                <a:ext uri="{FF2B5EF4-FFF2-40B4-BE49-F238E27FC236}">
                  <a16:creationId xmlns:a16="http://schemas.microsoft.com/office/drawing/2014/main" id="{00000000-0008-0000-1400-00007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0</xdr:rowOff>
        </xdr:from>
        <xdr:to>
          <xdr:col>3</xdr:col>
          <xdr:colOff>228600</xdr:colOff>
          <xdr:row>22</xdr:row>
          <xdr:rowOff>60960</xdr:rowOff>
        </xdr:to>
        <xdr:sp macro="" textlink="">
          <xdr:nvSpPr>
            <xdr:cNvPr id="12412" name="Control 124" hidden="1">
              <a:extLst>
                <a:ext uri="{63B3BB69-23CF-44E3-9099-C40C66FF867C}">
                  <a14:compatExt spid="_x0000_s12412"/>
                </a:ext>
                <a:ext uri="{FF2B5EF4-FFF2-40B4-BE49-F238E27FC236}">
                  <a16:creationId xmlns:a16="http://schemas.microsoft.com/office/drawing/2014/main" id="{00000000-0008-0000-1400-00007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0</xdr:rowOff>
        </xdr:from>
        <xdr:to>
          <xdr:col>3</xdr:col>
          <xdr:colOff>228600</xdr:colOff>
          <xdr:row>23</xdr:row>
          <xdr:rowOff>60960</xdr:rowOff>
        </xdr:to>
        <xdr:sp macro="" textlink="">
          <xdr:nvSpPr>
            <xdr:cNvPr id="12413" name="Control 125" hidden="1">
              <a:extLst>
                <a:ext uri="{63B3BB69-23CF-44E3-9099-C40C66FF867C}">
                  <a14:compatExt spid="_x0000_s12413"/>
                </a:ext>
                <a:ext uri="{FF2B5EF4-FFF2-40B4-BE49-F238E27FC236}">
                  <a16:creationId xmlns:a16="http://schemas.microsoft.com/office/drawing/2014/main" id="{00000000-0008-0000-1400-00007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0</xdr:rowOff>
        </xdr:from>
        <xdr:to>
          <xdr:col>3</xdr:col>
          <xdr:colOff>228600</xdr:colOff>
          <xdr:row>24</xdr:row>
          <xdr:rowOff>60960</xdr:rowOff>
        </xdr:to>
        <xdr:sp macro="" textlink="">
          <xdr:nvSpPr>
            <xdr:cNvPr id="12414" name="Control 126" hidden="1">
              <a:extLst>
                <a:ext uri="{63B3BB69-23CF-44E3-9099-C40C66FF867C}">
                  <a14:compatExt spid="_x0000_s12414"/>
                </a:ext>
                <a:ext uri="{FF2B5EF4-FFF2-40B4-BE49-F238E27FC236}">
                  <a16:creationId xmlns:a16="http://schemas.microsoft.com/office/drawing/2014/main" id="{00000000-0008-0000-1400-00007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3</xdr:col>
          <xdr:colOff>228600</xdr:colOff>
          <xdr:row>25</xdr:row>
          <xdr:rowOff>60960</xdr:rowOff>
        </xdr:to>
        <xdr:sp macro="" textlink="">
          <xdr:nvSpPr>
            <xdr:cNvPr id="12415" name="Control 127" hidden="1">
              <a:extLst>
                <a:ext uri="{63B3BB69-23CF-44E3-9099-C40C66FF867C}">
                  <a14:compatExt spid="_x0000_s12415"/>
                </a:ext>
                <a:ext uri="{FF2B5EF4-FFF2-40B4-BE49-F238E27FC236}">
                  <a16:creationId xmlns:a16="http://schemas.microsoft.com/office/drawing/2014/main" id="{00000000-0008-0000-1400-00007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0</xdr:rowOff>
        </xdr:from>
        <xdr:to>
          <xdr:col>3</xdr:col>
          <xdr:colOff>228600</xdr:colOff>
          <xdr:row>26</xdr:row>
          <xdr:rowOff>60960</xdr:rowOff>
        </xdr:to>
        <xdr:sp macro="" textlink="">
          <xdr:nvSpPr>
            <xdr:cNvPr id="12416" name="Control 128" hidden="1">
              <a:extLst>
                <a:ext uri="{63B3BB69-23CF-44E3-9099-C40C66FF867C}">
                  <a14:compatExt spid="_x0000_s12416"/>
                </a:ext>
                <a:ext uri="{FF2B5EF4-FFF2-40B4-BE49-F238E27FC236}">
                  <a16:creationId xmlns:a16="http://schemas.microsoft.com/office/drawing/2014/main" id="{00000000-0008-0000-1400-00008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0</xdr:rowOff>
        </xdr:from>
        <xdr:to>
          <xdr:col>3</xdr:col>
          <xdr:colOff>228600</xdr:colOff>
          <xdr:row>27</xdr:row>
          <xdr:rowOff>60960</xdr:rowOff>
        </xdr:to>
        <xdr:sp macro="" textlink="">
          <xdr:nvSpPr>
            <xdr:cNvPr id="12417" name="Control 129" hidden="1">
              <a:extLst>
                <a:ext uri="{63B3BB69-23CF-44E3-9099-C40C66FF867C}">
                  <a14:compatExt spid="_x0000_s12417"/>
                </a:ext>
                <a:ext uri="{FF2B5EF4-FFF2-40B4-BE49-F238E27FC236}">
                  <a16:creationId xmlns:a16="http://schemas.microsoft.com/office/drawing/2014/main" id="{00000000-0008-0000-1400-00008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228600</xdr:colOff>
          <xdr:row>28</xdr:row>
          <xdr:rowOff>60960</xdr:rowOff>
        </xdr:to>
        <xdr:sp macro="" textlink="">
          <xdr:nvSpPr>
            <xdr:cNvPr id="12418" name="Control 130" hidden="1">
              <a:extLst>
                <a:ext uri="{63B3BB69-23CF-44E3-9099-C40C66FF867C}">
                  <a14:compatExt spid="_x0000_s12418"/>
                </a:ext>
                <a:ext uri="{FF2B5EF4-FFF2-40B4-BE49-F238E27FC236}">
                  <a16:creationId xmlns:a16="http://schemas.microsoft.com/office/drawing/2014/main" id="{00000000-0008-0000-1400-00008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28</xdr:row>
          <xdr:rowOff>0</xdr:rowOff>
        </xdr:from>
        <xdr:to>
          <xdr:col>3</xdr:col>
          <xdr:colOff>228600</xdr:colOff>
          <xdr:row>29</xdr:row>
          <xdr:rowOff>60960</xdr:rowOff>
        </xdr:to>
        <xdr:sp macro="" textlink="">
          <xdr:nvSpPr>
            <xdr:cNvPr id="12419" name="Control 131" hidden="1">
              <a:extLst>
                <a:ext uri="{63B3BB69-23CF-44E3-9099-C40C66FF867C}">
                  <a14:compatExt spid="_x0000_s12419"/>
                </a:ext>
                <a:ext uri="{FF2B5EF4-FFF2-40B4-BE49-F238E27FC236}">
                  <a16:creationId xmlns:a16="http://schemas.microsoft.com/office/drawing/2014/main" id="{00000000-0008-0000-1400-00008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29</xdr:row>
          <xdr:rowOff>0</xdr:rowOff>
        </xdr:from>
        <xdr:to>
          <xdr:col>3</xdr:col>
          <xdr:colOff>228600</xdr:colOff>
          <xdr:row>30</xdr:row>
          <xdr:rowOff>60960</xdr:rowOff>
        </xdr:to>
        <xdr:sp macro="" textlink="">
          <xdr:nvSpPr>
            <xdr:cNvPr id="12420" name="Control 132" hidden="1">
              <a:extLst>
                <a:ext uri="{63B3BB69-23CF-44E3-9099-C40C66FF867C}">
                  <a14:compatExt spid="_x0000_s12420"/>
                </a:ext>
                <a:ext uri="{FF2B5EF4-FFF2-40B4-BE49-F238E27FC236}">
                  <a16:creationId xmlns:a16="http://schemas.microsoft.com/office/drawing/2014/main" id="{00000000-0008-0000-1400-00008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30</xdr:row>
          <xdr:rowOff>0</xdr:rowOff>
        </xdr:from>
        <xdr:to>
          <xdr:col>3</xdr:col>
          <xdr:colOff>228600</xdr:colOff>
          <xdr:row>31</xdr:row>
          <xdr:rowOff>60960</xdr:rowOff>
        </xdr:to>
        <xdr:sp macro="" textlink="">
          <xdr:nvSpPr>
            <xdr:cNvPr id="12421" name="Control 133" hidden="1">
              <a:extLst>
                <a:ext uri="{63B3BB69-23CF-44E3-9099-C40C66FF867C}">
                  <a14:compatExt spid="_x0000_s12421"/>
                </a:ext>
                <a:ext uri="{FF2B5EF4-FFF2-40B4-BE49-F238E27FC236}">
                  <a16:creationId xmlns:a16="http://schemas.microsoft.com/office/drawing/2014/main" id="{00000000-0008-0000-1400-00008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31</xdr:row>
          <xdr:rowOff>0</xdr:rowOff>
        </xdr:from>
        <xdr:to>
          <xdr:col>3</xdr:col>
          <xdr:colOff>228600</xdr:colOff>
          <xdr:row>32</xdr:row>
          <xdr:rowOff>60960</xdr:rowOff>
        </xdr:to>
        <xdr:sp macro="" textlink="">
          <xdr:nvSpPr>
            <xdr:cNvPr id="12422" name="Control 134" hidden="1">
              <a:extLst>
                <a:ext uri="{63B3BB69-23CF-44E3-9099-C40C66FF867C}">
                  <a14:compatExt spid="_x0000_s12422"/>
                </a:ext>
                <a:ext uri="{FF2B5EF4-FFF2-40B4-BE49-F238E27FC236}">
                  <a16:creationId xmlns:a16="http://schemas.microsoft.com/office/drawing/2014/main" id="{00000000-0008-0000-1400-00008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57</xdr:row>
          <xdr:rowOff>0</xdr:rowOff>
        </xdr:from>
        <xdr:to>
          <xdr:col>3</xdr:col>
          <xdr:colOff>228600</xdr:colOff>
          <xdr:row>58</xdr:row>
          <xdr:rowOff>60960</xdr:rowOff>
        </xdr:to>
        <xdr:sp macro="" textlink="">
          <xdr:nvSpPr>
            <xdr:cNvPr id="12423" name="Control 135" hidden="1">
              <a:extLst>
                <a:ext uri="{63B3BB69-23CF-44E3-9099-C40C66FF867C}">
                  <a14:compatExt spid="_x0000_s12423"/>
                </a:ext>
                <a:ext uri="{FF2B5EF4-FFF2-40B4-BE49-F238E27FC236}">
                  <a16:creationId xmlns:a16="http://schemas.microsoft.com/office/drawing/2014/main" id="{00000000-0008-0000-1400-00008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58</xdr:row>
          <xdr:rowOff>0</xdr:rowOff>
        </xdr:from>
        <xdr:to>
          <xdr:col>3</xdr:col>
          <xdr:colOff>228600</xdr:colOff>
          <xdr:row>59</xdr:row>
          <xdr:rowOff>60960</xdr:rowOff>
        </xdr:to>
        <xdr:sp macro="" textlink="">
          <xdr:nvSpPr>
            <xdr:cNvPr id="12424" name="Control 136" hidden="1">
              <a:extLst>
                <a:ext uri="{63B3BB69-23CF-44E3-9099-C40C66FF867C}">
                  <a14:compatExt spid="_x0000_s12424"/>
                </a:ext>
                <a:ext uri="{FF2B5EF4-FFF2-40B4-BE49-F238E27FC236}">
                  <a16:creationId xmlns:a16="http://schemas.microsoft.com/office/drawing/2014/main" id="{00000000-0008-0000-1400-00008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59</xdr:row>
          <xdr:rowOff>0</xdr:rowOff>
        </xdr:from>
        <xdr:to>
          <xdr:col>3</xdr:col>
          <xdr:colOff>228600</xdr:colOff>
          <xdr:row>60</xdr:row>
          <xdr:rowOff>60960</xdr:rowOff>
        </xdr:to>
        <xdr:sp macro="" textlink="">
          <xdr:nvSpPr>
            <xdr:cNvPr id="12425" name="Control 137" hidden="1">
              <a:extLst>
                <a:ext uri="{63B3BB69-23CF-44E3-9099-C40C66FF867C}">
                  <a14:compatExt spid="_x0000_s12425"/>
                </a:ext>
                <a:ext uri="{FF2B5EF4-FFF2-40B4-BE49-F238E27FC236}">
                  <a16:creationId xmlns:a16="http://schemas.microsoft.com/office/drawing/2014/main" id="{00000000-0008-0000-1400-00008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60</xdr:row>
          <xdr:rowOff>0</xdr:rowOff>
        </xdr:from>
        <xdr:to>
          <xdr:col>3</xdr:col>
          <xdr:colOff>228600</xdr:colOff>
          <xdr:row>61</xdr:row>
          <xdr:rowOff>60960</xdr:rowOff>
        </xdr:to>
        <xdr:sp macro="" textlink="">
          <xdr:nvSpPr>
            <xdr:cNvPr id="12426" name="Control 138" hidden="1">
              <a:extLst>
                <a:ext uri="{63B3BB69-23CF-44E3-9099-C40C66FF867C}">
                  <a14:compatExt spid="_x0000_s12426"/>
                </a:ext>
                <a:ext uri="{FF2B5EF4-FFF2-40B4-BE49-F238E27FC236}">
                  <a16:creationId xmlns:a16="http://schemas.microsoft.com/office/drawing/2014/main" id="{00000000-0008-0000-1400-00008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61</xdr:row>
          <xdr:rowOff>0</xdr:rowOff>
        </xdr:from>
        <xdr:to>
          <xdr:col>3</xdr:col>
          <xdr:colOff>228600</xdr:colOff>
          <xdr:row>62</xdr:row>
          <xdr:rowOff>60960</xdr:rowOff>
        </xdr:to>
        <xdr:sp macro="" textlink="">
          <xdr:nvSpPr>
            <xdr:cNvPr id="12427" name="Control 139" hidden="1">
              <a:extLst>
                <a:ext uri="{63B3BB69-23CF-44E3-9099-C40C66FF867C}">
                  <a14:compatExt spid="_x0000_s12427"/>
                </a:ext>
                <a:ext uri="{FF2B5EF4-FFF2-40B4-BE49-F238E27FC236}">
                  <a16:creationId xmlns:a16="http://schemas.microsoft.com/office/drawing/2014/main" id="{00000000-0008-0000-1400-00008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3</xdr:col>
          <xdr:colOff>228600</xdr:colOff>
          <xdr:row>63</xdr:row>
          <xdr:rowOff>60960</xdr:rowOff>
        </xdr:to>
        <xdr:sp macro="" textlink="">
          <xdr:nvSpPr>
            <xdr:cNvPr id="12428" name="Control 140" hidden="1">
              <a:extLst>
                <a:ext uri="{63B3BB69-23CF-44E3-9099-C40C66FF867C}">
                  <a14:compatExt spid="_x0000_s12428"/>
                </a:ext>
                <a:ext uri="{FF2B5EF4-FFF2-40B4-BE49-F238E27FC236}">
                  <a16:creationId xmlns:a16="http://schemas.microsoft.com/office/drawing/2014/main" id="{00000000-0008-0000-1400-00008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63</xdr:row>
          <xdr:rowOff>0</xdr:rowOff>
        </xdr:from>
        <xdr:to>
          <xdr:col>3</xdr:col>
          <xdr:colOff>228600</xdr:colOff>
          <xdr:row>64</xdr:row>
          <xdr:rowOff>60960</xdr:rowOff>
        </xdr:to>
        <xdr:sp macro="" textlink="">
          <xdr:nvSpPr>
            <xdr:cNvPr id="12429" name="Control 141" hidden="1">
              <a:extLst>
                <a:ext uri="{63B3BB69-23CF-44E3-9099-C40C66FF867C}">
                  <a14:compatExt spid="_x0000_s12429"/>
                </a:ext>
                <a:ext uri="{FF2B5EF4-FFF2-40B4-BE49-F238E27FC236}">
                  <a16:creationId xmlns:a16="http://schemas.microsoft.com/office/drawing/2014/main" id="{00000000-0008-0000-1400-00008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64</xdr:row>
          <xdr:rowOff>0</xdr:rowOff>
        </xdr:from>
        <xdr:to>
          <xdr:col>3</xdr:col>
          <xdr:colOff>228600</xdr:colOff>
          <xdr:row>65</xdr:row>
          <xdr:rowOff>60960</xdr:rowOff>
        </xdr:to>
        <xdr:sp macro="" textlink="">
          <xdr:nvSpPr>
            <xdr:cNvPr id="12430" name="Control 142" hidden="1">
              <a:extLst>
                <a:ext uri="{63B3BB69-23CF-44E3-9099-C40C66FF867C}">
                  <a14:compatExt spid="_x0000_s12430"/>
                </a:ext>
                <a:ext uri="{FF2B5EF4-FFF2-40B4-BE49-F238E27FC236}">
                  <a16:creationId xmlns:a16="http://schemas.microsoft.com/office/drawing/2014/main" id="{00000000-0008-0000-1400-00008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65</xdr:row>
          <xdr:rowOff>0</xdr:rowOff>
        </xdr:from>
        <xdr:to>
          <xdr:col>3</xdr:col>
          <xdr:colOff>228600</xdr:colOff>
          <xdr:row>66</xdr:row>
          <xdr:rowOff>60960</xdr:rowOff>
        </xdr:to>
        <xdr:sp macro="" textlink="">
          <xdr:nvSpPr>
            <xdr:cNvPr id="12431" name="Control 143" hidden="1">
              <a:extLst>
                <a:ext uri="{63B3BB69-23CF-44E3-9099-C40C66FF867C}">
                  <a14:compatExt spid="_x0000_s12431"/>
                </a:ext>
                <a:ext uri="{FF2B5EF4-FFF2-40B4-BE49-F238E27FC236}">
                  <a16:creationId xmlns:a16="http://schemas.microsoft.com/office/drawing/2014/main" id="{00000000-0008-0000-1400-00008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66</xdr:row>
          <xdr:rowOff>0</xdr:rowOff>
        </xdr:from>
        <xdr:to>
          <xdr:col>3</xdr:col>
          <xdr:colOff>228600</xdr:colOff>
          <xdr:row>67</xdr:row>
          <xdr:rowOff>60960</xdr:rowOff>
        </xdr:to>
        <xdr:sp macro="" textlink="">
          <xdr:nvSpPr>
            <xdr:cNvPr id="12432" name="Control 144" hidden="1">
              <a:extLst>
                <a:ext uri="{63B3BB69-23CF-44E3-9099-C40C66FF867C}">
                  <a14:compatExt spid="_x0000_s12432"/>
                </a:ext>
                <a:ext uri="{FF2B5EF4-FFF2-40B4-BE49-F238E27FC236}">
                  <a16:creationId xmlns:a16="http://schemas.microsoft.com/office/drawing/2014/main" id="{00000000-0008-0000-1400-00009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67</xdr:row>
          <xdr:rowOff>0</xdr:rowOff>
        </xdr:from>
        <xdr:to>
          <xdr:col>3</xdr:col>
          <xdr:colOff>228600</xdr:colOff>
          <xdr:row>68</xdr:row>
          <xdr:rowOff>60960</xdr:rowOff>
        </xdr:to>
        <xdr:sp macro="" textlink="">
          <xdr:nvSpPr>
            <xdr:cNvPr id="12433" name="Control 145" hidden="1">
              <a:extLst>
                <a:ext uri="{63B3BB69-23CF-44E3-9099-C40C66FF867C}">
                  <a14:compatExt spid="_x0000_s12433"/>
                </a:ext>
                <a:ext uri="{FF2B5EF4-FFF2-40B4-BE49-F238E27FC236}">
                  <a16:creationId xmlns:a16="http://schemas.microsoft.com/office/drawing/2014/main" id="{00000000-0008-0000-1400-00009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68</xdr:row>
          <xdr:rowOff>0</xdr:rowOff>
        </xdr:from>
        <xdr:to>
          <xdr:col>3</xdr:col>
          <xdr:colOff>228600</xdr:colOff>
          <xdr:row>69</xdr:row>
          <xdr:rowOff>60960</xdr:rowOff>
        </xdr:to>
        <xdr:sp macro="" textlink="">
          <xdr:nvSpPr>
            <xdr:cNvPr id="12434" name="Control 146" hidden="1">
              <a:extLst>
                <a:ext uri="{63B3BB69-23CF-44E3-9099-C40C66FF867C}">
                  <a14:compatExt spid="_x0000_s12434"/>
                </a:ext>
                <a:ext uri="{FF2B5EF4-FFF2-40B4-BE49-F238E27FC236}">
                  <a16:creationId xmlns:a16="http://schemas.microsoft.com/office/drawing/2014/main" id="{00000000-0008-0000-1400-00009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69</xdr:row>
          <xdr:rowOff>0</xdr:rowOff>
        </xdr:from>
        <xdr:to>
          <xdr:col>3</xdr:col>
          <xdr:colOff>228600</xdr:colOff>
          <xdr:row>70</xdr:row>
          <xdr:rowOff>60960</xdr:rowOff>
        </xdr:to>
        <xdr:sp macro="" textlink="">
          <xdr:nvSpPr>
            <xdr:cNvPr id="12435" name="Control 147" hidden="1">
              <a:extLst>
                <a:ext uri="{63B3BB69-23CF-44E3-9099-C40C66FF867C}">
                  <a14:compatExt spid="_x0000_s12435"/>
                </a:ext>
                <a:ext uri="{FF2B5EF4-FFF2-40B4-BE49-F238E27FC236}">
                  <a16:creationId xmlns:a16="http://schemas.microsoft.com/office/drawing/2014/main" id="{00000000-0008-0000-1400-00009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70</xdr:row>
          <xdr:rowOff>0</xdr:rowOff>
        </xdr:from>
        <xdr:to>
          <xdr:col>3</xdr:col>
          <xdr:colOff>228600</xdr:colOff>
          <xdr:row>71</xdr:row>
          <xdr:rowOff>60960</xdr:rowOff>
        </xdr:to>
        <xdr:sp macro="" textlink="">
          <xdr:nvSpPr>
            <xdr:cNvPr id="12436" name="Control 148" hidden="1">
              <a:extLst>
                <a:ext uri="{63B3BB69-23CF-44E3-9099-C40C66FF867C}">
                  <a14:compatExt spid="_x0000_s12436"/>
                </a:ext>
                <a:ext uri="{FF2B5EF4-FFF2-40B4-BE49-F238E27FC236}">
                  <a16:creationId xmlns:a16="http://schemas.microsoft.com/office/drawing/2014/main" id="{00000000-0008-0000-1400-00009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71</xdr:row>
          <xdr:rowOff>0</xdr:rowOff>
        </xdr:from>
        <xdr:to>
          <xdr:col>3</xdr:col>
          <xdr:colOff>228600</xdr:colOff>
          <xdr:row>72</xdr:row>
          <xdr:rowOff>60960</xdr:rowOff>
        </xdr:to>
        <xdr:sp macro="" textlink="">
          <xdr:nvSpPr>
            <xdr:cNvPr id="12437" name="Control 149" hidden="1">
              <a:extLst>
                <a:ext uri="{63B3BB69-23CF-44E3-9099-C40C66FF867C}">
                  <a14:compatExt spid="_x0000_s12437"/>
                </a:ext>
                <a:ext uri="{FF2B5EF4-FFF2-40B4-BE49-F238E27FC236}">
                  <a16:creationId xmlns:a16="http://schemas.microsoft.com/office/drawing/2014/main" id="{00000000-0008-0000-1400-00009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72</xdr:row>
          <xdr:rowOff>0</xdr:rowOff>
        </xdr:from>
        <xdr:to>
          <xdr:col>3</xdr:col>
          <xdr:colOff>228600</xdr:colOff>
          <xdr:row>73</xdr:row>
          <xdr:rowOff>60960</xdr:rowOff>
        </xdr:to>
        <xdr:sp macro="" textlink="">
          <xdr:nvSpPr>
            <xdr:cNvPr id="12438" name="Control 150" hidden="1">
              <a:extLst>
                <a:ext uri="{63B3BB69-23CF-44E3-9099-C40C66FF867C}">
                  <a14:compatExt spid="_x0000_s12438"/>
                </a:ext>
                <a:ext uri="{FF2B5EF4-FFF2-40B4-BE49-F238E27FC236}">
                  <a16:creationId xmlns:a16="http://schemas.microsoft.com/office/drawing/2014/main" id="{00000000-0008-0000-1400-00009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73</xdr:row>
          <xdr:rowOff>0</xdr:rowOff>
        </xdr:from>
        <xdr:to>
          <xdr:col>3</xdr:col>
          <xdr:colOff>228600</xdr:colOff>
          <xdr:row>74</xdr:row>
          <xdr:rowOff>60960</xdr:rowOff>
        </xdr:to>
        <xdr:sp macro="" textlink="">
          <xdr:nvSpPr>
            <xdr:cNvPr id="12439" name="Control 151" hidden="1">
              <a:extLst>
                <a:ext uri="{63B3BB69-23CF-44E3-9099-C40C66FF867C}">
                  <a14:compatExt spid="_x0000_s12439"/>
                </a:ext>
                <a:ext uri="{FF2B5EF4-FFF2-40B4-BE49-F238E27FC236}">
                  <a16:creationId xmlns:a16="http://schemas.microsoft.com/office/drawing/2014/main" id="{00000000-0008-0000-1400-00009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74</xdr:row>
          <xdr:rowOff>0</xdr:rowOff>
        </xdr:from>
        <xdr:to>
          <xdr:col>3</xdr:col>
          <xdr:colOff>228600</xdr:colOff>
          <xdr:row>75</xdr:row>
          <xdr:rowOff>60960</xdr:rowOff>
        </xdr:to>
        <xdr:sp macro="" textlink="">
          <xdr:nvSpPr>
            <xdr:cNvPr id="12440" name="Control 152" hidden="1">
              <a:extLst>
                <a:ext uri="{63B3BB69-23CF-44E3-9099-C40C66FF867C}">
                  <a14:compatExt spid="_x0000_s12440"/>
                </a:ext>
                <a:ext uri="{FF2B5EF4-FFF2-40B4-BE49-F238E27FC236}">
                  <a16:creationId xmlns:a16="http://schemas.microsoft.com/office/drawing/2014/main" id="{00000000-0008-0000-1400-00009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75</xdr:row>
          <xdr:rowOff>0</xdr:rowOff>
        </xdr:from>
        <xdr:to>
          <xdr:col>3</xdr:col>
          <xdr:colOff>228600</xdr:colOff>
          <xdr:row>76</xdr:row>
          <xdr:rowOff>60960</xdr:rowOff>
        </xdr:to>
        <xdr:sp macro="" textlink="">
          <xdr:nvSpPr>
            <xdr:cNvPr id="12441" name="Control 153" hidden="1">
              <a:extLst>
                <a:ext uri="{63B3BB69-23CF-44E3-9099-C40C66FF867C}">
                  <a14:compatExt spid="_x0000_s12441"/>
                </a:ext>
                <a:ext uri="{FF2B5EF4-FFF2-40B4-BE49-F238E27FC236}">
                  <a16:creationId xmlns:a16="http://schemas.microsoft.com/office/drawing/2014/main" id="{00000000-0008-0000-1400-00009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76</xdr:row>
          <xdr:rowOff>0</xdr:rowOff>
        </xdr:from>
        <xdr:to>
          <xdr:col>3</xdr:col>
          <xdr:colOff>228600</xdr:colOff>
          <xdr:row>77</xdr:row>
          <xdr:rowOff>60960</xdr:rowOff>
        </xdr:to>
        <xdr:sp macro="" textlink="">
          <xdr:nvSpPr>
            <xdr:cNvPr id="12442" name="Control 154" hidden="1">
              <a:extLst>
                <a:ext uri="{63B3BB69-23CF-44E3-9099-C40C66FF867C}">
                  <a14:compatExt spid="_x0000_s12442"/>
                </a:ext>
                <a:ext uri="{FF2B5EF4-FFF2-40B4-BE49-F238E27FC236}">
                  <a16:creationId xmlns:a16="http://schemas.microsoft.com/office/drawing/2014/main" id="{00000000-0008-0000-1400-00009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77</xdr:row>
          <xdr:rowOff>0</xdr:rowOff>
        </xdr:from>
        <xdr:to>
          <xdr:col>3</xdr:col>
          <xdr:colOff>228600</xdr:colOff>
          <xdr:row>78</xdr:row>
          <xdr:rowOff>60960</xdr:rowOff>
        </xdr:to>
        <xdr:sp macro="" textlink="">
          <xdr:nvSpPr>
            <xdr:cNvPr id="12443" name="Control 155" hidden="1">
              <a:extLst>
                <a:ext uri="{63B3BB69-23CF-44E3-9099-C40C66FF867C}">
                  <a14:compatExt spid="_x0000_s12443"/>
                </a:ext>
                <a:ext uri="{FF2B5EF4-FFF2-40B4-BE49-F238E27FC236}">
                  <a16:creationId xmlns:a16="http://schemas.microsoft.com/office/drawing/2014/main" id="{00000000-0008-0000-1400-00009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78</xdr:row>
          <xdr:rowOff>0</xdr:rowOff>
        </xdr:from>
        <xdr:to>
          <xdr:col>3</xdr:col>
          <xdr:colOff>228600</xdr:colOff>
          <xdr:row>79</xdr:row>
          <xdr:rowOff>60960</xdr:rowOff>
        </xdr:to>
        <xdr:sp macro="" textlink="">
          <xdr:nvSpPr>
            <xdr:cNvPr id="12444" name="Control 156" hidden="1">
              <a:extLst>
                <a:ext uri="{63B3BB69-23CF-44E3-9099-C40C66FF867C}">
                  <a14:compatExt spid="_x0000_s12444"/>
                </a:ext>
                <a:ext uri="{FF2B5EF4-FFF2-40B4-BE49-F238E27FC236}">
                  <a16:creationId xmlns:a16="http://schemas.microsoft.com/office/drawing/2014/main" id="{00000000-0008-0000-1400-00009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79</xdr:row>
          <xdr:rowOff>0</xdr:rowOff>
        </xdr:from>
        <xdr:to>
          <xdr:col>3</xdr:col>
          <xdr:colOff>228600</xdr:colOff>
          <xdr:row>80</xdr:row>
          <xdr:rowOff>60960</xdr:rowOff>
        </xdr:to>
        <xdr:sp macro="" textlink="">
          <xdr:nvSpPr>
            <xdr:cNvPr id="12445" name="Control 157" hidden="1">
              <a:extLst>
                <a:ext uri="{63B3BB69-23CF-44E3-9099-C40C66FF867C}">
                  <a14:compatExt spid="_x0000_s12445"/>
                </a:ext>
                <a:ext uri="{FF2B5EF4-FFF2-40B4-BE49-F238E27FC236}">
                  <a16:creationId xmlns:a16="http://schemas.microsoft.com/office/drawing/2014/main" id="{00000000-0008-0000-1400-00009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80</xdr:row>
          <xdr:rowOff>0</xdr:rowOff>
        </xdr:from>
        <xdr:to>
          <xdr:col>3</xdr:col>
          <xdr:colOff>228600</xdr:colOff>
          <xdr:row>81</xdr:row>
          <xdr:rowOff>60960</xdr:rowOff>
        </xdr:to>
        <xdr:sp macro="" textlink="">
          <xdr:nvSpPr>
            <xdr:cNvPr id="12446" name="Control 158" hidden="1">
              <a:extLst>
                <a:ext uri="{63B3BB69-23CF-44E3-9099-C40C66FF867C}">
                  <a14:compatExt spid="_x0000_s12446"/>
                </a:ext>
                <a:ext uri="{FF2B5EF4-FFF2-40B4-BE49-F238E27FC236}">
                  <a16:creationId xmlns:a16="http://schemas.microsoft.com/office/drawing/2014/main" id="{00000000-0008-0000-1400-00009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81</xdr:row>
          <xdr:rowOff>0</xdr:rowOff>
        </xdr:from>
        <xdr:to>
          <xdr:col>3</xdr:col>
          <xdr:colOff>228600</xdr:colOff>
          <xdr:row>82</xdr:row>
          <xdr:rowOff>60960</xdr:rowOff>
        </xdr:to>
        <xdr:sp macro="" textlink="">
          <xdr:nvSpPr>
            <xdr:cNvPr id="12447" name="Control 159" hidden="1">
              <a:extLst>
                <a:ext uri="{63B3BB69-23CF-44E3-9099-C40C66FF867C}">
                  <a14:compatExt spid="_x0000_s12447"/>
                </a:ext>
                <a:ext uri="{FF2B5EF4-FFF2-40B4-BE49-F238E27FC236}">
                  <a16:creationId xmlns:a16="http://schemas.microsoft.com/office/drawing/2014/main" id="{00000000-0008-0000-1400-00009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82</xdr:row>
          <xdr:rowOff>0</xdr:rowOff>
        </xdr:from>
        <xdr:to>
          <xdr:col>3</xdr:col>
          <xdr:colOff>228600</xdr:colOff>
          <xdr:row>83</xdr:row>
          <xdr:rowOff>60960</xdr:rowOff>
        </xdr:to>
        <xdr:sp macro="" textlink="">
          <xdr:nvSpPr>
            <xdr:cNvPr id="12448" name="Control 160" hidden="1">
              <a:extLst>
                <a:ext uri="{63B3BB69-23CF-44E3-9099-C40C66FF867C}">
                  <a14:compatExt spid="_x0000_s12448"/>
                </a:ext>
                <a:ext uri="{FF2B5EF4-FFF2-40B4-BE49-F238E27FC236}">
                  <a16:creationId xmlns:a16="http://schemas.microsoft.com/office/drawing/2014/main" id="{00000000-0008-0000-1400-0000A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83</xdr:row>
          <xdr:rowOff>0</xdr:rowOff>
        </xdr:from>
        <xdr:to>
          <xdr:col>3</xdr:col>
          <xdr:colOff>228600</xdr:colOff>
          <xdr:row>84</xdr:row>
          <xdr:rowOff>60960</xdr:rowOff>
        </xdr:to>
        <xdr:sp macro="" textlink="">
          <xdr:nvSpPr>
            <xdr:cNvPr id="12449" name="Control 161" hidden="1">
              <a:extLst>
                <a:ext uri="{63B3BB69-23CF-44E3-9099-C40C66FF867C}">
                  <a14:compatExt spid="_x0000_s12449"/>
                </a:ext>
                <a:ext uri="{FF2B5EF4-FFF2-40B4-BE49-F238E27FC236}">
                  <a16:creationId xmlns:a16="http://schemas.microsoft.com/office/drawing/2014/main" id="{00000000-0008-0000-1400-0000A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84</xdr:row>
          <xdr:rowOff>0</xdr:rowOff>
        </xdr:from>
        <xdr:to>
          <xdr:col>3</xdr:col>
          <xdr:colOff>228600</xdr:colOff>
          <xdr:row>85</xdr:row>
          <xdr:rowOff>60960</xdr:rowOff>
        </xdr:to>
        <xdr:sp macro="" textlink="">
          <xdr:nvSpPr>
            <xdr:cNvPr id="12450" name="Control 162" hidden="1">
              <a:extLst>
                <a:ext uri="{63B3BB69-23CF-44E3-9099-C40C66FF867C}">
                  <a14:compatExt spid="_x0000_s12450"/>
                </a:ext>
                <a:ext uri="{FF2B5EF4-FFF2-40B4-BE49-F238E27FC236}">
                  <a16:creationId xmlns:a16="http://schemas.microsoft.com/office/drawing/2014/main" id="{00000000-0008-0000-1400-0000A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85</xdr:row>
          <xdr:rowOff>0</xdr:rowOff>
        </xdr:from>
        <xdr:to>
          <xdr:col>3</xdr:col>
          <xdr:colOff>228600</xdr:colOff>
          <xdr:row>86</xdr:row>
          <xdr:rowOff>60960</xdr:rowOff>
        </xdr:to>
        <xdr:sp macro="" textlink="">
          <xdr:nvSpPr>
            <xdr:cNvPr id="12451" name="Control 163" hidden="1">
              <a:extLst>
                <a:ext uri="{63B3BB69-23CF-44E3-9099-C40C66FF867C}">
                  <a14:compatExt spid="_x0000_s12451"/>
                </a:ext>
                <a:ext uri="{FF2B5EF4-FFF2-40B4-BE49-F238E27FC236}">
                  <a16:creationId xmlns:a16="http://schemas.microsoft.com/office/drawing/2014/main" id="{00000000-0008-0000-1400-0000A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86</xdr:row>
          <xdr:rowOff>0</xdr:rowOff>
        </xdr:from>
        <xdr:to>
          <xdr:col>3</xdr:col>
          <xdr:colOff>228600</xdr:colOff>
          <xdr:row>87</xdr:row>
          <xdr:rowOff>60960</xdr:rowOff>
        </xdr:to>
        <xdr:sp macro="" textlink="">
          <xdr:nvSpPr>
            <xdr:cNvPr id="12452" name="Control 164" hidden="1">
              <a:extLst>
                <a:ext uri="{63B3BB69-23CF-44E3-9099-C40C66FF867C}">
                  <a14:compatExt spid="_x0000_s12452"/>
                </a:ext>
                <a:ext uri="{FF2B5EF4-FFF2-40B4-BE49-F238E27FC236}">
                  <a16:creationId xmlns:a16="http://schemas.microsoft.com/office/drawing/2014/main" id="{00000000-0008-0000-1400-0000A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87</xdr:row>
          <xdr:rowOff>0</xdr:rowOff>
        </xdr:from>
        <xdr:to>
          <xdr:col>3</xdr:col>
          <xdr:colOff>228600</xdr:colOff>
          <xdr:row>88</xdr:row>
          <xdr:rowOff>60960</xdr:rowOff>
        </xdr:to>
        <xdr:sp macro="" textlink="">
          <xdr:nvSpPr>
            <xdr:cNvPr id="12453" name="Control 165" hidden="1">
              <a:extLst>
                <a:ext uri="{63B3BB69-23CF-44E3-9099-C40C66FF867C}">
                  <a14:compatExt spid="_x0000_s12453"/>
                </a:ext>
                <a:ext uri="{FF2B5EF4-FFF2-40B4-BE49-F238E27FC236}">
                  <a16:creationId xmlns:a16="http://schemas.microsoft.com/office/drawing/2014/main" id="{00000000-0008-0000-1400-0000A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88</xdr:row>
          <xdr:rowOff>0</xdr:rowOff>
        </xdr:from>
        <xdr:to>
          <xdr:col>3</xdr:col>
          <xdr:colOff>228600</xdr:colOff>
          <xdr:row>89</xdr:row>
          <xdr:rowOff>60960</xdr:rowOff>
        </xdr:to>
        <xdr:sp macro="" textlink="">
          <xdr:nvSpPr>
            <xdr:cNvPr id="12454" name="Control 166" hidden="1">
              <a:extLst>
                <a:ext uri="{63B3BB69-23CF-44E3-9099-C40C66FF867C}">
                  <a14:compatExt spid="_x0000_s12454"/>
                </a:ext>
                <a:ext uri="{FF2B5EF4-FFF2-40B4-BE49-F238E27FC236}">
                  <a16:creationId xmlns:a16="http://schemas.microsoft.com/office/drawing/2014/main" id="{00000000-0008-0000-1400-0000A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89</xdr:row>
          <xdr:rowOff>0</xdr:rowOff>
        </xdr:from>
        <xdr:to>
          <xdr:col>3</xdr:col>
          <xdr:colOff>228600</xdr:colOff>
          <xdr:row>90</xdr:row>
          <xdr:rowOff>60960</xdr:rowOff>
        </xdr:to>
        <xdr:sp macro="" textlink="">
          <xdr:nvSpPr>
            <xdr:cNvPr id="12455" name="Control 167" hidden="1">
              <a:extLst>
                <a:ext uri="{63B3BB69-23CF-44E3-9099-C40C66FF867C}">
                  <a14:compatExt spid="_x0000_s12455"/>
                </a:ext>
                <a:ext uri="{FF2B5EF4-FFF2-40B4-BE49-F238E27FC236}">
                  <a16:creationId xmlns:a16="http://schemas.microsoft.com/office/drawing/2014/main" id="{00000000-0008-0000-1400-0000A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90</xdr:row>
          <xdr:rowOff>0</xdr:rowOff>
        </xdr:from>
        <xdr:to>
          <xdr:col>3</xdr:col>
          <xdr:colOff>228600</xdr:colOff>
          <xdr:row>91</xdr:row>
          <xdr:rowOff>60960</xdr:rowOff>
        </xdr:to>
        <xdr:sp macro="" textlink="">
          <xdr:nvSpPr>
            <xdr:cNvPr id="12456" name="Control 168" hidden="1">
              <a:extLst>
                <a:ext uri="{63B3BB69-23CF-44E3-9099-C40C66FF867C}">
                  <a14:compatExt spid="_x0000_s12456"/>
                </a:ext>
                <a:ext uri="{FF2B5EF4-FFF2-40B4-BE49-F238E27FC236}">
                  <a16:creationId xmlns:a16="http://schemas.microsoft.com/office/drawing/2014/main" id="{00000000-0008-0000-1400-0000A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3</xdr:col>
          <xdr:colOff>228600</xdr:colOff>
          <xdr:row>92</xdr:row>
          <xdr:rowOff>60960</xdr:rowOff>
        </xdr:to>
        <xdr:sp macro="" textlink="">
          <xdr:nvSpPr>
            <xdr:cNvPr id="12457" name="Control 169" hidden="1">
              <a:extLst>
                <a:ext uri="{63B3BB69-23CF-44E3-9099-C40C66FF867C}">
                  <a14:compatExt spid="_x0000_s12457"/>
                </a:ext>
                <a:ext uri="{FF2B5EF4-FFF2-40B4-BE49-F238E27FC236}">
                  <a16:creationId xmlns:a16="http://schemas.microsoft.com/office/drawing/2014/main" id="{00000000-0008-0000-1400-0000A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92</xdr:row>
          <xdr:rowOff>0</xdr:rowOff>
        </xdr:from>
        <xdr:to>
          <xdr:col>3</xdr:col>
          <xdr:colOff>228600</xdr:colOff>
          <xdr:row>93</xdr:row>
          <xdr:rowOff>60960</xdr:rowOff>
        </xdr:to>
        <xdr:sp macro="" textlink="">
          <xdr:nvSpPr>
            <xdr:cNvPr id="12458" name="Control 170" hidden="1">
              <a:extLst>
                <a:ext uri="{63B3BB69-23CF-44E3-9099-C40C66FF867C}">
                  <a14:compatExt spid="_x0000_s12458"/>
                </a:ext>
                <a:ext uri="{FF2B5EF4-FFF2-40B4-BE49-F238E27FC236}">
                  <a16:creationId xmlns:a16="http://schemas.microsoft.com/office/drawing/2014/main" id="{00000000-0008-0000-1400-0000A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93</xdr:row>
          <xdr:rowOff>0</xdr:rowOff>
        </xdr:from>
        <xdr:to>
          <xdr:col>3</xdr:col>
          <xdr:colOff>228600</xdr:colOff>
          <xdr:row>94</xdr:row>
          <xdr:rowOff>60960</xdr:rowOff>
        </xdr:to>
        <xdr:sp macro="" textlink="">
          <xdr:nvSpPr>
            <xdr:cNvPr id="12459" name="Control 171" hidden="1">
              <a:extLst>
                <a:ext uri="{63B3BB69-23CF-44E3-9099-C40C66FF867C}">
                  <a14:compatExt spid="_x0000_s12459"/>
                </a:ext>
                <a:ext uri="{FF2B5EF4-FFF2-40B4-BE49-F238E27FC236}">
                  <a16:creationId xmlns:a16="http://schemas.microsoft.com/office/drawing/2014/main" id="{00000000-0008-0000-1400-0000A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94</xdr:row>
          <xdr:rowOff>0</xdr:rowOff>
        </xdr:from>
        <xdr:to>
          <xdr:col>3</xdr:col>
          <xdr:colOff>228600</xdr:colOff>
          <xdr:row>95</xdr:row>
          <xdr:rowOff>60960</xdr:rowOff>
        </xdr:to>
        <xdr:sp macro="" textlink="">
          <xdr:nvSpPr>
            <xdr:cNvPr id="12460" name="Control 172" hidden="1">
              <a:extLst>
                <a:ext uri="{63B3BB69-23CF-44E3-9099-C40C66FF867C}">
                  <a14:compatExt spid="_x0000_s12460"/>
                </a:ext>
                <a:ext uri="{FF2B5EF4-FFF2-40B4-BE49-F238E27FC236}">
                  <a16:creationId xmlns:a16="http://schemas.microsoft.com/office/drawing/2014/main" id="{00000000-0008-0000-1400-0000A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95</xdr:row>
          <xdr:rowOff>0</xdr:rowOff>
        </xdr:from>
        <xdr:to>
          <xdr:col>3</xdr:col>
          <xdr:colOff>228600</xdr:colOff>
          <xdr:row>96</xdr:row>
          <xdr:rowOff>76200</xdr:rowOff>
        </xdr:to>
        <xdr:sp macro="" textlink="">
          <xdr:nvSpPr>
            <xdr:cNvPr id="12461" name="Control 173" hidden="1">
              <a:extLst>
                <a:ext uri="{63B3BB69-23CF-44E3-9099-C40C66FF867C}">
                  <a14:compatExt spid="_x0000_s12461"/>
                </a:ext>
                <a:ext uri="{FF2B5EF4-FFF2-40B4-BE49-F238E27FC236}">
                  <a16:creationId xmlns:a16="http://schemas.microsoft.com/office/drawing/2014/main" id="{00000000-0008-0000-1400-0000A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96</xdr:row>
          <xdr:rowOff>0</xdr:rowOff>
        </xdr:from>
        <xdr:to>
          <xdr:col>3</xdr:col>
          <xdr:colOff>228600</xdr:colOff>
          <xdr:row>97</xdr:row>
          <xdr:rowOff>60960</xdr:rowOff>
        </xdr:to>
        <xdr:sp macro="" textlink="">
          <xdr:nvSpPr>
            <xdr:cNvPr id="12462" name="Control 174" hidden="1">
              <a:extLst>
                <a:ext uri="{63B3BB69-23CF-44E3-9099-C40C66FF867C}">
                  <a14:compatExt spid="_x0000_s12462"/>
                </a:ext>
                <a:ext uri="{FF2B5EF4-FFF2-40B4-BE49-F238E27FC236}">
                  <a16:creationId xmlns:a16="http://schemas.microsoft.com/office/drawing/2014/main" id="{00000000-0008-0000-1400-0000A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97</xdr:row>
          <xdr:rowOff>0</xdr:rowOff>
        </xdr:from>
        <xdr:to>
          <xdr:col>3</xdr:col>
          <xdr:colOff>228600</xdr:colOff>
          <xdr:row>98</xdr:row>
          <xdr:rowOff>60960</xdr:rowOff>
        </xdr:to>
        <xdr:sp macro="" textlink="">
          <xdr:nvSpPr>
            <xdr:cNvPr id="12463" name="Control 175" hidden="1">
              <a:extLst>
                <a:ext uri="{63B3BB69-23CF-44E3-9099-C40C66FF867C}">
                  <a14:compatExt spid="_x0000_s12463"/>
                </a:ext>
                <a:ext uri="{FF2B5EF4-FFF2-40B4-BE49-F238E27FC236}">
                  <a16:creationId xmlns:a16="http://schemas.microsoft.com/office/drawing/2014/main" id="{00000000-0008-0000-1400-0000A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98</xdr:row>
          <xdr:rowOff>0</xdr:rowOff>
        </xdr:from>
        <xdr:to>
          <xdr:col>3</xdr:col>
          <xdr:colOff>228600</xdr:colOff>
          <xdr:row>99</xdr:row>
          <xdr:rowOff>60960</xdr:rowOff>
        </xdr:to>
        <xdr:sp macro="" textlink="">
          <xdr:nvSpPr>
            <xdr:cNvPr id="12464" name="Control 176" hidden="1">
              <a:extLst>
                <a:ext uri="{63B3BB69-23CF-44E3-9099-C40C66FF867C}">
                  <a14:compatExt spid="_x0000_s12464"/>
                </a:ext>
                <a:ext uri="{FF2B5EF4-FFF2-40B4-BE49-F238E27FC236}">
                  <a16:creationId xmlns:a16="http://schemas.microsoft.com/office/drawing/2014/main" id="{00000000-0008-0000-1400-0000B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99</xdr:row>
          <xdr:rowOff>0</xdr:rowOff>
        </xdr:from>
        <xdr:to>
          <xdr:col>3</xdr:col>
          <xdr:colOff>228600</xdr:colOff>
          <xdr:row>100</xdr:row>
          <xdr:rowOff>60960</xdr:rowOff>
        </xdr:to>
        <xdr:sp macro="" textlink="">
          <xdr:nvSpPr>
            <xdr:cNvPr id="12465" name="Control 177" hidden="1">
              <a:extLst>
                <a:ext uri="{63B3BB69-23CF-44E3-9099-C40C66FF867C}">
                  <a14:compatExt spid="_x0000_s12465"/>
                </a:ext>
                <a:ext uri="{FF2B5EF4-FFF2-40B4-BE49-F238E27FC236}">
                  <a16:creationId xmlns:a16="http://schemas.microsoft.com/office/drawing/2014/main" id="{00000000-0008-0000-1400-0000B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100</xdr:row>
          <xdr:rowOff>0</xdr:rowOff>
        </xdr:from>
        <xdr:to>
          <xdr:col>3</xdr:col>
          <xdr:colOff>228600</xdr:colOff>
          <xdr:row>101</xdr:row>
          <xdr:rowOff>60960</xdr:rowOff>
        </xdr:to>
        <xdr:sp macro="" textlink="">
          <xdr:nvSpPr>
            <xdr:cNvPr id="12466" name="Control 178" hidden="1">
              <a:extLst>
                <a:ext uri="{63B3BB69-23CF-44E3-9099-C40C66FF867C}">
                  <a14:compatExt spid="_x0000_s12466"/>
                </a:ext>
                <a:ext uri="{FF2B5EF4-FFF2-40B4-BE49-F238E27FC236}">
                  <a16:creationId xmlns:a16="http://schemas.microsoft.com/office/drawing/2014/main" id="{00000000-0008-0000-1400-0000B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101</xdr:row>
          <xdr:rowOff>0</xdr:rowOff>
        </xdr:from>
        <xdr:to>
          <xdr:col>3</xdr:col>
          <xdr:colOff>228600</xdr:colOff>
          <xdr:row>102</xdr:row>
          <xdr:rowOff>60960</xdr:rowOff>
        </xdr:to>
        <xdr:sp macro="" textlink="">
          <xdr:nvSpPr>
            <xdr:cNvPr id="12467" name="Control 179" hidden="1">
              <a:extLst>
                <a:ext uri="{63B3BB69-23CF-44E3-9099-C40C66FF867C}">
                  <a14:compatExt spid="_x0000_s12467"/>
                </a:ext>
                <a:ext uri="{FF2B5EF4-FFF2-40B4-BE49-F238E27FC236}">
                  <a16:creationId xmlns:a16="http://schemas.microsoft.com/office/drawing/2014/main" id="{00000000-0008-0000-1400-0000B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102</xdr:row>
          <xdr:rowOff>0</xdr:rowOff>
        </xdr:from>
        <xdr:to>
          <xdr:col>3</xdr:col>
          <xdr:colOff>228600</xdr:colOff>
          <xdr:row>103</xdr:row>
          <xdr:rowOff>60960</xdr:rowOff>
        </xdr:to>
        <xdr:sp macro="" textlink="">
          <xdr:nvSpPr>
            <xdr:cNvPr id="12468" name="Control 180" hidden="1">
              <a:extLst>
                <a:ext uri="{63B3BB69-23CF-44E3-9099-C40C66FF867C}">
                  <a14:compatExt spid="_x0000_s12468"/>
                </a:ext>
                <a:ext uri="{FF2B5EF4-FFF2-40B4-BE49-F238E27FC236}">
                  <a16:creationId xmlns:a16="http://schemas.microsoft.com/office/drawing/2014/main" id="{00000000-0008-0000-1400-0000B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103</xdr:row>
          <xdr:rowOff>0</xdr:rowOff>
        </xdr:from>
        <xdr:to>
          <xdr:col>3</xdr:col>
          <xdr:colOff>228600</xdr:colOff>
          <xdr:row>104</xdr:row>
          <xdr:rowOff>60960</xdr:rowOff>
        </xdr:to>
        <xdr:sp macro="" textlink="">
          <xdr:nvSpPr>
            <xdr:cNvPr id="12469" name="Control 181" hidden="1">
              <a:extLst>
                <a:ext uri="{63B3BB69-23CF-44E3-9099-C40C66FF867C}">
                  <a14:compatExt spid="_x0000_s12469"/>
                </a:ext>
                <a:ext uri="{FF2B5EF4-FFF2-40B4-BE49-F238E27FC236}">
                  <a16:creationId xmlns:a16="http://schemas.microsoft.com/office/drawing/2014/main" id="{00000000-0008-0000-1400-0000B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104</xdr:row>
          <xdr:rowOff>0</xdr:rowOff>
        </xdr:from>
        <xdr:to>
          <xdr:col>3</xdr:col>
          <xdr:colOff>228600</xdr:colOff>
          <xdr:row>105</xdr:row>
          <xdr:rowOff>60960</xdr:rowOff>
        </xdr:to>
        <xdr:sp macro="" textlink="">
          <xdr:nvSpPr>
            <xdr:cNvPr id="12470" name="Control 182" hidden="1">
              <a:extLst>
                <a:ext uri="{63B3BB69-23CF-44E3-9099-C40C66FF867C}">
                  <a14:compatExt spid="_x0000_s12470"/>
                </a:ext>
                <a:ext uri="{FF2B5EF4-FFF2-40B4-BE49-F238E27FC236}">
                  <a16:creationId xmlns:a16="http://schemas.microsoft.com/office/drawing/2014/main" id="{00000000-0008-0000-1400-0000B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105</xdr:row>
          <xdr:rowOff>0</xdr:rowOff>
        </xdr:from>
        <xdr:to>
          <xdr:col>3</xdr:col>
          <xdr:colOff>228600</xdr:colOff>
          <xdr:row>106</xdr:row>
          <xdr:rowOff>60960</xdr:rowOff>
        </xdr:to>
        <xdr:sp macro="" textlink="">
          <xdr:nvSpPr>
            <xdr:cNvPr id="12471" name="Control 183" hidden="1">
              <a:extLst>
                <a:ext uri="{63B3BB69-23CF-44E3-9099-C40C66FF867C}">
                  <a14:compatExt spid="_x0000_s12471"/>
                </a:ext>
                <a:ext uri="{FF2B5EF4-FFF2-40B4-BE49-F238E27FC236}">
                  <a16:creationId xmlns:a16="http://schemas.microsoft.com/office/drawing/2014/main" id="{00000000-0008-0000-1400-0000B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106</xdr:row>
          <xdr:rowOff>0</xdr:rowOff>
        </xdr:from>
        <xdr:to>
          <xdr:col>3</xdr:col>
          <xdr:colOff>228600</xdr:colOff>
          <xdr:row>107</xdr:row>
          <xdr:rowOff>60960</xdr:rowOff>
        </xdr:to>
        <xdr:sp macro="" textlink="">
          <xdr:nvSpPr>
            <xdr:cNvPr id="12472" name="Control 184" hidden="1">
              <a:extLst>
                <a:ext uri="{63B3BB69-23CF-44E3-9099-C40C66FF867C}">
                  <a14:compatExt spid="_x0000_s12472"/>
                </a:ext>
                <a:ext uri="{FF2B5EF4-FFF2-40B4-BE49-F238E27FC236}">
                  <a16:creationId xmlns:a16="http://schemas.microsoft.com/office/drawing/2014/main" id="{00000000-0008-0000-1400-0000B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107</xdr:row>
          <xdr:rowOff>0</xdr:rowOff>
        </xdr:from>
        <xdr:to>
          <xdr:col>3</xdr:col>
          <xdr:colOff>228600</xdr:colOff>
          <xdr:row>108</xdr:row>
          <xdr:rowOff>60960</xdr:rowOff>
        </xdr:to>
        <xdr:sp macro="" textlink="">
          <xdr:nvSpPr>
            <xdr:cNvPr id="12473" name="Control 185" hidden="1">
              <a:extLst>
                <a:ext uri="{63B3BB69-23CF-44E3-9099-C40C66FF867C}">
                  <a14:compatExt spid="_x0000_s12473"/>
                </a:ext>
                <a:ext uri="{FF2B5EF4-FFF2-40B4-BE49-F238E27FC236}">
                  <a16:creationId xmlns:a16="http://schemas.microsoft.com/office/drawing/2014/main" id="{00000000-0008-0000-1400-0000B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110</xdr:row>
          <xdr:rowOff>0</xdr:rowOff>
        </xdr:from>
        <xdr:to>
          <xdr:col>3</xdr:col>
          <xdr:colOff>228600</xdr:colOff>
          <xdr:row>111</xdr:row>
          <xdr:rowOff>60960</xdr:rowOff>
        </xdr:to>
        <xdr:sp macro="" textlink="">
          <xdr:nvSpPr>
            <xdr:cNvPr id="12474" name="Control 186" hidden="1">
              <a:extLst>
                <a:ext uri="{63B3BB69-23CF-44E3-9099-C40C66FF867C}">
                  <a14:compatExt spid="_x0000_s12474"/>
                </a:ext>
                <a:ext uri="{FF2B5EF4-FFF2-40B4-BE49-F238E27FC236}">
                  <a16:creationId xmlns:a16="http://schemas.microsoft.com/office/drawing/2014/main" id="{00000000-0008-0000-1400-0000B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111</xdr:row>
          <xdr:rowOff>0</xdr:rowOff>
        </xdr:from>
        <xdr:to>
          <xdr:col>3</xdr:col>
          <xdr:colOff>228600</xdr:colOff>
          <xdr:row>112</xdr:row>
          <xdr:rowOff>60960</xdr:rowOff>
        </xdr:to>
        <xdr:sp macro="" textlink="">
          <xdr:nvSpPr>
            <xdr:cNvPr id="12475" name="Control 187" hidden="1">
              <a:extLst>
                <a:ext uri="{63B3BB69-23CF-44E3-9099-C40C66FF867C}">
                  <a14:compatExt spid="_x0000_s12475"/>
                </a:ext>
                <a:ext uri="{FF2B5EF4-FFF2-40B4-BE49-F238E27FC236}">
                  <a16:creationId xmlns:a16="http://schemas.microsoft.com/office/drawing/2014/main" id="{00000000-0008-0000-1400-0000B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112</xdr:row>
          <xdr:rowOff>0</xdr:rowOff>
        </xdr:from>
        <xdr:to>
          <xdr:col>3</xdr:col>
          <xdr:colOff>228600</xdr:colOff>
          <xdr:row>113</xdr:row>
          <xdr:rowOff>60960</xdr:rowOff>
        </xdr:to>
        <xdr:sp macro="" textlink="">
          <xdr:nvSpPr>
            <xdr:cNvPr id="12476" name="Control 188" hidden="1">
              <a:extLst>
                <a:ext uri="{63B3BB69-23CF-44E3-9099-C40C66FF867C}">
                  <a14:compatExt spid="_x0000_s12476"/>
                </a:ext>
                <a:ext uri="{FF2B5EF4-FFF2-40B4-BE49-F238E27FC236}">
                  <a16:creationId xmlns:a16="http://schemas.microsoft.com/office/drawing/2014/main" id="{00000000-0008-0000-1400-0000B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113</xdr:row>
          <xdr:rowOff>0</xdr:rowOff>
        </xdr:from>
        <xdr:to>
          <xdr:col>3</xdr:col>
          <xdr:colOff>228600</xdr:colOff>
          <xdr:row>114</xdr:row>
          <xdr:rowOff>60960</xdr:rowOff>
        </xdr:to>
        <xdr:sp macro="" textlink="">
          <xdr:nvSpPr>
            <xdr:cNvPr id="12477" name="Control 189" hidden="1">
              <a:extLst>
                <a:ext uri="{63B3BB69-23CF-44E3-9099-C40C66FF867C}">
                  <a14:compatExt spid="_x0000_s12477"/>
                </a:ext>
                <a:ext uri="{FF2B5EF4-FFF2-40B4-BE49-F238E27FC236}">
                  <a16:creationId xmlns:a16="http://schemas.microsoft.com/office/drawing/2014/main" id="{00000000-0008-0000-1400-0000B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114</xdr:row>
          <xdr:rowOff>0</xdr:rowOff>
        </xdr:from>
        <xdr:to>
          <xdr:col>3</xdr:col>
          <xdr:colOff>228600</xdr:colOff>
          <xdr:row>115</xdr:row>
          <xdr:rowOff>60960</xdr:rowOff>
        </xdr:to>
        <xdr:sp macro="" textlink="">
          <xdr:nvSpPr>
            <xdr:cNvPr id="12478" name="Control 190" hidden="1">
              <a:extLst>
                <a:ext uri="{63B3BB69-23CF-44E3-9099-C40C66FF867C}">
                  <a14:compatExt spid="_x0000_s12478"/>
                </a:ext>
                <a:ext uri="{FF2B5EF4-FFF2-40B4-BE49-F238E27FC236}">
                  <a16:creationId xmlns:a16="http://schemas.microsoft.com/office/drawing/2014/main" id="{00000000-0008-0000-1400-0000B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115</xdr:row>
          <xdr:rowOff>0</xdr:rowOff>
        </xdr:from>
        <xdr:to>
          <xdr:col>3</xdr:col>
          <xdr:colOff>228600</xdr:colOff>
          <xdr:row>116</xdr:row>
          <xdr:rowOff>60960</xdr:rowOff>
        </xdr:to>
        <xdr:sp macro="" textlink="">
          <xdr:nvSpPr>
            <xdr:cNvPr id="12479" name="Control 191" hidden="1">
              <a:extLst>
                <a:ext uri="{63B3BB69-23CF-44E3-9099-C40C66FF867C}">
                  <a14:compatExt spid="_x0000_s12479"/>
                </a:ext>
                <a:ext uri="{FF2B5EF4-FFF2-40B4-BE49-F238E27FC236}">
                  <a16:creationId xmlns:a16="http://schemas.microsoft.com/office/drawing/2014/main" id="{00000000-0008-0000-1400-0000B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116</xdr:row>
          <xdr:rowOff>0</xdr:rowOff>
        </xdr:from>
        <xdr:to>
          <xdr:col>3</xdr:col>
          <xdr:colOff>228600</xdr:colOff>
          <xdr:row>117</xdr:row>
          <xdr:rowOff>60960</xdr:rowOff>
        </xdr:to>
        <xdr:sp macro="" textlink="">
          <xdr:nvSpPr>
            <xdr:cNvPr id="12480" name="Control 192" hidden="1">
              <a:extLst>
                <a:ext uri="{63B3BB69-23CF-44E3-9099-C40C66FF867C}">
                  <a14:compatExt spid="_x0000_s12480"/>
                </a:ext>
                <a:ext uri="{FF2B5EF4-FFF2-40B4-BE49-F238E27FC236}">
                  <a16:creationId xmlns:a16="http://schemas.microsoft.com/office/drawing/2014/main" id="{00000000-0008-0000-1400-0000C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117</xdr:row>
          <xdr:rowOff>0</xdr:rowOff>
        </xdr:from>
        <xdr:to>
          <xdr:col>3</xdr:col>
          <xdr:colOff>228600</xdr:colOff>
          <xdr:row>118</xdr:row>
          <xdr:rowOff>60960</xdr:rowOff>
        </xdr:to>
        <xdr:sp macro="" textlink="">
          <xdr:nvSpPr>
            <xdr:cNvPr id="12481" name="Control 193" hidden="1">
              <a:extLst>
                <a:ext uri="{63B3BB69-23CF-44E3-9099-C40C66FF867C}">
                  <a14:compatExt spid="_x0000_s12481"/>
                </a:ext>
                <a:ext uri="{FF2B5EF4-FFF2-40B4-BE49-F238E27FC236}">
                  <a16:creationId xmlns:a16="http://schemas.microsoft.com/office/drawing/2014/main" id="{00000000-0008-0000-1400-0000C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118</xdr:row>
          <xdr:rowOff>0</xdr:rowOff>
        </xdr:from>
        <xdr:to>
          <xdr:col>3</xdr:col>
          <xdr:colOff>228600</xdr:colOff>
          <xdr:row>119</xdr:row>
          <xdr:rowOff>60960</xdr:rowOff>
        </xdr:to>
        <xdr:sp macro="" textlink="">
          <xdr:nvSpPr>
            <xdr:cNvPr id="12482" name="Control 194" hidden="1">
              <a:extLst>
                <a:ext uri="{63B3BB69-23CF-44E3-9099-C40C66FF867C}">
                  <a14:compatExt spid="_x0000_s12482"/>
                </a:ext>
                <a:ext uri="{FF2B5EF4-FFF2-40B4-BE49-F238E27FC236}">
                  <a16:creationId xmlns:a16="http://schemas.microsoft.com/office/drawing/2014/main" id="{00000000-0008-0000-1400-0000C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119</xdr:row>
          <xdr:rowOff>0</xdr:rowOff>
        </xdr:from>
        <xdr:to>
          <xdr:col>3</xdr:col>
          <xdr:colOff>228600</xdr:colOff>
          <xdr:row>120</xdr:row>
          <xdr:rowOff>60960</xdr:rowOff>
        </xdr:to>
        <xdr:sp macro="" textlink="">
          <xdr:nvSpPr>
            <xdr:cNvPr id="12483" name="Control 195" hidden="1">
              <a:extLst>
                <a:ext uri="{63B3BB69-23CF-44E3-9099-C40C66FF867C}">
                  <a14:compatExt spid="_x0000_s12483"/>
                </a:ext>
                <a:ext uri="{FF2B5EF4-FFF2-40B4-BE49-F238E27FC236}">
                  <a16:creationId xmlns:a16="http://schemas.microsoft.com/office/drawing/2014/main" id="{00000000-0008-0000-1400-0000C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120</xdr:row>
          <xdr:rowOff>0</xdr:rowOff>
        </xdr:from>
        <xdr:to>
          <xdr:col>3</xdr:col>
          <xdr:colOff>228600</xdr:colOff>
          <xdr:row>121</xdr:row>
          <xdr:rowOff>60960</xdr:rowOff>
        </xdr:to>
        <xdr:sp macro="" textlink="">
          <xdr:nvSpPr>
            <xdr:cNvPr id="12484" name="Control 196" hidden="1">
              <a:extLst>
                <a:ext uri="{63B3BB69-23CF-44E3-9099-C40C66FF867C}">
                  <a14:compatExt spid="_x0000_s12484"/>
                </a:ext>
                <a:ext uri="{FF2B5EF4-FFF2-40B4-BE49-F238E27FC236}">
                  <a16:creationId xmlns:a16="http://schemas.microsoft.com/office/drawing/2014/main" id="{00000000-0008-0000-1400-0000C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121</xdr:row>
          <xdr:rowOff>0</xdr:rowOff>
        </xdr:from>
        <xdr:to>
          <xdr:col>3</xdr:col>
          <xdr:colOff>228600</xdr:colOff>
          <xdr:row>122</xdr:row>
          <xdr:rowOff>60960</xdr:rowOff>
        </xdr:to>
        <xdr:sp macro="" textlink="">
          <xdr:nvSpPr>
            <xdr:cNvPr id="12485" name="Control 197" hidden="1">
              <a:extLst>
                <a:ext uri="{63B3BB69-23CF-44E3-9099-C40C66FF867C}">
                  <a14:compatExt spid="_x0000_s12485"/>
                </a:ext>
                <a:ext uri="{FF2B5EF4-FFF2-40B4-BE49-F238E27FC236}">
                  <a16:creationId xmlns:a16="http://schemas.microsoft.com/office/drawing/2014/main" id="{00000000-0008-0000-1400-0000C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122</xdr:row>
          <xdr:rowOff>0</xdr:rowOff>
        </xdr:from>
        <xdr:to>
          <xdr:col>3</xdr:col>
          <xdr:colOff>228600</xdr:colOff>
          <xdr:row>123</xdr:row>
          <xdr:rowOff>60960</xdr:rowOff>
        </xdr:to>
        <xdr:sp macro="" textlink="">
          <xdr:nvSpPr>
            <xdr:cNvPr id="12486" name="Control 198" hidden="1">
              <a:extLst>
                <a:ext uri="{63B3BB69-23CF-44E3-9099-C40C66FF867C}">
                  <a14:compatExt spid="_x0000_s12486"/>
                </a:ext>
                <a:ext uri="{FF2B5EF4-FFF2-40B4-BE49-F238E27FC236}">
                  <a16:creationId xmlns:a16="http://schemas.microsoft.com/office/drawing/2014/main" id="{00000000-0008-0000-1400-0000C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123</xdr:row>
          <xdr:rowOff>0</xdr:rowOff>
        </xdr:from>
        <xdr:to>
          <xdr:col>3</xdr:col>
          <xdr:colOff>228600</xdr:colOff>
          <xdr:row>124</xdr:row>
          <xdr:rowOff>60960</xdr:rowOff>
        </xdr:to>
        <xdr:sp macro="" textlink="">
          <xdr:nvSpPr>
            <xdr:cNvPr id="12487" name="Control 199" hidden="1">
              <a:extLst>
                <a:ext uri="{63B3BB69-23CF-44E3-9099-C40C66FF867C}">
                  <a14:compatExt spid="_x0000_s12487"/>
                </a:ext>
                <a:ext uri="{FF2B5EF4-FFF2-40B4-BE49-F238E27FC236}">
                  <a16:creationId xmlns:a16="http://schemas.microsoft.com/office/drawing/2014/main" id="{00000000-0008-0000-1400-0000C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124</xdr:row>
          <xdr:rowOff>0</xdr:rowOff>
        </xdr:from>
        <xdr:to>
          <xdr:col>3</xdr:col>
          <xdr:colOff>228600</xdr:colOff>
          <xdr:row>125</xdr:row>
          <xdr:rowOff>30480</xdr:rowOff>
        </xdr:to>
        <xdr:sp macro="" textlink="">
          <xdr:nvSpPr>
            <xdr:cNvPr id="12488" name="Control 200" hidden="1">
              <a:extLst>
                <a:ext uri="{63B3BB69-23CF-44E3-9099-C40C66FF867C}">
                  <a14:compatExt spid="_x0000_s12488"/>
                </a:ext>
                <a:ext uri="{FF2B5EF4-FFF2-40B4-BE49-F238E27FC236}">
                  <a16:creationId xmlns:a16="http://schemas.microsoft.com/office/drawing/2014/main" id="{00000000-0008-0000-1400-0000C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125</xdr:row>
          <xdr:rowOff>0</xdr:rowOff>
        </xdr:from>
        <xdr:to>
          <xdr:col>3</xdr:col>
          <xdr:colOff>228600</xdr:colOff>
          <xdr:row>126</xdr:row>
          <xdr:rowOff>60960</xdr:rowOff>
        </xdr:to>
        <xdr:sp macro="" textlink="">
          <xdr:nvSpPr>
            <xdr:cNvPr id="12489" name="Control 201" hidden="1">
              <a:extLst>
                <a:ext uri="{63B3BB69-23CF-44E3-9099-C40C66FF867C}">
                  <a14:compatExt spid="_x0000_s12489"/>
                </a:ext>
                <a:ext uri="{FF2B5EF4-FFF2-40B4-BE49-F238E27FC236}">
                  <a16:creationId xmlns:a16="http://schemas.microsoft.com/office/drawing/2014/main" id="{00000000-0008-0000-1400-0000C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126</xdr:row>
          <xdr:rowOff>0</xdr:rowOff>
        </xdr:from>
        <xdr:to>
          <xdr:col>3</xdr:col>
          <xdr:colOff>228600</xdr:colOff>
          <xdr:row>127</xdr:row>
          <xdr:rowOff>60960</xdr:rowOff>
        </xdr:to>
        <xdr:sp macro="" textlink="">
          <xdr:nvSpPr>
            <xdr:cNvPr id="12490" name="Control 202" hidden="1">
              <a:extLst>
                <a:ext uri="{63B3BB69-23CF-44E3-9099-C40C66FF867C}">
                  <a14:compatExt spid="_x0000_s12490"/>
                </a:ext>
                <a:ext uri="{FF2B5EF4-FFF2-40B4-BE49-F238E27FC236}">
                  <a16:creationId xmlns:a16="http://schemas.microsoft.com/office/drawing/2014/main" id="{00000000-0008-0000-1400-0000C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127</xdr:row>
          <xdr:rowOff>0</xdr:rowOff>
        </xdr:from>
        <xdr:to>
          <xdr:col>3</xdr:col>
          <xdr:colOff>228600</xdr:colOff>
          <xdr:row>128</xdr:row>
          <xdr:rowOff>60960</xdr:rowOff>
        </xdr:to>
        <xdr:sp macro="" textlink="">
          <xdr:nvSpPr>
            <xdr:cNvPr id="12491" name="Control 203" hidden="1">
              <a:extLst>
                <a:ext uri="{63B3BB69-23CF-44E3-9099-C40C66FF867C}">
                  <a14:compatExt spid="_x0000_s12491"/>
                </a:ext>
                <a:ext uri="{FF2B5EF4-FFF2-40B4-BE49-F238E27FC236}">
                  <a16:creationId xmlns:a16="http://schemas.microsoft.com/office/drawing/2014/main" id="{00000000-0008-0000-1400-0000C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128</xdr:row>
          <xdr:rowOff>0</xdr:rowOff>
        </xdr:from>
        <xdr:to>
          <xdr:col>3</xdr:col>
          <xdr:colOff>228600</xdr:colOff>
          <xdr:row>129</xdr:row>
          <xdr:rowOff>60960</xdr:rowOff>
        </xdr:to>
        <xdr:sp macro="" textlink="">
          <xdr:nvSpPr>
            <xdr:cNvPr id="12492" name="Control 204" hidden="1">
              <a:extLst>
                <a:ext uri="{63B3BB69-23CF-44E3-9099-C40C66FF867C}">
                  <a14:compatExt spid="_x0000_s12492"/>
                </a:ext>
                <a:ext uri="{FF2B5EF4-FFF2-40B4-BE49-F238E27FC236}">
                  <a16:creationId xmlns:a16="http://schemas.microsoft.com/office/drawing/2014/main" id="{00000000-0008-0000-1400-0000C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129</xdr:row>
          <xdr:rowOff>0</xdr:rowOff>
        </xdr:from>
        <xdr:to>
          <xdr:col>3</xdr:col>
          <xdr:colOff>228600</xdr:colOff>
          <xdr:row>130</xdr:row>
          <xdr:rowOff>60960</xdr:rowOff>
        </xdr:to>
        <xdr:sp macro="" textlink="">
          <xdr:nvSpPr>
            <xdr:cNvPr id="12493" name="Control 205" hidden="1">
              <a:extLst>
                <a:ext uri="{63B3BB69-23CF-44E3-9099-C40C66FF867C}">
                  <a14:compatExt spid="_x0000_s12493"/>
                </a:ext>
                <a:ext uri="{FF2B5EF4-FFF2-40B4-BE49-F238E27FC236}">
                  <a16:creationId xmlns:a16="http://schemas.microsoft.com/office/drawing/2014/main" id="{00000000-0008-0000-1400-0000CD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130</xdr:row>
          <xdr:rowOff>0</xdr:rowOff>
        </xdr:from>
        <xdr:to>
          <xdr:col>3</xdr:col>
          <xdr:colOff>228600</xdr:colOff>
          <xdr:row>131</xdr:row>
          <xdr:rowOff>60960</xdr:rowOff>
        </xdr:to>
        <xdr:sp macro="" textlink="">
          <xdr:nvSpPr>
            <xdr:cNvPr id="12494" name="Control 206" hidden="1">
              <a:extLst>
                <a:ext uri="{63B3BB69-23CF-44E3-9099-C40C66FF867C}">
                  <a14:compatExt spid="_x0000_s12494"/>
                </a:ext>
                <a:ext uri="{FF2B5EF4-FFF2-40B4-BE49-F238E27FC236}">
                  <a16:creationId xmlns:a16="http://schemas.microsoft.com/office/drawing/2014/main" id="{00000000-0008-0000-1400-0000CE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131</xdr:row>
          <xdr:rowOff>0</xdr:rowOff>
        </xdr:from>
        <xdr:to>
          <xdr:col>3</xdr:col>
          <xdr:colOff>228600</xdr:colOff>
          <xdr:row>132</xdr:row>
          <xdr:rowOff>60960</xdr:rowOff>
        </xdr:to>
        <xdr:sp macro="" textlink="">
          <xdr:nvSpPr>
            <xdr:cNvPr id="12495" name="Control 207" hidden="1">
              <a:extLst>
                <a:ext uri="{63B3BB69-23CF-44E3-9099-C40C66FF867C}">
                  <a14:compatExt spid="_x0000_s12495"/>
                </a:ext>
                <a:ext uri="{FF2B5EF4-FFF2-40B4-BE49-F238E27FC236}">
                  <a16:creationId xmlns:a16="http://schemas.microsoft.com/office/drawing/2014/main" id="{00000000-0008-0000-1400-0000CF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132</xdr:row>
          <xdr:rowOff>0</xdr:rowOff>
        </xdr:from>
        <xdr:to>
          <xdr:col>3</xdr:col>
          <xdr:colOff>228600</xdr:colOff>
          <xdr:row>133</xdr:row>
          <xdr:rowOff>60960</xdr:rowOff>
        </xdr:to>
        <xdr:sp macro="" textlink="">
          <xdr:nvSpPr>
            <xdr:cNvPr id="12496" name="Control 208" hidden="1">
              <a:extLst>
                <a:ext uri="{63B3BB69-23CF-44E3-9099-C40C66FF867C}">
                  <a14:compatExt spid="_x0000_s12496"/>
                </a:ext>
                <a:ext uri="{FF2B5EF4-FFF2-40B4-BE49-F238E27FC236}">
                  <a16:creationId xmlns:a16="http://schemas.microsoft.com/office/drawing/2014/main" id="{00000000-0008-0000-1400-0000D0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133</xdr:row>
          <xdr:rowOff>0</xdr:rowOff>
        </xdr:from>
        <xdr:to>
          <xdr:col>3</xdr:col>
          <xdr:colOff>228600</xdr:colOff>
          <xdr:row>134</xdr:row>
          <xdr:rowOff>60960</xdr:rowOff>
        </xdr:to>
        <xdr:sp macro="" textlink="">
          <xdr:nvSpPr>
            <xdr:cNvPr id="12497" name="Control 209" hidden="1">
              <a:extLst>
                <a:ext uri="{63B3BB69-23CF-44E3-9099-C40C66FF867C}">
                  <a14:compatExt spid="_x0000_s12497"/>
                </a:ext>
                <a:ext uri="{FF2B5EF4-FFF2-40B4-BE49-F238E27FC236}">
                  <a16:creationId xmlns:a16="http://schemas.microsoft.com/office/drawing/2014/main" id="{00000000-0008-0000-1400-0000D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134</xdr:row>
          <xdr:rowOff>0</xdr:rowOff>
        </xdr:from>
        <xdr:to>
          <xdr:col>3</xdr:col>
          <xdr:colOff>228600</xdr:colOff>
          <xdr:row>135</xdr:row>
          <xdr:rowOff>60960</xdr:rowOff>
        </xdr:to>
        <xdr:sp macro="" textlink="">
          <xdr:nvSpPr>
            <xdr:cNvPr id="12498" name="Control 210" hidden="1">
              <a:extLst>
                <a:ext uri="{63B3BB69-23CF-44E3-9099-C40C66FF867C}">
                  <a14:compatExt spid="_x0000_s12498"/>
                </a:ext>
                <a:ext uri="{FF2B5EF4-FFF2-40B4-BE49-F238E27FC236}">
                  <a16:creationId xmlns:a16="http://schemas.microsoft.com/office/drawing/2014/main" id="{00000000-0008-0000-1400-0000D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135</xdr:row>
          <xdr:rowOff>0</xdr:rowOff>
        </xdr:from>
        <xdr:to>
          <xdr:col>3</xdr:col>
          <xdr:colOff>228600</xdr:colOff>
          <xdr:row>136</xdr:row>
          <xdr:rowOff>60960</xdr:rowOff>
        </xdr:to>
        <xdr:sp macro="" textlink="">
          <xdr:nvSpPr>
            <xdr:cNvPr id="12499" name="Control 211" hidden="1">
              <a:extLst>
                <a:ext uri="{63B3BB69-23CF-44E3-9099-C40C66FF867C}">
                  <a14:compatExt spid="_x0000_s12499"/>
                </a:ext>
                <a:ext uri="{FF2B5EF4-FFF2-40B4-BE49-F238E27FC236}">
                  <a16:creationId xmlns:a16="http://schemas.microsoft.com/office/drawing/2014/main" id="{00000000-0008-0000-1400-0000D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854.627718634256" createdVersion="8" refreshedVersion="8" minRefreshableVersion="3" recordCount="1683" xr:uid="{3DB4E943-09F3-41D0-9A88-0571E5FF5CBC}">
  <cacheSource type="worksheet">
    <worksheetSource ref="A1:G2409" sheet="BASE"/>
  </cacheSource>
  <cacheFields count="7">
    <cacheField name="DATA" numFmtId="14">
      <sharedItems containsSemiMixedTypes="0" containsNonDate="0" containsDate="1" containsString="0" minDate="2025-07-01T00:00:00" maxDate="2025-12-31T00:00:00"/>
    </cacheField>
    <cacheField name="MÊS" numFmtId="14">
      <sharedItems count="6">
        <s v="JULHO"/>
        <s v="AGOSTO"/>
        <s v="SETEMBRO"/>
        <s v="OUTUBRO"/>
        <s v="NOVEMBRO"/>
        <s v="DEZEMBRO"/>
      </sharedItems>
    </cacheField>
    <cacheField name="EMPRESA" numFmtId="0">
      <sharedItems/>
    </cacheField>
    <cacheField name="FORNECEDOR" numFmtId="0">
      <sharedItems containsBlank="1" count="538">
        <s v="ELEKTRO SALA 16 07/2025- UNIDADE 42926742"/>
        <s v="ELEKTRO SALA 17- 07/2025-UNIDADE 42926823"/>
        <s v="ELEKTRO SALA 18 07/2025- UNIDADE 9584765"/>
        <s v="CAIXINHA OPERACIONAL - OSSIRES"/>
        <s v="VIVA FOOD R E LTDA"/>
        <s v="IRMÃOS BOAS-RECEITAS DO DIA 30/06/2025-PAGAMENTO ATRASADO"/>
        <s v="SPARTAN DO BRASIL PRODUTOS QUIMICOS LTDA VENCIDA 02/07/2025"/>
        <s v="WIG COMERCIO DE BATERIAS COMPONENTES LTDA NF 553- 02 BATERIAS - VENCIMENTO 02/07/2025 "/>
        <s v="PRISCILA JESUS DOS SANTOS"/>
        <s v="GRRF DANILO ENDRIGO GARAVELO"/>
        <s v="GLOVAN CABREUVA ALUGUEL DE EQUIPAMENTOS LTDA"/>
        <s v="REBECCA ELONICE"/>
        <s v="GUSTAVO HENRIQUE DOS SANTOS"/>
        <s v="JOSE ADILSON LIMA BATISTA"/>
        <s v="BANCO ITAUCARD S.A.- "/>
        <s v="TAR PLANO ADAPT 3 05/24"/>
        <s v="TAR PLANO ADAPT 3 06/24"/>
        <s v="CONDOMINIO NEX ONE CONSOLAÇÃO BELAS ARTES- ROBOTTON"/>
        <s v="SALARIO CLT, PENSÃO ALIMENTICIA, BONUS-"/>
        <s v="ESTER CARDOZO DE LIMA "/>
        <s v="MARIA SOCORRO DA SILVA PEREIRA- MEI"/>
        <s v="HOSPITALSÃO ROQUE"/>
        <s v="SPARTAN DO BRASIL"/>
        <s v="RAI INGREDIENTES INDUSTRIAL"/>
        <s v="EMPRESTIMO HSERV CLEAN BRADESCO -PARCELA MENSAL"/>
        <s v="FT REDE AVENIDA -ASSIS E REGIÃO- "/>
        <s v="BRASIL MEDICINA E SAUDE PREVENTIVA ORGANIZACAO,-VENCIMENTO 10/07/2025"/>
        <s v="SERGIO LUIZ BERTOLO"/>
        <s v="MARCASA-SEGURANÇA VEPAKUM"/>
        <s v="JHONNY WALACE REEMBOLSO"/>
        <s v="PROLABORE SOCIOS -MARIA JOSE-THAIS MACEDO"/>
        <s v="PROLABORE SOCIOS -CRISTIANE-E GUTHIERRI- BLOQUEADO ATE SOCIOS COMPARECER NA BASE"/>
        <s v="CARTÃO VITOR"/>
        <s v="INTERMEDICA"/>
        <s v="AUTO POSTO JARDIM DAS HORTENCI"/>
        <s v="FIT ADM (VIDA NOVA) 43-02"/>
        <s v="RONDAWEB CONEXOES LTDA"/>
        <s v="BRADESCO SEGUROS - QUY9F13- DEBITO AUTOMATICO HSERV CABREUVA BRADESCO"/>
        <s v="SALARIOS MEI"/>
        <s v="IFOOD.COM AGENCIA DE RESTAURANTES-ASSIDUIDADE BOA"/>
        <s v="IFOOD.COM AGENCIA DE RESTAURANTES -ASSIDUIDADE AVENID."/>
        <s v="IFOOD.COM AGENCIA DE RESTAURANTES -ASSIDUIDADE RICOY JUNHO"/>
        <s v="IFOOD.COM AGENCIA DE RESTAURANTES -ASSIDUIDADE EMPRESAS"/>
        <s v="VALE ALIMENTAÇÃO MENSAL DE JULHO"/>
        <s v="TAMIRES DA SILVA CAPUCHINHO"/>
        <s v="FABIOLA FARIAS FELIX"/>
        <s v="JHONY WALLACE GOMES DE OLIVEIRA"/>
        <s v="QUEILA JESUS BERNARDES DE OLIVEIRA"/>
        <s v="THIAGO ALMEIDA SANTANA"/>
        <s v="LARAH MELYSSA ALVES DE SOUSA"/>
        <s v="GISELE RODRIGUES DOS SANTOS"/>
        <s v="ELAINE BARBOSA DE SOUSA"/>
        <s v="ROSALINA CRISTIANE JUSTINO"/>
        <s v="ILAIDE JOSE RODRIGUES"/>
        <s v="MARINALDA ALMEIDA PEREIRA"/>
        <s v="MARCIA VALERIA DA SILVA"/>
        <s v="GABRIEL DO NASCIMENTO NEVES"/>
        <s v="ESTER CARDOZO DE LIMA"/>
        <s v="PAMELA GREICE MARINHO ROCHA"/>
        <s v="ELIANE ULITZKA DOS SANTOS"/>
        <s v="JAIR APARECIDO RE"/>
        <s v="CARLOS HENRIQUE CONCEICAO"/>
        <s v="GABRIEL GATTI DA SILVA"/>
        <s v="BOLETO OTAVIO"/>
        <s v="ESTER CARDOZO- SALARIO"/>
        <s v="PAMELA ROCHA MARINHO-SALARIO "/>
        <s v="SEM PARAR- "/>
        <s v="CARTAO DE CRÉDITO-EMPRESA VITOR DUARTE"/>
        <s v="CARTÃO DE CREDITO-PARCELAMENTO"/>
        <s v="BENEFICIOS SOCIAIS LTDA- VENCIMENTO 10/04/2025"/>
        <s v="RODRIGO GUIMARÃES - FT MOTORISTA"/>
        <s v="GABRIEL DOS SANTOS NOVÃESCLOUD-TELEFONIA-VENCIDO 30/06/2025"/>
        <s v="SICOOB HSERV CABREUVA NEGOCIAÇÃO CHEQUE ESPECIAL "/>
        <s v="TARIFA MAX EMPRESARIAL"/>
        <s v="CELIO ROBERTO"/>
        <s v="IFOOD.COM AGENCIA DE RESTAURANTES- VALE COMBUSTIVEL-2º QUINZENA DE JULHO"/>
        <s v="JAIR APARECIDO RÉ -COMISSÃO MAIO/JUNHO"/>
        <s v="OSSIRES DONAGELO-RREMBOLSO DE DESPESAS"/>
        <s v="SABESP SALA 16"/>
        <s v="SABESP SALA 17"/>
        <s v="SABESP SALA 18"/>
        <s v="SABESP CLEAN"/>
        <s v="OMIEXPERIENCE LTDA."/>
        <s v="ATN COMERCIO DE ARTIGOS DE BORRACHA LTDA"/>
        <s v="LOCALIZA - VENCIDA 30/04/2025- AFMTZ 2273080"/>
        <s v="LOCALIZA - VENCIDA 30/05/2025-AFMTZ 2347763"/>
        <s v="LOCALIZA - VENCIDA 30/06/2025 -AFMTZ 2417828"/>
        <s v="ASOMETRA ENGENHARIA DE SEGURANÇA- VENCIMENTO 20/06/2025"/>
        <s v="BRADESCO "/>
        <s v="SINDICATO DOS EMPREGADOS - VENCIDA "/>
        <s v="BENEFICIO SOCIAL SINDICAL-VENCIMENTO 10/05/2025"/>
        <s v="JONESO EMPREENDIMENTOS"/>
        <s v="SOFISA ACORDO - HONORARIOS ADVICATICIOS-PARCELA 18/18"/>
        <s v="SOFISA ACORDO- PROCESSO EXECUÇÃO-PARCELA 18/24"/>
        <s v="IF EMPRESARIAL-CONTABILIDADE, JURIDICO E DEPARTAMENTO PESSOAL"/>
        <s v="RESOLVE ALIMENTAÇÃO "/>
        <s v="ANJO AZUL ALARMES"/>
        <s v="MAXIWEB INTERNET PROVIDER LTDA"/>
        <s v="SIMPLES NACIONAL MENSAL "/>
        <s v="DARF DE COFINS, PIS- LUCRO REAL EMPRESA VITOR"/>
        <s v="DARF DE COFINS, PIS- LUCRO  PRESUMIDO HSERV CABREUVA"/>
        <s v="FGTS MENSAL HENRIQUE JEAN"/>
        <s v="FGTS MENSAL HSERV CABREUVA"/>
        <s v="FGTS MENSAL HSERV CLEAN "/>
        <s v="FGTS MENSAL HSERV COMBINADOS"/>
        <s v="FGTS MENSAL HSERV LIMPEZA"/>
        <s v="FGTS MENSAL HSERV CABREUVA REPRESENTACOES"/>
        <s v="FGTS MENSAL HSERV TECNOLOGIA"/>
        <s v="FGTS MENSAL HSERV  TERCEIRIZADOS"/>
        <s v="FGTS MENSAL VITOR DUARTE"/>
        <s v="DARF INSS MENSAL HENRIQUE JEAN DUARTE"/>
        <s v="DARF INSS MENSAL HSERV CABREUVA"/>
        <s v="DARF INSS MENSAL HSERV CLEAN "/>
        <s v="DARF INSS MENSAL HSERV  COMBINADOS "/>
        <s v="DARF INSS MENSAL HSERV  LIMPEZA "/>
        <s v="DARF INSS MENSAL HSERV TECNOLOGIA "/>
        <s v="DARF INSS MENSAL HSERVTERCEIRIZADOS"/>
        <s v="DARF INSS MNSAL VITOR DUARTE"/>
        <s v="FT 1 QUINZENA DE JUNHO E PACOTES, RT"/>
        <s v="VALE TRANSPORTE MENSAL VIAÇÕES"/>
        <s v="FT ASSIS E REGIÃO- REDE AVENIDA"/>
        <s v="MAC LUCER - MAITA (MENSAL) -20/07/2025 -RESIDENCIAL MAITÁ APTO 073 (contrato-170) PARCELA 16/27"/>
        <s v="J.E. COMERCIO E SOLUCOES LTDA"/>
        <s v="JESAIAS ROMANHA -PROC 0010363-38.2022.5.15.0097 - ISABEL MACHADO PARCELA 2/8"/>
        <s v="LOTUS CENTRAL DE DISTRIBUICAO DE HIGIENICOS LTDA"/>
        <s v="CLARO S/A-LINHAS TELEFONICAS"/>
        <s v="JESAIAS ROMANHA - ISABEL MACHADO PARCELA 2/6"/>
        <s v="ACORDO TRABALHISTA - ISABEL MACHADO PARCELA 3/6"/>
        <s v="ACORDO TRABALHISTA - ISABEL MACHADO PARCELA 4/6"/>
        <s v="ACORDO TRABALHISTA - ISABEL MACHADO PARCELA 5/6"/>
        <s v="ACORDO TRABALHISTA - ISABEL MACHADO PARCELA 6/6"/>
        <s v="ARGENTON E QUEIROZ ADVOGADOS ASSOCIADOS- Proc 0012026-51.2024.5.15.0097 Reclamante: SIMONE DA SILVA CORREIA PARCELA 2/6"/>
        <s v="IMOVEL NEX ONE "/>
        <s v="AUTO POSTO JARDIM DAS HORTENCIAS"/>
        <s v="BENEFICIO SOCIAL SINDICAL- VENCIMENTO 10/06/2025"/>
        <s v="GADE CORPORATIVA"/>
        <s v="OPEN IT GROUP- ESCRITORIO"/>
        <s v="OPEN IT GROUP-LOJA CLEAN "/>
        <s v="JAIR RÉ-COMISSÇAO JUNHO/JULHO"/>
        <s v="MAC LUCER - VINEA (MENSAL) PARCELA 13- VINEA -Apto 004 (contrato-95)"/>
        <s v="DANIELE VIEIRA DA SILVA"/>
        <s v="CHEQUES DR DUARTE"/>
        <s v="SIND DAS EMP DE PREST DE SER T C A M O T T NO E DE SP"/>
        <s v="NEXTI DESENVOLVIMENTO DE SISTEMAS S.A."/>
        <s v="VALE TRANSPORTE BASE"/>
        <s v="CBM TOWER -RATEIO MENSAL"/>
        <s v="CBM TOWER -TAXA DE CONDOMINIO"/>
        <s v="OKUYAMA &amp; ALVES SOCIEDADE DE ADVOGADOS-PROC 0012360-22.2024.5.15.0021 ADRIANA TEIXEIRA DE OLIVEIRA PARCELA 1/8"/>
        <s v="OKUYAMA &amp; ALVES SOCIEDADE DE ADVOGADOS-PROC 0012360-22.2024.5.15.0021 ADRIANA TEIXEIRA DE OLIVEIRA PARCELA 2/8"/>
        <s v="OKUYAMA &amp; ALVES SOCIEDADE DE ADVOGADOS-PROC 0012360-22.2024.5.15.0021 ADRIANA TEIXEIRA DE OLIVEIRA PARCELA 3/8"/>
        <s v="OKUYAMA &amp; ALVES SOCIEDADE DE ADVOGADOS-PROC 0012360-22.2024.5.15.0021 ADRIANA TEIXEIRA DE OLIVEIRA PARCELA 4/8"/>
        <s v="OKUYAMA &amp; ALVES SOCIEDADE DE ADVOGADOS-PROC 0012360-22.2024.5.15.0021 ADRIANA TEIXEIRA DE OLIVEIRA PARCELA 5/8"/>
        <s v="OKUYAMA &amp; ALVES SOCIEDADE DE ADVOGADOS-PROC 0012360-22.2024.5.15.0021 ADRIANA TEIXEIRA DE OLIVEIRA PARCELA 6/8"/>
        <s v="HM MAQ COMERCIO E ASSISTENCIA TECNICA INDUSTRIAL"/>
        <s v="SIMPLES NACIONAL-PARCELAMENTO"/>
        <s v="VALE COMBUSTIVEL 1 QUINZENA DE AGOSTO"/>
        <s v="54.055.078 MATHEUS PEIXOTO DE OLIVEIRA"/>
        <s v="ADEMIR- IMPRESSÃO E IMPRESSORA"/>
        <s v="REEMBOLSOS"/>
        <s v="FÉRIAS-"/>
        <s v="RFP MATERIAIS PARA CONSTRUCAO LTDA"/>
        <s v="WIG COMERCIO DE BATERIAS E COMP. LTDA"/>
        <s v="DEVOLUÇÃO APORTE VITOR - APORTE 16/12 2º PARCELA"/>
        <s v="GUIA DE PARCELAMENTO INSS VITOR JULHO A NOV 2024"/>
        <s v="GUIA DE PARELAMENTO DE DIVIDA ATIVA HSERV CLEAN"/>
        <s v="GUIA DE IMPOSTO VEPAKUM RETROATIVO 2024"/>
        <s v="PARCELAMENTO DEBITOS PREVIDENCIARIOS"/>
        <s v="PARCELA CREDITO PESSOAL CONTR 016721926 PARC"/>
        <s v="INTERBRILHO HIGIENE E LIMPEZA LTDA"/>
        <s v="EDMAR APARECIDO MARTINEZ"/>
        <s v="TECNIPLAS EQUIPAMENTOS EM COMPOSITOS EIR"/>
        <s v="VETTOR TORRES DE RESFRIAMENTO LTDA"/>
        <s v="VETTOR PECAS E TUBOS INDUSTRIA E COMERCIO LTDA."/>
        <s v="FT 2 QUINZENA DE FEVEREIRO"/>
        <s v="FLORA DISTRIB PROD DE HIGIENE E LIMPEZA LTDA"/>
        <s v="TED 422.0115.KYN C V A L"/>
        <s v="CONDOMINIO PALAZZO VENEZA"/>
        <s v="TTB INDUSTRIA E COMERCIO DE PRODUTOS MET"/>
        <s v="DEPOSITO SANTA CATARINA LTDA"/>
        <s v="GIFEL"/>
        <s v="SANTA CASA DE MISERICORDIA DE CABREUVA"/>
        <s v="IMPROVEMENT FIT ACADEMIA LTDA"/>
        <s v="NEW PARK TENIS"/>
        <s v="RICARO"/>
        <s v="AVENIDA -ANTECIPADO DIA 02/07- VENCIMENTO 15/07"/>
        <s v="BELLART"/>
        <s v="MIPAL INDUSTRIA DE EVAPORADORES LTDA"/>
        <s v="PLASTY COMERCIAL DE PLASTICOS LTDA"/>
        <s v="IRMÃOS BOA-ANTECIPAÇÃO"/>
        <s v="PAPEL E CIA"/>
        <s v="MARCIO FERREIRA TOLLER SILVA- 0012057-42.2022.5.15.0097-FELIPE ANGELO DE OLIVEIRA PARCELA 3/3"/>
        <s v="SANTOS SEPULVEDA SOCIEDADE - PROC 0010895-75.2023.5.15.009 AMANDA BRITO SANTOS PARCELA 3/17"/>
        <s v="SAMANTHA PATRICIA MACHADO DE GOUVEIA -PROC  nº 0010287-43.2024.5.15.0097-SHEILA PASSALINE FERRAZ- PARCELA 2/4"/>
        <s v="SOFT WORKS EPI CALCADOS LTDA"/>
        <s v="EGLE SIQUEIRA SOCIEDADE INDIVIDUAL-PROC 1001012-96.2023.5.02.0211 SAMUEL DE SOUZA CAMARA - PARCELA 4/4"/>
        <s v="ZAMBONI, SOUSA, CARVALHO &amp; MARIANO --PROC 0012075-66.2022.5.15.0096 -CLAUDIA ARAUJO DOS SANTOS-PARCELA 2/6"/>
        <s v="CRISTIANA DOS SANTOS -COBRINDO AFASTAMENTO  REGIVANIA PEREIRA DA SILVA  RANCHARIA LOJA 12"/>
        <s v="PATRICIA MARTON ZANINI DAMASCO-COBRINDO AFASTAMENTO  GISLAINE FERNANDA DA SILVA BARBOSA DRACENA LOJA 44"/>
        <s v="LIVIA MARIA TAVARES-COBRINDO FÉRIA DIVA CORREA PADILHA DINIZ SANTA CRUZ - LOJA 26"/>
        <s v="EDILMA SILVA SANTOS-COBRINDO FÉRIAS DIVA CORREA PADILHA DINIZ-SANTA CRUZ - LOJA 26"/>
        <s v="FABIULA AP. CAIRES MASCALHUSK- COBRINDO FÉRIAS ADRIANA SOARES DE LIMA TARUMA LOJA 33 "/>
        <s v="ERIKA DE PAULA SERAFIM -COBRINDO FÉRIAS  FATIMA APARECIDA RIBEIRO CANDIDO MOTA CD"/>
        <s v="GLEYCE JAQUELINE DOS REIS OLIVEIRA -REFORMA MERCADO-APOIO EXTRA ASSIS - LOJA 13 PREMIUM"/>
        <s v="_x0009_ENCARGOS DESCOBERTO CC"/>
        <s v="RESOLVE ALIMENTACAO LTDA"/>
        <s v="CREDIFIT SOCIEDADE DE CREDITO DIRETO S.A."/>
        <s v="ADRIANA APARECIDA DA SILVA"/>
        <s v="RODRIGO CESAR DOS SANTOS"/>
        <s v="MARIA DE JESUS SANTOS"/>
        <s v="CRISTIANI COSIM DE OLIVEIRA VILELA"/>
        <s v="ZAMBONI, SOUSA, CARVALHO &amp; MARIANO-PROC 0012594-41.2022.5.15.0096 -CLAUDIA ARAUJO DOS SANTOS-PARCELA 2/2"/>
        <s v="MARCIO FERREIRA TOLLER SILVA-  PROC 1001220-97.2024.5.02.0291-NORTON DO NASCIMENTO GONÇALVES BUENO-PARCELA 4/4"/>
        <s v="ALINE CAMOLEZ SOARES ISCARO-PROC: 0012233-68.2024.5.15.0188 - GISLAINE CRISTINA FERNANDES PEREIRA PARCELA 5/5"/>
        <s v="L. A. DE SOUZA - EQUIPAMENTOS DE SEGURANCA LTDA"/>
        <s v="SPARTAN DO BRASIL PRODUTOS QUIMICOS LTDA"/>
        <s v="SAMANTHA PATRICIA MACHADO DE GOUVEIA- PROC 0011413-05.2022.5.15.0096-ANDERSON RAIMUNDO DUARTE -PARCELA 2/2"/>
        <s v="DALMAZO SOCIEDADE INDIVIDUAL-PROC 0011504-24.2024.5.15.0097 -ANDRE DE ARAUJO LEITE FILHO PARCELA 1/3"/>
        <s v="LETICIA FERNANDA DO NASCIMENTO - PROC - 0012166-65.2023.5.15.0018- JADISON SOUZA FONTES PARCELA 4/5"/>
        <s v="ANA PAULA HERKES MARTINS-  PROC 0011455-60.2023.5.15.0018-MARIA DE JESUS MARQUES GINO FERREIRA PARCELA 4/7"/>
        <s v="OKUYAMA &amp; ALVES SOCIEDADE DE ADVOGADOS- PROC 0012465-42.2023.5.15.0018-PROC GENILDA MARIA DA SILVA PARCELA 3/8"/>
        <s v="OKUYAMA &amp; ALVES SOCIEDADE DE ADVOGADOS- - 0012457-65.2023.5.15.0018 JESSICA BARROS DOS SANTOS "/>
        <s v="VALERIA GEOVANNA DOS SANTOS-- PROC 1001103-06.2024.5.02.0292 -ELIENE ALVES LISBOA PARCELA 3/12"/>
        <s v="MARIA APARECIDA ALVES DE MELO ATSum 0010327-82.2025.5.15.0002 RECLAMANTE: CRISTIANE DE SOUSA PARCELA 2/3"/>
        <s v="ARAUJO E RIOS ADVOGADOS ASSOCIADOS PRoc 0010784-37.2023.5.15.0018 -: FABIO LUIZ ALVES -PARCELA 2/7"/>
        <s v="TIAGO JOSE DE FREITAS OLIVEIRA-Proc 0012190-87.2022.5.15.0096 Reclamante: KASSIA VITAL FERREIRA PARCELA 2/10"/>
        <s v="LUCAS LEONARDO MARQUES DE OLIVEIRA-PROC 1000130-70.2024.5.02.0221-GILVAN ANTONIO DOS SANTOS SILVA  PARCELA 3/12"/>
        <s v="IVAN MARQUES DOS SANTOS Proc  0010898-64.2022.5.15.0097 AUTOR: FRANCISCA NEUDA FRANCALINO DE SOUZA PARCELA 2/9"/>
        <s v="PATRICIA LOMBARDI PROC 1002854-81.2023.5.02.0221 TANIA MARIANO DOS SANTOS- PARCELA 2/6"/>
        <s v="JUAN PHILIPY STEPHANO AMARO SOCIEDADE IPROC 0011148-23.2024.5.15.0002- ANTONIA MILENA SOARES DE SOUZA PARCELA 1/10"/>
        <s v="LUAN VIEIRA BARRETO - PROC 0012216-57.2024.5.15.0018-ANGELO JOSE ARANTES -PARCELA 3/10"/>
        <s v="TADIM NEVES SOCIEDADE INDIVIDUAL DE ADVOCACIA"/>
        <s v="MOVIDA PARTICIPACOES S A VENCIDO 12/06/2025 156154725"/>
        <s v="MOVIDA PARTICIPACOES S A VENCIDO 13/06/2025 216178215"/>
        <s v="MOVIDA PARTICIPACOES S A VENCIDO 17/06/2025- FATURA 6830253-CONTRATO 25884412/03/000"/>
        <s v="MOVIDA PARTICIPACOES S A VENCIDO 18/06/2025 46445801"/>
        <s v="MOVIDA PARTICIPACOES S A VENCIDO 28/06/2025 156400259"/>
        <s v="MOVIDA PARTICIPACOES S.A."/>
        <s v="MARIA ROSEANE DA SILVA"/>
        <s v="FLAVIA KELI DE OLIVEIRA FELIX"/>
        <s v="EZEQUIEL RODRIGUES DOS SANTOS"/>
        <s v="MARIA SOCORRO DA SILVA PEREIRA"/>
        <s v="ALTAMIRO LOPES SIQUEIRA"/>
        <s v="REGIANE DE SIQUEIRA NASCIMENTO"/>
        <s v="DEBORA GOMES DOS SANTOS"/>
        <s v="SIEMACO-PRUDENTE SINDICATO AVENIDA, ASSIS E REGIÃO"/>
        <s v="GRRF MATHEUS SANT ANNA"/>
        <s v="GP REFEIÇÕES- MARMITAS PESSOAL UPA"/>
        <s v="JALECOS-COMPRA DE 150 UNIDADES"/>
        <s v="CALÇAS ASG- COMPRA DE 100 CALÇAS ASG "/>
        <s v="ARIANE VITORIA SOUSA SANTOS -FT UPA CABREUVA"/>
        <s v="CELI MARIA DOS SANTOS DA SILVA- FT UPA CABREUVA"/>
        <s v="DIOGO HENRIQUE BARBOSA BERNARDINO- FT UPA CABREUVA"/>
        <s v="ISTERFANY MATIAS PORTO - FT UPA CABREUVA"/>
        <s v="VALERIA CRISTINA RAIEL- FT UPA CABREUVA"/>
        <s v="EMPORIO MEGA 100 COMERCIO DE ALIMENTOS S.A."/>
        <s v="LM SUPER TROCA DE OLEO"/>
        <s v="NOVITA VEST CONFECCOES LTDA-SETTE UNIFORMES"/>
        <s v="RSC COM. MAT.P/ CONSTRUCAO LTDA."/>
        <s v="FMD FUNDO DE INVESTIMENTO EM DIREITOS CREDITORIOS"/>
        <s v="LUPE LOCACAO E COMERCIO DE EQUIPAMENTOS ELETRONICOS E SERVIC"/>
        <s v="PEDRO LEOPOLDO BRUNELLI JUNIOR -Processo n. 0011252-29.2021.5.15.0096  AUTOR: DANILO MIGUEL DA SILVA  -PARCEL A 2/4"/>
        <s v="JONESO EMPREENDIMENTOS E ADMINISTRACAO LTDA"/>
        <s v="FABIANO SAMPAIO DAVILA- PROCESSO 0011969-47.2022.5.15.0018CLAUDINEIA SANTOS DA SILVA -PARCELA 8/9"/>
        <s v="WIG COMERCIO DE BATERIAS COMPONENTES LTDA-BATERIA EXCELL FORCE TRACIONARIA EXT150 EXT150"/>
        <s v="INELTEC TECNOLOGIAS LTDA - EPP- COMPRA DE IBUTTONS"/>
        <s v="GRRF GRACE KELLY CUSTODIO AURELIANO"/>
        <s v="GRRF FAGNER LOPES DA SILVA"/>
        <s v="GRRF MANOEL ALVES DE ANDRADE"/>
        <s v="MARIELE DE LIMA CANDIDO- RESSARCIMENTO DE MERCADORIA QUE O CONTROLADOR PAULO SERGIO (PALAZO VENEZA) FORNECEU AO MORADOR ERRADO"/>
        <s v="FEMACON CONSTRUCOES LTDA-CAMACON- MATERIAS PARA CALÇADA DA LOJA CLEAN"/>
        <s v="FMD FUNDO DE INVESTIMENTO EM DIREITOS CREDITORIOS-STAR CLEAN"/>
        <s v="FMD FUNDO DE INVESTIMENTO EM DIREITOS CREDITORIOS-STAR CLEAN NF 1356"/>
        <s v="ASOMETRA ENGENHARIA VENCIDO 20/05/2025"/>
        <s v="VIVIAN APARECIDA MENDES"/>
        <s v="DAIANA INDIANARA DE PAULA SILVA"/>
        <s v="CELSO DE JESUS DANTAS"/>
        <s v="ANA CLAUDIA DE FIGUEIREDO"/>
        <s v="LUZIA DE CARVALHO"/>
        <s v="GRACE KELLY CUSTODIO AURELIANO"/>
        <s v="LINDIMAR FERREIRA DOS SANTOS"/>
        <s v="FABIO NOGUEIRA DA SILVA LOPES"/>
        <s v="LINDENALVA FARIAS RIBEIRO"/>
        <s v="RONALDO SILVA MARQUES"/>
        <s v="ROSANGELA FRANCO"/>
        <s v="IFOOD.COM AGENCIA DE RESTAURANTES ONLINE S.A."/>
        <s v="DIOGO HENRIQUE BARBOSA BERNARDINO-L  2 DIAS DE FT DESSE COLABORADOR NO UPA"/>
        <s v="SOFT WORKS EPI CALCADOS LTDA- VENCIDO 30/06/2025"/>
        <s v="Antônio Cesar caffe benatti-FT FISCAIS DOM OLIVIO SOROCABA "/>
        <s v="Welllington da Silva Araujoi-FT FISCAIS DOM OLIVIO SOROCABA "/>
        <s v="Sidnei Silveira Rodrigues  -FT FISCAIS DOM OLIVIO SOROCABA "/>
        <s v="Ezequiel Rodrigues dos Santos  -FT FISCAIS DOM OLIVIO SOROCABA "/>
        <s v="Alexs Sandro lagos da Silva  -FT FISCAIS DOM OLIVIO SOROCABA "/>
        <s v="WIG COMERCIO DE BATERIAS COMPONENTES LTDA"/>
        <s v="BOM FALCAO LOGISTICA E TRANSPORTE LTDA"/>
        <s v="JOSE JONAS DE ARAUJO SILVA- PROCESSO 0010137-76.2022.5.15.0018- MANOEL VICENTE  HONORARIOS"/>
        <s v="JOSE JONAS DE ARAUJO SILVA- PROCESSO 0010137-76.2022.5.15.0018- MANOEL VICENTE  PARCELA 1/8"/>
        <s v="DANILO ENDRIGO GARAVELO"/>
        <s v="SPARTAN DO BRASIL PRODUTOS QUIMICOS LTDA-VENCIMENTO 01/07/2025"/>
        <s v="SPARTAN DO BRASIL PRODUTOS QUIMICOS LTDA NF 253783 PARC 3/3"/>
        <s v="L. A. DE SOUZA - EQUIPAMENTOS DE SEGURANCA LTDA NF 11620 - SAPATO ASG AVENIDA- OSSIRES"/>
        <s v="GRRF JESSICA NATALIA APARECIDA TEODORO"/>
        <s v="GRRF VALMIR DOS SANTOS"/>
        <s v="ANDRADE FREITAS SOCIEDADE DE ADVOGADOS"/>
        <s v="PAROLAR DIST DE UTENSILIOS DOMESTICOS LTDA- NF 210.137"/>
        <s v="NOVITA VEST CONFECCOES LTDA-SETTE UNIFORMES "/>
        <s v="LOCALIZA- AGMTZ 2561625-VENCIDA 03/07/2025  MULTA DE TRANSITO"/>
        <s v="LOCALIZA- AGMTZ 2561603-VENCIDA 03/07/2025 MULTA DE TRANSITO"/>
        <s v="LOCALIZA- AGMTZ 2561586-VENCIDA 03/07/2025 MULTA DE TRANSITO"/>
        <s v="LOCALIZA- AGMTZ 2561576-VENCIDA 03/07/2025 MULTA DE TRANSITO"/>
        <s v="LOCALIZA -AFMTZ 2350662-VENCIDA 30/05/2025 QUILÔMETROS EXCEDENTES"/>
        <s v="LOCALIZA- AGMTZ 2454658-VENCIDA 02/05/2025-PREFIXAÇÃO DE DANOS - AVARIAS"/>
        <s v="LOCALIZA-AGMTZ 2454656 VENCIDA 02/05/2025-REEMBOLSO DE CUSTOS REF. PNEUS EXCEDENTES / ATIVIDADES CORRELATAS"/>
        <s v="LOCALIZA AFMTZ 2356665  VENCIDA 30/05/2025 KM EXCEDENTE"/>
        <s v="LOCALIZA AFMTZ 2357800 -VENCIDA 30/05/2025 LOCAÇÃO 3 VTR "/>
        <s v="54.055.078 MATHEUS PEIXOTO DE OLIVEIRA-VENCIDO 30/06/2025"/>
        <s v="ADEMIR- IMPRESSÃO E IMPRESSORA VENCIDO 30/06/2025"/>
        <s v="PREFEITURA M DE CABR"/>
        <s v="VALERIA BARBOSA LEITE"/>
        <s v="ANA CLAUDIA XAVIER DA SILVEIRA BATISTA"/>
        <s v="MAIKON CEZARIO DOS SANTOS COPINO"/>
        <s v="SAMARA DE JESUS VITOR 08/07- VT "/>
        <s v="vALCILENE DOS SANTOS 08/07- VT PARA COBRIR A LOJ 22- ASG-"/>
        <s v="SINDPRESTEM-VENCIDO 30/06/2025"/>
        <s v="CELIO RBERTO "/>
        <s v="LOTUS CENTRAL DE DISTRIBUICAO DE HIGIENICOS LTDA- NF  111185 PARC 3/3"/>
        <s v="ILMA FERREIRA DE SOUZA"/>
        <s v="PAROLAR DIST DE UTENSILIOS DOMESTICOS LTDA"/>
        <s v="_x0009_EVERTON DOMINGOS LUIZ - ANTEDCIPAÇÃO DE SALARIOS- COLABORADOR SOLICITOU PARA COMPRA DE GAS "/>
        <s v="NEXTI DESENVOLVIMENTO DE SISTEMAS S.A. VENCIDO 30/06/2025"/>
        <s v="SIMPLES NACIONAL-PARCELAMENTO VENCIDO 30/06/2025"/>
        <s v="GUIA DE PARCELAMENTO INSS VITOR JULHO A NOV 2024- VENCIMENTO 30/06/2025"/>
        <s v="_x0009_DA REC FED DARF C211000 GUIA DE PARELAMENTO DE DIVIDA ATIVA HSERV CLEAN-  VENCIMENTO 30/06/2025"/>
        <s v="PARCELAMENTO SIMPLICADO- HSERV CABREUVA DEBITO PREVIDENCIARIO   VENCIMENTO 30/06/2025"/>
        <s v="PARCELAMENTO SIMPLICADO- HSERV CLEAN DEBITO PREVIDENCIARIO  VENCIMENTO 30/06/2025"/>
        <s v="PARCELAMENTO SIMPLICADO- HSERV COMBINADOS  DEBITO PREVIDENCIARIO - VENCIMENTO 30/06/2025"/>
        <s v="PARCELAMENTO SIMPLICADO- VITOR DUARTE  DEBITO PREVIDENCIARIO - VENCIMENTO 30/06/2025"/>
        <s v="PARCELAMENTO SIMPLICADO- HSERV REPRESENTAÇÃO  DEBITO PREVIDENCIARIO  - VENCIMENTO 30/06/2025"/>
        <s v="PARCELAMENTO SIMPLICADO- HSERV LIMPEZA - DEBITO PREVIDENCIARIO  - VENCIMENTO 30/06/2025"/>
        <s v="GISELE RODRIGUES- CAIXINHA"/>
        <s v="SINDITERCERIZADOSASSOCIADA- CICERA MARIA VENCIMENTO 10/07/2025"/>
        <s v="VINICIUS JOSE EUGENIO - ME"/>
        <s v="EMPORIO MEGA 100 COMERCIO DE ALIMENTOS S.A.-CESTA NATALINA - VENCIMENTO 30/06/2025"/>
        <s v="DAVID DA SILVA PORFIRIO-DEVOÇÃO DE DESCONTO DE FALTA INDEVIDO NA FOLHA 06/2025"/>
        <s v="KARINA APARECIDA DE BRITO DOS SANTOS"/>
        <s v="ASOMETRA ENGENHARIA DE SEGURANCA E MEDICINA DO TRABALHO LTDA"/>
        <s v="LEONARDO ANTONIO DO CARMO JUNIOR-.FGTS EM ATRASO 10/2023"/>
        <s v="LEONARDO ANTONIO DO CARMO JUNIOR-.FGTS EM ATRASO 02/2023"/>
        <s v="LEONARDO ANTONIO DO CARMO JUNIOR-.FGTS EM ATRASO 07/2023"/>
        <s v="LEONARDO ANTONIO DO CARMO JUNIOR-.FGTS EM ATRASO 09/2023"/>
        <s v="LEONARDO ANTONIO DO CARMO JUNIOR-.FGTS EM ATRASO 04/2023"/>
        <s v="LEONARDO ANTONIO DO CARMO JUNIOR-.FGTS EM ATRASO 03/2023"/>
        <s v="LEONARDO ANTONIO DO CARMO JUNIOR-.FGTS EM ATRASO 08/2023"/>
        <s v="LEONARDO ANTONIO DO CARMO JUNIOR-.FGTS EM ATRASO 11/2023"/>
        <s v="LEONARDO ANTONIO DO CARMO JUNIOR-.FGTS EM ATRASO 12/2023"/>
        <s v="LOCALIZA FLEET S.A.-AGMTZ-2577162"/>
        <s v="LOCALIZA FLEET S.A.- FATURA  AGMTZ-2577180- MULTA DE TRANSITO "/>
        <s v="LOCALIZA FLEET S.A. FATIRA AGMTZ-2577199-MULTA DE TRANSITO"/>
        <s v="DAIANI SILVA RODRIGUES"/>
        <s v="VALMIR DOS SANTOS"/>
        <s v="JESSICA NATALIA APARECIDA TEODORO"/>
        <s v="ALEX APARECIDO DE MORAES"/>
        <s v="WAGNER BIONDO"/>
        <s v="KELLY LOPES DA SILVA"/>
        <s v="LARAH MELYSSA ALVES DE SOUSA  NO VALOR DE R$ 921,71 A DAIANE CRISTINA ANDRADE - BELLART"/>
        <s v="BANCO SAFRA S A"/>
        <s v="HIGOR HENRIQUE SANTOS"/>
        <s v="YAIKEL MARTINEZ LEON"/>
        <s v="RAFAEL MOREIRA ANDRELINO"/>
        <s v="FRANCINI MARQUES DA SILVA"/>
        <s v="MARIA JOSE CONCEICAO DA SILVA"/>
        <s v="MARIA JOSE DA SILVA SANTOS"/>
        <s v="MATHEUS SANT ANNA"/>
        <s v="JENIFFER ADRIELE SANTOS SERGIO"/>
        <s v="LOTUS CENTRAL DE DISTRIBUICAO DE HIGIENICOS LTDA- NF  111185 -PARCELA 2/3 VENCIMENTO 01/07/2025"/>
        <s v="FAGNER LOPES DA SILVA"/>
        <s v="MANOEL ALVES DE ANDRADE"/>
        <s v="ALTOLIM COMERCIAL ASSIS EIRELI - ME"/>
        <s v="PRIMETEC TECNOLOGIA LTDA"/>
        <s v="ELEKTRO SALA 16"/>
        <s v="ELEKTRO SALA 17"/>
        <s v="ELEKTRO SALA 18"/>
        <s v="ELEKTRO LOJA CLEAN"/>
        <s v="CAIXINHA OPERACIONAL OPERACIONAL E RH"/>
        <s v="LOCALIZA FLEET S.-VENCIMENTO 01/08"/>
        <s v="STAR CLEAN PRO INDUSTRIA E COMERCIO DE EQUIPAMENTOS DE LIMPE"/>
        <s v="_x0009_ENCARGOS LIMITE DE CRED- HSERV TERCERIZADOS BRADESCO "/>
        <s v="CREDIFIT"/>
        <s v="SALARIOS MEI  "/>
        <s v="EMPRESTIMO HSERV CLEAN BRADESCO M-PARCELA MENSAL"/>
        <s v="FT ASSIS E REGIÃO- "/>
        <s v="BRASIL MEDICINE - PROVISÃO "/>
        <s v="JAIR RÉ"/>
        <s v="MARCASA-SEGURANÇA"/>
        <s v="JHONNY WALACE"/>
        <s v="PROLABORE SOCIOS CRISTIANE-MARIA JOSE"/>
        <s v="FIT ADM (VIDA NOVA) 4203"/>
        <s v="LOCALIZA FLEET S.A.-VENCIMENTO 10/08/2025"/>
        <s v="MOVIDA PARTICIPACOES S A-VENCIMENTO 05/07/2025"/>
        <s v="MOVIDA PARTICIPACOES S A-VENCIMENTO 07/07/2025"/>
        <s v="MOVIDA PARTICIPACOES S A-VENCIMENTO 02/07/2025"/>
        <s v="MOVIDA PARTICIPACOES S.A. VENCIMENTO 11/07/2025"/>
        <s v="MOVIDA PARTICIPACOES S.A. VENCIMENTO 14/07/2025"/>
        <s v="MOVIDA PARTICIPACOES S.A. VENCIMENTO 15/07/2025"/>
        <s v="MOVIDA PARTICIPACOES S.A. VENCIMENTO 16/07/2025"/>
        <s v="MOVIDA PARTICIPACOES S.A. VENCIMENTO 21/07/2025"/>
        <s v="MOVIDA PARTICIPACOES S.A.-PREVISÃO"/>
        <s v="RESCISÕES"/>
        <s v="ASSIDUIDADE"/>
        <s v="VALE ALIMENTAÇÃO MENSAL -"/>
        <s v="MARISA DE SOUSA SILVA"/>
        <s v="ESTER CARDOZO-SALARIOS"/>
        <s v="PAMELA ROCHA MARINHO-SALARIOS"/>
        <s v="CARTAO DE CRÉDITO- VITOR"/>
        <s v="CARTÃO DE CREDITO"/>
        <s v="NOVITA VEST CONFECCOES LTDA"/>
        <s v="VALE COMBUSTIVEL-2 QUINZENA DE AGOSTO"/>
        <s v="LOCALIZA - VENCIDA 30/07/2025"/>
        <s v="ASOMETRA"/>
        <s v="GRRF ALEF MARTINS DE LIMA"/>
        <s v="ALEF MARTINS DE LIMA"/>
        <s v="SINDICATO DOS EMPREGADOS - VENCIDA"/>
        <s v="BENEFICIO SOCIALVENCIDA"/>
        <s v="SOFISA ACORDO- PROCESSO EXECUÇÃO PARCELA 19/24"/>
        <s v="IF EMPRESARIAL"/>
        <s v="FGTS MENSAL"/>
        <s v="DARF INSS-TODAS EMPRESAS"/>
        <s v="FT 1 QUINZENA E PACOTES, RT"/>
        <s v="MAC LUCER - VINEA (MENSAL)"/>
        <s v="ARGENTON E QUEIROZ ADVOGADOS ASSOCIADOS-Proc 0012026-51.2024.5.15.0097-SIMONE DA SILVA CORREIA- PARCELA 3/6"/>
        <s v="ARGENTON E QUEIROZ ADVOGADOS ASSOCIADOS-Proc 0012026-51.2024.5.15.0097-SIMONE DA SILVA CORREIA- PARCELA 4/6"/>
        <s v="ARGENTON E QUEIROZ ADVOGADOS ASSOCIADOS-Proc 0012026-51.2024.5.15.0097-SIMONE DA SILVA CORREIA- PARCELA 5/6"/>
        <s v="ARGENTON E QUEIROZ ADVOGADOS ASSOCIADOS-Proc 0012026-51.2024.5.15.0097-SIMONE DA SILVA CORREIA- PARCELA 6/6"/>
        <s v="CLARO S/A"/>
        <s v="RONALDO DE OLIVEIRA HOLANDA"/>
        <s v="GRRF RONALDO DE OLIVEIRA HOLANDA"/>
        <s v="OPEN IT GROUP"/>
        <s v="MAC LUCER - VINEA (MENSAL) "/>
        <s v="GABRIEL DOS SANTOS NOVÃESCLOUD-TELEFONIA"/>
        <s v="VALE TRANSPORTE "/>
        <s v="VALE COMBUSTIVEL 1 QUINZENA DE FEVEREIRO"/>
        <s v="FÉRIAS- "/>
        <s v="DEVOLUÇÃO APORTE VITOR - APORTE "/>
        <s v="FT 2 QUINZENA"/>
        <s v="RAI INDUSTRIAL"/>
        <s v="AVENIDA "/>
        <s v="RIOS DAS PEDRAS"/>
        <s v="BOA"/>
        <s v="PEDRO LEOPOLDO BRUNELLI JUNIOR -Processo n. 0011252-29.2021.5.15.0096  AUTOR: DANILO MIGUEL DA SILVA  -PARCEL A 3/4"/>
        <s v="CEF MATRIZ--EMPRESTIMO HENRIQUE IEAN VENCIDO "/>
        <s v="CEF MATRIZ--EMPRESTIMO HSERV COMBINADOS VENCIDO "/>
        <s v="CEF MATRIZ-EMPRESTIMO HSERV COMBINADOS VENCIDO"/>
        <s v="SINDPRESTEM"/>
        <s v="FABIANO SAMPAIO DAVILA- PROCESSO 0011969-47.2022.5.15.0018CLAUDINEIA SANTOS DA SILVA -PARCELA 9/9"/>
        <s v="SAMANTHA PATRICIA MACHADO DE GOUVEIA -PROC  nº 0010287-43.2024.5.15.0097-SHEILA PASSALINE FERRAZ- PARCELA 3/4"/>
        <s v="ANDRADE FREITAS SOCIEDADE DE ADVOGADOS-Proc 0012259-82.2024.5.15.0021 ESTEVAO GOMES DE SOUZA PARCELA 5/5"/>
        <s v="ANDRADE FREITAS SOCIEDADE DE ADVOGADOS-Proc 0012259-82.2024.5.15.0021 ESTEVAO GOMES DE SOUZA PARCELA 4/5"/>
        <s v="ANDRADE FREITAS SOCIEDADE DE ADVOGADOS-Proc 0012259-82.2024.5.15.0021 ESTEVAO GOMES DE SOUZA PARCELA 3/5"/>
        <s v="ANDRADE FREITAS SOCIEDADE DE ADVOGADOS-Proc 0012259-82.2024.5.15.0021 ESTEVAO GOMES DE SOUZA PARCELA 2/5"/>
        <s v="SANTOS SEPULVEDA SOCIEDADE INDIVIDUAL DE ADVOCACIA- - PROC 0010895-75.2023.5.15.009-AMANDA BRITO SANTOS PARCELA 4/16"/>
        <s v="CRISTIANI COSIM DE OLIVEIRA VILELA-Proc 0011289-67.2024.5.15.0026 AUTOR: ELAINE JAQUES LOURENCONI PARCELA2/3"/>
        <s v="MARIA APARECIDA ALVES DE MELO ATSum 0010327-82.2025.5.15.0002 RECLAMANTE: CRISTIANE DE SOUSA PARCELA 3/3"/>
        <s v="DALMAZO SOCIEDADE INDIVIDUAL-PROC 0011504-24.2024.5.15.0097 -ANDRE DE ARAUJO LEITE FILHO PARCELA 2/3"/>
        <s v="ARAUJO E RIOS ADVOGADOS ASSOCIADOS PRoc 0010784-37.2023.5.15.0018 -: FABIO LUIZ ALVES -PARCELA 3/7"/>
        <s v="TIAGO JOSE DE FREITAS OLIVEIRA-Proc 0012190-87.2022.5.15.0096 Reclamante: KASSIA VITAL FERREIRA PARCELA 3/10"/>
        <s v="JUAN PHILIPY STEPHANO AMARO SOCIEDADE IPROC 0011148-23.2024.5.15.0002- ANTONIA MILENA SOARES DE SOUZA PARCELA 2/10"/>
        <s v="IVAN MARQUES DOS SANTOS Proc  0010898-64.2022.5.15.0097 AUTOR: FRANCISCA NEUDA FRANCALINO DE SOUZA PARCELA 3/9"/>
        <s v="LUCAS LEONARDO MARQUES DE OLIVEIRA-PROC 1000130-70.2024.5.02.0221-GILVAN ANTONIO DOS SANTOS SILVA  PARCELA 4/12"/>
        <s v="LETICIA FERNANDA DO NASCIMENTO - PROC - 0012166-65.2023.5.15.0018- JADISON SOUZA FONTES PARCELA 5/5"/>
        <s v="ZAMBONI, SOUSA, CARVALHO &amp; MARIANO --PROC 0012075-66.2022.5.15.0096 -CLAUDIA ARAUJO DOS SANTOS-PARCELA 3/6"/>
        <s v="ANA PAULA HERKES MARTINS-  PROC 0011455-60.2023.5.15.0018-MARIA DE JESUS MARQUES GINO FERREIRA PARCELA 5/7"/>
        <s v="OKUYAMA &amp; ALVES SOCIEDADE DE ADVOGADOS   PROC- 0012465-42.2023.5.15.0018 GENILDA MARIA DA SILVA CARRILHO PARCELA 4/8"/>
        <s v="OKUYAMA &amp; ALVES SOCIEDADE DE ADVOGADOSS - PROC 0012457-65.2023.5.15.0018 -JESSICA BARROS DOS SANTO PARCELA 4/8"/>
        <s v="VALERIA GEOVANNA DOS SANTOS-- PROC 1001103-06.2024.5.02.0292 -ELIENE ALVES LISBOA PARCELA 4/12"/>
        <s v="JOSE JONAS DE ARAUJO SILVA-PROC 0010137-76.2022.5.15.0018 MANOEL VICENTE DA SILVA PARCELA 2/8"/>
        <s v="TADIM NEVES SOCIEDADE INDIVIDUAL DE ADVOCACIA -PROC  - 0012114-44.2023.5.15.0188-ADILIO SANTOS SOUZA PARCELA 5/8"/>
        <s v="PATRICIA LOMBARDI-PROC 1002854-81.2023.5.02.0221 TANIA MARIANO DOS SANTOS PARCELA 3/6"/>
        <s v="PATRICIA LOMBARDI-PROC 1002854-81.2023.5.02.0221 TANIA MARIANO DOS SANTOS PARCELA 4/6"/>
        <s v="PATRICIA LOMBARDI-PROC 1002854-81.2023.5.02.0221 TANIA MARIANO DOS SANTOS PARCELA 5/6"/>
        <s v="PATRICIA LOMBARDI-PROC 1002854-81.2023.5.02.0221 TANIA MARIANO DOS SANTOS PARCELA 6/6"/>
        <s v="LUAN VIEIRA BARRETO - PROC 0012216-57.2024.5.15.0018-ANGELO JOSE ARANTES -PARCELA 4/10"/>
        <s v="FEMACON CONSTRUCOES LTDA"/>
        <s v="CAIXINHA OPERACIONAL "/>
        <s v=" MEI  "/>
        <s v="FIT ADM (VIDA NOVA) 34-07"/>
        <s v="BRADESCO SEGUROS - QUY9F13- DEBITO AUTOMATICO HSERV CABREUVA"/>
        <s v="MOVIDA PARTICIPACOES S.A.-PROVISÃO MENSAL"/>
        <s v=" MEI"/>
        <s v="ESTER CARDOZO"/>
        <s v="PAMELA ROCHA MARINHO-BONUS  GERENCIA "/>
        <s v="VALE COMBUSTIVEL-2 QUINZENA "/>
        <s v="SOFISA ACORDO- PROCESSO EXECUÇÃO"/>
        <s v="PEDRO LEOPOLDO BRUNELLI JUNIOR -Processo n. 0011252-29.2021.5.15.0096  AUTOR: DANILO MIGUEL DA SILVA  -PARCEL A 4/4"/>
        <m/>
        <s v="SANTOS SEPULVEDA SOCIEDADE INDIVIDUAL DE ADVOCACIA- - PROC 0010895-75.2023.5.15.009-AMANDA BRITO SANTOS PARCELA 5/16"/>
        <s v="SAMANTHA PATRICIA MACHADO DE GOUVEIA -PROC  nº 0010287-43.2024.5.15.0097-SHEILA PASSALINE FERRAZ- PARCELA 4/4"/>
        <s v="LUCAS LEONARDO MARQUES DE OLIVEIRA"/>
        <s v="DALMAZO SOCIEDADE INDIVIDUAL DE ADVOCACIA"/>
        <s v="ARAUJO E RIOS ADVOGADOS ASSOCIADOS"/>
        <s v="TIAGO JOSE DE FREITAS OLIVEIRA"/>
        <s v="PATRICIA LOMBARDI"/>
        <s v="ANA PAULA HERKES MARTINS"/>
        <s v="JUAN PHILIPY STEPHANO AMARO SOCIEDADE INDIVIDUAL DE ADVOCACI"/>
        <s v="IVAN MARQUES DOS SANTOS"/>
        <s v="LUAN VIEIRA BARRETO"/>
        <s v="VALERIA GEOVANNA DOS SANTOS"/>
        <s v="ZAMBONI, SOUSA, CARVALHO &amp; MARIANO --PROC 0012075-66.2022.5.15.0096 -CLAUDIA ARAUJO DOS SANTOS-PARCELA 4/6"/>
        <s v="OKUYAMA &amp; ALVES SOCIEDADE DE ADVOGADOSS - PROC 0012457-65.2023.5.15.0018 -JESSICA BARROS DOS SANTO PARCELA 5/8"/>
        <s v="OKUYAMA &amp; ALVES SOCIEDADE DE ADVOGADOS- PROC 0012465-42.2023.5.15.0018-PROC GENILDA MARIA DA SILVA PARCELA 5/8"/>
        <s v="JOSE JONAS DE ARAUJO SILVA- PROCESSO 0010137-76.2022.5.15.0018- MANOEL VICENTE  PARCELA 6/8"/>
        <s v="JOSE JONAS DE ARAUJO SILVA- PROCESSO 0010137-76.2022.5.15.0018- MANOEL VICENTE  PARCELA 5/8"/>
        <s v="JOSE JONAS DE ARAUJO SILVA- PROCESSO 0010137-76.2022.5.15.0018- MANOEL VICENTE  PARCELA 4/8"/>
        <s v="JOSE JONAS DE ARAUJO SILVA- PROCESSO 0010137-76.2022.5.15.0018- MANOEL VICENTE  PARCELA 3/8"/>
        <s v="TADIM NEVES SOCIEDADE INDIVIDUAL DE ADVOCACIA -PROC  - 0012114-44.2023.5.15.0188-ADILIO SANTOS SOUZA PARCELA 6/8"/>
        <s v="LOCALIZA - VENCIDA"/>
        <s v="MOVIDA PARTICIPACOES S.A.-"/>
        <s v="VALE COMBUSTIVEL-2 QUINZENA DE JANEIRO"/>
        <s v="JOSE JONAS DE ARAUJO SILVA"/>
        <s v="SANTOS SEPULVEDA SOCIEDADE INDIVIDUAL DE ADVOCACIA- - PROC 0010895-75.2023.5.15.009-AMANDA BRITO SANTOS PARCELA 6/16"/>
        <s v="ZAMBONI, SOUSA, CARVALHO &amp; MARIANO --PROC 0012075-66.2022.5.15.0096 -CLAUDIA ARAUJO DOS SANTOS-PARCELA 5/6"/>
        <s v="OKUYAMA &amp; ALVES SOCIEDADE DE ADVOGADOSS - PROC 0012457-65.2023.5.15.0018 -JESSICA BARROS DOS SANTO PARCELA 6/8"/>
        <s v="OKUYAMA &amp; ALVES SOCIEDADE DE ADVOGADOS- PROC 0012465-42.2023.5.15.0018-PROC GENILDA MARIA DA SILVA PARCELA 6/8"/>
        <s v="TADIM NEVES SOCIEDADE INDIVIDUAL DE ADVOCACIA -PROC  - 0012114-44.2023.5.15.0188-ADILIO SANTOS SOUZA PARCELA 8/8"/>
        <s v="FT 2 QUINZENA "/>
        <s v="DECIMO TERCEIRO SALARIOS"/>
        <s v="SANTOS SEPULVEDA SOCIEDADE INDIVIDUAL DE ADVOCACIA- - PROC 0010895-75.2023.5.15.009-AMANDA BRITO SANTOS PARCELA 7/16"/>
        <s v="ZAMBONI, SOUSA, CARVALHO &amp; MARIANO ADVOGADOS"/>
        <s v="OKUYAMA &amp; ALVES SOCIEDADE DE ADVOGADOSS - PROC 0012457-65.2023.5.15.0018 -JESSICA BARROS DOS SANTO PARCELA 7/8"/>
        <s v="OKUYAMA &amp; ALVES SOCIEDADE DE ADVOGADOS"/>
        <s v="BRADESCO SEGUROS - QUY9F13- DEBITO AUTOMATICO HSERV CABREUVA "/>
        <s v="IF EMPRESARIAL-CONTABILIDA, JURIDICO E DEPARTAMENTO PESSOAL" u="1"/>
        <s v="RESOLVE ALIMENTAÇÃO -PROVISÃO" u="1"/>
        <s v="ACORDO TRABALHISTA - ISABEL MACHADO PARCELA 1/6" u="1"/>
        <s v="ACORDO TRABALHISTA - ISABEL MACHADO PARCELA 2/6" u="1"/>
        <s v="PATRICIA LOMBARDI PROC 1002854-81.2023.5.02.0221 TANIA MARIANO DOS SANTOS- PARCELA 3/6" u="1"/>
        <s v="VINICIUS JOSE EUGENIO - ME- FRETE CRACHÁ" u="1"/>
        <s v="TED 422.0115.KYN C V A L " u="1"/>
        <s v="TED 422.0115.KYN C V A L 2 " u="1"/>
        <s v="NEW PARQUE TENIS" u="1"/>
      </sharedItems>
    </cacheField>
    <cacheField name="VALOR" numFmtId="0">
      <sharedItems containsString="0" containsBlank="1" containsNumber="1" minValue="-468000" maxValue="908006.92"/>
    </cacheField>
    <cacheField name="TIPO" numFmtId="0">
      <sharedItems count="2">
        <s v="DESPESAS"/>
        <s v="RECEITAS"/>
      </sharedItems>
    </cacheField>
    <cacheField name="CENTRO DE CUS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er Cardozo" refreshedDate="45911.677564467594" createdVersion="8" refreshedVersion="8" minRefreshableVersion="3" recordCount="2421" xr:uid="{822F138E-6CC7-4585-A891-BB912BB97701}">
  <cacheSource type="worksheet">
    <worksheetSource ref="A1:G2425" sheet="BASE"/>
  </cacheSource>
  <cacheFields count="9">
    <cacheField name="DATA" numFmtId="14">
      <sharedItems containsSemiMixedTypes="0" containsNonDate="0" containsDate="1" containsString="0" minDate="2025-07-01T00:00:00" maxDate="2025-12-31T00:00:00" count="132">
        <d v="2025-07-23T00:00:00"/>
        <d v="2025-07-01T00:00:00"/>
        <d v="2025-07-04T00:00:00"/>
        <d v="2025-07-03T00:00:00"/>
        <d v="2025-07-02T00:00:00"/>
        <d v="2025-07-07T00:00:00"/>
        <d v="2025-07-14T00:00:00"/>
        <d v="2025-07-11T00:00:00"/>
        <d v="2025-07-10T00:00:00"/>
        <d v="2025-07-22T00:00:00"/>
        <d v="2025-07-16T00:00:00"/>
        <d v="2025-07-15T00:00:00"/>
        <d v="2025-07-18T00:00:00"/>
        <d v="2025-07-17T00:00:00"/>
        <d v="2025-07-21T00:00:00"/>
        <d v="2025-07-28T00:00:00"/>
        <d v="2025-07-24T00:00:00"/>
        <d v="2025-08-21T00:00:00"/>
        <d v="2025-09-19T00:00:00"/>
        <d v="2025-10-21T00:00:00"/>
        <d v="2025-11-21T00:00:00"/>
        <d v="2025-12-19T00:00:00"/>
        <d v="2025-07-25T00:00:00"/>
        <d v="2025-08-26T00:00:00"/>
        <d v="2025-07-31T00:00:00"/>
        <d v="2025-07-30T00:00:00"/>
        <d v="2025-08-28T00:00:00"/>
        <d v="2025-09-12T00:00:00"/>
        <d v="2025-09-30T00:00:00"/>
        <d v="2025-10-31T00:00:00"/>
        <d v="2025-11-28T00:00:00"/>
        <d v="2025-12-30T00:00:00"/>
        <d v="2025-08-01T00:00:00"/>
        <d v="2025-08-29T00:00:00"/>
        <d v="2025-09-23T00:00:00"/>
        <d v="2025-07-29T00:00:00"/>
        <d v="2025-08-07T00:00:00"/>
        <d v="2025-07-08T00:00:00"/>
        <d v="2025-10-30T00:00:00"/>
        <d v="2025-08-25T00:00:00"/>
        <d v="2025-09-25T00:00:00"/>
        <d v="2025-10-27T00:00:00"/>
        <d v="2025-11-25T00:00:00"/>
        <d v="2025-12-26T00:00:00"/>
        <d v="2025-09-01T00:00:00"/>
        <d v="2025-08-04T00:00:00"/>
        <d v="2025-08-05T00:00:00"/>
        <d v="2025-08-06T00:00:00"/>
        <d v="2025-08-19T00:00:00"/>
        <d v="2025-08-08T00:00:00"/>
        <d v="2025-08-11T00:00:00"/>
        <d v="2025-08-12T00:00:00"/>
        <d v="2025-08-22T00:00:00"/>
        <d v="2025-08-14T00:00:00"/>
        <d v="2025-08-15T00:00:00"/>
        <d v="2025-08-18T00:00:00"/>
        <d v="2025-08-27T00:00:00"/>
        <d v="2025-09-08T00:00:00"/>
        <d v="2025-09-16T00:00:00"/>
        <d v="2025-08-20T00:00:00"/>
        <d v="2025-09-17T00:00:00"/>
        <d v="2025-10-07T00:00:00"/>
        <d v="2025-11-07T00:00:00"/>
        <d v="2025-12-09T00:00:00"/>
        <d v="2025-09-11T00:00:00"/>
        <d v="2025-10-13T00:00:00"/>
        <d v="2025-11-11T00:00:00"/>
        <d v="2025-12-11T00:00:00"/>
        <d v="2025-08-13T00:00:00"/>
        <d v="2025-09-09T00:00:00"/>
        <d v="2025-09-24T00:00:00"/>
        <d v="2025-11-10T00:00:00"/>
        <d v="2025-10-08T00:00:00"/>
        <d v="2025-09-02T00:00:00"/>
        <d v="2025-09-04T00:00:00"/>
        <d v="2025-09-05T00:00:00"/>
        <d v="2025-09-03T00:00:00"/>
        <d v="2025-09-10T00:00:00"/>
        <d v="2025-09-18T00:00:00"/>
        <d v="2025-09-22T00:00:00"/>
        <d v="2025-09-26T00:00:00"/>
        <d v="2025-09-29T00:00:00"/>
        <d v="2025-12-01T00:00:00"/>
        <d v="2025-11-03T00:00:00"/>
        <d v="2025-10-01T00:00:00"/>
        <d v="2025-10-15T00:00:00"/>
        <d v="2025-10-06T00:00:00"/>
        <d v="2025-10-02T00:00:00"/>
        <d v="2025-10-20T00:00:00"/>
        <d v="2025-10-17T00:00:00"/>
        <d v="2025-10-10T00:00:00"/>
        <d v="2025-10-03T00:00:00"/>
        <d v="2025-10-16T00:00:00"/>
        <d v="2025-10-24T00:00:00"/>
        <d v="2025-10-22T00:00:00"/>
        <d v="2025-10-29T00:00:00"/>
        <d v="2025-10-14T00:00:00"/>
        <d v="2025-10-09T00:00:00"/>
        <d v="2025-11-04T00:00:00"/>
        <d v="2025-11-06T00:00:00"/>
        <d v="2025-11-05T00:00:00"/>
        <d v="2025-11-17T00:00:00"/>
        <d v="2025-11-14T00:00:00"/>
        <d v="2025-11-13T00:00:00"/>
        <d v="2025-11-26T00:00:00"/>
        <d v="2025-11-18T00:00:00"/>
        <d v="2025-11-20T00:00:00"/>
        <d v="2025-11-24T00:00:00"/>
        <d v="2025-12-05T00:00:00"/>
        <d v="2025-12-02T00:00:00"/>
        <d v="2025-12-04T00:00:00"/>
        <d v="2025-12-08T00:00:00"/>
        <d v="2025-12-15T00:00:00"/>
        <d v="2025-12-07T00:00:00"/>
        <d v="2025-12-12T00:00:00"/>
        <d v="2025-12-10T00:00:00"/>
        <d v="2025-12-17T00:00:00"/>
        <d v="2025-12-16T00:00:00"/>
        <d v="2025-12-18T00:00:00"/>
        <d v="2025-12-22T00:00:00"/>
        <d v="2025-12-29T00:00:00"/>
        <d v="2025-12-23T00:00:00"/>
        <d v="2025-12-24T00:00:00"/>
        <d v="2025-09-15T00:00:00" u="1"/>
        <d v="2025-09-28T00:00:00" u="1"/>
        <d v="2025-09-13T00:00:00" u="1"/>
        <d v="2025-08-10T00:00:00" u="1"/>
        <d v="2025-11-27T00:00:00" u="1"/>
        <d v="2025-11-12T00:00:00" u="1"/>
        <d v="2025-11-19T00:00:00" u="1"/>
        <d v="2025-12-03T00:00:00" u="1"/>
        <d v="2025-07-09T00:00:00" u="1"/>
      </sharedItems>
      <fieldGroup par="8"/>
    </cacheField>
    <cacheField name="MES" numFmtId="14">
      <sharedItems/>
    </cacheField>
    <cacheField name="EMPRESA" numFmtId="0">
      <sharedItems/>
    </cacheField>
    <cacheField name="FORNECEDOR" numFmtId="0">
      <sharedItems/>
    </cacheField>
    <cacheField name="VALOR" numFmtId="0">
      <sharedItems containsSemiMixedTypes="0" containsString="0" containsNumber="1" minValue="-471317.52" maxValue="908006.92"/>
    </cacheField>
    <cacheField name="TIPO" numFmtId="0">
      <sharedItems containsBlank="1" count="4">
        <s v="DESPESAS"/>
        <s v="RECEITAS"/>
        <s v="Rescisões" u="1"/>
        <m u="1"/>
      </sharedItems>
    </cacheField>
    <cacheField name="CENTRO DE CUSTO" numFmtId="0">
      <sharedItems containsBlank="1" count="76">
        <s v="ENERGIA ELETRICA"/>
        <s v="CAIXINHA"/>
        <s v="VALE ALIMENTAÇÃO"/>
        <s v="VENDAS DE SERVIÇOS"/>
        <s v="MERCADORIAS PARA REVENDA"/>
        <s v="MANUTENÇÃO"/>
        <s v="RESCISÕES"/>
        <s v="VALE TRANSPORTE"/>
        <s v="FINANCIAMENTO"/>
        <s v="TARIFA BANCARIA"/>
        <s v="RESERVA"/>
        <s v="SALARIOS"/>
        <s v="EMPRESTIMO "/>
        <s v="FT"/>
        <s v="SINDICATO"/>
        <s v="ALUGUEL DE IMOVEIS"/>
        <s v="SEGURANÇAS"/>
        <s v="COMISSOES"/>
        <s v="PROLABORE"/>
        <s v="CONVENIO MEDICO"/>
        <s v="COMBUSTIVEL E PEDAGIO"/>
        <s v="SISTEMA"/>
        <s v="SEGUROS EM GERAL"/>
        <s v="ASSIDUIDADE"/>
        <s v="CESTA BASICA"/>
        <s v="CARTÃO DE CREDITO"/>
        <s v="VALE COMBUSTIVEL"/>
        <s v="REEMBOLSO"/>
        <s v="AGUA"/>
        <s v="ALUGUEL DE VEICULOS"/>
        <s v="EXAMES MEDICOS"/>
        <s v="CONTABILIDADE"/>
        <s v="IMPOSTO"/>
        <s v="APORTE"/>
        <s v="ACORDO TRABALHISTA"/>
        <s v="TELEFONE"/>
        <s v="INTERNET"/>
        <s v="REEMBOLSO DE DESPESAS"/>
        <s v="FÉRIAS"/>
        <s v="VALE ALIMENTAÇAO"/>
        <s v="TI"/>
        <s v="IMPRESSORA"/>
        <s v="VENDAS DE PRODUTOS"/>
        <s v="MATERIAL DE ESCRITÓRIO"/>
        <s v="UNIFORMES"/>
        <s v="ENCARGOS"/>
        <s v="CONSIGNADO"/>
        <s v="JURIDICO"/>
        <s v="ALUGUEL DE EQUIPAMENTOS"/>
        <s v="RESSARCIMENTO"/>
        <s v="FRETE"/>
        <s v="CESTA NATALINA"/>
        <s v="LIMITE"/>
        <s v="SALÁRIOS"/>
        <s v="PENSÃO ALIMENTÍCIA"/>
        <s v="DESPESAS"/>
        <s v="PEDAGIO"/>
        <s v="TARIFAS BANCARIAS"/>
        <s v="MANUTENÇÃO "/>
        <s v="VALE ALIMENTAÇÃO "/>
        <s v="MARKETING"/>
        <s v="COMISSÃO"/>
        <s v="VIAGEM E HOSPEDAGEM"/>
        <s v="VIAGEM E HOSPEAGEM "/>
        <s v="EQUIPAMENTOS"/>
        <s v="MERCADORIA PARA REVENDA"/>
        <s v="DECIMO TERCEIRO SALARIO"/>
        <m u="1"/>
        <s v="PEDREIRA" u="1"/>
        <s v="UNIFORME" u="1"/>
        <s v="IMPOSTO " u="1"/>
        <s v="COMPRAS DE MATERIA PRIMA" u="1"/>
        <s v="ALIMENTAÇÃO" u="1"/>
        <s v="SINDICADO" u="1"/>
        <s v="MANUTENÇAO FIORINO" u="1"/>
        <s v="COMSSÃO" u="1"/>
      </sharedItems>
    </cacheField>
    <cacheField name="Dias (DATA)" numFmtId="0" databaseField="0">
      <fieldGroup base="0">
        <rangePr groupBy="days" startDate="2025-07-01T00:00:00" endDate="2025-12-31T00:00:00"/>
        <groupItems count="368">
          <s v="&lt;01/07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1/12/2025"/>
        </groupItems>
      </fieldGroup>
    </cacheField>
    <cacheField name="Meses (DATA)" numFmtId="0" databaseField="0">
      <fieldGroup base="0">
        <rangePr groupBy="months" startDate="2025-07-01T00:00:00" endDate="2025-12-31T00:00:00"/>
        <groupItems count="14">
          <s v="&lt;01/07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1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3">
  <r>
    <d v="2025-07-23T00:00:00"/>
    <x v="0"/>
    <s v="HSERV CABREUVA"/>
    <x v="0"/>
    <n v="-252.95"/>
    <x v="0"/>
    <s v="ENERGIA ELETRICA"/>
  </r>
  <r>
    <d v="2025-07-23T00:00:00"/>
    <x v="0"/>
    <s v="HSERV CABREUVA"/>
    <x v="1"/>
    <n v="-259.85000000000002"/>
    <x v="0"/>
    <s v="ENERGIA ELETRICA"/>
  </r>
  <r>
    <d v="2025-07-23T00:00:00"/>
    <x v="0"/>
    <s v="HSERV CABREUVA"/>
    <x v="2"/>
    <n v="-168.11"/>
    <x v="0"/>
    <s v="ENERGIA ELETRICA"/>
  </r>
  <r>
    <d v="2025-07-01T00:00:00"/>
    <x v="0"/>
    <s v="HSERV COMBINADOS "/>
    <x v="3"/>
    <n v="-1500"/>
    <x v="0"/>
    <s v="CAIXINHA"/>
  </r>
  <r>
    <d v="2025-07-04T00:00:00"/>
    <x v="0"/>
    <s v="VITOR DUARTE"/>
    <x v="4"/>
    <n v="-16869.599999999999"/>
    <x v="0"/>
    <s v="VALE ALIMENTAÇÃO"/>
  </r>
  <r>
    <d v="2025-07-03T00:00:00"/>
    <x v="0"/>
    <s v="VITOR DUARTE"/>
    <x v="5"/>
    <n v="5807.51"/>
    <x v="1"/>
    <s v="VENDAS DE SERVIÇOS"/>
  </r>
  <r>
    <d v="2025-07-02T00:00:00"/>
    <x v="0"/>
    <s v="VITOR DUARTE"/>
    <x v="5"/>
    <n v="291731.96000000002"/>
    <x v="1"/>
    <s v="VENDAS DE SERVIÇOS"/>
  </r>
  <r>
    <d v="2025-07-02T00:00:00"/>
    <x v="0"/>
    <s v="HSERV CLEAN"/>
    <x v="6"/>
    <n v="-1709.15"/>
    <x v="0"/>
    <s v="MERCADORIAS PARA REVENDA"/>
  </r>
  <r>
    <d v="2025-07-02T00:00:00"/>
    <x v="0"/>
    <s v="HSERV TERCEIRIZADOS"/>
    <x v="7"/>
    <n v="-1330"/>
    <x v="0"/>
    <s v="MANUTENÇÃO"/>
  </r>
  <r>
    <d v="2025-07-02T00:00:00"/>
    <x v="0"/>
    <s v="HENRIQUE JEAN"/>
    <x v="8"/>
    <n v="-282.07"/>
    <x v="0"/>
    <s v="RESCISÕES"/>
  </r>
  <r>
    <d v="2025-07-02T00:00:00"/>
    <x v="0"/>
    <s v="HSERV COMBINADOS"/>
    <x v="9"/>
    <n v="-21.33"/>
    <x v="0"/>
    <s v="RESCISÕES"/>
  </r>
  <r>
    <d v="2025-07-02T00:00:00"/>
    <x v="0"/>
    <s v="HSERV TERCEIRIZADOS"/>
    <x v="10"/>
    <n v="-163"/>
    <x v="0"/>
    <s v="MANUTENÇÃO"/>
  </r>
  <r>
    <d v="2025-07-02T00:00:00"/>
    <x v="0"/>
    <s v="HSERV COMBINADOS"/>
    <x v="11"/>
    <n v="-99"/>
    <x v="0"/>
    <s v="VALE TRANSPORTE"/>
  </r>
  <r>
    <d v="2025-07-02T00:00:00"/>
    <x v="0"/>
    <s v="HSERV COMBINADOS"/>
    <x v="12"/>
    <n v="-377.6"/>
    <x v="0"/>
    <s v="VALE TRANSPORTE"/>
  </r>
  <r>
    <d v="2025-07-02T00:00:00"/>
    <x v="0"/>
    <s v="VITOR DUARTE"/>
    <x v="13"/>
    <n v="-165"/>
    <x v="0"/>
    <s v="VALE TRANSPORTE"/>
  </r>
  <r>
    <d v="2025-07-04T00:00:00"/>
    <x v="0"/>
    <s v="HSERV CABREUVA"/>
    <x v="14"/>
    <n v="-3809.98"/>
    <x v="0"/>
    <s v="FINANCIAMENTO"/>
  </r>
  <r>
    <d v="2025-07-04T00:00:00"/>
    <x v="0"/>
    <s v="HSERV COMBINADOS"/>
    <x v="15"/>
    <n v="-389"/>
    <x v="0"/>
    <s v="TARIFA BANCARIA"/>
  </r>
  <r>
    <d v="2025-07-04T00:00:00"/>
    <x v="0"/>
    <s v="HSERV COMBINADOS"/>
    <x v="16"/>
    <n v="-389"/>
    <x v="0"/>
    <s v="TARIFA BANCARIA"/>
  </r>
  <r>
    <d v="2025-07-04T00:00:00"/>
    <x v="0"/>
    <s v="HSERV LIMPEZA"/>
    <x v="16"/>
    <n v="-389"/>
    <x v="0"/>
    <s v="TARIFA BANCARIA"/>
  </r>
  <r>
    <d v="2025-07-07T00:00:00"/>
    <x v="0"/>
    <s v="HENRIQUE JEAN"/>
    <x v="17"/>
    <n v="-613.47"/>
    <x v="0"/>
    <s v="RESERVA"/>
  </r>
  <r>
    <d v="2025-07-04T00:00:00"/>
    <x v="0"/>
    <s v="HSERV CABREUVA"/>
    <x v="18"/>
    <n v="-460657.26"/>
    <x v="0"/>
    <s v="SALARIOS"/>
  </r>
  <r>
    <d v="2025-07-04T00:00:00"/>
    <x v="0"/>
    <s v="HSERV COMBINADOS ND"/>
    <x v="19"/>
    <n v="-500"/>
    <x v="0"/>
    <s v="SALARIOS"/>
  </r>
  <r>
    <d v="2025-07-04T00:00:00"/>
    <x v="0"/>
    <s v="HSERV CABREUVA"/>
    <x v="20"/>
    <n v="-1974.52"/>
    <x v="0"/>
    <s v="SALARIOS"/>
  </r>
  <r>
    <d v="2025-07-14T00:00:00"/>
    <x v="0"/>
    <s v="HSERV CLEAN"/>
    <x v="21"/>
    <n v="2800.33"/>
    <x v="1"/>
    <s v="VENDAS DE SERVIÇOS"/>
  </r>
  <r>
    <d v="2025-07-14T00:00:00"/>
    <x v="0"/>
    <s v="HSERV CLEAN"/>
    <x v="22"/>
    <n v="1709.15"/>
    <x v="1"/>
    <s v="MERCADORIAS PARA REVENDA"/>
  </r>
  <r>
    <d v="2025-07-02T00:00:00"/>
    <x v="0"/>
    <s v="HSERV TERCERIZADOS"/>
    <x v="23"/>
    <n v="6599.4"/>
    <x v="1"/>
    <s v="VENDAS DE SERVIÇOS"/>
  </r>
  <r>
    <d v="2025-07-14T00:00:00"/>
    <x v="0"/>
    <s v="HSERV TERCERIZADOS"/>
    <x v="23"/>
    <n v="5040.2700000000004"/>
    <x v="1"/>
    <s v="VENDAS DE SERVIÇOS"/>
  </r>
  <r>
    <d v="2025-07-14T00:00:00"/>
    <x v="0"/>
    <s v="HSERV CLEAN"/>
    <x v="24"/>
    <n v="-5670.51"/>
    <x v="0"/>
    <s v="EMPRESTIMO "/>
  </r>
  <r>
    <d v="2025-07-07T00:00:00"/>
    <x v="0"/>
    <s v="HSERV COMBINADOS "/>
    <x v="25"/>
    <n v="-2980"/>
    <x v="0"/>
    <s v="FT"/>
  </r>
  <r>
    <d v="2025-07-11T00:00:00"/>
    <x v="0"/>
    <s v="VITOR DUARTE"/>
    <x v="4"/>
    <n v="-16200"/>
    <x v="0"/>
    <s v="VALE ALIMENTAÇÃO"/>
  </r>
  <r>
    <d v="2025-07-10T00:00:00"/>
    <x v="0"/>
    <s v="HENRIQUE JEAN"/>
    <x v="26"/>
    <n v="-494.62"/>
    <x v="0"/>
    <s v="SINDICATO"/>
  </r>
  <r>
    <d v="2025-07-10T00:00:00"/>
    <x v="0"/>
    <s v="HSERV CABREUVA"/>
    <x v="26"/>
    <n v="-883.25"/>
    <x v="0"/>
    <s v="SINDICATO"/>
  </r>
  <r>
    <d v="2025-07-10T00:00:00"/>
    <x v="0"/>
    <s v="HSERV CLEAN"/>
    <x v="26"/>
    <n v="-847.92"/>
    <x v="0"/>
    <s v="SINDICATO"/>
  </r>
  <r>
    <d v="2025-07-10T00:00:00"/>
    <x v="0"/>
    <s v="HSERV COMBINADOS"/>
    <x v="26"/>
    <n v="-2084.4699999999998"/>
    <x v="0"/>
    <s v="SINDICATO"/>
  </r>
  <r>
    <d v="2025-07-10T00:00:00"/>
    <x v="0"/>
    <s v="HSERV LIMPEZA"/>
    <x v="26"/>
    <n v="-600.61"/>
    <x v="0"/>
    <s v="SINDICATO"/>
  </r>
  <r>
    <d v="2025-07-10T00:00:00"/>
    <x v="0"/>
    <s v="HSERV REPRESENTACOES"/>
    <x v="26"/>
    <n v="-635.94000000000005"/>
    <x v="0"/>
    <s v="SINDICATO"/>
  </r>
  <r>
    <d v="2025-07-10T00:00:00"/>
    <x v="0"/>
    <s v="HSERV TECNOLOGIA"/>
    <x v="26"/>
    <n v="-1342.54"/>
    <x v="0"/>
    <s v="SINDICATO"/>
  </r>
  <r>
    <d v="2025-07-10T00:00:00"/>
    <x v="0"/>
    <s v="HSERV TERCEIRIZADOS"/>
    <x v="26"/>
    <n v="-777.26"/>
    <x v="0"/>
    <s v="SINDICATO"/>
  </r>
  <r>
    <d v="2025-07-10T00:00:00"/>
    <x v="0"/>
    <s v="VITOR DUARTE"/>
    <x v="26"/>
    <n v="-459.29"/>
    <x v="0"/>
    <s v="SINDICATO"/>
  </r>
  <r>
    <d v="2025-07-10T00:00:00"/>
    <x v="0"/>
    <s v="HSERV CABREUVA"/>
    <x v="27"/>
    <n v="-421.26"/>
    <x v="0"/>
    <s v="ALUGUEL DE IMOVEIS"/>
  </r>
  <r>
    <d v="2025-07-10T00:00:00"/>
    <x v="0"/>
    <s v="VITOR DUARTE"/>
    <x v="28"/>
    <n v="-10500"/>
    <x v="0"/>
    <s v="SEGURANÇAS"/>
  </r>
  <r>
    <d v="2025-07-16T00:00:00"/>
    <x v="0"/>
    <s v="HSERV COMBINADOS "/>
    <x v="29"/>
    <n v="-40"/>
    <x v="0"/>
    <s v="COMISSOES"/>
  </r>
  <r>
    <d v="2025-07-10T00:00:00"/>
    <x v="0"/>
    <s v="HENRIQUE JEAN"/>
    <x v="30"/>
    <n v="-1000"/>
    <x v="0"/>
    <s v="PROLABORE"/>
  </r>
  <r>
    <d v="2025-07-16T00:00:00"/>
    <x v="0"/>
    <s v="HENRIQUE JEAN"/>
    <x v="31"/>
    <n v="-2000"/>
    <x v="0"/>
    <s v="PROLABORE"/>
  </r>
  <r>
    <d v="2025-07-10T00:00:00"/>
    <x v="0"/>
    <s v="HSERV TERCERIZADOS ND"/>
    <x v="32"/>
    <n v="-5590.46"/>
    <x v="0"/>
    <s v="PROLABORE"/>
  </r>
  <r>
    <d v="2025-07-10T00:00:00"/>
    <x v="0"/>
    <s v="HSERV CLEAN"/>
    <x v="33"/>
    <n v="-9146.82"/>
    <x v="0"/>
    <s v="CONVENIO MEDICO"/>
  </r>
  <r>
    <d v="2025-07-10T00:00:00"/>
    <x v="0"/>
    <s v="HSERV CABREUVA"/>
    <x v="34"/>
    <n v="-5896.35"/>
    <x v="0"/>
    <s v="COMBUSTIVEL E PEDAGIO"/>
  </r>
  <r>
    <d v="2025-07-10T00:00:00"/>
    <x v="0"/>
    <s v="HENRIQUE JEAN ND"/>
    <x v="35"/>
    <n v="-441.64"/>
    <x v="0"/>
    <s v="RESERVA"/>
  </r>
  <r>
    <d v="2025-07-10T00:00:00"/>
    <x v="0"/>
    <s v="VITOR  DUARTE"/>
    <x v="36"/>
    <n v="-553.25"/>
    <x v="0"/>
    <s v="SISTEMA"/>
  </r>
  <r>
    <d v="2025-07-10T00:00:00"/>
    <x v="0"/>
    <s v="HSERV CABREUVA"/>
    <x v="37"/>
    <n v="-545.78"/>
    <x v="0"/>
    <s v="SEGUROS EM GERAL"/>
  </r>
  <r>
    <d v="2025-07-15T00:00:00"/>
    <x v="0"/>
    <s v="HSERV CABREUVA"/>
    <x v="38"/>
    <n v="-82400.03"/>
    <x v="0"/>
    <s v="SALARIOS"/>
  </r>
  <r>
    <d v="2025-07-16T00:00:00"/>
    <x v="0"/>
    <s v="VITOR DUARTE"/>
    <x v="39"/>
    <n v="-18300"/>
    <x v="0"/>
    <s v="ASSIDUIDADE"/>
  </r>
  <r>
    <d v="2025-07-16T00:00:00"/>
    <x v="0"/>
    <s v="VITOR DUARTE"/>
    <x v="40"/>
    <n v="-3700"/>
    <x v="0"/>
    <s v="ASSIDUIDADE"/>
  </r>
  <r>
    <d v="2025-07-16T00:00:00"/>
    <x v="0"/>
    <s v="VITOR DUARTE"/>
    <x v="41"/>
    <n v="-900"/>
    <x v="0"/>
    <s v="ASSIDUIDADE"/>
  </r>
  <r>
    <d v="2025-07-16T00:00:00"/>
    <x v="0"/>
    <s v="VITOR DUARTE"/>
    <x v="42"/>
    <n v="-12600"/>
    <x v="0"/>
    <s v="ASSIDUIDADE"/>
  </r>
  <r>
    <d v="2025-07-16T00:00:00"/>
    <x v="0"/>
    <s v="HSERV CABREUVA"/>
    <x v="43"/>
    <n v="-88560.88"/>
    <x v="0"/>
    <s v="VALE ALIMENTAÇÃO"/>
  </r>
  <r>
    <d v="2025-07-15T00:00:00"/>
    <x v="0"/>
    <s v="HSERV COMBINADOS"/>
    <x v="44"/>
    <n v="-456.72"/>
    <x v="0"/>
    <s v="VALE ALIMENTAÇÃO"/>
  </r>
  <r>
    <d v="2025-07-15T00:00:00"/>
    <x v="0"/>
    <s v="VITOR DUARTE"/>
    <x v="45"/>
    <n v="-456.72"/>
    <x v="0"/>
    <s v="VALE ALIMENTAÇÃO"/>
  </r>
  <r>
    <d v="2025-07-15T00:00:00"/>
    <x v="0"/>
    <s v="VITOR DUARTE"/>
    <x v="46"/>
    <n v="-456.72"/>
    <x v="0"/>
    <s v="VALE ALIMENTAÇÃO"/>
  </r>
  <r>
    <d v="2025-07-15T00:00:00"/>
    <x v="0"/>
    <s v="VITOR DUARTE"/>
    <x v="47"/>
    <n v="-415.2"/>
    <x v="0"/>
    <s v="VALE ALIMENTAÇÃO"/>
  </r>
  <r>
    <d v="2025-07-15T00:00:00"/>
    <x v="0"/>
    <s v="VITOR DUARTE"/>
    <x v="48"/>
    <n v="-373.68"/>
    <x v="0"/>
    <s v="VALE ALIMENTAÇÃO"/>
  </r>
  <r>
    <d v="2025-07-15T00:00:00"/>
    <x v="0"/>
    <s v="VITOR DUARTE"/>
    <x v="49"/>
    <n v="-456.72"/>
    <x v="0"/>
    <s v="VALE ALIMENTAÇÃO"/>
  </r>
  <r>
    <d v="2025-07-15T00:00:00"/>
    <x v="0"/>
    <s v="VITOR DUARTE"/>
    <x v="50"/>
    <n v="-456.72"/>
    <x v="0"/>
    <s v="VALE ALIMENTAÇÃO"/>
  </r>
  <r>
    <d v="2025-07-15T00:00:00"/>
    <x v="0"/>
    <s v="HSERV CABREUVA"/>
    <x v="51"/>
    <n v="-267"/>
    <x v="0"/>
    <s v="VALE TRANSPORTE"/>
  </r>
  <r>
    <d v="2025-07-15T00:00:00"/>
    <x v="0"/>
    <s v="HSERV TECNOLOGIA"/>
    <x v="52"/>
    <n v="-196.8"/>
    <x v="0"/>
    <s v="VALE TRANSPORTE"/>
  </r>
  <r>
    <d v="2025-07-15T00:00:00"/>
    <x v="0"/>
    <s v="HSERV COMBINADOS"/>
    <x v="53"/>
    <n v="-177"/>
    <x v="0"/>
    <s v="VALE TRANSPORTE"/>
  </r>
  <r>
    <d v="2025-07-15T00:00:00"/>
    <x v="0"/>
    <s v="HSERV COMBINADOS"/>
    <x v="54"/>
    <n v="-165.2"/>
    <x v="0"/>
    <s v="VALE TRANSPORTE"/>
  </r>
  <r>
    <d v="2025-07-15T00:00:00"/>
    <x v="0"/>
    <s v="HSERV COMBINADOS"/>
    <x v="55"/>
    <n v="-346.5"/>
    <x v="0"/>
    <s v="VALE TRANSPORTE"/>
  </r>
  <r>
    <d v="2025-07-15T00:00:00"/>
    <x v="0"/>
    <s v="HSERV COMBINADOS"/>
    <x v="44"/>
    <n v="-304"/>
    <x v="0"/>
    <s v="VALE TRANSPORTE"/>
  </r>
  <r>
    <d v="2025-07-15T00:00:00"/>
    <x v="0"/>
    <s v="HSERV COMBINADOS"/>
    <x v="56"/>
    <n v="-271"/>
    <x v="0"/>
    <s v="VALE TRANSPORTE"/>
  </r>
  <r>
    <d v="2025-07-15T00:00:00"/>
    <x v="0"/>
    <s v="HSERV TERCEIRIZADOS"/>
    <x v="57"/>
    <n v="-110"/>
    <x v="0"/>
    <s v="VALE TRANSPORTE"/>
  </r>
  <r>
    <d v="2025-07-15T00:00:00"/>
    <x v="0"/>
    <s v="VITOR DUARTE"/>
    <x v="58"/>
    <n v="-261.8"/>
    <x v="0"/>
    <s v="VALE TRANSPORTE"/>
  </r>
  <r>
    <d v="2025-07-15T00:00:00"/>
    <x v="0"/>
    <s v="VITOR DUARTE"/>
    <x v="59"/>
    <n v="-342"/>
    <x v="0"/>
    <s v="VALE TRANSPORTE"/>
  </r>
  <r>
    <d v="2025-07-15T00:00:00"/>
    <x v="0"/>
    <s v="VITOR DUARTE"/>
    <x v="45"/>
    <n v="-300"/>
    <x v="0"/>
    <s v="VALE TRANSPORTE"/>
  </r>
  <r>
    <d v="2025-07-15T00:00:00"/>
    <x v="0"/>
    <s v="VITOR DUARTE"/>
    <x v="48"/>
    <n v="-90"/>
    <x v="0"/>
    <s v="VALE TRANSPORTE"/>
  </r>
  <r>
    <d v="2025-07-15T00:00:00"/>
    <x v="0"/>
    <s v="VITOR DUARTE"/>
    <x v="50"/>
    <n v="-32.549999999999997"/>
    <x v="0"/>
    <s v="VALE TRANSPORTE"/>
  </r>
  <r>
    <d v="2025-07-15T00:00:00"/>
    <x v="0"/>
    <s v="VITOR DUARTE"/>
    <x v="60"/>
    <n v="-275"/>
    <x v="0"/>
    <s v="VALE TRANSPORTE"/>
  </r>
  <r>
    <d v="2025-07-15T00:00:00"/>
    <x v="0"/>
    <s v="VITOR DUARTE"/>
    <x v="49"/>
    <n v="-110"/>
    <x v="0"/>
    <s v="VALE TRANSPORTE"/>
  </r>
  <r>
    <d v="2025-07-15T00:00:00"/>
    <x v="0"/>
    <s v="VITOR DUARTE"/>
    <x v="46"/>
    <n v="-110"/>
    <x v="0"/>
    <s v="VALE TRANSPORTE"/>
  </r>
  <r>
    <d v="2025-07-15T00:00:00"/>
    <x v="0"/>
    <s v="VITOR DUARTE"/>
    <x v="47"/>
    <n v="-90"/>
    <x v="0"/>
    <s v="VALE TRANSPORTE"/>
  </r>
  <r>
    <d v="2025-07-15T00:00:00"/>
    <x v="0"/>
    <s v="VITOR DUARTE"/>
    <x v="61"/>
    <n v="-140"/>
    <x v="0"/>
    <s v="VALE TRANSPORTE"/>
  </r>
  <r>
    <d v="2025-07-15T00:00:00"/>
    <x v="0"/>
    <s v="VITOR DUARTE"/>
    <x v="62"/>
    <n v="-222"/>
    <x v="0"/>
    <s v="VALE TRANSPORTE"/>
  </r>
  <r>
    <d v="2025-07-15T00:00:00"/>
    <x v="0"/>
    <s v="VITOR DUARTE"/>
    <x v="63"/>
    <n v="-20498.98"/>
    <x v="0"/>
    <s v="PROLABORE"/>
  </r>
  <r>
    <d v="2025-07-15T00:00:00"/>
    <x v="0"/>
    <s v="VITOR DUARTE"/>
    <x v="45"/>
    <n v="-144.68"/>
    <x v="0"/>
    <s v="CESTA BASICA"/>
  </r>
  <r>
    <d v="2025-07-15T00:00:00"/>
    <x v="0"/>
    <s v="HSERV COMBINADOS "/>
    <x v="64"/>
    <n v="-1375"/>
    <x v="0"/>
    <s v="SALARIOS"/>
  </r>
  <r>
    <d v="2025-07-15T00:00:00"/>
    <x v="0"/>
    <s v="HSERV  COMBINADOS "/>
    <x v="65"/>
    <n v="-2281.6999999999998"/>
    <x v="0"/>
    <s v="SALARIOS"/>
  </r>
  <r>
    <d v="2025-07-15T00:00:00"/>
    <x v="0"/>
    <s v="HSERV CABREUVA"/>
    <x v="66"/>
    <n v="-6276.28"/>
    <x v="0"/>
    <s v="COMBUSTIVEL E PEDAGIO"/>
  </r>
  <r>
    <d v="2025-07-15T00:00:00"/>
    <x v="0"/>
    <s v="VITOR DUARTE"/>
    <x v="67"/>
    <n v="-10605.99"/>
    <x v="0"/>
    <s v="CARTÃO DE CREDITO"/>
  </r>
  <r>
    <d v="2025-07-15T00:00:00"/>
    <x v="0"/>
    <s v="HENRIQUE JEAN"/>
    <x v="68"/>
    <n v="-2225.21"/>
    <x v="0"/>
    <s v="CARTÃO DE CREDITO"/>
  </r>
  <r>
    <d v="2025-07-15T00:00:00"/>
    <x v="0"/>
    <s v="HSERV COMBINADOS"/>
    <x v="68"/>
    <n v="-1248.99"/>
    <x v="0"/>
    <s v="CARTÃO DE CREDITO"/>
  </r>
  <r>
    <d v="2025-07-17T00:00:00"/>
    <x v="0"/>
    <s v="HENRIQUE JEAN"/>
    <x v="69"/>
    <n v="-912.91"/>
    <x v="0"/>
    <s v="SINDICATO"/>
  </r>
  <r>
    <d v="2025-07-17T00:00:00"/>
    <x v="0"/>
    <s v="HSERV CABREUVA"/>
    <x v="69"/>
    <n v="-509.12"/>
    <x v="0"/>
    <s v="SINDICATO"/>
  </r>
  <r>
    <d v="2025-07-17T00:00:00"/>
    <x v="0"/>
    <s v="HSERV CLEAN"/>
    <x v="69"/>
    <n v="-333.56"/>
    <x v="0"/>
    <s v="SINDICATO"/>
  </r>
  <r>
    <d v="2025-07-17T00:00:00"/>
    <x v="0"/>
    <s v="HSERV COMBINADOS"/>
    <x v="69"/>
    <n v="-895.36"/>
    <x v="0"/>
    <s v="SINDICATO"/>
  </r>
  <r>
    <d v="2025-07-17T00:00:00"/>
    <x v="0"/>
    <s v="HSERV LIMPEZA"/>
    <x v="69"/>
    <n v="-228.23"/>
    <x v="0"/>
    <s v="SINDICATO"/>
  </r>
  <r>
    <d v="2025-07-17T00:00:00"/>
    <x v="0"/>
    <s v="HSERV REPRESENTACOES"/>
    <x v="69"/>
    <n v="-228.23"/>
    <x v="0"/>
    <s v="SINDICATO"/>
  </r>
  <r>
    <d v="2025-07-17T00:00:00"/>
    <x v="0"/>
    <s v="HSERV TECNOLOGIA"/>
    <x v="69"/>
    <n v="-70.22"/>
    <x v="0"/>
    <s v="SINDICATO"/>
  </r>
  <r>
    <d v="2025-07-17T00:00:00"/>
    <x v="0"/>
    <s v="HSERV TERCEIRIZADOS"/>
    <x v="69"/>
    <n v="-122.89"/>
    <x v="0"/>
    <s v="SINDICATO"/>
  </r>
  <r>
    <d v="2025-07-11T00:00:00"/>
    <x v="0"/>
    <s v="HSERV TERCEIRIZADOS"/>
    <x v="70"/>
    <n v="-1200"/>
    <x v="0"/>
    <s v="FT"/>
  </r>
  <r>
    <d v="2025-07-17T00:00:00"/>
    <x v="0"/>
    <s v="VITOR DUARTE"/>
    <x v="69"/>
    <n v="-351.12"/>
    <x v="0"/>
    <s v="SINDICATO"/>
  </r>
  <r>
    <d v="2025-07-11T00:00:00"/>
    <x v="0"/>
    <s v="VITOR DUARTE"/>
    <x v="71"/>
    <n v="-535.1"/>
    <x v="0"/>
    <s v="SISTEMA"/>
  </r>
  <r>
    <d v="2025-07-15T00:00:00"/>
    <x v="0"/>
    <s v="HSERV CABREUVA"/>
    <x v="72"/>
    <n v="-2012.45"/>
    <x v="0"/>
    <s v="EMPRESTIMO "/>
  </r>
  <r>
    <d v="2025-07-15T00:00:00"/>
    <x v="0"/>
    <s v="HSERV CABREUVA"/>
    <x v="73"/>
    <n v="-171.1"/>
    <x v="0"/>
    <s v="TARIFA BANCARIA"/>
  </r>
  <r>
    <d v="2025-07-15T00:00:00"/>
    <x v="0"/>
    <s v="HSERV CLEAN"/>
    <x v="73"/>
    <n v="-171.1"/>
    <x v="0"/>
    <s v="TARIFA BANCARIA"/>
  </r>
  <r>
    <d v="2025-07-15T00:00:00"/>
    <x v="0"/>
    <s v="HSERV COMBINADOS "/>
    <x v="73"/>
    <n v="-171.1"/>
    <x v="0"/>
    <s v="TARIFA BANCARIA"/>
  </r>
  <r>
    <d v="2025-07-15T00:00:00"/>
    <x v="0"/>
    <s v="HSERV COMBINADOS  ND"/>
    <x v="73"/>
    <n v="-171.1"/>
    <x v="0"/>
    <s v="TARIFA BANCARIA"/>
  </r>
  <r>
    <d v="2025-07-15T00:00:00"/>
    <x v="0"/>
    <s v="HENRIQUE JEAN"/>
    <x v="73"/>
    <n v="-171.1"/>
    <x v="0"/>
    <s v="TARIFA BANCARIA"/>
  </r>
  <r>
    <d v="2025-07-15T00:00:00"/>
    <x v="0"/>
    <s v="HENRIQUE JEAN ND"/>
    <x v="73"/>
    <n v="-171.1"/>
    <x v="0"/>
    <s v="TARIFA BANCARIA"/>
  </r>
  <r>
    <d v="2025-07-15T00:00:00"/>
    <x v="0"/>
    <s v="VITOR DUARTE"/>
    <x v="73"/>
    <n v="-171.1"/>
    <x v="0"/>
    <s v="TARIFA BANCARIA"/>
  </r>
  <r>
    <d v="2025-07-15T00:00:00"/>
    <x v="0"/>
    <s v="VITOR DUARTE ND"/>
    <x v="73"/>
    <n v="-171.1"/>
    <x v="0"/>
    <s v="TARIFA BANCARIA"/>
  </r>
  <r>
    <d v="2025-07-15T00:00:00"/>
    <x v="0"/>
    <s v="HSERV TERCERIZADOS"/>
    <x v="73"/>
    <n v="-171.1"/>
    <x v="0"/>
    <s v="TARIFA BANCARIA"/>
  </r>
  <r>
    <d v="2025-07-15T00:00:00"/>
    <x v="0"/>
    <s v="HSERV TERCERIZADOS ND"/>
    <x v="73"/>
    <n v="-171.1"/>
    <x v="0"/>
    <s v="TARIFA BANCARIA"/>
  </r>
  <r>
    <d v="2025-07-15T00:00:00"/>
    <x v="0"/>
    <s v="HSERV LIMPEZA"/>
    <x v="73"/>
    <n v="-171.1"/>
    <x v="0"/>
    <s v="TARIFA BANCARIA"/>
  </r>
  <r>
    <d v="2025-07-15T00:00:00"/>
    <x v="0"/>
    <s v="HSERV LIMPEZA ND"/>
    <x v="73"/>
    <n v="-171.1"/>
    <x v="0"/>
    <s v="TARIFA BANCARIA"/>
  </r>
  <r>
    <d v="2025-07-15T00:00:00"/>
    <x v="0"/>
    <s v="HSERV TECNOLOGIA"/>
    <x v="73"/>
    <n v="-171.1"/>
    <x v="0"/>
    <s v="TARIFA BANCARIA"/>
  </r>
  <r>
    <d v="2025-07-15T00:00:00"/>
    <x v="0"/>
    <s v="HSERV REPRESENTAÇÃO"/>
    <x v="73"/>
    <n v="-171.1"/>
    <x v="0"/>
    <s v="TARIFA BANCARIA"/>
  </r>
  <r>
    <d v="2025-07-16T00:00:00"/>
    <x v="0"/>
    <s v="HENRIQUE JEAN ND"/>
    <x v="74"/>
    <n v="-877.96"/>
    <x v="0"/>
    <s v="RESERVA"/>
  </r>
  <r>
    <d v="2025-07-16T00:00:00"/>
    <x v="0"/>
    <s v="HSERV CABREUVA"/>
    <x v="75"/>
    <n v="-6748.2"/>
    <x v="0"/>
    <s v="VALE COMBUSTIVEL"/>
  </r>
  <r>
    <d v="2025-07-17T00:00:00"/>
    <x v="0"/>
    <s v="HSERV COMBINADOS"/>
    <x v="76"/>
    <n v="-553.59"/>
    <x v="0"/>
    <s v="COMISSOES"/>
  </r>
  <r>
    <d v="2025-07-17T00:00:00"/>
    <x v="0"/>
    <s v="HSERV COMBINADOS"/>
    <x v="77"/>
    <n v="-916.89"/>
    <x v="0"/>
    <s v="REEMBOLSO"/>
  </r>
  <r>
    <d v="2025-07-17T00:00:00"/>
    <x v="0"/>
    <s v="HSERV CABREUVA"/>
    <x v="78"/>
    <n v="-138.56"/>
    <x v="0"/>
    <s v="AGUA"/>
  </r>
  <r>
    <d v="2025-07-17T00:00:00"/>
    <x v="0"/>
    <s v="HSERV CABREUVA"/>
    <x v="79"/>
    <n v="-138.56"/>
    <x v="0"/>
    <s v="AGUA"/>
  </r>
  <r>
    <d v="2025-07-17T00:00:00"/>
    <x v="0"/>
    <s v="HSERV CABREUVA"/>
    <x v="80"/>
    <n v="-138.56"/>
    <x v="0"/>
    <s v="AGUA"/>
  </r>
  <r>
    <d v="2025-07-17T00:00:00"/>
    <x v="0"/>
    <s v="HSERV CABREUVA"/>
    <x v="81"/>
    <n v="-138.56"/>
    <x v="0"/>
    <s v="AGUA"/>
  </r>
  <r>
    <d v="2025-07-15T00:00:00"/>
    <x v="0"/>
    <s v="HSERV TECNOLOGIA"/>
    <x v="82"/>
    <n v="-261.68"/>
    <x v="0"/>
    <s v="SISTEMA"/>
  </r>
  <r>
    <d v="2025-07-15T00:00:00"/>
    <x v="0"/>
    <s v="HSERV REPRESENTACOES"/>
    <x v="82"/>
    <n v="-300"/>
    <x v="0"/>
    <s v="SISTEMA"/>
  </r>
  <r>
    <d v="2025-07-15T00:00:00"/>
    <x v="0"/>
    <s v="HSERV CABREUVA "/>
    <x v="82"/>
    <n v="-300"/>
    <x v="0"/>
    <s v="SISTEMA"/>
  </r>
  <r>
    <d v="2025-07-15T00:00:00"/>
    <x v="0"/>
    <s v="HSERV  COMBINADOS"/>
    <x v="82"/>
    <n v="-300"/>
    <x v="0"/>
    <s v="SISTEMA"/>
  </r>
  <r>
    <d v="2025-07-15T00:00:00"/>
    <x v="0"/>
    <s v="HENRIQUE JEAN DUARTE "/>
    <x v="82"/>
    <n v="-294.32"/>
    <x v="0"/>
    <s v="SISTEMA"/>
  </r>
  <r>
    <d v="2025-07-15T00:00:00"/>
    <x v="0"/>
    <s v="HSERV TERCEIRIZADOS"/>
    <x v="82"/>
    <n v="-300"/>
    <x v="0"/>
    <s v="SISTEMA"/>
  </r>
  <r>
    <d v="2025-07-15T00:00:00"/>
    <x v="0"/>
    <s v="HSERV  LIMPEZA "/>
    <x v="82"/>
    <n v="-300"/>
    <x v="0"/>
    <s v="SISTEMA"/>
  </r>
  <r>
    <d v="2025-07-15T00:00:00"/>
    <x v="0"/>
    <s v="VITOR  DUARTE "/>
    <x v="82"/>
    <n v="-350"/>
    <x v="0"/>
    <s v="SISTEMA"/>
  </r>
  <r>
    <d v="2025-07-15T00:00:00"/>
    <x v="0"/>
    <s v="HSER CLEAN"/>
    <x v="82"/>
    <n v="-373.51"/>
    <x v="0"/>
    <s v="SISTEMA"/>
  </r>
  <r>
    <d v="2025-07-16T00:00:00"/>
    <x v="0"/>
    <s v="HSERV CABREUVA"/>
    <x v="83"/>
    <n v="-300"/>
    <x v="0"/>
    <s v="UNIFORMES"/>
  </r>
  <r>
    <d v="2025-07-16T00:00:00"/>
    <x v="0"/>
    <s v="HSERV COMBINADOS "/>
    <x v="84"/>
    <n v="-4169.6000000000004"/>
    <x v="0"/>
    <s v="ALUGUEL DE VEICULOS"/>
  </r>
  <r>
    <d v="2025-07-16T00:00:00"/>
    <x v="0"/>
    <s v="HSERV COMBINADOS "/>
    <x v="85"/>
    <n v="-4169.6000000000004"/>
    <x v="0"/>
    <s v="ALUGUEL DE VEICULOS"/>
  </r>
  <r>
    <d v="2025-07-16T00:00:00"/>
    <x v="0"/>
    <s v="HSERV COMBINADOS "/>
    <x v="86"/>
    <n v="-4169.6000000000004"/>
    <x v="0"/>
    <s v="ALUGUEL DE VEICULOS"/>
  </r>
  <r>
    <d v="2025-07-18T00:00:00"/>
    <x v="0"/>
    <s v="VITOR DUARTE"/>
    <x v="4"/>
    <n v="-16200"/>
    <x v="0"/>
    <s v="VALE ALIMENTAÇÃO"/>
  </r>
  <r>
    <d v="2025-07-17T00:00:00"/>
    <x v="0"/>
    <s v="VITOR DUARTE"/>
    <x v="86"/>
    <n v="-6274.7"/>
    <x v="0"/>
    <s v="ALUGUEL DE VEICULOS"/>
  </r>
  <r>
    <d v="2025-07-17T00:00:00"/>
    <x v="0"/>
    <s v="H SERV CLEAN "/>
    <x v="87"/>
    <n v="-219.26"/>
    <x v="0"/>
    <s v="EXAMES MEDICOS"/>
  </r>
  <r>
    <d v="2025-07-17T00:00:00"/>
    <x v="0"/>
    <s v="HENRIQUE JEAN DU"/>
    <x v="87"/>
    <n v="-701.23"/>
    <x v="0"/>
    <s v="EXAMES MEDICOS"/>
  </r>
  <r>
    <d v="2025-07-17T00:00:00"/>
    <x v="0"/>
    <s v="HSERV CABREUVA "/>
    <x v="87"/>
    <n v="-242.58"/>
    <x v="0"/>
    <s v="EXAMES MEDICOS"/>
  </r>
  <r>
    <d v="2025-07-17T00:00:00"/>
    <x v="0"/>
    <s v="HSERV  COMBINADOS "/>
    <x v="87"/>
    <n v="-838.43"/>
    <x v="0"/>
    <s v="EXAMES MEDICOS"/>
  </r>
  <r>
    <d v="2025-07-17T00:00:00"/>
    <x v="0"/>
    <s v="HSERV  REPRESENTACOES"/>
    <x v="87"/>
    <n v="-718.8"/>
    <x v="0"/>
    <s v="EXAMES MEDICOS"/>
  </r>
  <r>
    <d v="2025-07-17T00:00:00"/>
    <x v="0"/>
    <s v="HSERV LIMPEZA"/>
    <x v="87"/>
    <n v="-397.82"/>
    <x v="0"/>
    <s v="EXAMES MEDICOS"/>
  </r>
  <r>
    <d v="2025-07-17T00:00:00"/>
    <x v="0"/>
    <s v="HSERV TERCEIRIZADOS"/>
    <x v="87"/>
    <n v="-446.87"/>
    <x v="0"/>
    <s v="EXAMES MEDICOS"/>
  </r>
  <r>
    <d v="2025-07-17T00:00:00"/>
    <x v="0"/>
    <s v="HSERV TECNOLOGIA "/>
    <x v="87"/>
    <n v="-495.91"/>
    <x v="0"/>
    <s v="EXAMES MEDICOS"/>
  </r>
  <r>
    <d v="2025-07-17T00:00:00"/>
    <x v="0"/>
    <s v="VITOR  DUARTE "/>
    <x v="87"/>
    <n v="-46.63"/>
    <x v="0"/>
    <s v="EXAMES MEDICOS"/>
  </r>
  <r>
    <d v="2025-07-25T00:00:00"/>
    <x v="0"/>
    <s v="HSERV CABREUVA"/>
    <x v="88"/>
    <n v="-35714.57"/>
    <x v="0"/>
    <s v="EMPRESTIMO "/>
  </r>
  <r>
    <d v="2025-07-17T00:00:00"/>
    <x v="0"/>
    <s v="HSERV CABREUVA"/>
    <x v="89"/>
    <n v="-11371.26"/>
    <x v="0"/>
    <s v="SINDICATO"/>
  </r>
  <r>
    <d v="2025-07-18T00:00:00"/>
    <x v="0"/>
    <s v="H SERV CLEAN "/>
    <x v="90"/>
    <n v="-418.18"/>
    <x v="0"/>
    <s v="SINDICATO"/>
  </r>
  <r>
    <d v="2025-07-18T00:00:00"/>
    <x v="0"/>
    <s v="HENRIQUE JEAN DUARTE LTDA"/>
    <x v="90"/>
    <n v="-964.06"/>
    <x v="0"/>
    <s v="SINDICATO"/>
  </r>
  <r>
    <d v="2025-07-18T00:00:00"/>
    <x v="0"/>
    <s v="HSERV  REPRESENTACOES"/>
    <x v="90"/>
    <n v="-345.56"/>
    <x v="0"/>
    <s v="SINDICATO"/>
  </r>
  <r>
    <d v="2025-07-18T00:00:00"/>
    <x v="0"/>
    <s v="VITOR  DUARTE"/>
    <x v="90"/>
    <n v="-163.4"/>
    <x v="0"/>
    <s v="SINDICATO"/>
  </r>
  <r>
    <d v="2025-07-18T00:00:00"/>
    <x v="0"/>
    <s v="HSERVTERCEIRIZADOS "/>
    <x v="90"/>
    <n v="-108.93"/>
    <x v="0"/>
    <s v="SINDICATO"/>
  </r>
  <r>
    <d v="2025-07-18T00:00:00"/>
    <x v="0"/>
    <s v="HSERV CABREUVA"/>
    <x v="90"/>
    <n v="-527.12"/>
    <x v="0"/>
    <s v="SINDICATO"/>
  </r>
  <r>
    <d v="2025-07-18T00:00:00"/>
    <x v="0"/>
    <s v="HSERV COMBINADOS "/>
    <x v="90"/>
    <n v="-1091.1600000000001"/>
    <x v="0"/>
    <s v="SINDICATO"/>
  </r>
  <r>
    <d v="2025-07-18T00:00:00"/>
    <x v="0"/>
    <s v="HSERV TECNOLOGIA "/>
    <x v="90"/>
    <n v="-72.62"/>
    <x v="0"/>
    <s v="SINDICATO"/>
  </r>
  <r>
    <d v="2025-07-18T00:00:00"/>
    <x v="0"/>
    <s v="HSERV  LIMPEZA "/>
    <x v="90"/>
    <n v="-254.18"/>
    <x v="0"/>
    <s v="SINDICATO"/>
  </r>
  <r>
    <d v="2025-07-17T00:00:00"/>
    <x v="0"/>
    <s v="VITOR DUARTE"/>
    <x v="91"/>
    <n v="-5300"/>
    <x v="0"/>
    <s v="ALUGUEL DE IMOVEIS"/>
  </r>
  <r>
    <d v="2025-07-18T00:00:00"/>
    <x v="0"/>
    <s v="HSERV COMBINADOS "/>
    <x v="92"/>
    <n v="-660.75"/>
    <x v="0"/>
    <s v="EMPRESTIMO "/>
  </r>
  <r>
    <d v="2025-07-18T00:00:00"/>
    <x v="0"/>
    <s v="HSERV COMBINADOS "/>
    <x v="93"/>
    <n v="-5173.13"/>
    <x v="0"/>
    <s v="EMPRESTIMO "/>
  </r>
  <r>
    <d v="2025-07-21T00:00:00"/>
    <x v="0"/>
    <s v="HSERV CABREUVA"/>
    <x v="94"/>
    <n v="-15860.65"/>
    <x v="0"/>
    <s v="CONTABILIDADE"/>
  </r>
  <r>
    <d v="2025-07-24T00:00:00"/>
    <x v="0"/>
    <s v="VITOR DUARTE"/>
    <x v="95"/>
    <n v="-711.2"/>
    <x v="0"/>
    <s v="VALE ALIMENTAÇÃO"/>
  </r>
  <r>
    <d v="2025-07-21T00:00:00"/>
    <x v="0"/>
    <s v="VITOR DUARTE"/>
    <x v="96"/>
    <n v="-1046.6400000000001"/>
    <x v="0"/>
    <s v="SISTEMA"/>
  </r>
  <r>
    <d v="2025-07-21T00:00:00"/>
    <x v="0"/>
    <s v="HSERV CABREUVA"/>
    <x v="97"/>
    <n v="-39.799999999999997"/>
    <x v="0"/>
    <s v="SISTEMA"/>
  </r>
  <r>
    <d v="2025-07-18T00:00:00"/>
    <x v="0"/>
    <s v="HSERV CABREUVA"/>
    <x v="98"/>
    <n v="-15000"/>
    <x v="0"/>
    <s v="IMPOSTO"/>
  </r>
  <r>
    <d v="2025-07-18T00:00:00"/>
    <x v="0"/>
    <s v="VITOR DUARTE"/>
    <x v="99"/>
    <n v="-15000"/>
    <x v="0"/>
    <s v="IMPOSTO"/>
  </r>
  <r>
    <d v="2025-07-18T00:00:00"/>
    <x v="0"/>
    <s v="VITOR DUARTE"/>
    <x v="100"/>
    <n v="-3000"/>
    <x v="0"/>
    <s v="IMPOSTO"/>
  </r>
  <r>
    <d v="2025-07-18T00:00:00"/>
    <x v="0"/>
    <s v="HENRIQUE JEAN"/>
    <x v="101"/>
    <n v="-10844.25"/>
    <x v="0"/>
    <s v="IMPOSTO"/>
  </r>
  <r>
    <d v="2025-07-18T00:00:00"/>
    <x v="0"/>
    <s v="HSERV CABREUVA"/>
    <x v="102"/>
    <n v="-3612.96"/>
    <x v="0"/>
    <s v="IMPOSTO"/>
  </r>
  <r>
    <d v="2025-07-18T00:00:00"/>
    <x v="0"/>
    <s v="HSERV CLEAN"/>
    <x v="103"/>
    <n v="-4669.5600000000004"/>
    <x v="0"/>
    <s v="IMPOSTO"/>
  </r>
  <r>
    <d v="2025-07-18T00:00:00"/>
    <x v="0"/>
    <s v="HSERV COMBINADOS"/>
    <x v="104"/>
    <n v="-9585.3799999999992"/>
    <x v="0"/>
    <s v="IMPOSTO"/>
  </r>
  <r>
    <d v="2025-07-18T00:00:00"/>
    <x v="0"/>
    <s v="HSERV LIMPEZA"/>
    <x v="105"/>
    <n v="-5389.73"/>
    <x v="0"/>
    <s v="IMPOSTO"/>
  </r>
  <r>
    <d v="2025-07-18T00:00:00"/>
    <x v="0"/>
    <s v="HSERV REPRESENTACOES"/>
    <x v="106"/>
    <n v="-2822.7"/>
    <x v="0"/>
    <s v="IMPOSTO"/>
  </r>
  <r>
    <d v="2025-07-18T00:00:00"/>
    <x v="0"/>
    <s v="HSERV TECNOLOGIA"/>
    <x v="107"/>
    <n v="-9747.2900000000009"/>
    <x v="0"/>
    <s v="IMPOSTO"/>
  </r>
  <r>
    <d v="2025-07-18T00:00:00"/>
    <x v="0"/>
    <s v="HSERV TERCEIRIZADOS"/>
    <x v="108"/>
    <n v="-3316.36"/>
    <x v="0"/>
    <s v="IMPOSTO"/>
  </r>
  <r>
    <d v="2025-07-18T00:00:00"/>
    <x v="0"/>
    <s v="VITOR DUARTE"/>
    <x v="109"/>
    <n v="-1814.02"/>
    <x v="0"/>
    <s v="IMPOSTO"/>
  </r>
  <r>
    <d v="2025-07-18T00:00:00"/>
    <x v="0"/>
    <s v="HENRIQUE JEAN"/>
    <x v="110"/>
    <n v="-9471.3700000000008"/>
    <x v="0"/>
    <s v="IMPOSTO"/>
  </r>
  <r>
    <d v="2025-07-18T00:00:00"/>
    <x v="0"/>
    <s v="HSERV CABREUVA"/>
    <x v="111"/>
    <n v="-10100.56"/>
    <x v="0"/>
    <s v="IMPOSTO"/>
  </r>
  <r>
    <d v="2025-07-18T00:00:00"/>
    <x v="0"/>
    <s v="HSERV CLEAN"/>
    <x v="112"/>
    <n v="-4196.1499999999996"/>
    <x v="0"/>
    <s v="IMPOSTO"/>
  </r>
  <r>
    <d v="2025-07-18T00:00:00"/>
    <x v="0"/>
    <s v="HSERV COMBINADOS"/>
    <x v="113"/>
    <n v="-7126.8"/>
    <x v="0"/>
    <s v="IMPOSTO"/>
  </r>
  <r>
    <d v="2025-07-18T00:00:00"/>
    <x v="0"/>
    <s v="HSERV LIMPEZA"/>
    <x v="114"/>
    <n v="-2239.33"/>
    <x v="0"/>
    <s v="IMPOSTO"/>
  </r>
  <r>
    <d v="2025-07-18T00:00:00"/>
    <x v="0"/>
    <s v="HSERV TECNOLOGIA"/>
    <x v="115"/>
    <n v="-7005.46"/>
    <x v="0"/>
    <s v="IMPOSTO"/>
  </r>
  <r>
    <d v="2025-07-18T00:00:00"/>
    <x v="0"/>
    <s v="HSERV TERCEIRIZADOS"/>
    <x v="116"/>
    <n v="-2104.9"/>
    <x v="0"/>
    <s v="IMPOSTO"/>
  </r>
  <r>
    <d v="2025-07-18T00:00:00"/>
    <x v="0"/>
    <s v="VITOR DUARTE"/>
    <x v="117"/>
    <n v="-7440.24"/>
    <x v="0"/>
    <s v="IMPOSTO"/>
  </r>
  <r>
    <d v="2025-07-21T00:00:00"/>
    <x v="0"/>
    <s v="HSERV CABREUVA"/>
    <x v="118"/>
    <n v="-110000"/>
    <x v="0"/>
    <s v="FT"/>
  </r>
  <r>
    <d v="2025-07-22T00:00:00"/>
    <x v="0"/>
    <s v="HSERV CABREUVA"/>
    <x v="119"/>
    <n v="-41000"/>
    <x v="0"/>
    <s v="VALE TRANSPORTE"/>
  </r>
  <r>
    <d v="2025-07-21T00:00:00"/>
    <x v="0"/>
    <s v="HSERV CABREUVA"/>
    <x v="120"/>
    <n v="-8000"/>
    <x v="0"/>
    <s v="FT"/>
  </r>
  <r>
    <d v="2025-07-21T00:00:00"/>
    <x v="0"/>
    <s v="HSERV COMBINADOS"/>
    <x v="121"/>
    <n v="-2955.36"/>
    <x v="0"/>
    <s v="APORTE"/>
  </r>
  <r>
    <d v="2025-07-23T00:00:00"/>
    <x v="0"/>
    <s v="HSERV CLEAN"/>
    <x v="122"/>
    <n v="-879.16"/>
    <x v="0"/>
    <s v="MERCADORIAS PARA REVENDA"/>
  </r>
  <r>
    <d v="2025-07-23T00:00:00"/>
    <x v="0"/>
    <s v="HSERV CLEAN"/>
    <x v="122"/>
    <n v="-1093.9000000000001"/>
    <x v="0"/>
    <s v="MERCADORIAS PARA REVENDA"/>
  </r>
  <r>
    <d v="2025-07-21T00:00:00"/>
    <x v="0"/>
    <s v="HSERV CABREUVA"/>
    <x v="123"/>
    <n v="-50000"/>
    <x v="0"/>
    <s v="ACORDO TRABALHISTA"/>
  </r>
  <r>
    <d v="2025-07-23T00:00:00"/>
    <x v="0"/>
    <s v="HSERV TERCEIRIZADOS"/>
    <x v="124"/>
    <n v="-1800.31"/>
    <x v="0"/>
    <s v="MERCADORIAS PARA REVENDA"/>
  </r>
  <r>
    <d v="2025-07-22T00:00:00"/>
    <x v="0"/>
    <s v="VITOR DUARTE"/>
    <x v="125"/>
    <n v="-1560.68"/>
    <x v="0"/>
    <s v="TELEFONE"/>
  </r>
  <r>
    <d v="2025-08-21T00:00:00"/>
    <x v="1"/>
    <s v="HSERV CABREUVA"/>
    <x v="126"/>
    <n v="-50000"/>
    <x v="0"/>
    <s v="ACORDO TRABALHISTA"/>
  </r>
  <r>
    <d v="2025-09-19T00:00:00"/>
    <x v="2"/>
    <s v="HSERV CABREUVA"/>
    <x v="127"/>
    <n v="-50000"/>
    <x v="0"/>
    <s v="ACORDO TRABALHISTA"/>
  </r>
  <r>
    <d v="2025-10-21T00:00:00"/>
    <x v="3"/>
    <s v="HSERV CABREUVA"/>
    <x v="128"/>
    <n v="-50000"/>
    <x v="0"/>
    <s v="ACORDO TRABALHISTA"/>
  </r>
  <r>
    <d v="2025-11-21T00:00:00"/>
    <x v="4"/>
    <s v="HSERV CABREUVA"/>
    <x v="129"/>
    <n v="-50000"/>
    <x v="0"/>
    <s v="ACORDO TRABALHISTA"/>
  </r>
  <r>
    <d v="2025-12-19T00:00:00"/>
    <x v="5"/>
    <s v="HSERV CABREUVA"/>
    <x v="130"/>
    <n v="-50000"/>
    <x v="0"/>
    <s v="ACORDO TRABALHISTA"/>
  </r>
  <r>
    <d v="2025-07-21T00:00:00"/>
    <x v="0"/>
    <s v="VITOR DUARTE"/>
    <x v="131"/>
    <n v="-268.92"/>
    <x v="0"/>
    <s v="ACORDO TRABALHISTA"/>
  </r>
  <r>
    <d v="2025-07-21T00:00:00"/>
    <x v="0"/>
    <s v="HENRIQUE JEAN ND"/>
    <x v="132"/>
    <n v="-8937.32"/>
    <x v="0"/>
    <s v="RESERVA"/>
  </r>
  <r>
    <d v="2025-07-25T00:00:00"/>
    <x v="0"/>
    <s v="VITOR DUARTE"/>
    <x v="4"/>
    <n v="-16200"/>
    <x v="0"/>
    <s v="VALE ALIMENTAÇÃO"/>
  </r>
  <r>
    <d v="2025-07-25T00:00:00"/>
    <x v="0"/>
    <s v="HSERV CLEAN"/>
    <x v="133"/>
    <n v="-9000"/>
    <x v="0"/>
    <s v="COMBUSTIVEL E PEDAGIO"/>
  </r>
  <r>
    <d v="2025-07-24T00:00:00"/>
    <x v="0"/>
    <s v="H SERV CLEAN"/>
    <x v="134"/>
    <n v="-411.22"/>
    <x v="0"/>
    <s v="SINDICATO"/>
  </r>
  <r>
    <d v="2025-07-24T00:00:00"/>
    <x v="0"/>
    <s v="HSERV  REPRESENTACOES"/>
    <x v="134"/>
    <n v="-339.76"/>
    <x v="0"/>
    <s v="SINDICATO"/>
  </r>
  <r>
    <d v="2025-07-24T00:00:00"/>
    <x v="0"/>
    <s v="HENRIQUE  DUARTE"/>
    <x v="134"/>
    <n v="-947.82"/>
    <x v="0"/>
    <s v="SINDICATO"/>
  </r>
  <r>
    <d v="2025-07-24T00:00:00"/>
    <x v="0"/>
    <s v="VITOR DUARTE "/>
    <x v="134"/>
    <n v="-160.79"/>
    <x v="0"/>
    <s v="SINDICATO"/>
  </r>
  <r>
    <d v="2025-07-24T00:00:00"/>
    <x v="0"/>
    <s v="HSERV CABREUVA"/>
    <x v="134"/>
    <n v="-518.41999999999996"/>
    <x v="0"/>
    <s v="SINDICATO"/>
  </r>
  <r>
    <d v="2025-07-24T00:00:00"/>
    <x v="0"/>
    <s v="HSERV  TERCEIRIZADOS S"/>
    <x v="134"/>
    <n v="-107.19"/>
    <x v="0"/>
    <s v="SINDICATO"/>
  </r>
  <r>
    <d v="2025-07-24T00:00:00"/>
    <x v="0"/>
    <s v="HSERV S COMBINADOS "/>
    <x v="134"/>
    <n v="-1072.8900000000001"/>
    <x v="0"/>
    <s v="SINDICATO"/>
  </r>
  <r>
    <d v="2025-07-24T00:00:00"/>
    <x v="0"/>
    <s v="HSERV TECNOLOGIA "/>
    <x v="134"/>
    <n v="-71.459999999999994"/>
    <x v="0"/>
    <s v="SINDICATO"/>
  </r>
  <r>
    <d v="2025-07-24T00:00:00"/>
    <x v="0"/>
    <s v="HSERV LIMPEZA "/>
    <x v="134"/>
    <n v="-250.12"/>
    <x v="0"/>
    <s v="SINDICATO"/>
  </r>
  <r>
    <d v="2025-07-24T00:00:00"/>
    <x v="0"/>
    <s v="HSERV TERCEIRIZADOS"/>
    <x v="124"/>
    <n v="-357.72"/>
    <x v="0"/>
    <s v="MERCADORIAS PARA REVENDA"/>
  </r>
  <r>
    <d v="2025-07-25T00:00:00"/>
    <x v="0"/>
    <s v="VITOR DUARTE"/>
    <x v="135"/>
    <n v="-545.28"/>
    <x v="0"/>
    <s v="SISTEMA"/>
  </r>
  <r>
    <d v="2025-07-25T00:00:00"/>
    <x v="0"/>
    <s v="VITOR DUARTE"/>
    <x v="136"/>
    <n v="-154.9"/>
    <x v="0"/>
    <s v="INTERNET"/>
  </r>
  <r>
    <d v="2025-07-25T00:00:00"/>
    <x v="0"/>
    <s v="VITOR DUARTE"/>
    <x v="137"/>
    <n v="-139.9"/>
    <x v="0"/>
    <s v="INTERNET"/>
  </r>
  <r>
    <d v="2025-07-25T00:00:00"/>
    <x v="0"/>
    <s v="HSERV CABREUVA"/>
    <x v="138"/>
    <n v="-600"/>
    <x v="0"/>
    <s v="COMISSOES"/>
  </r>
  <r>
    <d v="2025-07-25T00:00:00"/>
    <x v="0"/>
    <s v="HSERV COMBINADOS"/>
    <x v="139"/>
    <n v="-1925.16"/>
    <x v="0"/>
    <s v="APORTE"/>
  </r>
  <r>
    <d v="2025-07-18T00:00:00"/>
    <x v="0"/>
    <s v="VITOR DUARTE"/>
    <x v="140"/>
    <n v="-160"/>
    <x v="0"/>
    <s v="VALE TRANSPORTE"/>
  </r>
  <r>
    <d v="2025-07-18T00:00:00"/>
    <x v="0"/>
    <s v="VITOR DUARTE"/>
    <x v="141"/>
    <n v="-9980"/>
    <x v="0"/>
    <s v="PROLABORE"/>
  </r>
  <r>
    <d v="2025-08-11T00:00:00"/>
    <x v="0"/>
    <s v="HENRIQUE JEAN ND"/>
    <x v="74"/>
    <n v="-5000"/>
    <x v="0"/>
    <s v="RESERVA"/>
  </r>
  <r>
    <d v="2025-07-30T00:00:00"/>
    <x v="0"/>
    <s v="HENRIQUE JEAN"/>
    <x v="142"/>
    <n v="-630"/>
    <x v="0"/>
    <s v="SINDICATO"/>
  </r>
  <r>
    <d v="2025-07-30T00:00:00"/>
    <x v="0"/>
    <s v="VITOR DUARTE"/>
    <x v="143"/>
    <n v="-1689.04"/>
    <x v="0"/>
    <s v="SISTEMA"/>
  </r>
  <r>
    <d v="2025-07-30T00:00:00"/>
    <x v="0"/>
    <s v="VITOR DUARTE"/>
    <x v="143"/>
    <n v="-2644.76"/>
    <x v="0"/>
    <s v="SISTEMA"/>
  </r>
  <r>
    <d v="2025-07-30T00:00:00"/>
    <x v="0"/>
    <s v=" HSERV CABREUVA"/>
    <x v="144"/>
    <n v="-15000"/>
    <x v="0"/>
    <s v="VALE TRANSPORTE"/>
  </r>
  <r>
    <d v="2025-07-25T00:00:00"/>
    <x v="0"/>
    <s v="VITOR DUARTE"/>
    <x v="141"/>
    <n v="-9980"/>
    <x v="0"/>
    <s v="PROLABORE"/>
  </r>
  <r>
    <d v="2025-09-29T00:00:00"/>
    <x v="1"/>
    <s v="COMBINADOS"/>
    <x v="145"/>
    <n v="-1500"/>
    <x v="0"/>
    <s v="APORTE"/>
  </r>
  <r>
    <d v="2025-09-29T00:00:00"/>
    <x v="1"/>
    <s v="COMBINADOS"/>
    <x v="146"/>
    <n v="-200"/>
    <x v="0"/>
    <s v="APORTE"/>
  </r>
  <r>
    <d v="2025-09-30T00:00:00"/>
    <x v="2"/>
    <s v="COMBINADOS"/>
    <x v="145"/>
    <n v="-1500"/>
    <x v="0"/>
    <s v="APORTE"/>
  </r>
  <r>
    <d v="2025-09-30T00:00:00"/>
    <x v="2"/>
    <s v="COMBINADOS"/>
    <x v="146"/>
    <n v="-200"/>
    <x v="0"/>
    <s v="APORTE"/>
  </r>
  <r>
    <d v="2025-10-31T00:00:00"/>
    <x v="3"/>
    <s v="COMBINADOS"/>
    <x v="145"/>
    <n v="-1500"/>
    <x v="0"/>
    <s v="APORTE"/>
  </r>
  <r>
    <d v="2025-10-31T00:00:00"/>
    <x v="3"/>
    <s v="COMBINADOS"/>
    <x v="146"/>
    <n v="-200"/>
    <x v="0"/>
    <s v="APORTE"/>
  </r>
  <r>
    <d v="2025-11-28T00:00:00"/>
    <x v="4"/>
    <s v="COMBINADOS"/>
    <x v="145"/>
    <n v="-1500"/>
    <x v="0"/>
    <s v="APORTE"/>
  </r>
  <r>
    <d v="2025-11-28T00:00:00"/>
    <x v="4"/>
    <s v="COMBINADOS"/>
    <x v="146"/>
    <n v="-200"/>
    <x v="0"/>
    <s v="APORTE"/>
  </r>
  <r>
    <d v="2025-12-30T00:00:00"/>
    <x v="5"/>
    <s v="COMBINADOS"/>
    <x v="145"/>
    <n v="-1500"/>
    <x v="0"/>
    <s v="APORTE"/>
  </r>
  <r>
    <d v="2025-12-30T00:00:00"/>
    <x v="5"/>
    <s v="COMBINADOS"/>
    <x v="146"/>
    <n v="-200"/>
    <x v="0"/>
    <s v="APORTE"/>
  </r>
  <r>
    <d v="2025-07-31T00:00:00"/>
    <x v="0"/>
    <s v="COMBINADOS"/>
    <x v="145"/>
    <n v="-1500"/>
    <x v="0"/>
    <s v="MANUTENÇÃO"/>
  </r>
  <r>
    <d v="2025-07-31T00:00:00"/>
    <x v="0"/>
    <s v="COMBINADOS"/>
    <x v="146"/>
    <n v="-200"/>
    <x v="0"/>
    <s v="MANUTENÇÃO"/>
  </r>
  <r>
    <d v="2025-07-31T00:00:00"/>
    <x v="0"/>
    <s v="HSERV CABREUVA"/>
    <x v="147"/>
    <n v="-2000"/>
    <x v="0"/>
    <s v="ACORDO TRABALHISTA"/>
  </r>
  <r>
    <d v="2025-08-29T00:00:00"/>
    <x v="1"/>
    <s v="HSERV CABREUVA"/>
    <x v="148"/>
    <n v="-2000"/>
    <x v="0"/>
    <s v="ACORDO TRABALHISTA"/>
  </r>
  <r>
    <d v="2025-09-30T00:00:00"/>
    <x v="2"/>
    <s v="HSERV CABREUVA"/>
    <x v="149"/>
    <n v="-2000"/>
    <x v="0"/>
    <s v="ACORDO TRABALHISTA"/>
  </r>
  <r>
    <d v="2025-10-31T00:00:00"/>
    <x v="3"/>
    <s v="HSERV CABREUVA"/>
    <x v="150"/>
    <n v="-2000"/>
    <x v="0"/>
    <s v="ACORDO TRABALHISTA"/>
  </r>
  <r>
    <d v="2025-11-28T00:00:00"/>
    <x v="4"/>
    <s v="HSERV CABREUVA"/>
    <x v="151"/>
    <n v="-2000"/>
    <x v="0"/>
    <s v="ACORDO TRABALHISTA"/>
  </r>
  <r>
    <d v="2025-12-30T00:00:00"/>
    <x v="5"/>
    <s v="HSERV CABREUVA"/>
    <x v="152"/>
    <n v="-2000"/>
    <x v="0"/>
    <s v="ACORDO TRABALHISTA"/>
  </r>
  <r>
    <d v="2025-07-31T00:00:00"/>
    <x v="0"/>
    <s v="HSERV CLEAN"/>
    <x v="153"/>
    <n v="-875.98"/>
    <x v="0"/>
    <s v="MANUTENÇÃO"/>
  </r>
  <r>
    <d v="2025-07-30T00:00:00"/>
    <x v="0"/>
    <s v="VITOR DUARTE"/>
    <x v="141"/>
    <n v="-12331.74"/>
    <x v="0"/>
    <s v="PROLABORE"/>
  </r>
  <r>
    <d v="2025-07-30T00:00:00"/>
    <x v="0"/>
    <s v="HSERV CABREUVA"/>
    <x v="154"/>
    <n v="-35000"/>
    <x v="0"/>
    <s v="IMPOSTO"/>
  </r>
  <r>
    <d v="2025-07-30T00:00:00"/>
    <x v="0"/>
    <s v="HSERV CABREUVA"/>
    <x v="155"/>
    <n v="-7000"/>
    <x v="0"/>
    <s v="VALE COMBUSTIVEL"/>
  </r>
  <r>
    <d v="2025-07-30T00:00:00"/>
    <x v="0"/>
    <s v="VITOR DUARTE"/>
    <x v="156"/>
    <n v="-1500"/>
    <x v="0"/>
    <s v="TI"/>
  </r>
  <r>
    <d v="2025-07-30T00:00:00"/>
    <x v="0"/>
    <s v="VITOR DUARTE"/>
    <x v="157"/>
    <n v="-50"/>
    <x v="0"/>
    <s v="TI"/>
  </r>
  <r>
    <d v="2025-07-30T00:00:00"/>
    <x v="0"/>
    <s v="HSERV COMBINADOS "/>
    <x v="158"/>
    <n v="-800"/>
    <x v="0"/>
    <s v="REEMBOLSO"/>
  </r>
  <r>
    <d v="2025-07-30T00:00:00"/>
    <x v="0"/>
    <s v="HSERV CABREUVA"/>
    <x v="159"/>
    <n v="-40000"/>
    <x v="0"/>
    <s v="FÉRIAS"/>
  </r>
  <r>
    <d v="2025-07-30T00:00:00"/>
    <x v="0"/>
    <s v="HSERV TERCEIRIZADOS"/>
    <x v="160"/>
    <n v="-387.74"/>
    <x v="0"/>
    <s v="MANUTENÇÃO"/>
  </r>
  <r>
    <d v="2025-07-30T00:00:00"/>
    <x v="0"/>
    <s v="HSERV TERCEIRIZADOS"/>
    <x v="161"/>
    <n v="-1330"/>
    <x v="0"/>
    <s v="MANUTENÇÃO"/>
  </r>
  <r>
    <d v="2025-07-30T00:00:00"/>
    <x v="0"/>
    <s v="VITOR DUARTE"/>
    <x v="162"/>
    <n v="-56900"/>
    <x v="0"/>
    <s v="APORTE"/>
  </r>
  <r>
    <d v="2025-07-30T00:00:00"/>
    <x v="0"/>
    <s v="VITOR DUARTE"/>
    <x v="163"/>
    <n v="-7000"/>
    <x v="0"/>
    <s v="IMPOSTO"/>
  </r>
  <r>
    <d v="2025-07-30T00:00:00"/>
    <x v="0"/>
    <s v="HSERV CLEAN"/>
    <x v="164"/>
    <n v="-600"/>
    <x v="0"/>
    <s v="IMPOSTO"/>
  </r>
  <r>
    <d v="2025-07-30T00:00:00"/>
    <x v="0"/>
    <s v="HSERV CLEAN"/>
    <x v="165"/>
    <n v="-4000"/>
    <x v="0"/>
    <s v="IMPOSTO"/>
  </r>
  <r>
    <d v="2025-07-30T00:00:00"/>
    <x v="0"/>
    <s v=" HSERV CABREUVA"/>
    <x v="166"/>
    <n v="-9000"/>
    <x v="0"/>
    <s v="IMPOSTO"/>
  </r>
  <r>
    <d v="2025-07-30T00:00:00"/>
    <x v="0"/>
    <s v="HSERV CLEAN"/>
    <x v="167"/>
    <n v="-1719.53"/>
    <x v="0"/>
    <s v="CARTÃO DE CREDITO"/>
  </r>
  <r>
    <d v="2025-07-30T00:00:00"/>
    <x v="0"/>
    <s v="HSERV CABREUVA"/>
    <x v="167"/>
    <n v="-1392.65"/>
    <x v="0"/>
    <s v="CARTÃO DE CREDITO"/>
  </r>
  <r>
    <d v="2025-07-01T00:00:00"/>
    <x v="0"/>
    <s v="TECNOLOGIA"/>
    <x v="168"/>
    <n v="900"/>
    <x v="1"/>
    <s v="VENDAS DE SERVIÇOS"/>
  </r>
  <r>
    <d v="2025-07-01T00:00:00"/>
    <x v="0"/>
    <s v="TECNOLOGIA"/>
    <x v="168"/>
    <n v="23638.67"/>
    <x v="1"/>
    <s v="VENDAS DE SERVIÇOS"/>
  </r>
  <r>
    <d v="2025-07-01T00:00:00"/>
    <x v="0"/>
    <s v="TECNOLOGIA"/>
    <x v="168"/>
    <n v="2700"/>
    <x v="1"/>
    <s v="VENDAS DE SERVIÇOS"/>
  </r>
  <r>
    <d v="2025-07-01T00:00:00"/>
    <x v="0"/>
    <s v="LIMPEZA"/>
    <x v="169"/>
    <n v="18532.8"/>
    <x v="1"/>
    <s v="VENDAS DE SERVIÇOS"/>
  </r>
  <r>
    <d v="2025-07-01T00:00:00"/>
    <x v="0"/>
    <s v="LIMPEZA"/>
    <x v="169"/>
    <n v="799.2"/>
    <x v="1"/>
    <s v="VENDAS DE SERVIÇOS"/>
  </r>
  <r>
    <d v="2025-07-01T00:00:00"/>
    <x v="0"/>
    <s v="LIMPEZA"/>
    <x v="169"/>
    <n v="1200"/>
    <x v="1"/>
    <s v="VENDAS DE SERVIÇOS"/>
  </r>
  <r>
    <d v="2025-07-01T00:00:00"/>
    <x v="0"/>
    <s v="COMBINADOS"/>
    <x v="170"/>
    <n v="22451.91"/>
    <x v="1"/>
    <s v="VENDAS DE SERVIÇOS"/>
  </r>
  <r>
    <d v="2025-07-01T00:00:00"/>
    <x v="0"/>
    <s v="REPRESENTAÇÃO"/>
    <x v="171"/>
    <n v="196"/>
    <x v="1"/>
    <s v="VENDAS DE SERVIÇOS"/>
  </r>
  <r>
    <d v="2025-07-01T00:00:00"/>
    <x v="0"/>
    <s v="REPRESENTAÇÃO"/>
    <x v="171"/>
    <n v="1500"/>
    <x v="1"/>
    <s v="VENDAS DE SERVIÇOS"/>
  </r>
  <r>
    <d v="2025-07-01T00:00:00"/>
    <x v="0"/>
    <s v="REPRESENTAÇÃO"/>
    <x v="172"/>
    <n v="1200"/>
    <x v="1"/>
    <s v="VENDAS DE SERVIÇOS"/>
  </r>
  <r>
    <d v="2025-07-01T00:00:00"/>
    <x v="0"/>
    <s v="REPRESENTAÇÃO"/>
    <x v="172"/>
    <n v="21852.37"/>
    <x v="1"/>
    <s v="VENDAS DE SERVIÇOS"/>
  </r>
  <r>
    <d v="2025-07-01T00:00:00"/>
    <x v="0"/>
    <s v="REPRESENTAÇÃO"/>
    <x v="172"/>
    <n v="4683.53"/>
    <x v="1"/>
    <s v="VENDAS DE SERVIÇOS"/>
  </r>
  <r>
    <d v="2025-07-01T00:00:00"/>
    <x v="0"/>
    <s v="REPRESENTAÇÃO"/>
    <x v="171"/>
    <n v="23943.3"/>
    <x v="1"/>
    <s v="VENDAS DE SERVIÇOS"/>
  </r>
  <r>
    <d v="2025-07-01T00:00:00"/>
    <x v="0"/>
    <s v="REPRESENTAÇÃO"/>
    <x v="171"/>
    <n v="14482.07"/>
    <x v="1"/>
    <s v="VENDAS DE SERVIÇOS"/>
  </r>
  <r>
    <d v="2025-07-10T00:00:00"/>
    <x v="0"/>
    <s v="HSERV COMBINADOS "/>
    <x v="173"/>
    <n v="-25275.45"/>
    <x v="0"/>
    <s v="FT"/>
  </r>
  <r>
    <d v="2025-07-10T00:00:00"/>
    <x v="0"/>
    <s v="HSERV TERCEIRIZADOS"/>
    <x v="174"/>
    <n v="-968.52"/>
    <x v="0"/>
    <s v="MERCADORIAS PARA REVENDA"/>
  </r>
  <r>
    <d v="2025-07-10T00:00:00"/>
    <x v="0"/>
    <s v="CABREUVA"/>
    <x v="175"/>
    <n v="40231.050000000003"/>
    <x v="1"/>
    <s v="VENDAS DE SERVIÇOS"/>
  </r>
  <r>
    <d v="2025-07-18T00:00:00"/>
    <x v="0"/>
    <s v="CABREUVA"/>
    <x v="176"/>
    <n v="4880.1400000000003"/>
    <x v="1"/>
    <s v="VENDAS DE SERVIÇOS"/>
  </r>
  <r>
    <d v="2025-07-11T00:00:00"/>
    <x v="0"/>
    <s v="REPRESENTAÇÃO"/>
    <x v="177"/>
    <n v="1106.1400000000001"/>
    <x v="1"/>
    <s v="VENDAS DE SERVIÇOS"/>
  </r>
  <r>
    <d v="2025-07-11T00:00:00"/>
    <x v="0"/>
    <s v="REPRESENTAÇÃO"/>
    <x v="177"/>
    <n v="603.26"/>
    <x v="1"/>
    <s v="VENDAS DE SERVIÇOS"/>
  </r>
  <r>
    <d v="2025-07-11T00:00:00"/>
    <x v="0"/>
    <s v="REPRESENTAÇÃO"/>
    <x v="177"/>
    <n v="9631"/>
    <x v="1"/>
    <s v="VENDAS DE SERVIÇOS"/>
  </r>
  <r>
    <d v="2025-07-11T00:00:00"/>
    <x v="0"/>
    <s v="VITOR"/>
    <x v="178"/>
    <n v="257.81"/>
    <x v="1"/>
    <s v="VENDAS DE SERVIÇOS"/>
  </r>
  <r>
    <d v="2025-07-11T00:00:00"/>
    <x v="0"/>
    <s v="VITOR"/>
    <x v="179"/>
    <n v="680.03"/>
    <x v="1"/>
    <s v="VENDAS DE SERVIÇOS"/>
  </r>
  <r>
    <d v="2025-07-11T00:00:00"/>
    <x v="0"/>
    <s v="HENRIQUE JEAN"/>
    <x v="180"/>
    <n v="2800.33"/>
    <x v="1"/>
    <s v="VENDAS DE SERVIÇOS"/>
  </r>
  <r>
    <d v="2025-07-11T00:00:00"/>
    <x v="0"/>
    <s v="HENRIQUE JEAN"/>
    <x v="180"/>
    <n v="22930"/>
    <x v="1"/>
    <s v="VENDAS DE SERVIÇOS"/>
  </r>
  <r>
    <d v="2025-07-11T00:00:00"/>
    <x v="0"/>
    <s v="CLEAN"/>
    <x v="181"/>
    <n v="496.96"/>
    <x v="1"/>
    <s v="VENDAS DE PRODUTOS"/>
  </r>
  <r>
    <d v="2025-07-11T00:00:00"/>
    <x v="0"/>
    <s v="HSERV COMBINADOS"/>
    <x v="181"/>
    <n v="7850"/>
    <x v="1"/>
    <s v="VENDAS DE SERVIÇOS"/>
  </r>
  <r>
    <d v="2025-07-11T00:00:00"/>
    <x v="0"/>
    <s v="HSERV LIMPEZA"/>
    <x v="182"/>
    <n v="42961.04"/>
    <x v="1"/>
    <s v="VENDAS DE PRODUTOS"/>
  </r>
  <r>
    <d v="2025-07-11T00:00:00"/>
    <x v="0"/>
    <s v="CLEAN"/>
    <x v="183"/>
    <n v="24988.71"/>
    <x v="1"/>
    <s v="VENDAS DE SERVIÇOS"/>
  </r>
  <r>
    <d v="2025-07-11T00:00:00"/>
    <x v="0"/>
    <s v="CLEAN"/>
    <x v="183"/>
    <n v="16834.330000000002"/>
    <x v="1"/>
    <s v="VENDAS DE SERVIÇOS"/>
  </r>
  <r>
    <d v="2025-07-11T00:00:00"/>
    <x v="0"/>
    <s v="CLEAN"/>
    <x v="183"/>
    <n v="12459.61"/>
    <x v="1"/>
    <s v="VENDAS DE SERVIÇOS"/>
  </r>
  <r>
    <d v="2025-07-03T00:00:00"/>
    <x v="0"/>
    <s v="CLEAN"/>
    <x v="183"/>
    <n v="2284.4499999999998"/>
    <x v="1"/>
    <s v="VENDAS DE SERVIÇOS"/>
  </r>
  <r>
    <d v="2025-07-15T00:00:00"/>
    <x v="0"/>
    <s v="CLEAN"/>
    <x v="183"/>
    <n v="268.13"/>
    <x v="1"/>
    <s v="VENDAS DE SERVIÇOS"/>
  </r>
  <r>
    <d v="2025-07-15T00:00:00"/>
    <x v="0"/>
    <s v="CLEAN"/>
    <x v="183"/>
    <n v="386"/>
    <x v="1"/>
    <s v="VENDAS DE SERVIÇOS"/>
  </r>
  <r>
    <d v="2025-07-15T00:00:00"/>
    <x v="0"/>
    <s v="CLEAN"/>
    <x v="183"/>
    <n v="386"/>
    <x v="1"/>
    <s v="VENDAS DE SERVIÇOS"/>
  </r>
  <r>
    <d v="2025-07-11T00:00:00"/>
    <x v="0"/>
    <s v="CLEAN"/>
    <x v="183"/>
    <n v="2284.4499999999998"/>
    <x v="1"/>
    <s v="VENDAS DE SERVIÇOS"/>
  </r>
  <r>
    <d v="2025-07-02T00:00:00"/>
    <x v="0"/>
    <s v="VITOR DUARTE"/>
    <x v="184"/>
    <n v="352449.65"/>
    <x v="1"/>
    <s v="VENDAS DE SERVIÇOS"/>
  </r>
  <r>
    <d v="2025-07-16T00:00:00"/>
    <x v="0"/>
    <s v="TERCEIRIZADOS"/>
    <x v="185"/>
    <n v="17956.39"/>
    <x v="1"/>
    <s v="VENDAS DE SERVIÇOS"/>
  </r>
  <r>
    <d v="2025-08-04T00:00:00"/>
    <x v="0"/>
    <s v="LIMPEZA"/>
    <x v="186"/>
    <n v="4717.4399999999996"/>
    <x v="1"/>
    <s v="VENDAS DE SERVIÇOS"/>
  </r>
  <r>
    <d v="2025-08-04T00:00:00"/>
    <x v="0"/>
    <s v="LIMPEZA"/>
    <x v="186"/>
    <n v="9938.39"/>
    <x v="1"/>
    <s v="VENDAS DE SERVIÇOS"/>
  </r>
  <r>
    <d v="2025-08-04T00:00:00"/>
    <x v="0"/>
    <s v="LIMPEZA"/>
    <x v="186"/>
    <n v="22139.98"/>
    <x v="1"/>
    <s v="VENDAS DE SERVIÇOS"/>
  </r>
  <r>
    <d v="2025-08-01T00:00:00"/>
    <x v="0"/>
    <s v="CLEAN"/>
    <x v="187"/>
    <n v="2373.8200000000002"/>
    <x v="1"/>
    <s v="VENDAS DE SERVIÇOS"/>
  </r>
  <r>
    <d v="2025-08-01T00:00:00"/>
    <x v="0"/>
    <s v="CLEAN"/>
    <x v="187"/>
    <n v="5823.82"/>
    <x v="1"/>
    <s v="VENDAS DE SERVIÇOS"/>
  </r>
  <r>
    <d v="2025-08-01T00:00:00"/>
    <x v="0"/>
    <s v="CLEAN"/>
    <x v="187"/>
    <n v="7526.95"/>
    <x v="1"/>
    <s v="VENDAS DE SERVIÇOS"/>
  </r>
  <r>
    <d v="2025-08-01T00:00:00"/>
    <x v="0"/>
    <s v="CLEAN"/>
    <x v="187"/>
    <n v="25756.63"/>
    <x v="1"/>
    <s v="VENDAS DE SERVIÇOS"/>
  </r>
  <r>
    <d v="2025-07-15T00:00:00"/>
    <x v="0"/>
    <s v="CABREUVA"/>
    <x v="188"/>
    <n v="908006.92"/>
    <x v="1"/>
    <s v="VENDAS DE SERVIÇOS"/>
  </r>
  <r>
    <d v="2025-07-10T00:00:00"/>
    <x v="0"/>
    <s v="HSERV CABREUVA"/>
    <x v="189"/>
    <n v="-232.71"/>
    <x v="0"/>
    <s v="MATERIAL DE ESCRITÓRIO"/>
  </r>
  <r>
    <d v="2025-07-10T00:00:00"/>
    <x v="0"/>
    <s v="HENRIQUE JEAN"/>
    <x v="190"/>
    <n v="-2333"/>
    <x v="0"/>
    <s v="ACORDO TRABALHISTA"/>
  </r>
  <r>
    <d v="2025-07-10T00:00:00"/>
    <x v="0"/>
    <s v="HENRIQUE JEAN"/>
    <x v="191"/>
    <n v="-1000"/>
    <x v="0"/>
    <s v="ACORDO TRABALHISTA"/>
  </r>
  <r>
    <d v="2025-07-15T00:00:00"/>
    <x v="0"/>
    <s v="HENRIQUE JEAN"/>
    <x v="192"/>
    <n v="-1000"/>
    <x v="0"/>
    <s v="ACORDO TRABALHISTA"/>
  </r>
  <r>
    <d v="2025-07-30T00:00:00"/>
    <x v="0"/>
    <s v="HSERV TERCEIRIZADOS"/>
    <x v="124"/>
    <n v="-1800.31"/>
    <x v="0"/>
    <s v="MERCADORIAS PARA REVENDA"/>
  </r>
  <r>
    <d v="2025-07-30T00:00:00"/>
    <x v="0"/>
    <s v="HSERV CLEAN"/>
    <x v="193"/>
    <n v="-535.99999700000001"/>
    <x v="0"/>
    <s v="UNIFORMES"/>
  </r>
  <r>
    <d v="2025-07-30T00:00:00"/>
    <x v="0"/>
    <s v="HSERV CABREUVA"/>
    <x v="194"/>
    <n v="-6298.6"/>
    <x v="0"/>
    <s v="ACORDO TRABALHISTA"/>
  </r>
  <r>
    <d v="2025-07-15T00:00:00"/>
    <x v="0"/>
    <s v="HSERV CABREUVA"/>
    <x v="195"/>
    <n v="-10000"/>
    <x v="0"/>
    <s v="ACORDO TRABALHISTA"/>
  </r>
  <r>
    <d v="2025-07-07T00:00:00"/>
    <x v="0"/>
    <s v="HSERV COMBINADOS "/>
    <x v="196"/>
    <n v="-1700"/>
    <x v="0"/>
    <s v="FT"/>
  </r>
  <r>
    <d v="2025-07-07T00:00:00"/>
    <x v="0"/>
    <s v="HSERV COMBINADOS "/>
    <x v="197"/>
    <n v="-1000"/>
    <x v="0"/>
    <s v="FT"/>
  </r>
  <r>
    <d v="2025-07-07T00:00:00"/>
    <x v="0"/>
    <s v="HSERV COMBINADOS "/>
    <x v="198"/>
    <n v="-600"/>
    <x v="0"/>
    <s v="FT"/>
  </r>
  <r>
    <d v="2025-07-07T00:00:00"/>
    <x v="0"/>
    <s v="HSERV COMBINADOS "/>
    <x v="199"/>
    <n v="-900"/>
    <x v="0"/>
    <s v="FT"/>
  </r>
  <r>
    <d v="2025-07-07T00:00:00"/>
    <x v="0"/>
    <s v="HSERV COMBINADOS "/>
    <x v="200"/>
    <n v="-900"/>
    <x v="0"/>
    <s v="FT"/>
  </r>
  <r>
    <d v="2025-07-07T00:00:00"/>
    <x v="0"/>
    <s v="HSERV COMBINADOS "/>
    <x v="201"/>
    <n v="-1000"/>
    <x v="0"/>
    <s v="FT"/>
  </r>
  <r>
    <d v="2025-07-08T00:00:00"/>
    <x v="0"/>
    <s v="HSERV COMBINADOS "/>
    <x v="202"/>
    <n v="-1020"/>
    <x v="0"/>
    <s v="FT"/>
  </r>
  <r>
    <d v="2025-07-07T00:00:00"/>
    <x v="0"/>
    <s v="VITOR DUARTE"/>
    <x v="203"/>
    <n v="-159.4"/>
    <x v="0"/>
    <s v="ENCARGOS"/>
  </r>
  <r>
    <d v="2025-07-07T00:00:00"/>
    <x v="0"/>
    <s v="VITOR DUARTE"/>
    <x v="204"/>
    <n v="-708.24"/>
    <x v="0"/>
    <s v="VALE ALIMENTAÇÃO"/>
  </r>
  <r>
    <d v="2025-07-10T00:00:00"/>
    <x v="0"/>
    <s v="HENRIQUE JEAN"/>
    <x v="205"/>
    <n v="-295.72000000000003"/>
    <x v="0"/>
    <s v="CONSIGNADO"/>
  </r>
  <r>
    <d v="2025-07-10T00:00:00"/>
    <x v="0"/>
    <s v="HSERV CLEAN"/>
    <x v="205"/>
    <n v="-215.21"/>
    <x v="0"/>
    <s v="CONSIGNADO"/>
  </r>
  <r>
    <d v="2025-07-10T00:00:00"/>
    <x v="0"/>
    <s v="HSERV COMBINADOS"/>
    <x v="205"/>
    <n v="-364.95"/>
    <x v="0"/>
    <s v="CONSIGNADO"/>
  </r>
  <r>
    <d v="2025-07-10T00:00:00"/>
    <x v="0"/>
    <s v="HSERV LIMPEZA"/>
    <x v="205"/>
    <n v="-395.23"/>
    <x v="0"/>
    <s v="CONSIGNADO"/>
  </r>
  <r>
    <d v="2025-07-10T00:00:00"/>
    <x v="0"/>
    <s v="HSERV REPRESENTACOES"/>
    <x v="205"/>
    <n v="-376.91"/>
    <x v="0"/>
    <s v="CONSIGNADO"/>
  </r>
  <r>
    <d v="2025-07-10T00:00:00"/>
    <x v="0"/>
    <s v="VITOR DUARTE"/>
    <x v="205"/>
    <n v="-360.09"/>
    <x v="0"/>
    <s v="CONSIGNADO"/>
  </r>
  <r>
    <d v="2025-07-07T00:00:00"/>
    <x v="0"/>
    <s v="HSERV COMBINADOS"/>
    <x v="206"/>
    <n v="-448"/>
    <x v="0"/>
    <s v="VALE TRANSPORTE"/>
  </r>
  <r>
    <d v="2025-07-07T00:00:00"/>
    <x v="0"/>
    <s v="HSERV COMBINADOS"/>
    <x v="53"/>
    <n v="-177"/>
    <x v="0"/>
    <s v="VALE TRANSPORTE"/>
  </r>
  <r>
    <d v="2025-07-07T00:00:00"/>
    <x v="0"/>
    <s v="HSERV COMBINADOS"/>
    <x v="207"/>
    <n v="-412.5"/>
    <x v="0"/>
    <s v="VALE TRANSPORTE"/>
  </r>
  <r>
    <d v="2025-07-07T00:00:00"/>
    <x v="0"/>
    <s v="HSERV COMBINADOS"/>
    <x v="208"/>
    <n v="-278"/>
    <x v="0"/>
    <s v="VALE TRANSPORTE"/>
  </r>
  <r>
    <d v="2025-07-07T00:00:00"/>
    <x v="0"/>
    <s v="HSERV CABREUVA"/>
    <x v="209"/>
    <n v="-1000"/>
    <x v="0"/>
    <s v="ACORDO TRABALHISTA"/>
  </r>
  <r>
    <d v="2025-07-15T00:00:00"/>
    <x v="0"/>
    <s v="HSERV CABREUVA"/>
    <x v="210"/>
    <n v="-2644"/>
    <x v="0"/>
    <s v="ACORDO TRABALHISTA"/>
  </r>
  <r>
    <d v="2025-07-22T00:00:00"/>
    <x v="0"/>
    <s v="HSERV CABREUVA"/>
    <x v="211"/>
    <n v="-960"/>
    <x v="0"/>
    <s v="ACORDO TRABALHISTA"/>
  </r>
  <r>
    <d v="2025-07-28T00:00:00"/>
    <x v="0"/>
    <s v="HSERV CABREUVA"/>
    <x v="212"/>
    <n v="-2000"/>
    <x v="0"/>
    <s v="ACORDO TRABALHISTA"/>
  </r>
  <r>
    <d v="2025-07-16T00:00:00"/>
    <x v="0"/>
    <s v="VITOR DUARTE"/>
    <x v="213"/>
    <n v="-192"/>
    <x v="0"/>
    <s v="UNIFORMES"/>
  </r>
  <r>
    <d v="2025-07-16T00:00:00"/>
    <x v="0"/>
    <s v="HSERV CLEAN"/>
    <x v="214"/>
    <n v="-1709.15"/>
    <x v="0"/>
    <s v="MERCADORIAS PARA REVENDA"/>
  </r>
  <r>
    <d v="2025-07-16T00:00:00"/>
    <x v="0"/>
    <s v="HSERV TERCEIRIZADOS"/>
    <x v="124"/>
    <n v="-1800.33"/>
    <x v="0"/>
    <s v="MERCADORIAS PARA REVENDA"/>
  </r>
  <r>
    <d v="2025-07-16T00:00:00"/>
    <x v="0"/>
    <s v="HSERV CABREUVA"/>
    <x v="215"/>
    <n v="-1551.29"/>
    <x v="0"/>
    <s v="ACORDO TRABALHISTA"/>
  </r>
  <r>
    <d v="2025-07-30T00:00:00"/>
    <x v="0"/>
    <s v="HSERV CABREUVA"/>
    <x v="216"/>
    <n v="-1000"/>
    <x v="0"/>
    <s v="ACORDO TRABALHISTA"/>
  </r>
  <r>
    <d v="2025-07-30T00:00:00"/>
    <x v="0"/>
    <s v="HSERV CABREUVA"/>
    <x v="217"/>
    <n v="-501.54"/>
    <x v="0"/>
    <s v="ACORDO TRABALHISTA"/>
  </r>
  <r>
    <d v="2025-07-30T00:00:00"/>
    <x v="0"/>
    <s v="HSERV CLEAN"/>
    <x v="218"/>
    <n v="-2500"/>
    <x v="0"/>
    <s v="ACORDO TRABALHISTA"/>
  </r>
  <r>
    <d v="2025-07-15T00:00:00"/>
    <x v="0"/>
    <s v="HSERV REPRESENTACOES"/>
    <x v="219"/>
    <n v="-2000"/>
    <x v="0"/>
    <s v="ACORDO TRABALHISTA"/>
  </r>
  <r>
    <d v="2025-07-10T00:00:00"/>
    <x v="0"/>
    <s v="HSERV TERCEIRIZADOS"/>
    <x v="124"/>
    <n v="-1925"/>
    <x v="0"/>
    <s v="MERCADORIAS PARA REVENDA"/>
  </r>
  <r>
    <d v="2025-07-10T00:00:00"/>
    <x v="0"/>
    <s v="HSERV CLEAN"/>
    <x v="214"/>
    <n v="-1709.15"/>
    <x v="0"/>
    <s v="MERCADORIAS PARA REVENDA"/>
  </r>
  <r>
    <d v="2025-07-08T00:00:00"/>
    <x v="0"/>
    <s v="HSERV REPRESENTACOES"/>
    <x v="220"/>
    <n v="-2000"/>
    <x v="0"/>
    <s v="ACORDO TRABALHISTA"/>
  </r>
  <r>
    <d v="2025-07-30T00:00:00"/>
    <x v="0"/>
    <s v="VITOR DUARTE"/>
    <x v="221"/>
    <n v="-1916.67"/>
    <x v="0"/>
    <s v="ACORDO TRABALHISTA"/>
  </r>
  <r>
    <d v="2025-07-30T00:00:00"/>
    <x v="0"/>
    <s v="HSERV CABREUVA"/>
    <x v="222"/>
    <n v="-2200"/>
    <x v="0"/>
    <s v="ACORDO TRABALHISTA"/>
  </r>
  <r>
    <d v="2025-07-30T00:00:00"/>
    <x v="0"/>
    <s v="HSERV CABREUVA"/>
    <x v="223"/>
    <n v="-3836.54"/>
    <x v="0"/>
    <s v="ACORDO TRABALHISTA"/>
  </r>
  <r>
    <d v="2025-07-30T00:00:00"/>
    <x v="0"/>
    <s v="HSERV CABREUVA"/>
    <x v="224"/>
    <n v="-3200"/>
    <x v="0"/>
    <s v="ACORDO TRABALHISTA"/>
  </r>
  <r>
    <d v="2025-07-30T00:00:00"/>
    <x v="0"/>
    <s v="HSERV CABREUVA"/>
    <x v="225"/>
    <n v="-2000"/>
    <x v="0"/>
    <s v="ACORDO TRABALHISTA"/>
  </r>
  <r>
    <d v="2025-07-30T00:00:00"/>
    <x v="0"/>
    <s v="VITOR DUARTE"/>
    <x v="226"/>
    <n v="-2872.37"/>
    <x v="0"/>
    <s v="ACORDO TRABALHISTA"/>
  </r>
  <r>
    <d v="2025-07-30T00:00:00"/>
    <x v="0"/>
    <s v="HSERV CABREUVA"/>
    <x v="227"/>
    <n v="-2500"/>
    <x v="0"/>
    <s v="ACORDO TRABALHISTA"/>
  </r>
  <r>
    <d v="2025-07-30T00:00:00"/>
    <x v="0"/>
    <s v="HSERV LIMPEZA"/>
    <x v="228"/>
    <n v="-1000"/>
    <x v="0"/>
    <s v="ACORDO TRABALHISTA"/>
  </r>
  <r>
    <d v="2025-07-30T00:00:00"/>
    <x v="0"/>
    <s v="VITOR DUARTE"/>
    <x v="229"/>
    <n v="-1400"/>
    <x v="0"/>
    <s v="ACORDO TRABALHISTA"/>
  </r>
  <r>
    <d v="2025-07-01T00:00:00"/>
    <x v="0"/>
    <s v="VITOR DUARTE"/>
    <x v="230"/>
    <n v="-1848.63"/>
    <x v="0"/>
    <s v="ACORDO TRABALHISTA"/>
  </r>
  <r>
    <d v="2025-07-17T00:00:00"/>
    <x v="0"/>
    <s v="HSERV TERCEIRIZADOS"/>
    <x v="231"/>
    <n v="-192.98"/>
    <x v="0"/>
    <s v="ALUGUEL DE VEICULOS"/>
  </r>
  <r>
    <d v="2025-07-17T00:00:00"/>
    <x v="0"/>
    <s v="HSERV TERCEIRIZADOS"/>
    <x v="232"/>
    <n v="-4504.1000000000004"/>
    <x v="0"/>
    <s v="ALUGUEL DE VEICULOS"/>
  </r>
  <r>
    <d v="2025-07-17T00:00:00"/>
    <x v="0"/>
    <s v="HSERV TERCEIRIZADOS"/>
    <x v="233"/>
    <n v="-4967.25"/>
    <x v="0"/>
    <s v="ALUGUEL DE VEICULOS"/>
  </r>
  <r>
    <d v="2025-07-17T00:00:00"/>
    <x v="0"/>
    <s v="HSERV TERCEIRIZADOS"/>
    <x v="234"/>
    <n v="-4691.8100000000004"/>
    <x v="0"/>
    <s v="ALUGUEL DE VEICULOS"/>
  </r>
  <r>
    <d v="2025-07-17T00:00:00"/>
    <x v="0"/>
    <s v="HSERV TERCEIRIZADOS"/>
    <x v="235"/>
    <n v="-1442.93"/>
    <x v="0"/>
    <s v="ALUGUEL DE VEICULOS"/>
  </r>
  <r>
    <d v="2025-07-17T00:00:00"/>
    <x v="0"/>
    <s v="HSERV TERCEIRIZADOS"/>
    <x v="236"/>
    <n v="-130.16"/>
    <x v="0"/>
    <s v="ALUGUEL DE VEICULOS"/>
  </r>
  <r>
    <d v="2025-07-16T00:00:00"/>
    <x v="0"/>
    <s v="HSERV COMBINADOS"/>
    <x v="237"/>
    <n v="-250.4"/>
    <x v="0"/>
    <s v="VALE TRANSPORTE"/>
  </r>
  <r>
    <d v="2025-07-16T00:00:00"/>
    <x v="0"/>
    <s v="HSERV COMBINADOS"/>
    <x v="238"/>
    <n v="-319.8"/>
    <x v="0"/>
    <s v="VALE TRANSPORTE"/>
  </r>
  <r>
    <d v="2025-07-17T00:00:00"/>
    <x v="0"/>
    <s v="HSERV COMBINADOS"/>
    <x v="239"/>
    <n v="-153.4"/>
    <x v="0"/>
    <s v="VALE TRANSPORTE"/>
  </r>
  <r>
    <d v="2025-07-17T00:00:00"/>
    <x v="0"/>
    <s v="HSERV COMBINADOS"/>
    <x v="240"/>
    <n v="-110"/>
    <x v="0"/>
    <s v="VALE TRANSPORTE"/>
  </r>
  <r>
    <d v="2025-07-17T00:00:00"/>
    <x v="0"/>
    <s v="HSERV COMBINADOS"/>
    <x v="241"/>
    <n v="-159.9"/>
    <x v="0"/>
    <s v="VALE TRANSPORTE"/>
  </r>
  <r>
    <d v="2025-07-17T00:00:00"/>
    <x v="0"/>
    <s v="VITOR DUARTE"/>
    <x v="242"/>
    <n v="-159.9"/>
    <x v="0"/>
    <s v="VALE TRANSPORTE"/>
  </r>
  <r>
    <d v="2025-07-17T00:00:00"/>
    <x v="0"/>
    <s v="VITOR DUARTE"/>
    <x v="243"/>
    <n v="-191.1"/>
    <x v="0"/>
    <s v="VALE TRANSPORTE"/>
  </r>
  <r>
    <d v="2025-07-18T00:00:00"/>
    <x v="0"/>
    <s v="HSERV CABREUVA"/>
    <x v="244"/>
    <n v="-1905.5"/>
    <x v="0"/>
    <s v="SINDICATO"/>
  </r>
  <r>
    <d v="2025-07-16T00:00:00"/>
    <x v="0"/>
    <s v="HSERV TECNOLOGIA"/>
    <x v="245"/>
    <n v="-319.27"/>
    <x v="0"/>
    <s v="RESCISÕES"/>
  </r>
  <r>
    <d v="2025-07-16T00:00:00"/>
    <x v="0"/>
    <s v="HSERV CABREUVA"/>
    <x v="246"/>
    <n v="-1302"/>
    <x v="0"/>
    <s v="VALE ALIMENTAÇÃO"/>
  </r>
  <r>
    <d v="2025-07-16T00:00:00"/>
    <x v="0"/>
    <s v="HSERV CABREUVA"/>
    <x v="247"/>
    <n v="-2350"/>
    <x v="0"/>
    <s v="UNIFORMES"/>
  </r>
  <r>
    <d v="2025-07-16T00:00:00"/>
    <x v="0"/>
    <s v="HSERV CABREUVA"/>
    <x v="248"/>
    <n v="-3200"/>
    <x v="0"/>
    <s v="UNIFORMES"/>
  </r>
  <r>
    <d v="2025-07-16T00:00:00"/>
    <x v="0"/>
    <s v="HSERV TERCEIRIZADOS"/>
    <x v="249"/>
    <n v="-600"/>
    <x v="0"/>
    <s v="FT"/>
  </r>
  <r>
    <d v="2025-07-16T00:00:00"/>
    <x v="0"/>
    <s v="HSERV TERCEIRIZADOS"/>
    <x v="250"/>
    <n v="-800"/>
    <x v="0"/>
    <s v="FT"/>
  </r>
  <r>
    <d v="2025-07-16T00:00:00"/>
    <x v="0"/>
    <s v="HSERV TERCEIRIZADOS"/>
    <x v="251"/>
    <n v="-200"/>
    <x v="0"/>
    <s v="FT"/>
  </r>
  <r>
    <d v="2025-07-16T00:00:00"/>
    <x v="0"/>
    <s v="HSERV TERCEIRIZADOS"/>
    <x v="252"/>
    <n v="-1250"/>
    <x v="0"/>
    <s v="FT"/>
  </r>
  <r>
    <d v="2025-07-16T00:00:00"/>
    <x v="0"/>
    <s v="HSERV TERCEIRIZADOS"/>
    <x v="253"/>
    <n v="-1400"/>
    <x v="0"/>
    <s v="FT"/>
  </r>
  <r>
    <d v="2025-07-16T00:00:00"/>
    <x v="0"/>
    <s v="HENRIQUE JEAN"/>
    <x v="254"/>
    <n v="-2247.35"/>
    <x v="0"/>
    <s v="CESTA BASICA"/>
  </r>
  <r>
    <d v="2025-07-21T00:00:00"/>
    <x v="0"/>
    <s v="HSERV CABREUVA"/>
    <x v="255"/>
    <n v="-220"/>
    <x v="0"/>
    <s v="MANUTENÇÃO"/>
  </r>
  <r>
    <d v="2025-07-21T00:00:00"/>
    <x v="0"/>
    <s v="HSERV TERCEIRIZADOS"/>
    <x v="124"/>
    <n v="-1292.570109"/>
    <x v="0"/>
    <s v="MERCADORIAS PARA REVENDA"/>
  </r>
  <r>
    <d v="2025-07-21T00:00:00"/>
    <x v="0"/>
    <s v="HSERV CABREUVA"/>
    <x v="256"/>
    <n v="-3619.3394859999999"/>
    <x v="0"/>
    <s v="UNIFORMES"/>
  </r>
  <r>
    <d v="2025-07-21T00:00:00"/>
    <x v="0"/>
    <s v="HSERV TERCEIRIZADOS"/>
    <x v="124"/>
    <n v="-1718.37"/>
    <x v="0"/>
    <s v="MERCADORIAS PARA REVENDA"/>
  </r>
  <r>
    <d v="2025-07-21T00:00:00"/>
    <x v="0"/>
    <s v="HSERV CLEAN"/>
    <x v="257"/>
    <n v="-235.4"/>
    <x v="0"/>
    <s v="MANUTENÇÃO"/>
  </r>
  <r>
    <d v="2025-07-21T00:00:00"/>
    <x v="0"/>
    <s v="HENRIQUE JEAN"/>
    <x v="254"/>
    <n v="-3177.3"/>
    <x v="0"/>
    <s v="CESTA BASICA"/>
  </r>
  <r>
    <d v="2025-07-16T00:00:00"/>
    <x v="0"/>
    <s v="HSERV CABREUVA"/>
    <x v="254"/>
    <n v="-3022.31"/>
    <x v="0"/>
    <s v="CESTA BASICA"/>
  </r>
  <r>
    <d v="2025-07-21T00:00:00"/>
    <x v="0"/>
    <s v="HSERV CABREUVA"/>
    <x v="254"/>
    <n v="-2247.36"/>
    <x v="0"/>
    <s v="CESTA BASICA"/>
  </r>
  <r>
    <d v="2025-07-21T00:00:00"/>
    <x v="0"/>
    <s v="HSERV CLEAN"/>
    <x v="254"/>
    <n v="-3409.78"/>
    <x v="0"/>
    <s v="CESTA BASICA"/>
  </r>
  <r>
    <d v="2025-07-21T00:00:00"/>
    <x v="0"/>
    <s v="HSERV CLEAN"/>
    <x v="254"/>
    <n v="-1239.92"/>
    <x v="0"/>
    <s v="CESTA BASICA"/>
  </r>
  <r>
    <d v="2025-07-16T00:00:00"/>
    <x v="0"/>
    <s v="HSERV CLEAN"/>
    <x v="254"/>
    <n v="-774.95"/>
    <x v="0"/>
    <s v="CESTA BASICA"/>
  </r>
  <r>
    <d v="2025-07-16T00:00:00"/>
    <x v="0"/>
    <s v="HSERV CLEAN"/>
    <x v="254"/>
    <n v="-3487.27"/>
    <x v="0"/>
    <s v="CESTA BASICA"/>
  </r>
  <r>
    <d v="2025-07-16T00:00:00"/>
    <x v="0"/>
    <s v="HSERV COMBINADOS"/>
    <x v="254"/>
    <n v="-3177.29"/>
    <x v="0"/>
    <s v="CESTA BASICA"/>
  </r>
  <r>
    <d v="2025-07-21T00:00:00"/>
    <x v="0"/>
    <s v="HSERV COMBINADOS"/>
    <x v="254"/>
    <n v="-3332.28"/>
    <x v="0"/>
    <s v="CESTA BASICA"/>
  </r>
  <r>
    <d v="2025-07-21T00:00:00"/>
    <x v="0"/>
    <s v="HSERV LIMPEZA"/>
    <x v="254"/>
    <n v="-929.94"/>
    <x v="0"/>
    <s v="CESTA BASICA"/>
  </r>
  <r>
    <d v="2025-07-16T00:00:00"/>
    <x v="0"/>
    <s v="HSERV LIMPEZA"/>
    <x v="254"/>
    <n v="-852.45"/>
    <x v="0"/>
    <s v="CESTA BASICA"/>
  </r>
  <r>
    <d v="2025-07-16T00:00:00"/>
    <x v="0"/>
    <s v="HSERV REPRESENTACOES"/>
    <x v="254"/>
    <n v="-619.96"/>
    <x v="0"/>
    <s v="CESTA BASICA"/>
  </r>
  <r>
    <d v="2025-07-21T00:00:00"/>
    <x v="0"/>
    <s v="HSERV REPRESENTACOES"/>
    <x v="254"/>
    <n v="-929.94"/>
    <x v="0"/>
    <s v="CESTA BASICA"/>
  </r>
  <r>
    <d v="2025-07-21T00:00:00"/>
    <x v="0"/>
    <s v="HSERV TECNOLOGIA"/>
    <x v="254"/>
    <n v="-232.48"/>
    <x v="0"/>
    <s v="CESTA BASICA"/>
  </r>
  <r>
    <d v="2025-07-16T00:00:00"/>
    <x v="0"/>
    <s v="HSERV TECNOLOGIA"/>
    <x v="254"/>
    <n v="-232.49"/>
    <x v="0"/>
    <s v="CESTA BASICA"/>
  </r>
  <r>
    <d v="2025-07-21T00:00:00"/>
    <x v="0"/>
    <s v="HSERV TERCEIRIZADOS"/>
    <x v="254"/>
    <n v="-1084.93"/>
    <x v="0"/>
    <s v="CESTA BASICA"/>
  </r>
  <r>
    <d v="2025-07-16T00:00:00"/>
    <x v="0"/>
    <s v="HSERV TERCEIRIZADOS"/>
    <x v="254"/>
    <n v="-464.97"/>
    <x v="0"/>
    <s v="CESTA BASICA"/>
  </r>
  <r>
    <d v="2025-07-21T00:00:00"/>
    <x v="0"/>
    <s v="VITOR DUARTE"/>
    <x v="254"/>
    <n v="-154.99"/>
    <x v="0"/>
    <s v="CESTA BASICA"/>
  </r>
  <r>
    <d v="2025-07-16T00:00:00"/>
    <x v="0"/>
    <s v="VITOR DUARTE"/>
    <x v="254"/>
    <n v="-619.96"/>
    <x v="0"/>
    <s v="CESTA BASICA"/>
  </r>
  <r>
    <d v="2025-07-25T00:00:00"/>
    <x v="0"/>
    <s v="HSERV CLEAN"/>
    <x v="122"/>
    <n v="-1840.8"/>
    <x v="0"/>
    <s v="MERCADORIAS PARA REVENDA"/>
  </r>
  <r>
    <d v="2025-07-25T00:00:00"/>
    <x v="0"/>
    <s v="HSERV CLEAN"/>
    <x v="214"/>
    <n v="-10505.31"/>
    <x v="0"/>
    <s v="MERCADORIAS PARA REVENDA"/>
  </r>
  <r>
    <d v="2025-07-25T00:00:00"/>
    <x v="0"/>
    <s v="HSERV TERCEIRIZADOS"/>
    <x v="258"/>
    <n v="-1117.53"/>
    <x v="0"/>
    <s v="MERCADORIAS PARA REVENDA"/>
  </r>
  <r>
    <d v="2025-07-25T00:00:00"/>
    <x v="0"/>
    <s v="VITOR DUARTE"/>
    <x v="213"/>
    <n v="-180"/>
    <x v="0"/>
    <s v="UNIFORMES"/>
  </r>
  <r>
    <d v="2025-07-25T00:00:00"/>
    <x v="0"/>
    <s v="VITOR DUARTE"/>
    <x v="259"/>
    <n v="-430.22"/>
    <x v="0"/>
    <m/>
  </r>
  <r>
    <d v="2025-07-25T00:00:00"/>
    <x v="0"/>
    <s v="HSERV CABREUVA"/>
    <x v="260"/>
    <n v="-2688.37"/>
    <x v="0"/>
    <s v="ACORDO TRABALHISTA"/>
  </r>
  <r>
    <d v="2025-07-25T00:00:00"/>
    <x v="0"/>
    <s v="VITOR DUARTE"/>
    <x v="261"/>
    <n v="-440"/>
    <x v="0"/>
    <s v="ALUGUEL DE IMOVEIS"/>
  </r>
  <r>
    <d v="2025-07-15T00:00:00"/>
    <x v="0"/>
    <s v="HSERV CABREUVA"/>
    <x v="262"/>
    <n v="-3500"/>
    <x v="0"/>
    <s v="ACORDO TRABALHISTA"/>
  </r>
  <r>
    <d v="2025-07-15T00:00:00"/>
    <x v="0"/>
    <s v="HSERV TERCEIRIZADOS"/>
    <x v="263"/>
    <n v="-1330"/>
    <x v="0"/>
    <s v="MANUTENÇÃO"/>
  </r>
  <r>
    <d v="2025-07-15T00:00:00"/>
    <x v="0"/>
    <s v="HSERV COMBINADOS"/>
    <x v="264"/>
    <n v="-430.4"/>
    <x v="0"/>
    <s v="SISTEMA"/>
  </r>
  <r>
    <d v="2025-07-15T00:00:00"/>
    <x v="0"/>
    <s v="HENRIQUE JEAN"/>
    <x v="265"/>
    <n v="-119.8"/>
    <x v="0"/>
    <s v="RESCISÕES"/>
  </r>
  <r>
    <d v="2025-07-15T00:00:00"/>
    <x v="0"/>
    <s v="HSERV COMBINADOS"/>
    <x v="266"/>
    <n v="-183.91"/>
    <x v="0"/>
    <s v="RESCISÕES"/>
  </r>
  <r>
    <d v="2025-07-15T00:00:00"/>
    <x v="0"/>
    <s v="HSERV TECNOLOGIA"/>
    <x v="267"/>
    <n v="-190.27"/>
    <x v="0"/>
    <s v="RESCISÕES"/>
  </r>
  <r>
    <d v="2025-07-15T00:00:00"/>
    <x v="0"/>
    <s v="HSERV TECNOLOGIA"/>
    <x v="245"/>
    <n v="-898.96"/>
    <x v="0"/>
    <s v="RESCISÕES"/>
  </r>
  <r>
    <d v="2025-07-16T00:00:00"/>
    <x v="0"/>
    <s v="HSERV COMBINADOS"/>
    <x v="237"/>
    <n v="-250.4"/>
    <x v="0"/>
    <s v="VALE TRANSPORTE"/>
  </r>
  <r>
    <d v="2025-07-16T00:00:00"/>
    <x v="0"/>
    <s v="HSERV COMBINADOS"/>
    <x v="238"/>
    <n v="-319.8"/>
    <x v="0"/>
    <s v="VALE TRANSPORTE"/>
  </r>
  <r>
    <d v="2025-07-16T00:00:00"/>
    <x v="0"/>
    <s v="HSERV CABREUVA "/>
    <x v="268"/>
    <n v="-127.27"/>
    <x v="0"/>
    <s v="RESSARCIMENTO"/>
  </r>
  <r>
    <d v="2025-07-15T00:00:00"/>
    <x v="0"/>
    <s v="HSERV CLEAN"/>
    <x v="269"/>
    <n v="-1035.44"/>
    <x v="0"/>
    <s v="MANUTENÇÃO"/>
  </r>
  <r>
    <d v="2025-07-18T00:00:00"/>
    <x v="0"/>
    <s v="HSERV TERCEIRIZADOS"/>
    <x v="270"/>
    <n v="-1146.52"/>
    <x v="0"/>
    <s v="MERCADORIAS PARA REVENDA"/>
  </r>
  <r>
    <d v="2025-07-04T00:00:00"/>
    <x v="0"/>
    <s v="HSERV TERCEIRIZADOS"/>
    <x v="270"/>
    <n v="-1146.51"/>
    <x v="0"/>
    <s v="MERCADORIAS PARA REVENDA"/>
  </r>
  <r>
    <d v="2025-07-11T00:00:00"/>
    <x v="0"/>
    <s v="HSERV TERCEIRIZADOS"/>
    <x v="271"/>
    <n v="-1146.51"/>
    <x v="0"/>
    <s v="MERCADORIAS PARA REVENDA"/>
  </r>
  <r>
    <d v="2025-07-03T00:00:00"/>
    <x v="0"/>
    <s v="HSERV REPRESENTACOES"/>
    <x v="272"/>
    <n v="-710.99"/>
    <x v="0"/>
    <s v="EXAMES MEDICOS"/>
  </r>
  <r>
    <d v="2025-07-03T00:00:00"/>
    <x v="0"/>
    <s v="HSERV LIMPEZA"/>
    <x v="272"/>
    <n v="-408.28"/>
    <x v="0"/>
    <s v="EXAMES MEDICOS"/>
  </r>
  <r>
    <d v="2025-07-03T00:00:00"/>
    <x v="0"/>
    <s v="HSERV TERCERIZADOS"/>
    <x v="272"/>
    <n v="-408.28"/>
    <x v="0"/>
    <s v="EXAMES MEDICOS"/>
  </r>
  <r>
    <d v="2025-07-03T00:00:00"/>
    <x v="0"/>
    <s v="HSERV TECNOLOGIA"/>
    <x v="272"/>
    <n v="-408.28"/>
    <x v="0"/>
    <s v="EXAMES MEDICOS"/>
  </r>
  <r>
    <d v="2025-07-03T00:00:00"/>
    <x v="0"/>
    <s v="HSERV CLEAN"/>
    <x v="272"/>
    <n v="-243.84"/>
    <x v="0"/>
    <s v="EXAMES MEDICOS"/>
  </r>
  <r>
    <d v="2025-07-03T00:00:00"/>
    <x v="0"/>
    <s v="HENRIQUE DUARTE "/>
    <x v="272"/>
    <n v="-1224.42"/>
    <x v="0"/>
    <s v="EXAMES MEDICOS"/>
  </r>
  <r>
    <d v="2025-07-10T00:00:00"/>
    <x v="0"/>
    <s v="HSERV COMBINADOS"/>
    <x v="273"/>
    <n v="-55"/>
    <x v="0"/>
    <s v="VALE TRANSPORTE"/>
  </r>
  <r>
    <d v="2025-07-10T00:00:00"/>
    <x v="0"/>
    <s v="HSERV COMBINADOS"/>
    <x v="241"/>
    <n v="-55"/>
    <x v="0"/>
    <s v="VALE TRANSPORTE"/>
  </r>
  <r>
    <d v="2025-07-10T00:00:00"/>
    <x v="0"/>
    <s v="HSERV COMBINADOS"/>
    <x v="274"/>
    <n v="-224.2"/>
    <x v="0"/>
    <s v="VALE TRANSPORTE"/>
  </r>
  <r>
    <d v="2025-07-10T00:00:00"/>
    <x v="0"/>
    <s v="HSERV REPRESENTACOES"/>
    <x v="275"/>
    <n v="-110"/>
    <x v="0"/>
    <s v="VALE TRANSPORTE"/>
  </r>
  <r>
    <d v="2025-07-10T00:00:00"/>
    <x v="0"/>
    <s v="VITOR DUARTE"/>
    <x v="276"/>
    <n v="-180"/>
    <x v="0"/>
    <s v="VALE TRANSPORTE"/>
  </r>
  <r>
    <d v="2025-07-10T00:00:00"/>
    <x v="0"/>
    <s v="HSERV TECNOLOGIA"/>
    <x v="277"/>
    <n v="-171.85"/>
    <x v="0"/>
    <s v="RESCISÕES"/>
  </r>
  <r>
    <d v="2025-07-03T00:00:00"/>
    <x v="0"/>
    <s v="HERV COMBINADOS"/>
    <x v="272"/>
    <n v="-1063.23"/>
    <x v="0"/>
    <s v="EXAMES MEDICOS"/>
  </r>
  <r>
    <d v="2025-07-03T00:00:00"/>
    <x v="0"/>
    <s v="VITOR DUARTE"/>
    <x v="272"/>
    <n v="-41.59"/>
    <x v="0"/>
    <s v="EXAMES MEDICOS"/>
  </r>
  <r>
    <d v="2025-07-03T00:00:00"/>
    <x v="0"/>
    <s v="HENRIQUE JEAN"/>
    <x v="278"/>
    <n v="-200"/>
    <x v="0"/>
    <s v="VALE TRANSPORTE"/>
  </r>
  <r>
    <d v="2025-07-03T00:00:00"/>
    <x v="0"/>
    <s v="HSERV COMBINADOS"/>
    <x v="279"/>
    <n v="-177"/>
    <x v="0"/>
    <s v="VALE TRANSPORTE"/>
  </r>
  <r>
    <d v="2025-07-03T00:00:00"/>
    <x v="0"/>
    <s v="HSERV COMBINADOS"/>
    <x v="280"/>
    <n v="-253"/>
    <x v="0"/>
    <s v="VALE TRANSPORTE"/>
  </r>
  <r>
    <d v="2025-07-03T00:00:00"/>
    <x v="0"/>
    <s v="HSERV COMBINADOS"/>
    <x v="281"/>
    <n v="-165"/>
    <x v="0"/>
    <s v="VALE TRANSPORTE"/>
  </r>
  <r>
    <d v="2025-07-03T00:00:00"/>
    <x v="0"/>
    <s v="HSERV COMBINADOS"/>
    <x v="282"/>
    <n v="-177"/>
    <x v="0"/>
    <s v="VALE TRANSPORTE"/>
  </r>
  <r>
    <d v="2025-07-03T00:00:00"/>
    <x v="0"/>
    <s v="HSERV TECNOLOGIA"/>
    <x v="283"/>
    <n v="-240"/>
    <x v="0"/>
    <s v="VALE TRANSPORTE"/>
  </r>
  <r>
    <d v="2025-07-03T00:00:00"/>
    <x v="0"/>
    <s v="VITOR DUARTE"/>
    <x v="284"/>
    <n v="-130"/>
    <x v="0"/>
    <s v="VALE COMBUSTIVEL"/>
  </r>
  <r>
    <d v="2025-07-03T00:00:00"/>
    <x v="0"/>
    <s v="HSERV COMBINADOS"/>
    <x v="285"/>
    <n v="-200"/>
    <x v="0"/>
    <s v="FT"/>
  </r>
  <r>
    <d v="2025-07-02T00:00:00"/>
    <x v="0"/>
    <s v="HSERV CLEAN"/>
    <x v="286"/>
    <n v="-1593.18"/>
    <x v="0"/>
    <s v="UNIFORMES"/>
  </r>
  <r>
    <d v="2025-07-03T00:00:00"/>
    <x v="0"/>
    <s v="VITOR DUARTE"/>
    <x v="213"/>
    <n v="-60"/>
    <x v="0"/>
    <s v="UNIFORMES"/>
  </r>
  <r>
    <d v="2025-07-03T00:00:00"/>
    <x v="0"/>
    <s v="HSERV TERCERIZADOS"/>
    <x v="287"/>
    <n v="-360"/>
    <x v="0"/>
    <s v="FT"/>
  </r>
  <r>
    <d v="2025-07-03T00:00:00"/>
    <x v="0"/>
    <s v="HSERV TERCERIZADOS"/>
    <x v="288"/>
    <n v="-440"/>
    <x v="0"/>
    <s v="FT"/>
  </r>
  <r>
    <d v="2025-07-03T00:00:00"/>
    <x v="0"/>
    <s v="HSERV TERCERIZADOS"/>
    <x v="289"/>
    <n v="-360"/>
    <x v="0"/>
    <s v="FT"/>
  </r>
  <r>
    <d v="2025-07-03T00:00:00"/>
    <x v="0"/>
    <s v="HSERV TERCERIZADOS"/>
    <x v="290"/>
    <n v="-120"/>
    <x v="0"/>
    <s v="FT"/>
  </r>
  <r>
    <d v="2025-07-03T00:00:00"/>
    <x v="0"/>
    <s v="HSERV TERCERIZADOS"/>
    <x v="291"/>
    <n v="-360"/>
    <x v="0"/>
    <s v="FT"/>
  </r>
  <r>
    <d v="2025-07-15T00:00:00"/>
    <x v="0"/>
    <s v="HSERV TERCEIRIZADOS"/>
    <x v="292"/>
    <n v="-1330"/>
    <x v="0"/>
    <s v="MANUTENÇÃO"/>
  </r>
  <r>
    <d v="2025-07-01T00:00:00"/>
    <x v="0"/>
    <s v="HSERV CLEAN"/>
    <x v="293"/>
    <n v="-94.65"/>
    <x v="0"/>
    <s v="FRETE"/>
  </r>
  <r>
    <d v="2025-07-01T00:00:00"/>
    <x v="0"/>
    <s v="HSERV CLEAN"/>
    <x v="294"/>
    <n v="-6069.71"/>
    <x v="0"/>
    <s v="ACORDO TRABALHISTA"/>
  </r>
  <r>
    <d v="2025-07-01T00:00:00"/>
    <x v="0"/>
    <s v="HSERV CLEAN"/>
    <x v="295"/>
    <n v="-3968.99"/>
    <x v="0"/>
    <s v="ACORDO TRABALHISTA"/>
  </r>
  <r>
    <d v="2025-07-01T00:00:00"/>
    <x v="0"/>
    <s v="HSERV COMBINADOS"/>
    <x v="296"/>
    <n v="-82.93"/>
    <x v="0"/>
    <s v="RESCISÕES"/>
  </r>
  <r>
    <d v="2025-07-02T00:00:00"/>
    <x v="0"/>
    <s v="HSERV CLEAN"/>
    <x v="297"/>
    <n v="-3266.04"/>
    <x v="0"/>
    <s v="MERCADORIAS PARA REVENDA"/>
  </r>
  <r>
    <d v="2025-07-08T00:00:00"/>
    <x v="0"/>
    <s v="HSERV CLEAN"/>
    <x v="298"/>
    <n v="-3255.2"/>
    <x v="0"/>
    <s v="MERCADORIAS PARA REVENDA"/>
  </r>
  <r>
    <d v="2025-07-08T00:00:00"/>
    <x v="0"/>
    <s v="VITOR DUARTE"/>
    <x v="299"/>
    <n v="-90"/>
    <x v="0"/>
    <s v="UNIFORMES"/>
  </r>
  <r>
    <d v="2025-07-08T00:00:00"/>
    <x v="0"/>
    <s v="HSERV LIMPEZA"/>
    <x v="300"/>
    <n v="-105.31"/>
    <x v="0"/>
    <s v="RESCISÕES"/>
  </r>
  <r>
    <d v="2025-07-08T00:00:00"/>
    <x v="0"/>
    <s v="HSERV TERCEIRIZADOS"/>
    <x v="301"/>
    <n v="-252.74"/>
    <x v="0"/>
    <s v="RESCISÕES"/>
  </r>
  <r>
    <d v="2025-07-08T00:00:00"/>
    <x v="0"/>
    <s v="HSERV COMBINADOS"/>
    <x v="302"/>
    <n v="-5600"/>
    <x v="0"/>
    <s v="ACORDO TRABALHISTA"/>
  </r>
  <r>
    <d v="2025-07-08T00:00:00"/>
    <x v="0"/>
    <s v="HSERV TERCEIRIZADOS"/>
    <x v="303"/>
    <n v="-352.25"/>
    <x v="0"/>
    <s v="MERCADORIAS PARA REVENDA"/>
  </r>
  <r>
    <d v="2025-07-18T00:00:00"/>
    <x v="0"/>
    <s v="HSERV CABREUVA"/>
    <x v="304"/>
    <n v="-2003.3397440000001"/>
    <x v="0"/>
    <s v="UNIFORMES"/>
  </r>
  <r>
    <d v="2025-07-18T00:00:00"/>
    <x v="0"/>
    <s v="HSERV CLEAN"/>
    <x v="122"/>
    <n v="-955.7"/>
    <x v="0"/>
    <s v="MERCADORIAS PARA REVENDA"/>
  </r>
  <r>
    <d v="2025-07-18T00:00:00"/>
    <x v="0"/>
    <s v="HSERV CLEAN"/>
    <x v="122"/>
    <n v="-372.75"/>
    <x v="0"/>
    <s v="MERCADORIAS PARA REVENDA"/>
  </r>
  <r>
    <d v="2025-07-08T00:00:00"/>
    <x v="0"/>
    <s v="HSERV COMBINADOS "/>
    <x v="305"/>
    <n v="-238.27"/>
    <x v="0"/>
    <s v="ALUGUEL DE VEICULOS"/>
  </r>
  <r>
    <d v="2025-07-08T00:00:00"/>
    <x v="0"/>
    <s v="HSERV COMBINADOS "/>
    <x v="306"/>
    <n v="-238.27"/>
    <x v="0"/>
    <s v="ALUGUEL DE VEICULOS"/>
  </r>
  <r>
    <d v="2025-07-08T00:00:00"/>
    <x v="0"/>
    <s v="HSERV COMBINADOS "/>
    <x v="307"/>
    <n v="-238.27"/>
    <x v="0"/>
    <s v="ALUGUEL DE VEICULOS"/>
  </r>
  <r>
    <d v="2025-07-08T00:00:00"/>
    <x v="0"/>
    <s v="HSERV COMBINADOS "/>
    <x v="308"/>
    <n v="-238.27"/>
    <x v="0"/>
    <s v="ALUGUEL DE VEICULOS"/>
  </r>
  <r>
    <d v="2025-07-08T00:00:00"/>
    <x v="0"/>
    <s v="HSERV COMBINADOS "/>
    <x v="309"/>
    <n v="-327.58999999999997"/>
    <x v="0"/>
    <s v="ALUGUEL DE VEICULOS"/>
  </r>
  <r>
    <d v="2025-07-08T00:00:00"/>
    <x v="0"/>
    <s v="HSERV COMBINADOS "/>
    <x v="310"/>
    <n v="-492.61"/>
    <x v="0"/>
    <s v="ALUGUEL DE VEICULOS"/>
  </r>
  <r>
    <d v="2025-07-08T00:00:00"/>
    <x v="0"/>
    <s v="HSERV COMBINADOS "/>
    <x v="311"/>
    <n v="-635.09"/>
    <x v="0"/>
    <s v="ALUGUEL DE VEICULOS"/>
  </r>
  <r>
    <d v="2025-07-08T00:00:00"/>
    <x v="0"/>
    <s v="VITOR DUARTE"/>
    <x v="312"/>
    <n v="-752.69"/>
    <x v="0"/>
    <s v="ALUGUEL DE VEICULOS"/>
  </r>
  <r>
    <d v="2025-07-08T00:00:00"/>
    <x v="0"/>
    <s v="VITOR DUARTE"/>
    <x v="313"/>
    <n v="-6481.7"/>
    <x v="0"/>
    <s v="ALUGUEL DE VEICULOS"/>
  </r>
  <r>
    <d v="2025-07-04T00:00:00"/>
    <x v="0"/>
    <s v="VITOR DUARTE"/>
    <x v="314"/>
    <n v="-2000"/>
    <x v="0"/>
    <s v="TI"/>
  </r>
  <r>
    <d v="2025-07-04T00:00:00"/>
    <x v="0"/>
    <s v="HSERV COMBINADOS  ND "/>
    <x v="315"/>
    <n v="-150"/>
    <x v="0"/>
    <s v="TI"/>
  </r>
  <r>
    <d v="2025-08-29T00:00:00"/>
    <x v="1"/>
    <s v="HSERV TERCERIZADOS"/>
    <x v="316"/>
    <n v="15077.75"/>
    <x v="1"/>
    <s v="VENDAS DE SERVIÇOS"/>
  </r>
  <r>
    <d v="2025-09-30T00:00:00"/>
    <x v="2"/>
    <s v="HSERV TERCERIZADOS"/>
    <x v="316"/>
    <n v="15077.75"/>
    <x v="1"/>
    <s v="VENDAS DE SERVIÇOS"/>
  </r>
  <r>
    <d v="2025-10-30T00:00:00"/>
    <x v="3"/>
    <s v="HSERV TERCERIZADOS"/>
    <x v="316"/>
    <n v="15077.75"/>
    <x v="1"/>
    <s v="VENDAS DE SERVIÇOS"/>
  </r>
  <r>
    <d v="2025-11-28T00:00:00"/>
    <x v="4"/>
    <s v="HSERV TERCERIZADOS"/>
    <x v="316"/>
    <n v="15077.75"/>
    <x v="1"/>
    <s v="VENDAS DE SERVIÇOS"/>
  </r>
  <r>
    <d v="2025-12-30T00:00:00"/>
    <x v="5"/>
    <s v="HSERV TERCERIZADOS"/>
    <x v="316"/>
    <n v="15077.75"/>
    <x v="1"/>
    <s v="VENDAS DE SERVIÇOS"/>
  </r>
  <r>
    <d v="2025-07-07T00:00:00"/>
    <x v="0"/>
    <s v="HSERV TERCERIZADOS"/>
    <x v="316"/>
    <n v="15077.75"/>
    <x v="1"/>
    <s v="VENDAS DE SERVIÇOS"/>
  </r>
  <r>
    <d v="2025-07-08T00:00:00"/>
    <x v="0"/>
    <s v="HSERV CABREUVA"/>
    <x v="317"/>
    <n v="-257"/>
    <x v="0"/>
    <s v="VALE TRANSPORTE"/>
  </r>
  <r>
    <d v="2025-07-08T00:00:00"/>
    <x v="0"/>
    <s v="HSERV COMBINADOS"/>
    <x v="318"/>
    <n v="-195"/>
    <x v="0"/>
    <s v="VALE TRANSPORTE"/>
  </r>
  <r>
    <d v="2025-07-08T00:00:00"/>
    <x v="0"/>
    <s v="VITOR DUARTE"/>
    <x v="140"/>
    <n v="-160"/>
    <x v="0"/>
    <s v="VALE TRANSPORTE"/>
  </r>
  <r>
    <d v="2025-07-08T00:00:00"/>
    <x v="0"/>
    <s v="VITOR DUARTE"/>
    <x v="319"/>
    <n v="-684"/>
    <x v="0"/>
    <s v="VALE TRANSPORTE"/>
  </r>
  <r>
    <d v="2025-07-08T00:00:00"/>
    <x v="0"/>
    <s v="HSERV TERCEIRIZADOS"/>
    <x v="320"/>
    <n v="-32.4"/>
    <x v="0"/>
    <s v="VALE TRANSPORTE"/>
  </r>
  <r>
    <d v="2025-07-08T00:00:00"/>
    <x v="0"/>
    <s v="HSERV TERCEIRIZADOS"/>
    <x v="321"/>
    <n v="-12"/>
    <x v="0"/>
    <s v="VALE TRANSPORTE"/>
  </r>
  <r>
    <d v="2025-07-08T00:00:00"/>
    <x v="0"/>
    <s v="HENRIQUE JEAN"/>
    <x v="322"/>
    <n v="-630.08000000000004"/>
    <x v="0"/>
    <s v="SINDICATO"/>
  </r>
  <r>
    <d v="2025-07-08T00:00:00"/>
    <x v="0"/>
    <s v="HENRIQUE JEAN"/>
    <x v="323"/>
    <n v="-5000"/>
    <x v="0"/>
    <s v="RESERVA"/>
  </r>
  <r>
    <d v="2025-07-08T00:00:00"/>
    <x v="0"/>
    <s v="HSERV TERCEIRIZADOS"/>
    <x v="324"/>
    <n v="-900.68"/>
    <x v="0"/>
    <s v="MERCADORIAS PARA REVENDA"/>
  </r>
  <r>
    <d v="2025-07-18T00:00:00"/>
    <x v="0"/>
    <s v="HSERV REPRESENTACOES"/>
    <x v="325"/>
    <n v="-2785.73"/>
    <x v="0"/>
    <s v="RESCISÕES"/>
  </r>
  <r>
    <d v="2025-07-18T00:00:00"/>
    <x v="0"/>
    <s v="HSERV TERCEIRIZADOS"/>
    <x v="326"/>
    <n v="-352.25"/>
    <x v="0"/>
    <s v="MERCADORIAS PARA REVENDA"/>
  </r>
  <r>
    <d v="2025-07-11T00:00:00"/>
    <x v="0"/>
    <s v="HSERV TERCEIRIZADOS"/>
    <x v="10"/>
    <n v="-40.86"/>
    <x v="0"/>
    <s v="MANUTENÇÃO"/>
  </r>
  <r>
    <d v="2025-07-02T00:00:00"/>
    <x v="0"/>
    <s v="HSERV COMBINADOS"/>
    <x v="327"/>
    <n v="-150"/>
    <x v="0"/>
    <s v="SALARIOS"/>
  </r>
  <r>
    <d v="2025-07-02T00:00:00"/>
    <x v="0"/>
    <s v="VITOR DUARTE"/>
    <x v="328"/>
    <n v="-2651.79"/>
    <x v="0"/>
    <s v="SISTEMA"/>
  </r>
  <r>
    <d v="2025-07-02T00:00:00"/>
    <x v="0"/>
    <s v="VITOR DUARTE"/>
    <x v="328"/>
    <n v="-1668.9"/>
    <x v="0"/>
    <s v="SISTEMA"/>
  </r>
  <r>
    <d v="2025-07-18T00:00:00"/>
    <x v="0"/>
    <s v="HSERV CABREUVA"/>
    <x v="329"/>
    <n v="-32273.98"/>
    <x v="0"/>
    <s v="IMPOSTO"/>
  </r>
  <r>
    <d v="2025-07-18T00:00:00"/>
    <x v="0"/>
    <s v="VITOR DUARTE"/>
    <x v="330"/>
    <n v="-6413.2"/>
    <x v="0"/>
    <s v="IMPOSTO"/>
  </r>
  <r>
    <d v="2025-07-18T00:00:00"/>
    <x v="0"/>
    <s v="HSERV CLEAN"/>
    <x v="331"/>
    <n v="-542.24"/>
    <x v="0"/>
    <s v="IMPOSTO"/>
  </r>
  <r>
    <d v="2025-07-18T00:00:00"/>
    <x v="0"/>
    <s v=" HSERV CABREUVA"/>
    <x v="332"/>
    <n v="-538.46"/>
    <x v="0"/>
    <s v="IMPOSTO"/>
  </r>
  <r>
    <d v="2025-07-18T00:00:00"/>
    <x v="0"/>
    <s v="HENRIQUE JEAN"/>
    <x v="333"/>
    <n v="-516.86"/>
    <x v="0"/>
    <s v="IMPOSTO"/>
  </r>
  <r>
    <d v="2025-07-18T00:00:00"/>
    <x v="0"/>
    <s v="HSERV COMBINADOS"/>
    <x v="334"/>
    <n v="-500.71"/>
    <x v="0"/>
    <s v="IMPOSTO"/>
  </r>
  <r>
    <d v="2025-07-18T00:00:00"/>
    <x v="0"/>
    <s v="VITOR DUARTE"/>
    <x v="335"/>
    <n v="-4242.03"/>
    <x v="0"/>
    <s v="IMPOSTO"/>
  </r>
  <r>
    <d v="2025-07-18T00:00:00"/>
    <x v="0"/>
    <s v="HSERV REPRESENTAÇÃO "/>
    <x v="336"/>
    <n v="-510.48"/>
    <x v="0"/>
    <s v="IMPOSTO"/>
  </r>
  <r>
    <d v="2025-07-18T00:00:00"/>
    <x v="0"/>
    <s v="HSERV LIMPEZA"/>
    <x v="337"/>
    <n v="-514.67999999999995"/>
    <x v="0"/>
    <s v="IMPOSTO"/>
  </r>
  <r>
    <d v="2025-07-10T00:00:00"/>
    <x v="0"/>
    <s v="HSERV TERCEIRIZADOS"/>
    <x v="338"/>
    <n v="-1500"/>
    <x v="0"/>
    <s v="CAIXINHA"/>
  </r>
  <r>
    <d v="2025-07-10T00:00:00"/>
    <x v="0"/>
    <s v="HSERV CMBINAODS"/>
    <x v="339"/>
    <n v="-30"/>
    <x v="0"/>
    <s v="SINDICATO"/>
  </r>
  <r>
    <d v="2025-07-10T00:00:00"/>
    <x v="0"/>
    <s v="HSERV TERCEIRIZADOS"/>
    <x v="340"/>
    <n v="-33"/>
    <x v="0"/>
    <s v="FRETE"/>
  </r>
  <r>
    <d v="2025-07-11T00:00:00"/>
    <x v="0"/>
    <s v="VITOR DUARTE"/>
    <x v="341"/>
    <n v="-1408.84"/>
    <x v="0"/>
    <s v="CESTA NATALINA"/>
  </r>
  <r>
    <d v="2025-07-11T00:00:00"/>
    <x v="0"/>
    <s v="VITOR DUARTE"/>
    <x v="341"/>
    <n v="-3312.86"/>
    <x v="0"/>
    <s v="CESTA NATALINA"/>
  </r>
  <r>
    <d v="2025-07-11T00:00:00"/>
    <x v="0"/>
    <s v="HSERV COMBINADOS"/>
    <x v="342"/>
    <n v="-336.85"/>
    <x v="0"/>
    <s v="SALARIOS"/>
  </r>
  <r>
    <d v="2025-07-11T00:00:00"/>
    <x v="0"/>
    <s v="HSERV COMBINADOS"/>
    <x v="343"/>
    <n v="-165"/>
    <x v="0"/>
    <s v="VALE TRANSPORTE"/>
  </r>
  <r>
    <d v="2025-07-11T00:00:00"/>
    <x v="0"/>
    <s v="HSERV COMBINADOS"/>
    <x v="51"/>
    <n v="-178"/>
    <x v="0"/>
    <s v="VALE TRANSPORTE"/>
  </r>
  <r>
    <d v="2025-07-11T00:00:00"/>
    <x v="0"/>
    <s v="HSERV CABREUVA"/>
    <x v="344"/>
    <n v="-238.27"/>
    <x v="0"/>
    <s v="EXAMES MEDICOS"/>
  </r>
  <r>
    <d v="2025-07-11T00:00:00"/>
    <x v="0"/>
    <s v="HENRIQUE JEAN"/>
    <x v="345"/>
    <n v="-259.25"/>
    <x v="0"/>
    <s v="IMPOSTO"/>
  </r>
  <r>
    <d v="2025-07-11T00:00:00"/>
    <x v="0"/>
    <s v="HENRIQUE JEAN"/>
    <x v="346"/>
    <n v="-132.47"/>
    <x v="0"/>
    <s v="IMPOSTO"/>
  </r>
  <r>
    <d v="2025-07-11T00:00:00"/>
    <x v="0"/>
    <s v="HENRIQUE JEAN"/>
    <x v="347"/>
    <n v="-234.94"/>
    <x v="0"/>
    <s v="IMPOSTO"/>
  </r>
  <r>
    <d v="2025-07-11T00:00:00"/>
    <x v="0"/>
    <s v="HENRIQUE JEAN"/>
    <x v="348"/>
    <n v="-265.04000000000002"/>
    <x v="0"/>
    <s v="IMPOSTO"/>
  </r>
  <r>
    <d v="2025-07-11T00:00:00"/>
    <x v="0"/>
    <s v="HENRIQUE JEAN"/>
    <x v="349"/>
    <n v="-236.39"/>
    <x v="0"/>
    <s v="IMPOSTO"/>
  </r>
  <r>
    <d v="2025-07-11T00:00:00"/>
    <x v="0"/>
    <s v="HENRIQUE JEAN"/>
    <x v="350"/>
    <n v="-179.49"/>
    <x v="0"/>
    <s v="IMPOSTO"/>
  </r>
  <r>
    <d v="2025-07-11T00:00:00"/>
    <x v="0"/>
    <s v="HENRIQUE JEAN"/>
    <x v="351"/>
    <n v="-275.81"/>
    <x v="0"/>
    <s v="IMPOSTO"/>
  </r>
  <r>
    <d v="2025-07-11T00:00:00"/>
    <x v="0"/>
    <s v="HENRIQUE JEAN"/>
    <x v="352"/>
    <n v="-348.05"/>
    <x v="0"/>
    <s v="IMPOSTO"/>
  </r>
  <r>
    <d v="2025-07-11T00:00:00"/>
    <x v="0"/>
    <s v="HENRIQUE JEAN"/>
    <x v="353"/>
    <n v="-338.6"/>
    <x v="0"/>
    <s v="IMPOSTO"/>
  </r>
  <r>
    <d v="2025-07-11T00:00:00"/>
    <x v="0"/>
    <s v="VITOR DUARTE"/>
    <x v="354"/>
    <n v="-120"/>
    <x v="0"/>
    <s v="ALUGUEL DE VEICULOS"/>
  </r>
  <r>
    <d v="2025-07-11T00:00:00"/>
    <x v="0"/>
    <s v="VITOR DUARTE"/>
    <x v="355"/>
    <n v="-233.26"/>
    <x v="0"/>
    <s v="ALUGUEL DE VEICULOS"/>
  </r>
  <r>
    <d v="2025-07-11T00:00:00"/>
    <x v="0"/>
    <s v="VITOR DUARTE"/>
    <x v="356"/>
    <n v="-233.26"/>
    <x v="0"/>
    <s v="ALUGUEL DE VEICULOS"/>
  </r>
  <r>
    <d v="2025-07-04T00:00:00"/>
    <x v="0"/>
    <s v="HSERV TERCEIRIZADOS"/>
    <x v="236"/>
    <n v="-293.45999999999998"/>
    <x v="0"/>
    <s v="ALUGUEL DE VEICULOS"/>
  </r>
  <r>
    <d v="2025-07-04T00:00:00"/>
    <x v="0"/>
    <s v="HSERV CABREUVA"/>
    <x v="255"/>
    <n v="-180"/>
    <x v="0"/>
    <s v="MANUTENÇÃO"/>
  </r>
  <r>
    <d v="2025-07-04T00:00:00"/>
    <x v="0"/>
    <s v="HENRIQUE JEAN"/>
    <x v="357"/>
    <n v="-1673.53"/>
    <x v="0"/>
    <s v="RESCISÕES"/>
  </r>
  <r>
    <d v="2025-07-04T00:00:00"/>
    <x v="0"/>
    <s v="HSERV TERCEIRIZADOS"/>
    <x v="358"/>
    <n v="-3012.37"/>
    <x v="0"/>
    <s v="RESCISÕES"/>
  </r>
  <r>
    <d v="2025-07-04T00:00:00"/>
    <x v="0"/>
    <s v="HSERV LIMPEZA"/>
    <x v="359"/>
    <n v="-1442.11"/>
    <x v="0"/>
    <s v="RESCISÕES"/>
  </r>
  <r>
    <d v="2025-07-04T00:00:00"/>
    <x v="0"/>
    <s v="HSERV TECNOLOGIA"/>
    <x v="277"/>
    <n v="-2146.87"/>
    <x v="0"/>
    <s v="RESCISÕES"/>
  </r>
  <r>
    <d v="2025-07-04T00:00:00"/>
    <x v="0"/>
    <s v="HSERV COMBINADOS"/>
    <x v="208"/>
    <n v="-194.6"/>
    <x v="0"/>
    <s v="VALE TRANSPORTE"/>
  </r>
  <r>
    <d v="2025-07-04T00:00:00"/>
    <x v="0"/>
    <s v="HSERV TECNOLOGIA"/>
    <x v="360"/>
    <n v="-225.6"/>
    <x v="0"/>
    <s v="VALE TRANSPORTE"/>
  </r>
  <r>
    <d v="2025-07-04T00:00:00"/>
    <x v="0"/>
    <s v="HSERV COMBINADOS"/>
    <x v="361"/>
    <n v="-225.6"/>
    <x v="0"/>
    <s v="VALE TRANSPORTE"/>
  </r>
  <r>
    <d v="2025-07-04T00:00:00"/>
    <x v="0"/>
    <s v="HSERV COMBINADOS"/>
    <x v="362"/>
    <n v="-267"/>
    <x v="0"/>
    <s v="VALE TRANSPORTE"/>
  </r>
  <r>
    <d v="2025-07-04T00:00:00"/>
    <x v="0"/>
    <s v="VITOR DUARTE"/>
    <x v="284"/>
    <n v="-225.6"/>
    <x v="0"/>
    <s v="VALE COMBUSTIVEL"/>
  </r>
  <r>
    <d v="2025-07-04T00:00:00"/>
    <x v="0"/>
    <s v="HSERV CLEAN"/>
    <x v="363"/>
    <n v="-368.68"/>
    <x v="0"/>
    <s v="SALARIOS"/>
  </r>
  <r>
    <d v="2025-07-04T00:00:00"/>
    <x v="0"/>
    <s v="HSERV COMBINADOS"/>
    <x v="44"/>
    <n v="-3675"/>
    <x v="0"/>
    <s v="FÉRIAS"/>
  </r>
  <r>
    <d v="2025-07-04T00:00:00"/>
    <x v="0"/>
    <s v="HSERV CABREUVA"/>
    <x v="364"/>
    <n v="-6441.1"/>
    <x v="0"/>
    <s v="EMPRESTIMO "/>
  </r>
  <r>
    <d v="2025-07-04T00:00:00"/>
    <x v="0"/>
    <s v="HSERV CABREUVA"/>
    <x v="189"/>
    <n v="-1163.28"/>
    <x v="0"/>
    <s v="MATERIAL DE ESCRITÓRIO"/>
  </r>
  <r>
    <d v="2025-07-04T00:00:00"/>
    <x v="0"/>
    <s v="HSERV CABREUVA"/>
    <x v="189"/>
    <n v="-196.43"/>
    <x v="0"/>
    <s v="MATERIAL DE ESCRITÓRIO"/>
  </r>
  <r>
    <d v="2025-07-04T00:00:00"/>
    <x v="0"/>
    <s v="HSERV CLEAN"/>
    <x v="122"/>
    <n v="-845.1"/>
    <x v="0"/>
    <s v="MERCADORIAS PARA REVENDA"/>
  </r>
  <r>
    <d v="2025-07-04T00:00:00"/>
    <x v="0"/>
    <s v="HSERV CLEAN"/>
    <x v="122"/>
    <n v="-3534.54"/>
    <x v="0"/>
    <s v="MERCADORIAS PARA REVENDA"/>
  </r>
  <r>
    <d v="2025-07-01T00:00:00"/>
    <x v="0"/>
    <s v="HSERV LIMPEZA"/>
    <x v="365"/>
    <n v="-62.28"/>
    <x v="0"/>
    <s v="VALE ALIMENTAÇÃO"/>
  </r>
  <r>
    <d v="2025-07-01T00:00:00"/>
    <x v="0"/>
    <s v="HSERV REPRESENTACOES"/>
    <x v="366"/>
    <n v="-62.28"/>
    <x v="0"/>
    <s v="VALE ALIMENTAÇÃO"/>
  </r>
  <r>
    <d v="2025-07-01T00:00:00"/>
    <x v="0"/>
    <s v="HSERV TERCEIRIZADOS"/>
    <x v="367"/>
    <n v="-62.28"/>
    <x v="0"/>
    <s v="VALE ALIMENTAÇÃO"/>
  </r>
  <r>
    <d v="2025-07-01T00:00:00"/>
    <x v="0"/>
    <s v="HSERV CLEAN"/>
    <x v="368"/>
    <n v="-207.6"/>
    <x v="0"/>
    <s v="VALE ALIMENTAÇÃO"/>
  </r>
  <r>
    <d v="2025-07-01T00:00:00"/>
    <x v="0"/>
    <s v="HSERV CLEAN"/>
    <x v="369"/>
    <n v="-40"/>
    <x v="0"/>
    <s v="VALE TRANSPORTE"/>
  </r>
  <r>
    <d v="2025-07-01T00:00:00"/>
    <x v="0"/>
    <s v="HSERV LIMPEZA"/>
    <x v="365"/>
    <n v="-100"/>
    <x v="0"/>
    <s v="VALE TRANSPORTE"/>
  </r>
  <r>
    <d v="2025-07-01T00:00:00"/>
    <x v="0"/>
    <s v="HSERV REPRESENTACOES"/>
    <x v="370"/>
    <n v="-110"/>
    <x v="0"/>
    <s v="VALE TRANSPORTE"/>
  </r>
  <r>
    <d v="2025-07-01T00:00:00"/>
    <x v="0"/>
    <s v="HSERV TECNOLOGIA"/>
    <x v="371"/>
    <n v="-30"/>
    <x v="0"/>
    <s v="VALE TRANSPORTE"/>
  </r>
  <r>
    <d v="2025-07-01T00:00:00"/>
    <x v="0"/>
    <s v="HSERV COMBINADOS"/>
    <x v="372"/>
    <n v="-40"/>
    <x v="0"/>
    <s v="FT"/>
  </r>
  <r>
    <d v="2025-07-02T00:00:00"/>
    <x v="0"/>
    <s v="HSERV TERCEIRIZADOS"/>
    <x v="373"/>
    <n v="-902.17"/>
    <x v="0"/>
    <s v="MERCADORIAS PARA REVENDA"/>
  </r>
  <r>
    <d v="2025-07-14T00:00:00"/>
    <x v="0"/>
    <s v="HENRIQUE JEAN"/>
    <x v="278"/>
    <n v="-272.20999999999998"/>
    <x v="0"/>
    <s v="RESCISÕES"/>
  </r>
  <r>
    <d v="2025-07-14T00:00:00"/>
    <x v="0"/>
    <s v="HSERV COMBINADOS"/>
    <x v="374"/>
    <n v="-403.6"/>
    <x v="0"/>
    <s v="RESCISÕES"/>
  </r>
  <r>
    <d v="2025-07-14T00:00:00"/>
    <x v="0"/>
    <s v="HSERV TECNOLOGIA"/>
    <x v="375"/>
    <n v="-135.99"/>
    <x v="0"/>
    <s v="RESCISÕES"/>
  </r>
  <r>
    <d v="2025-07-14T00:00:00"/>
    <x v="0"/>
    <s v="HSERV CLEAN"/>
    <x v="193"/>
    <n v="-1723"/>
    <x v="0"/>
    <s v="UNIFORMES"/>
  </r>
  <r>
    <d v="2025-07-28T00:00:00"/>
    <x v="0"/>
    <s v="HSERV TERCEIRIZADOS"/>
    <x v="124"/>
    <n v="-1292.549945"/>
    <x v="0"/>
    <s v="MERCADORIAS PARA REVENDA"/>
  </r>
  <r>
    <d v="2025-07-28T00:00:00"/>
    <x v="0"/>
    <s v="VITOR DUARTE"/>
    <x v="376"/>
    <n v="-110.4"/>
    <x v="0"/>
    <s v="MERCADORIAS PARA REVENDA"/>
  </r>
  <r>
    <d v="2025-07-29T00:00:00"/>
    <x v="0"/>
    <s v="HSERV TERCEIRIZADOS"/>
    <x v="160"/>
    <n v="-318.43"/>
    <x v="0"/>
    <s v="MANUTENÇÃO"/>
  </r>
  <r>
    <d v="2025-07-29T00:00:00"/>
    <x v="0"/>
    <s v="VITOR DUARTE"/>
    <x v="377"/>
    <n v="-535.1"/>
    <x v="0"/>
    <s v="SISTEMA"/>
  </r>
  <r>
    <d v="2025-07-28T00:00:00"/>
    <x v="0"/>
    <s v="HSERV CLEAN"/>
    <x v="193"/>
    <n v="-1591.2"/>
    <x v="0"/>
    <s v="UNIFORMES"/>
  </r>
  <r>
    <d v="2025-08-01T00:00:00"/>
    <x v="1"/>
    <s v="HSERV CABREUVA"/>
    <x v="378"/>
    <n v="-650"/>
    <x v="0"/>
    <s v="ENERGIA ELETRICA"/>
  </r>
  <r>
    <d v="2025-08-01T00:00:00"/>
    <x v="1"/>
    <s v="HSERV CABREUVA"/>
    <x v="379"/>
    <n v="-320"/>
    <x v="0"/>
    <s v="ENERGIA ELETRICA"/>
  </r>
  <r>
    <d v="2025-08-01T00:00:00"/>
    <x v="1"/>
    <s v="HSERV CABREUVA"/>
    <x v="380"/>
    <n v="-350"/>
    <x v="0"/>
    <s v="ENERGIA ELETRICA"/>
  </r>
  <r>
    <d v="2025-08-01T00:00:00"/>
    <x v="1"/>
    <s v="HSERV CABREUVA"/>
    <x v="381"/>
    <n v="-201"/>
    <x v="0"/>
    <s v="ENERGIA ELETRICA"/>
  </r>
  <r>
    <d v="2025-08-01T00:00:00"/>
    <x v="1"/>
    <s v="HSERV COMBINADOS "/>
    <x v="3"/>
    <n v="-1500"/>
    <x v="0"/>
    <s v="CAIXINHA"/>
  </r>
  <r>
    <d v="2025-08-01T00:00:00"/>
    <x v="1"/>
    <s v="HSERV COMBINADOS "/>
    <x v="382"/>
    <n v="-1500"/>
    <x v="0"/>
    <s v="CAIXINHA"/>
  </r>
  <r>
    <d v="2025-08-01T00:00:00"/>
    <x v="1"/>
    <s v="VITOR DUARTE"/>
    <x v="4"/>
    <n v="-16200"/>
    <x v="0"/>
    <s v="VALE ALIMENTAÇÃO"/>
  </r>
  <r>
    <d v="2025-08-01T00:00:00"/>
    <x v="1"/>
    <s v="HSERV CLEAN"/>
    <x v="214"/>
    <n v="-10505.32"/>
    <x v="0"/>
    <s v="MERCADORIAS PARA REVENDA"/>
  </r>
  <r>
    <d v="2025-08-01T00:00:00"/>
    <x v="1"/>
    <s v="HSERV COMBINADOS"/>
    <x v="383"/>
    <n v="-233.26"/>
    <x v="0"/>
    <s v="ALUGUEL DE VEICULOS"/>
  </r>
  <r>
    <d v="2025-08-01T00:00:00"/>
    <x v="1"/>
    <s v="HSERV COMBINADOS"/>
    <x v="383"/>
    <n v="-2668.69"/>
    <x v="0"/>
    <s v="ALUGUEL DE VEICULOS"/>
  </r>
  <r>
    <d v="2025-08-01T00:00:00"/>
    <x v="1"/>
    <s v="HSERV TERCEIRIZADOS"/>
    <x v="384"/>
    <n v="-1117.53"/>
    <x v="0"/>
    <s v="MERCADORIAS PARA REVENDA"/>
  </r>
  <r>
    <d v="2025-08-01T00:00:00"/>
    <x v="1"/>
    <s v="VITOR DUARTE"/>
    <x v="376"/>
    <n v="-68.709999999999994"/>
    <x v="0"/>
    <s v="MERCADORIAS PARA REVENDA"/>
  </r>
  <r>
    <d v="2025-08-01T00:00:00"/>
    <x v="1"/>
    <s v="HSERV TERCEIRIZADOS ND"/>
    <x v="385"/>
    <n v="-900"/>
    <x v="0"/>
    <s v="ENCARGOS"/>
  </r>
  <r>
    <d v="2025-08-04T00:00:00"/>
    <x v="1"/>
    <s v="HSERV CABREUVA"/>
    <x v="14"/>
    <n v="-3809.98"/>
    <x v="0"/>
    <s v="FINANCIAMENTO"/>
  </r>
  <r>
    <d v="2025-08-04T00:00:00"/>
    <x v="1"/>
    <s v="HSERV CLEAN"/>
    <x v="122"/>
    <n v="-270"/>
    <x v="0"/>
    <s v="MERCADORIAS PARA REVENDA"/>
  </r>
  <r>
    <d v="2025-08-04T00:00:00"/>
    <x v="1"/>
    <s v="HSERV TERCEIRIZADOS"/>
    <x v="124"/>
    <n v="-800.37"/>
    <x v="0"/>
    <s v="MERCADORIAS PARA REVENDA"/>
  </r>
  <r>
    <d v="2025-08-04T00:00:00"/>
    <x v="1"/>
    <s v="HSERV TERCEIRIZADOS"/>
    <x v="124"/>
    <n v="-1292.55"/>
    <x v="0"/>
    <s v="MERCADORIAS PARA REVENDA"/>
  </r>
  <r>
    <d v="2025-08-04T00:00:00"/>
    <x v="1"/>
    <s v="HSERV CABREUVA"/>
    <x v="15"/>
    <n v="-349"/>
    <x v="0"/>
    <s v="TARIFA BANCARIA"/>
  </r>
  <r>
    <d v="2025-08-04T00:00:00"/>
    <x v="1"/>
    <s v="HSERV TERCERIZADOS"/>
    <x v="15"/>
    <n v="-389"/>
    <x v="0"/>
    <s v="TARIFA BANCARIA"/>
  </r>
  <r>
    <d v="2025-08-04T00:00:00"/>
    <x v="1"/>
    <s v="HSERV COMBINADOS"/>
    <x v="15"/>
    <n v="-349"/>
    <x v="0"/>
    <s v="TARIFA BANCARIA"/>
  </r>
  <r>
    <d v="2025-08-04T00:00:00"/>
    <x v="1"/>
    <s v="HENRIQUE JEAN"/>
    <x v="15"/>
    <n v="-349"/>
    <x v="0"/>
    <s v="TARIFA BANCARIA"/>
  </r>
  <r>
    <d v="2025-08-04T00:00:00"/>
    <x v="1"/>
    <s v="HSERV TECNOLOGIA"/>
    <x v="15"/>
    <n v="-389"/>
    <x v="0"/>
    <s v="TARIFA BANCARIA"/>
  </r>
  <r>
    <d v="2025-08-04T00:00:00"/>
    <x v="1"/>
    <s v="HSERV LIMPEZA"/>
    <x v="15"/>
    <n v="-389"/>
    <x v="0"/>
    <s v="TARIFA BANCARIA"/>
  </r>
  <r>
    <d v="2025-08-04T00:00:00"/>
    <x v="1"/>
    <s v="HSERV REPRESENTAÇÃO"/>
    <x v="15"/>
    <n v="-389"/>
    <x v="0"/>
    <s v="TARIFA BANCARIA"/>
  </r>
  <r>
    <d v="2025-08-06T00:00:00"/>
    <x v="1"/>
    <s v="HSERV TERCEIRIZADOS"/>
    <x v="124"/>
    <n v="-1800.31"/>
    <x v="0"/>
    <s v="MERCADORIAS PARA REVENDA"/>
  </r>
  <r>
    <d v="2025-08-06T00:00:00"/>
    <x v="1"/>
    <s v="HSERV CABREUVA "/>
    <x v="386"/>
    <n v="-9000"/>
    <x v="0"/>
    <s v="CONSIGNADO"/>
  </r>
  <r>
    <d v="2025-08-06T00:00:00"/>
    <x v="1"/>
    <s v="HENRIQUE JEAN"/>
    <x v="17"/>
    <n v="-760"/>
    <x v="0"/>
    <s v="RESERVA"/>
  </r>
  <r>
    <d v="2025-08-06T00:00:00"/>
    <x v="1"/>
    <s v="HSERV CABREUVA"/>
    <x v="18"/>
    <n v="-468000"/>
    <x v="0"/>
    <s v="SALARIOS"/>
  </r>
  <r>
    <d v="2025-08-06T00:00:00"/>
    <x v="1"/>
    <s v="HSERV CABREUVA"/>
    <x v="19"/>
    <n v="-500"/>
    <x v="0"/>
    <s v="SALARIOS"/>
  </r>
  <r>
    <d v="2025-08-06T00:00:00"/>
    <x v="1"/>
    <s v="HSERV CABREUVA"/>
    <x v="387"/>
    <n v="-9000"/>
    <x v="0"/>
    <s v="SALARIOS"/>
  </r>
  <r>
    <d v="2025-08-15T00:00:00"/>
    <x v="1"/>
    <s v="HSERV CLEAN"/>
    <x v="388"/>
    <n v="-5523.75"/>
    <x v="0"/>
    <s v="EMPRESTIMO "/>
  </r>
  <r>
    <d v="2025-08-06T00:00:00"/>
    <x v="1"/>
    <s v="HSERV COMBINADOS "/>
    <x v="389"/>
    <n v="-7000"/>
    <x v="0"/>
    <s v="FT"/>
  </r>
  <r>
    <d v="2025-08-08T00:00:00"/>
    <x v="1"/>
    <s v="HSERV CLEAN"/>
    <x v="214"/>
    <n v="-10505.35"/>
    <x v="0"/>
    <s v="MERCADORIAS PARA REVENDA"/>
  </r>
  <r>
    <d v="2025-08-08T00:00:00"/>
    <x v="1"/>
    <s v="HSERV TERCEIRIZADOS"/>
    <x v="384"/>
    <n v="-1117.52"/>
    <x v="0"/>
    <s v="MERCADORIAS PARA REVENDA"/>
  </r>
  <r>
    <d v="2025-08-08T00:00:00"/>
    <x v="1"/>
    <s v="VITOR DUARTE"/>
    <x v="4"/>
    <n v="-16200"/>
    <x v="0"/>
    <s v="VALE ALIMENTAÇÃO"/>
  </r>
  <r>
    <d v="2025-08-11T00:00:00"/>
    <x v="1"/>
    <s v="HSERV TECNOLOGIA"/>
    <x v="189"/>
    <n v="-700"/>
    <x v="0"/>
    <s v="MATERIAL DE ESCRITÓRIO"/>
  </r>
  <r>
    <d v="2025-08-11T00:00:00"/>
    <x v="1"/>
    <s v="HSERV COMBINADOS "/>
    <x v="390"/>
    <n v="-9000"/>
    <x v="0"/>
    <s v="SINDICATO"/>
  </r>
  <r>
    <d v="2025-08-11T00:00:00"/>
    <x v="1"/>
    <s v="HSERV CABREUVA"/>
    <x v="27"/>
    <n v="-290"/>
    <x v="0"/>
    <s v="ALUGUEL DE IMOVEIS"/>
  </r>
  <r>
    <d v="2025-08-25T00:00:00"/>
    <x v="1"/>
    <s v="HSERV COMBINADOS "/>
    <x v="391"/>
    <n v="-1000"/>
    <x v="0"/>
    <s v="COMISSOES"/>
  </r>
  <r>
    <d v="2025-08-11T00:00:00"/>
    <x v="1"/>
    <s v="VITOR DUARTE"/>
    <x v="392"/>
    <n v="-10500"/>
    <x v="0"/>
    <s v="SEGURANÇAS"/>
  </r>
  <r>
    <d v="2025-08-19T00:00:00"/>
    <x v="1"/>
    <s v="HSERV COMBINADOS "/>
    <x v="393"/>
    <n v="-1000"/>
    <x v="0"/>
    <s v="COMISSOES"/>
  </r>
  <r>
    <d v="2025-08-11T00:00:00"/>
    <x v="1"/>
    <s v="HENRIQUE JEAN"/>
    <x v="394"/>
    <n v="-3000"/>
    <x v="0"/>
    <s v="PROLABORE"/>
  </r>
  <r>
    <d v="2025-08-11T00:00:00"/>
    <x v="1"/>
    <s v="HENRIQUE JEAN"/>
    <x v="32"/>
    <n v="-9000"/>
    <x v="0"/>
    <s v="PROLABORE"/>
  </r>
  <r>
    <d v="2025-08-11T00:00:00"/>
    <x v="1"/>
    <s v="HSERV CLEAN"/>
    <x v="33"/>
    <n v="-9146.82"/>
    <x v="0"/>
    <s v="CONVENIO MEDICO"/>
  </r>
  <r>
    <d v="2025-08-11T00:00:00"/>
    <x v="1"/>
    <s v="HSERV CABREUVA"/>
    <x v="34"/>
    <n v="-9500"/>
    <x v="0"/>
    <s v="COMBUSTIVEL E PEDAGIO"/>
  </r>
  <r>
    <d v="2025-08-11T00:00:00"/>
    <x v="1"/>
    <s v="HENRIQUE JEAN ND"/>
    <x v="395"/>
    <n v="-432"/>
    <x v="0"/>
    <s v="RESERVA"/>
  </r>
  <r>
    <d v="2025-08-11T00:00:00"/>
    <x v="1"/>
    <s v="VITOR  DUARTE"/>
    <x v="36"/>
    <n v="-250.27"/>
    <x v="0"/>
    <s v="SISTEMA"/>
  </r>
  <r>
    <d v="2025-08-11T00:00:00"/>
    <x v="1"/>
    <s v="HSERV CABREUVA"/>
    <x v="37"/>
    <n v="-545.78"/>
    <x v="0"/>
    <s v="SEGUROS EM GERAL"/>
  </r>
  <r>
    <d v="2025-08-11T00:00:00"/>
    <x v="1"/>
    <s v="VITOR DUARTE"/>
    <x v="396"/>
    <n v="-233.26"/>
    <x v="0"/>
    <s v="ALUGUEL DE VEICULOS"/>
  </r>
  <r>
    <d v="2025-08-11T00:00:00"/>
    <x v="1"/>
    <s v="VITOR DUARTE"/>
    <x v="396"/>
    <n v="-129.13"/>
    <x v="0"/>
    <s v="ALUGUEL DE VEICULOS"/>
  </r>
  <r>
    <d v="2025-08-11T00:00:00"/>
    <x v="1"/>
    <s v="VITOR DUARTE"/>
    <x v="396"/>
    <n v="-337.36"/>
    <x v="0"/>
    <s v="ALUGUEL DE VEICULOS"/>
  </r>
  <r>
    <d v="2025-08-11T00:00:00"/>
    <x v="1"/>
    <s v="VITOR DUARTE"/>
    <x v="396"/>
    <n v="-259.77999999999997"/>
    <x v="0"/>
    <s v="ALUGUEL DE VEICULOS"/>
  </r>
  <r>
    <d v="2025-08-11T00:00:00"/>
    <x v="1"/>
    <s v="VITOR DUARTE"/>
    <x v="396"/>
    <n v="-129.13"/>
    <x v="0"/>
    <s v="ALUGUEL DE VEICULOS"/>
  </r>
  <r>
    <d v="2025-08-11T00:00:00"/>
    <x v="1"/>
    <s v="VITOR DUARTE"/>
    <x v="376"/>
    <n v="-61.41"/>
    <x v="0"/>
    <s v="MERCADORIAS PARA REVENDA"/>
  </r>
  <r>
    <d v="2025-08-11T00:00:00"/>
    <x v="1"/>
    <s v="HSERV CLEAN"/>
    <x v="122"/>
    <n v="-1538"/>
    <x v="0"/>
    <s v="MERCADORIAS PARA REVENDA"/>
  </r>
  <r>
    <d v="2025-08-11T00:00:00"/>
    <x v="1"/>
    <s v="HSERV TERCEIRIZADOS"/>
    <x v="124"/>
    <n v="-1168.2"/>
    <x v="0"/>
    <s v="MERCADORIAS PARA REVENDA"/>
  </r>
  <r>
    <d v="2025-08-11T00:00:00"/>
    <x v="1"/>
    <s v="HSERV CLEAN"/>
    <x v="257"/>
    <n v="-46.64"/>
    <x v="0"/>
    <s v="MANUTENÇÃO"/>
  </r>
  <r>
    <d v="2025-08-11T00:00:00"/>
    <x v="1"/>
    <s v="HSERV TERCEIRIZADOS"/>
    <x v="397"/>
    <n v="-133.02000000000001"/>
    <x v="0"/>
    <s v="ALUGUEL DE VEICULOS"/>
  </r>
  <r>
    <d v="2025-08-11T00:00:00"/>
    <x v="1"/>
    <s v="HSERV TERCEIRIZADOS"/>
    <x v="398"/>
    <n v="-843.81"/>
    <x v="0"/>
    <s v="ALUGUEL DE VEICULOS"/>
  </r>
  <r>
    <d v="2025-08-11T00:00:00"/>
    <x v="1"/>
    <s v="HSERV TERCEIRIZADOS"/>
    <x v="399"/>
    <n v="-133.15"/>
    <x v="0"/>
    <s v="ALUGUEL DE VEICULOS"/>
  </r>
  <r>
    <d v="2025-08-19T00:00:00"/>
    <x v="1"/>
    <s v="HSERV TERCEIRIZADOS"/>
    <x v="400"/>
    <n v="-130.16"/>
    <x v="0"/>
    <s v="ALUGUEL DE VEICULOS"/>
  </r>
  <r>
    <d v="2025-08-19T00:00:00"/>
    <x v="1"/>
    <s v="HSERV TERCEIRIZADOS"/>
    <x v="400"/>
    <n v="-826.19"/>
    <x v="0"/>
    <s v="ALUGUEL DE VEICULOS"/>
  </r>
  <r>
    <d v="2025-08-19T00:00:00"/>
    <x v="1"/>
    <s v="HSERV TERCEIRIZADOS"/>
    <x v="401"/>
    <n v="-4375.75"/>
    <x v="0"/>
    <s v="ALUGUEL DE VEICULOS"/>
  </r>
  <r>
    <d v="2025-08-19T00:00:00"/>
    <x v="1"/>
    <s v="HSERV TERCEIRIZADOS"/>
    <x v="402"/>
    <n v="-4424.8"/>
    <x v="0"/>
    <s v="ALUGUEL DE VEICULOS"/>
  </r>
  <r>
    <d v="2025-08-19T00:00:00"/>
    <x v="1"/>
    <s v="HSERV TERCEIRIZADOS"/>
    <x v="403"/>
    <n v="-4375.75"/>
    <x v="0"/>
    <s v="ALUGUEL DE VEICULOS"/>
  </r>
  <r>
    <d v="2025-08-19T00:00:00"/>
    <x v="1"/>
    <s v="HSERV TERCEIRIZADOS"/>
    <x v="404"/>
    <n v="-1504.25"/>
    <x v="0"/>
    <s v="ALUGUEL DE VEICULOS"/>
  </r>
  <r>
    <d v="2025-08-13T00:00:00"/>
    <x v="1"/>
    <s v="HSERV TERCEIRIZADOS"/>
    <x v="405"/>
    <n v="-4375.75"/>
    <x v="0"/>
    <s v="ALUGUEL DE VEICULOS"/>
  </r>
  <r>
    <d v="2025-08-14T00:00:00"/>
    <x v="1"/>
    <s v="HSERV CLEAN"/>
    <x v="153"/>
    <n v="-875.98"/>
    <x v="0"/>
    <s v="MANUTENÇÃO"/>
  </r>
  <r>
    <d v="2025-08-14T00:00:00"/>
    <x v="1"/>
    <s v="HSERV CABREUVA"/>
    <x v="406"/>
    <n v="-25000"/>
    <x v="0"/>
    <s v="RESCISÕES"/>
  </r>
  <r>
    <d v="2025-08-15T00:00:00"/>
    <x v="1"/>
    <s v="HSERV CABREUVA"/>
    <x v="38"/>
    <n v="-95000"/>
    <x v="0"/>
    <s v="SALARIOS"/>
  </r>
  <r>
    <d v="2025-08-15T00:00:00"/>
    <x v="1"/>
    <s v="HSERV CABREUVA"/>
    <x v="407"/>
    <n v="-40000"/>
    <x v="0"/>
    <s v="ASSIDUIDADE"/>
  </r>
  <r>
    <d v="2025-08-15T00:00:00"/>
    <x v="1"/>
    <s v="HSERV CABREUVA"/>
    <x v="408"/>
    <n v="-90000"/>
    <x v="0"/>
    <s v="VALE ALIMENTAÇÃO"/>
  </r>
  <r>
    <d v="2025-08-15T00:00:00"/>
    <x v="1"/>
    <s v=" HSERV CABREUVA"/>
    <x v="144"/>
    <n v="-10000"/>
    <x v="0"/>
    <s v="VALE TRANSPORTE"/>
  </r>
  <r>
    <d v="2025-08-15T00:00:00"/>
    <x v="1"/>
    <s v="VITOR DUARTE"/>
    <x v="63"/>
    <n v="-21000"/>
    <x v="0"/>
    <s v="PROLABORE"/>
  </r>
  <r>
    <d v="2025-08-15T00:00:00"/>
    <x v="1"/>
    <s v="VITOR DUARTE"/>
    <x v="45"/>
    <n v="-145"/>
    <x v="0"/>
    <s v="CESTA BASICA"/>
  </r>
  <r>
    <d v="2025-08-15T00:00:00"/>
    <x v="1"/>
    <s v="VITOR DUARTE"/>
    <x v="409"/>
    <n v="-145"/>
    <x v="0"/>
    <s v="CESTA BASICA"/>
  </r>
  <r>
    <d v="2025-08-15T00:00:00"/>
    <x v="1"/>
    <s v="HSERV COMBINADOS "/>
    <x v="410"/>
    <n v="-1375"/>
    <x v="0"/>
    <s v="SALARIOS"/>
  </r>
  <r>
    <d v="2025-08-15T00:00:00"/>
    <x v="1"/>
    <s v="HSERV  COMBINADOS "/>
    <x v="411"/>
    <n v="-2281.6999999999998"/>
    <x v="0"/>
    <s v="SALARIOS"/>
  </r>
  <r>
    <d v="2025-08-15T00:00:00"/>
    <x v="1"/>
    <s v="HSERV CABREUVA"/>
    <x v="66"/>
    <n v="-6500"/>
    <x v="0"/>
    <s v="COMBUSTIVEL E PEDAGIO"/>
  </r>
  <r>
    <d v="2025-08-15T00:00:00"/>
    <x v="1"/>
    <s v="VITOR DUARTE"/>
    <x v="412"/>
    <n v="-12000"/>
    <x v="0"/>
    <s v="CARTÃO DE CREDITO"/>
  </r>
  <r>
    <d v="2025-08-15T00:00:00"/>
    <x v="1"/>
    <s v="HENRIQUE JEAN"/>
    <x v="413"/>
    <n v="-2302.0500000000002"/>
    <x v="0"/>
    <s v="CARTÃO DE CREDITO"/>
  </r>
  <r>
    <d v="2025-08-15T00:00:00"/>
    <x v="1"/>
    <s v="HSERV COMBINADOS"/>
    <x v="413"/>
    <n v="-1248.99"/>
    <x v="0"/>
    <s v="CARTÃO DE CREDITO"/>
  </r>
  <r>
    <d v="2025-08-13T00:00:00"/>
    <x v="1"/>
    <s v="HSERV CABREUVA"/>
    <x v="414"/>
    <n v="-2045"/>
    <x v="0"/>
    <s v="UNIFORME"/>
  </r>
  <r>
    <d v="2025-08-13T00:00:00"/>
    <x v="1"/>
    <s v="HSERV CABREUVA"/>
    <x v="72"/>
    <n v="-2012.45"/>
    <x v="0"/>
    <s v="EMPRESTIMO "/>
  </r>
  <r>
    <d v="2025-08-15T00:00:00"/>
    <x v="1"/>
    <s v="HSERV CABREUVA"/>
    <x v="73"/>
    <n v="-171.1"/>
    <x v="0"/>
    <s v="TARIFA BANCARIA"/>
  </r>
  <r>
    <d v="2025-08-15T00:00:00"/>
    <x v="1"/>
    <s v="HSERV CLEAN"/>
    <x v="73"/>
    <n v="-171.1"/>
    <x v="0"/>
    <s v="TARIFA BANCARIA"/>
  </r>
  <r>
    <d v="2025-08-15T00:00:00"/>
    <x v="1"/>
    <s v="HSERV COMBINADOS "/>
    <x v="73"/>
    <n v="-171.1"/>
    <x v="0"/>
    <s v="TARIFA BANCARIA"/>
  </r>
  <r>
    <d v="2025-08-15T00:00:00"/>
    <x v="1"/>
    <s v="HSERV COMBINADOS ND"/>
    <x v="73"/>
    <n v="-171.1"/>
    <x v="0"/>
    <s v="TARIFA BANCARIA"/>
  </r>
  <r>
    <d v="2025-08-15T00:00:00"/>
    <x v="1"/>
    <s v="HENRIQUE JEAN"/>
    <x v="73"/>
    <n v="-171.1"/>
    <x v="0"/>
    <s v="TARIFA BANCARIA"/>
  </r>
  <r>
    <d v="2025-08-15T00:00:00"/>
    <x v="1"/>
    <s v="HENRIQUE JEAN ND"/>
    <x v="73"/>
    <n v="-171.1"/>
    <x v="0"/>
    <s v="TARIFA BANCARIA"/>
  </r>
  <r>
    <d v="2025-08-15T00:00:00"/>
    <x v="1"/>
    <s v="VITOR DUARTE"/>
    <x v="73"/>
    <n v="-171.1"/>
    <x v="0"/>
    <s v="TARIFA BANCARIA"/>
  </r>
  <r>
    <d v="2025-08-15T00:00:00"/>
    <x v="1"/>
    <s v="VITOR DUARTE ND"/>
    <x v="73"/>
    <n v="-171.1"/>
    <x v="0"/>
    <s v="TARIFA BANCARIA"/>
  </r>
  <r>
    <d v="2025-08-15T00:00:00"/>
    <x v="1"/>
    <s v="HSERV TERCERIZADOS"/>
    <x v="73"/>
    <n v="-171.1"/>
    <x v="0"/>
    <s v="TARIFA BANCARIA"/>
  </r>
  <r>
    <d v="2025-08-15T00:00:00"/>
    <x v="1"/>
    <s v="HSERV TERCERIZADOS ND"/>
    <x v="73"/>
    <n v="-171.1"/>
    <x v="0"/>
    <s v="TARIFA BANCARIA"/>
  </r>
  <r>
    <d v="2025-08-15T00:00:00"/>
    <x v="1"/>
    <s v="HSERV LIMPEZA"/>
    <x v="73"/>
    <n v="-171.1"/>
    <x v="0"/>
    <s v="TARIFA BANCARIA"/>
  </r>
  <r>
    <d v="2025-08-15T00:00:00"/>
    <x v="1"/>
    <s v="HSERV LIMPEZA ND"/>
    <x v="73"/>
    <n v="-171.1"/>
    <x v="0"/>
    <s v="TARIFA BANCARIA"/>
  </r>
  <r>
    <d v="2025-08-15T00:00:00"/>
    <x v="1"/>
    <s v="HSERV TECNOLOGIA"/>
    <x v="73"/>
    <n v="-171.1"/>
    <x v="0"/>
    <s v="TARIFA BANCARIA"/>
  </r>
  <r>
    <d v="2025-08-15T00:00:00"/>
    <x v="1"/>
    <s v="HSERV REPRESENTAÇÃO"/>
    <x v="73"/>
    <n v="-171.1"/>
    <x v="0"/>
    <s v="TARIFA BANCARIA"/>
  </r>
  <r>
    <d v="2025-08-15T00:00:00"/>
    <x v="1"/>
    <s v="HENRIQUE JEAN ND"/>
    <x v="74"/>
    <n v="-877.96"/>
    <x v="0"/>
    <s v="RESERVA"/>
  </r>
  <r>
    <d v="2025-08-15T00:00:00"/>
    <x v="1"/>
    <s v="HSERV CABREUVA"/>
    <x v="415"/>
    <n v="-8000"/>
    <x v="0"/>
    <s v="VALE COMBUSTIVEL"/>
  </r>
  <r>
    <d v="2025-08-18T00:00:00"/>
    <x v="1"/>
    <s v="HSERV CABREUVA"/>
    <x v="78"/>
    <n v="-141.69999999999999"/>
    <x v="0"/>
    <s v="AGUA"/>
  </r>
  <r>
    <d v="2025-08-18T00:00:00"/>
    <x v="1"/>
    <s v="HSERV CABREUVA"/>
    <x v="79"/>
    <n v="-141.69999999999999"/>
    <x v="0"/>
    <s v="AGUA"/>
  </r>
  <r>
    <d v="2025-08-18T00:00:00"/>
    <x v="1"/>
    <s v="HSERV CABREUVA"/>
    <x v="80"/>
    <n v="-141.69999999999999"/>
    <x v="0"/>
    <s v="AGUA"/>
  </r>
  <r>
    <d v="2025-08-18T00:00:00"/>
    <x v="1"/>
    <s v="HSERV CABREUVA"/>
    <x v="81"/>
    <n v="-139.25"/>
    <x v="0"/>
    <s v="AGUA"/>
  </r>
  <r>
    <d v="2025-08-15T00:00:00"/>
    <x v="1"/>
    <s v="HSERV TECNOLOGIA"/>
    <x v="82"/>
    <n v="-244.5"/>
    <x v="0"/>
    <s v="SISTEMA"/>
  </r>
  <r>
    <d v="2025-08-15T00:00:00"/>
    <x v="1"/>
    <s v="HSERV REPRESENTACOES"/>
    <x v="82"/>
    <n v="-300"/>
    <x v="0"/>
    <s v="SISTEMA"/>
  </r>
  <r>
    <d v="2025-08-15T00:00:00"/>
    <x v="1"/>
    <s v="HSERV CABREUVA "/>
    <x v="82"/>
    <n v="-300"/>
    <x v="0"/>
    <s v="SISTEMA"/>
  </r>
  <r>
    <d v="2025-08-15T00:00:00"/>
    <x v="1"/>
    <s v="HSERV  COMBINADOS"/>
    <x v="82"/>
    <n v="-300"/>
    <x v="0"/>
    <s v="SISTEMA"/>
  </r>
  <r>
    <d v="2025-08-15T00:00:00"/>
    <x v="1"/>
    <s v="HENRIQUE JEAN DUARTE "/>
    <x v="82"/>
    <n v="-275"/>
    <x v="0"/>
    <s v="SISTEMA"/>
  </r>
  <r>
    <d v="2025-08-15T00:00:00"/>
    <x v="1"/>
    <s v="HSERV TERCEIRIZADOS"/>
    <x v="82"/>
    <n v="-300"/>
    <x v="0"/>
    <s v="SISTEMA"/>
  </r>
  <r>
    <d v="2025-08-15T00:00:00"/>
    <x v="1"/>
    <s v="HSERV  LIMPEZA "/>
    <x v="82"/>
    <n v="-300"/>
    <x v="0"/>
    <s v="SISTEMA"/>
  </r>
  <r>
    <d v="2025-08-15T00:00:00"/>
    <x v="1"/>
    <s v="VITOR  DUARTE "/>
    <x v="82"/>
    <n v="-350"/>
    <x v="0"/>
    <s v="SISTEMA"/>
  </r>
  <r>
    <d v="2025-08-15T00:00:00"/>
    <x v="1"/>
    <s v="HSER CLEAN"/>
    <x v="82"/>
    <n v="-373.51"/>
    <x v="0"/>
    <s v="SISTEMA"/>
  </r>
  <r>
    <d v="2025-08-18T00:00:00"/>
    <x v="1"/>
    <s v="VITOR DUARTE"/>
    <x v="416"/>
    <n v="-6274.7"/>
    <x v="0"/>
    <s v="ALUGUEL DE VEICULOS"/>
  </r>
  <r>
    <d v="2025-08-18T00:00:00"/>
    <x v="1"/>
    <s v="VITOR DUARTE"/>
    <x v="416"/>
    <n v="-1959.76"/>
    <x v="0"/>
    <s v="ALUGUEL DE VEICULOS"/>
  </r>
  <r>
    <d v="2025-08-18T00:00:00"/>
    <x v="1"/>
    <s v="HSERV COMBINADOS "/>
    <x v="416"/>
    <n v="-4169.6000000000004"/>
    <x v="0"/>
    <s v="ALUGUEL DE VEICULOS"/>
  </r>
  <r>
    <d v="2025-08-15T00:00:00"/>
    <x v="1"/>
    <s v="VITOR DUARTE"/>
    <x v="4"/>
    <n v="-16200"/>
    <x v="0"/>
    <s v="VALE ALIMENTAÇÃO"/>
  </r>
  <r>
    <d v="2025-08-18T00:00:00"/>
    <x v="1"/>
    <s v="HSERV CABREUVA"/>
    <x v="417"/>
    <n v="-4500"/>
    <x v="0"/>
    <s v="EXAMES MEDICOS"/>
  </r>
  <r>
    <d v="2025-08-26T00:00:00"/>
    <x v="1"/>
    <s v="HSERV CABREUVA"/>
    <x v="88"/>
    <n v="-35714.57"/>
    <x v="0"/>
    <s v="EMPRESTIMO "/>
  </r>
  <r>
    <d v="2025-08-18T00:00:00"/>
    <x v="1"/>
    <s v="HSERV REPRESENTACOES"/>
    <x v="418"/>
    <n v="-1300.1400000000001"/>
    <x v="0"/>
    <s v="RESCISÕES"/>
  </r>
  <r>
    <d v="2025-08-18T00:00:00"/>
    <x v="1"/>
    <s v="HSERV REPRESENTACOES"/>
    <x v="419"/>
    <n v="-4189.47"/>
    <x v="0"/>
    <s v="RESCISÕES"/>
  </r>
  <r>
    <d v="2025-08-19T00:00:00"/>
    <x v="1"/>
    <s v="HSERV CABREUVA"/>
    <x v="414"/>
    <n v="-3619.33"/>
    <x v="0"/>
    <s v="UNIFORMES"/>
  </r>
  <r>
    <d v="2025-08-19T00:00:00"/>
    <x v="1"/>
    <s v="HSERV CABREUVA"/>
    <x v="420"/>
    <n v="-30"/>
    <x v="0"/>
    <s v="SINDICATO"/>
  </r>
  <r>
    <d v="2025-08-19T00:00:00"/>
    <x v="1"/>
    <s v="HSERV CABREUVA"/>
    <x v="89"/>
    <n v="-10000"/>
    <x v="0"/>
    <s v="SINDICATO"/>
  </r>
  <r>
    <d v="2025-08-19T00:00:00"/>
    <x v="1"/>
    <s v="HSERV CABREUVA"/>
    <x v="421"/>
    <n v="-4500"/>
    <x v="0"/>
    <s v="SINDICATO"/>
  </r>
  <r>
    <d v="2025-08-18T00:00:00"/>
    <x v="1"/>
    <s v="VITOR DUARTE"/>
    <x v="91"/>
    <n v="-5300"/>
    <x v="0"/>
    <s v="ALUGUEL DE IMOVEIS"/>
  </r>
  <r>
    <d v="2025-08-18T00:00:00"/>
    <x v="1"/>
    <s v="HSERV CABREUVA"/>
    <x v="414"/>
    <n v="-2003.33"/>
    <x v="0"/>
    <s v="UNIFORMES"/>
  </r>
  <r>
    <d v="2025-08-18T00:00:00"/>
    <x v="1"/>
    <s v="HSERV COMBINADOS "/>
    <x v="422"/>
    <n v="-5996.67"/>
    <x v="0"/>
    <s v="EMPRESTIMO "/>
  </r>
  <r>
    <d v="2025-08-20T00:00:00"/>
    <x v="1"/>
    <s v="HSERV CABREUVA"/>
    <x v="423"/>
    <n v="-16000"/>
    <x v="0"/>
    <s v="CONTABILIDADE"/>
  </r>
  <r>
    <d v="2025-08-20T00:00:00"/>
    <x v="1"/>
    <s v="HSERV CABREUVA"/>
    <x v="95"/>
    <n v="-600"/>
    <x v="0"/>
    <s v="VALE ALIMENTAÇÃO"/>
  </r>
  <r>
    <d v="2025-08-20T00:00:00"/>
    <x v="1"/>
    <s v="HSERV CABREUVA"/>
    <x v="96"/>
    <n v="-1100"/>
    <x v="0"/>
    <s v="SISTEMA"/>
  </r>
  <r>
    <d v="2025-08-20T00:00:00"/>
    <x v="1"/>
    <s v="HSERV CABREUVA"/>
    <x v="97"/>
    <n v="-39.799999999999997"/>
    <x v="0"/>
    <s v="SISTEMA"/>
  </r>
  <r>
    <d v="2025-08-20T00:00:00"/>
    <x v="1"/>
    <s v="HSERV CABREUVA"/>
    <x v="98"/>
    <n v="-15000"/>
    <x v="0"/>
    <s v="IMPOSTO"/>
  </r>
  <r>
    <d v="2025-08-20T00:00:00"/>
    <x v="1"/>
    <s v="VITOR DUARTE"/>
    <x v="99"/>
    <n v="-15000"/>
    <x v="0"/>
    <s v="IMPOSTO"/>
  </r>
  <r>
    <d v="2025-08-20T00:00:00"/>
    <x v="1"/>
    <s v="VITOR DUARTE"/>
    <x v="100"/>
    <n v="-3000"/>
    <x v="0"/>
    <s v="IMPOSTO"/>
  </r>
  <r>
    <d v="2025-08-20T00:00:00"/>
    <x v="1"/>
    <s v="HSERV CABREUVA"/>
    <x v="424"/>
    <n v="-55000"/>
    <x v="0"/>
    <s v="IMPOSTO"/>
  </r>
  <r>
    <d v="2025-08-20T00:00:00"/>
    <x v="1"/>
    <s v="HSERV CABREUVA"/>
    <x v="425"/>
    <n v="-50000"/>
    <x v="0"/>
    <s v="IMPOSTO"/>
  </r>
  <r>
    <d v="2025-08-20T00:00:00"/>
    <x v="1"/>
    <s v="HSERV CABREUVA"/>
    <x v="426"/>
    <n v="-110000"/>
    <x v="0"/>
    <s v="FT"/>
  </r>
  <r>
    <d v="2025-08-20T00:00:00"/>
    <x v="1"/>
    <s v="HSERV CABREUVA"/>
    <x v="119"/>
    <n v="-41000"/>
    <x v="0"/>
    <s v="VALE TRANSPORTE"/>
  </r>
  <r>
    <d v="2025-08-20T00:00:00"/>
    <x v="1"/>
    <s v="HSERV CABREUVA"/>
    <x v="389"/>
    <n v="-8000"/>
    <x v="0"/>
    <s v="FT"/>
  </r>
  <r>
    <d v="2025-08-20T00:00:00"/>
    <x v="1"/>
    <s v="HSERV COMBINADOS"/>
    <x v="427"/>
    <n v="-2756.99"/>
    <x v="0"/>
    <s v="APORTE"/>
  </r>
  <r>
    <d v="2025-08-21T00:00:00"/>
    <x v="1"/>
    <s v="VITOR DUARTE"/>
    <x v="428"/>
    <n v="-268.92"/>
    <x v="0"/>
    <s v="ACORDO TRABALHISTA"/>
  </r>
  <r>
    <d v="2025-09-19T00:00:00"/>
    <x v="2"/>
    <s v="VITOR DUARTE"/>
    <x v="429"/>
    <n v="-268.92"/>
    <x v="0"/>
    <s v="ACORDO TRABALHISTA"/>
  </r>
  <r>
    <d v="2025-10-21T00:00:00"/>
    <x v="3"/>
    <s v="VITOR DUARTE"/>
    <x v="430"/>
    <n v="-268.92"/>
    <x v="0"/>
    <s v="ACORDO TRABALHISTA"/>
  </r>
  <r>
    <d v="2025-11-21T00:00:00"/>
    <x v="4"/>
    <s v="VITOR DUARTE"/>
    <x v="431"/>
    <n v="-268.92"/>
    <x v="0"/>
    <s v="ACORDO TRABALHISTA"/>
  </r>
  <r>
    <d v="2025-08-21T00:00:00"/>
    <x v="1"/>
    <s v="VITOR DUARTE"/>
    <x v="432"/>
    <n v="-1700"/>
    <x v="0"/>
    <s v="TELEFONE"/>
  </r>
  <r>
    <d v="2025-08-20T00:00:00"/>
    <x v="1"/>
    <s v="HENRIQUE JEAN ND"/>
    <x v="132"/>
    <n v="-8937.32"/>
    <x v="0"/>
    <s v="RESERVA"/>
  </r>
  <r>
    <d v="2025-08-22T00:00:00"/>
    <x v="1"/>
    <s v="HSERV LIMPEZA"/>
    <x v="433"/>
    <n v="-5617.51"/>
    <x v="0"/>
    <s v="RESCISÕES"/>
  </r>
  <r>
    <d v="2025-08-22T00:00:00"/>
    <x v="1"/>
    <s v="HSERV LIMPEZA"/>
    <x v="434"/>
    <n v="-5026.5600000000004"/>
    <x v="0"/>
    <s v="RESCISÕES"/>
  </r>
  <r>
    <d v="2025-08-22T00:00:00"/>
    <x v="1"/>
    <s v="VITOR DUARTE"/>
    <x v="4"/>
    <n v="-16200"/>
    <x v="0"/>
    <s v="VALE ALIMENTAÇÃO"/>
  </r>
  <r>
    <d v="2025-08-25T00:00:00"/>
    <x v="1"/>
    <s v="HSERV CABREUVA"/>
    <x v="34"/>
    <n v="-9000"/>
    <x v="0"/>
    <s v="COMBUSTIVEL E PEDAGIO"/>
  </r>
  <r>
    <d v="2025-08-25T00:00:00"/>
    <x v="1"/>
    <s v="VITOR DUARTE"/>
    <x v="135"/>
    <n v="-500"/>
    <x v="0"/>
    <s v="SISTEMA"/>
  </r>
  <r>
    <d v="2025-08-25T00:00:00"/>
    <x v="1"/>
    <s v="HSERV CABREUVA"/>
    <x v="435"/>
    <n v="-294.8"/>
    <x v="0"/>
    <s v="INTERNET"/>
  </r>
  <r>
    <d v="2025-08-25T00:00:00"/>
    <x v="1"/>
    <s v="HSERV COMBINADOS"/>
    <x v="436"/>
    <n v="-1812.64"/>
    <x v="0"/>
    <s v="APORTE"/>
  </r>
  <r>
    <d v="2025-08-15T00:00:00"/>
    <x v="1"/>
    <s v="VITOR DUARTE"/>
    <x v="141"/>
    <n v="-9980"/>
    <x v="0"/>
    <s v="PROLABORE"/>
  </r>
  <r>
    <d v="2025-08-29T00:00:00"/>
    <x v="1"/>
    <s v="HSERV COMBINADOS "/>
    <x v="437"/>
    <n v="-500"/>
    <x v="0"/>
    <s v="SISTEMA"/>
  </r>
  <r>
    <d v="2025-08-29T00:00:00"/>
    <x v="1"/>
    <s v="HENRIQUE JEAN ND"/>
    <x v="74"/>
    <n v="-5000"/>
    <x v="0"/>
    <s v="RESERVA"/>
  </r>
  <r>
    <d v="2025-08-29T00:00:00"/>
    <x v="1"/>
    <s v="VITOR DUARTE"/>
    <x v="143"/>
    <n v="-2530.4299999999998"/>
    <x v="0"/>
    <s v="SISTEMA"/>
  </r>
  <r>
    <d v="2025-08-29T00:00:00"/>
    <x v="1"/>
    <s v="VITOR DUARTE"/>
    <x v="143"/>
    <n v="-1339.5"/>
    <x v="0"/>
    <s v="SISTEMA"/>
  </r>
  <r>
    <d v="2025-08-05T00:00:00"/>
    <x v="1"/>
    <s v="VITOR DUARTE"/>
    <x v="376"/>
    <n v="-110.34"/>
    <x v="0"/>
    <s v="MERCADORIAS PARA REVENDA"/>
  </r>
  <r>
    <d v="2025-08-05T00:00:00"/>
    <x v="1"/>
    <s v=" HSERV CABREUVA"/>
    <x v="438"/>
    <n v="-5000"/>
    <x v="0"/>
    <s v="VALE TRANSPORTE"/>
  </r>
  <r>
    <d v="2025-08-29T00:00:00"/>
    <x v="1"/>
    <s v=" HSERV CABREUVA"/>
    <x v="144"/>
    <n v="-15000"/>
    <x v="0"/>
    <s v="VALE TRANSPORTE"/>
  </r>
  <r>
    <d v="2025-08-22T00:00:00"/>
    <x v="1"/>
    <s v="VITOR DUARTE"/>
    <x v="141"/>
    <n v="-9980"/>
    <x v="0"/>
    <s v="PROLABORE"/>
  </r>
  <r>
    <d v="2025-08-29T00:00:00"/>
    <x v="1"/>
    <s v="VITOR DUARTE"/>
    <x v="141"/>
    <n v="-23498.18"/>
    <x v="0"/>
    <s v="PROLABORE"/>
  </r>
  <r>
    <d v="2025-08-29T00:00:00"/>
    <x v="1"/>
    <s v="HSERV CABREUVA"/>
    <x v="154"/>
    <n v="-35000"/>
    <x v="0"/>
    <s v="IMPOSTO"/>
  </r>
  <r>
    <d v="2025-08-29T00:00:00"/>
    <x v="1"/>
    <s v="HSERV CABREUVA"/>
    <x v="439"/>
    <n v="-7000"/>
    <x v="0"/>
    <s v="VALE COMBUSTIVEL"/>
  </r>
  <r>
    <d v="2025-08-29T00:00:00"/>
    <x v="1"/>
    <s v="VITOR DUARTE"/>
    <x v="156"/>
    <n v="-1500"/>
    <x v="0"/>
    <s v="TI"/>
  </r>
  <r>
    <d v="2025-08-29T00:00:00"/>
    <x v="1"/>
    <s v="VITOR DUARTE"/>
    <x v="157"/>
    <n v="-50"/>
    <x v="0"/>
    <s v="TI"/>
  </r>
  <r>
    <d v="2025-08-29T00:00:00"/>
    <x v="1"/>
    <s v="HSERV COMBINADOS "/>
    <x v="158"/>
    <n v="-800"/>
    <x v="0"/>
    <s v="REEMBOLSO"/>
  </r>
  <r>
    <d v="2025-08-29T00:00:00"/>
    <x v="1"/>
    <s v="HSERV CABREUVA"/>
    <x v="440"/>
    <n v="-40000"/>
    <x v="0"/>
    <s v="FÉRIAS"/>
  </r>
  <r>
    <d v="2025-08-29T00:00:00"/>
    <x v="1"/>
    <s v="VITOR DUARTE"/>
    <x v="441"/>
    <n v="-56900"/>
    <x v="0"/>
    <s v="APORTE"/>
  </r>
  <r>
    <d v="2025-08-29T00:00:00"/>
    <x v="1"/>
    <s v="VITOR DUARTE"/>
    <x v="163"/>
    <n v="-7000"/>
    <x v="0"/>
    <s v="IMPOSTO"/>
  </r>
  <r>
    <d v="2025-08-29T00:00:00"/>
    <x v="1"/>
    <s v="HSERV CLEAN"/>
    <x v="164"/>
    <n v="-600"/>
    <x v="0"/>
    <s v="IMPOSTO"/>
  </r>
  <r>
    <d v="2025-08-29T00:00:00"/>
    <x v="1"/>
    <s v="HSERV CLEAN"/>
    <x v="165"/>
    <n v="-4000"/>
    <x v="0"/>
    <s v="IMPOSTO"/>
  </r>
  <r>
    <d v="2025-08-29T00:00:00"/>
    <x v="1"/>
    <s v=" HSERV CABREUVA"/>
    <x v="166"/>
    <n v="-9000"/>
    <x v="0"/>
    <s v="IMPOSTO"/>
  </r>
  <r>
    <d v="2025-08-29T00:00:00"/>
    <x v="1"/>
    <s v="HSERV CLEAN"/>
    <x v="167"/>
    <n v="-1719.53"/>
    <x v="0"/>
    <s v="CARTÃO DE CREDITO"/>
  </r>
  <r>
    <d v="2025-08-29T00:00:00"/>
    <x v="1"/>
    <s v="HSERV CABREUVA"/>
    <x v="167"/>
    <n v="-1392.65"/>
    <x v="0"/>
    <s v="CARTÃO DE CREDITO"/>
  </r>
  <r>
    <d v="2025-08-11T00:00:00"/>
    <x v="1"/>
    <s v="HSERV COMBINADOS "/>
    <x v="442"/>
    <n v="-50000"/>
    <x v="0"/>
    <s v="FT"/>
  </r>
  <r>
    <d v="2025-07-31T00:00:00"/>
    <x v="0"/>
    <s v="TECNOLOGIA"/>
    <x v="168"/>
    <n v="23638.67"/>
    <x v="1"/>
    <s v="VENDAS DE SERVIÇOS"/>
  </r>
  <r>
    <d v="2025-07-31T00:00:00"/>
    <x v="0"/>
    <s v="LIMPEZA"/>
    <x v="169"/>
    <n v="18532.8"/>
    <x v="1"/>
    <s v="VENDAS DE SERVIÇOS"/>
  </r>
  <r>
    <d v="2025-07-31T00:00:00"/>
    <x v="0"/>
    <s v="LIMPEZA"/>
    <x v="169"/>
    <n v="799.2"/>
    <x v="1"/>
    <s v="VENDAS DE SERVIÇOS"/>
  </r>
  <r>
    <d v="2025-07-31T00:00:00"/>
    <x v="0"/>
    <s v="COMBINADOS"/>
    <x v="170"/>
    <n v="22451.91"/>
    <x v="1"/>
    <s v="VENDAS DE SERVIÇOS"/>
  </r>
  <r>
    <d v="2025-07-31T00:00:00"/>
    <x v="0"/>
    <s v="REPRESENTAÇÃO"/>
    <x v="171"/>
    <n v="196"/>
    <x v="1"/>
    <s v="VENDAS DE SERVIÇOS"/>
  </r>
  <r>
    <d v="2025-07-31T00:00:00"/>
    <x v="0"/>
    <s v="REPRESENTAÇÃO"/>
    <x v="172"/>
    <n v="21852.37"/>
    <x v="1"/>
    <s v="VENDAS DE SERVIÇOS"/>
  </r>
  <r>
    <d v="2025-07-31T00:00:00"/>
    <x v="0"/>
    <s v="REPRESENTAÇÃO"/>
    <x v="172"/>
    <n v="4683.53"/>
    <x v="1"/>
    <s v="VENDAS DE SERVIÇOS"/>
  </r>
  <r>
    <d v="2025-07-31T00:00:00"/>
    <x v="0"/>
    <s v="REPRESENTAÇÃO"/>
    <x v="171"/>
    <n v="23943.3"/>
    <x v="1"/>
    <s v="VENDAS DE SERVIÇOS"/>
  </r>
  <r>
    <d v="2025-07-31T00:00:00"/>
    <x v="0"/>
    <s v="REPRESENTAÇÃO"/>
    <x v="171"/>
    <n v="14482.07"/>
    <x v="1"/>
    <s v="VENDAS DE SERVIÇOS"/>
  </r>
  <r>
    <d v="2025-09-08T00:00:00"/>
    <x v="2"/>
    <s v="HSERV TERCERIZADOS"/>
    <x v="443"/>
    <n v="4935"/>
    <x v="1"/>
    <s v="VENDAS DE SERVIÇOS"/>
  </r>
  <r>
    <d v="2025-10-07T00:00:00"/>
    <x v="3"/>
    <s v="HSERV TERCERIZADOS"/>
    <x v="443"/>
    <n v="4935"/>
    <x v="1"/>
    <s v="VENDAS DE SERVIÇOS"/>
  </r>
  <r>
    <d v="2025-11-07T00:00:00"/>
    <x v="4"/>
    <s v="HSERV TERCERIZADOS"/>
    <x v="443"/>
    <n v="4935"/>
    <x v="1"/>
    <s v="VENDAS DE SERVIÇOS"/>
  </r>
  <r>
    <d v="2025-12-09T00:00:00"/>
    <x v="5"/>
    <s v="HSERV TERCERIZADOS"/>
    <x v="443"/>
    <n v="4935"/>
    <x v="1"/>
    <s v="VENDAS DE SERVIÇOS"/>
  </r>
  <r>
    <d v="2025-08-06T00:00:00"/>
    <x v="1"/>
    <s v="HSERV TERCERIZADOS"/>
    <x v="443"/>
    <n v="4935"/>
    <x v="1"/>
    <s v="VENDAS DE SERVIÇOS"/>
  </r>
  <r>
    <d v="2025-08-11T00:00:00"/>
    <x v="1"/>
    <s v="CABREUVA"/>
    <x v="175"/>
    <n v="33748.379999999997"/>
    <x v="1"/>
    <s v="VENDAS DE SERVIÇOS"/>
  </r>
  <r>
    <d v="2025-08-11T00:00:00"/>
    <x v="1"/>
    <s v="CABREUVA"/>
    <x v="175"/>
    <n v="8041"/>
    <x v="1"/>
    <s v="VENDAS DE SERVIÇOS"/>
  </r>
  <r>
    <d v="2025-08-12T00:00:00"/>
    <x v="1"/>
    <s v="CABREUVA"/>
    <x v="176"/>
    <n v="4880.1400000000003"/>
    <x v="1"/>
    <s v="VENDAS DE SERVIÇOS"/>
  </r>
  <r>
    <d v="2025-08-12T00:00:00"/>
    <x v="1"/>
    <s v="REPRESENTAÇÃO"/>
    <x v="177"/>
    <n v="603.26"/>
    <x v="1"/>
    <s v="VENDAS DE SERVIÇOS"/>
  </r>
  <r>
    <d v="2025-08-12T00:00:00"/>
    <x v="1"/>
    <s v="REPRESENTAÇÃO"/>
    <x v="177"/>
    <n v="1106.1400000000001"/>
    <x v="1"/>
    <s v="VENDAS DE SERVIÇOS"/>
  </r>
  <r>
    <d v="2025-08-12T00:00:00"/>
    <x v="1"/>
    <s v="REPRESENTAÇÃO"/>
    <x v="177"/>
    <n v="9631"/>
    <x v="1"/>
    <s v="VENDAS DE SERVIÇOS"/>
  </r>
  <r>
    <d v="2025-08-12T00:00:00"/>
    <x v="1"/>
    <s v="VITOR"/>
    <x v="178"/>
    <n v="257.81"/>
    <x v="1"/>
    <s v="VENDAS DE SERVIÇOS"/>
  </r>
  <r>
    <d v="2025-08-12T00:00:00"/>
    <x v="1"/>
    <s v="VITOR"/>
    <x v="179"/>
    <n v="680.03"/>
    <x v="1"/>
    <s v="VENDAS DE SERVIÇOS"/>
  </r>
  <r>
    <d v="2025-08-12T00:00:00"/>
    <x v="1"/>
    <s v="CLEAN"/>
    <x v="183"/>
    <n v="24988.71"/>
    <x v="1"/>
    <s v="VENDAS DE SERVIÇOS"/>
  </r>
  <r>
    <d v="2025-08-12T00:00:00"/>
    <x v="1"/>
    <s v="CLEAN"/>
    <x v="183"/>
    <n v="2284.4499999999998"/>
    <x v="1"/>
    <s v="VENDAS DE SERVIÇOS"/>
  </r>
  <r>
    <d v="2025-08-12T00:00:00"/>
    <x v="1"/>
    <s v="CLEAN"/>
    <x v="183"/>
    <n v="16834.330000000002"/>
    <x v="1"/>
    <s v="VENDAS DE SERVIÇOS"/>
  </r>
  <r>
    <d v="2025-08-12T00:00:00"/>
    <x v="1"/>
    <s v="CLEAN"/>
    <x v="183"/>
    <n v="268.13"/>
    <x v="1"/>
    <s v="VENDAS DE SERVIÇOS"/>
  </r>
  <r>
    <d v="2025-08-12T00:00:00"/>
    <x v="1"/>
    <s v="CLEAN"/>
    <x v="183"/>
    <n v="12459.61"/>
    <x v="1"/>
    <s v="VENDAS DE SERVIÇOS"/>
  </r>
  <r>
    <d v="2025-08-12T00:00:00"/>
    <x v="1"/>
    <s v="HSERV LIMPEZA"/>
    <x v="182"/>
    <n v="42921.04"/>
    <x v="1"/>
    <s v="VENDAS DE SERVIÇOS"/>
  </r>
  <r>
    <d v="2025-09-11T00:00:00"/>
    <x v="2"/>
    <s v="HSERV LIMPEZA"/>
    <x v="182"/>
    <n v="42921.04"/>
    <x v="1"/>
    <s v="VENDAS DE SERVIÇOS"/>
  </r>
  <r>
    <d v="2025-10-13T00:00:00"/>
    <x v="3"/>
    <s v="HSERV LIMPEZA"/>
    <x v="182"/>
    <n v="42921.04"/>
    <x v="1"/>
    <s v="VENDAS DE SERVIÇOS"/>
  </r>
  <r>
    <d v="2025-11-11T00:00:00"/>
    <x v="4"/>
    <s v="HSERV LIMPEZA"/>
    <x v="182"/>
    <n v="42921.04"/>
    <x v="1"/>
    <s v="VENDAS DE SERVIÇOS"/>
  </r>
  <r>
    <d v="2025-12-11T00:00:00"/>
    <x v="5"/>
    <s v="HSERV LIMPEZA"/>
    <x v="182"/>
    <n v="42921.04"/>
    <x v="1"/>
    <s v="VENDAS DE SERVIÇOS"/>
  </r>
  <r>
    <d v="2025-08-12T00:00:00"/>
    <x v="1"/>
    <s v="LIMPEZA"/>
    <x v="181"/>
    <n v="7850"/>
    <x v="1"/>
    <s v="VENDAS DE SERVIÇOS"/>
  </r>
  <r>
    <d v="2025-08-05T00:00:00"/>
    <x v="1"/>
    <s v="VITOR DUARTE"/>
    <x v="444"/>
    <n v="345280"/>
    <x v="1"/>
    <s v="VENDAS DE SERVIÇOS"/>
  </r>
  <r>
    <d v="2025-08-27T00:00:00"/>
    <x v="1"/>
    <s v="HSERV CLEAN"/>
    <x v="193"/>
    <n v="-536"/>
    <x v="0"/>
    <s v="UNIFORMES"/>
  </r>
  <r>
    <d v="2025-08-18T00:00:00"/>
    <x v="1"/>
    <s v="TERCEIRIZADOS"/>
    <x v="185"/>
    <n v="17956.39"/>
    <x v="1"/>
    <s v="VENDAS DE SERVIÇOS"/>
  </r>
  <r>
    <d v="2025-08-19T00:00:00"/>
    <x v="1"/>
    <s v="LIMPEZA"/>
    <x v="186"/>
    <n v="4717.4399999999996"/>
    <x v="1"/>
    <s v="VENDAS DE SERVIÇOS"/>
  </r>
  <r>
    <d v="2025-08-19T00:00:00"/>
    <x v="1"/>
    <s v="LIMPEZA"/>
    <x v="186"/>
    <n v="9938.39"/>
    <x v="1"/>
    <s v="VENDAS DE SERVIÇOS"/>
  </r>
  <r>
    <d v="2025-08-19T00:00:00"/>
    <x v="1"/>
    <s v="LIMPEZA"/>
    <x v="186"/>
    <n v="22139.98"/>
    <x v="1"/>
    <s v="VENDAS DE SERVIÇOS"/>
  </r>
  <r>
    <d v="2025-09-11T00:00:00"/>
    <x v="2"/>
    <s v="CLEAN"/>
    <x v="180"/>
    <n v="22930"/>
    <x v="1"/>
    <s v="VENDAS DE SERVIÇOS"/>
  </r>
  <r>
    <d v="2025-10-13T00:00:00"/>
    <x v="3"/>
    <s v="CLEAN"/>
    <x v="180"/>
    <n v="22930"/>
    <x v="1"/>
    <s v="VENDAS DE SERVIÇOS"/>
  </r>
  <r>
    <d v="2025-11-11T00:00:00"/>
    <x v="4"/>
    <s v="CLEAN"/>
    <x v="180"/>
    <n v="22930"/>
    <x v="1"/>
    <s v="VENDAS DE SERVIÇOS"/>
  </r>
  <r>
    <d v="2025-12-11T00:00:00"/>
    <x v="5"/>
    <s v="CLEAN"/>
    <x v="180"/>
    <n v="22930"/>
    <x v="1"/>
    <s v="VENDAS DE SERVIÇOS"/>
  </r>
  <r>
    <d v="2025-08-12T00:00:00"/>
    <x v="1"/>
    <s v="CLEAN"/>
    <x v="180"/>
    <n v="22930"/>
    <x v="1"/>
    <s v="VENDAS DE SERVIÇOS"/>
  </r>
  <r>
    <d v="2025-08-29T00:00:00"/>
    <x v="1"/>
    <s v="CLEAN"/>
    <x v="187"/>
    <n v="2373.8200000000002"/>
    <x v="1"/>
    <s v="VENDAS DE SERVIÇOS"/>
  </r>
  <r>
    <d v="2025-08-29T00:00:00"/>
    <x v="1"/>
    <s v="CLEAN"/>
    <x v="187"/>
    <n v="5823.82"/>
    <x v="1"/>
    <s v="VENDAS DE SERVIÇOS"/>
  </r>
  <r>
    <d v="2025-08-29T00:00:00"/>
    <x v="1"/>
    <s v="CLEAN"/>
    <x v="187"/>
    <n v="7526.95"/>
    <x v="1"/>
    <s v="VENDAS DE SERVIÇOS"/>
  </r>
  <r>
    <d v="2025-08-29T00:00:00"/>
    <x v="1"/>
    <s v="CLEAN"/>
    <x v="187"/>
    <n v="25756.63"/>
    <x v="1"/>
    <s v="VENDAS DE SERVIÇOS"/>
  </r>
  <r>
    <d v="2025-08-29T00:00:00"/>
    <x v="1"/>
    <s v="HSERV COMBINADOS"/>
    <x v="445"/>
    <n v="7440"/>
    <x v="1"/>
    <s v="VENDAS DE SERVIÇOS"/>
  </r>
  <r>
    <d v="2025-09-30T00:00:00"/>
    <x v="2"/>
    <s v="HSERV COMBINADOS"/>
    <x v="445"/>
    <n v="7440"/>
    <x v="1"/>
    <s v="VENDAS DE SERVIÇOS"/>
  </r>
  <r>
    <d v="2025-10-30T00:00:00"/>
    <x v="3"/>
    <s v="HSERV COMBINADOS"/>
    <x v="445"/>
    <n v="7440"/>
    <x v="1"/>
    <s v="VENDAS DE SERVIÇOS"/>
  </r>
  <r>
    <d v="2025-11-28T00:00:00"/>
    <x v="4"/>
    <s v="HSERV COMBINADOS"/>
    <x v="445"/>
    <n v="7440"/>
    <x v="1"/>
    <s v="VENDAS DE SERVIÇOS"/>
  </r>
  <r>
    <d v="2025-12-30T00:00:00"/>
    <x v="5"/>
    <s v="HSERV COMBINADOS"/>
    <x v="445"/>
    <n v="7440"/>
    <x v="1"/>
    <s v="VENDAS DE SERVIÇOS"/>
  </r>
  <r>
    <d v="2025-08-29T00:00:00"/>
    <x v="1"/>
    <s v="CABREUVA"/>
    <x v="446"/>
    <n v="816717.89"/>
    <x v="1"/>
    <s v="VENDAS DE SERVIÇOS"/>
  </r>
  <r>
    <d v="2025-08-25T00:00:00"/>
    <x v="1"/>
    <s v="HSERV CABREUVA"/>
    <x v="447"/>
    <n v="-2688.37"/>
    <x v="0"/>
    <s v="ACORDO TRABALHISTA"/>
  </r>
  <r>
    <d v="2025-07-25T00:00:00"/>
    <x v="0"/>
    <s v="HENRIQUE JEAN"/>
    <x v="448"/>
    <n v="-7000"/>
    <x v="0"/>
    <s v="EMPRESTIMO "/>
  </r>
  <r>
    <d v="2025-07-25T00:00:00"/>
    <x v="0"/>
    <s v="HSERV COMBINADOS"/>
    <x v="449"/>
    <n v="-7000"/>
    <x v="0"/>
    <s v="EMPRESTIMO "/>
  </r>
  <r>
    <d v="2025-08-25T00:00:00"/>
    <x v="1"/>
    <s v="HENRIQUE JEAN"/>
    <x v="448"/>
    <n v="-7000"/>
    <x v="0"/>
    <s v="EMPRESTIMO "/>
  </r>
  <r>
    <d v="2025-08-25T00:00:00"/>
    <x v="1"/>
    <s v="HSERV COMBINADOS"/>
    <x v="450"/>
    <n v="-7000"/>
    <x v="0"/>
    <s v="EMPRESTIMO "/>
  </r>
  <r>
    <d v="2025-08-29T00:00:00"/>
    <x v="1"/>
    <s v="HENRIQUE JEAN"/>
    <x v="451"/>
    <n v="-630"/>
    <x v="0"/>
    <s v="SINDICATO"/>
  </r>
  <r>
    <d v="2025-08-18T00:00:00"/>
    <x v="1"/>
    <s v="HSERV CABREUVA"/>
    <x v="244"/>
    <n v="-1905.5"/>
    <x v="0"/>
    <s v="SINDICATO"/>
  </r>
  <r>
    <d v="2025-08-29T00:00:00"/>
    <x v="1"/>
    <s v="HSERV CLEAN"/>
    <x v="193"/>
    <n v="-536"/>
    <x v="0"/>
    <s v="UNIFORMES"/>
  </r>
  <r>
    <d v="2025-08-29T00:00:00"/>
    <x v="1"/>
    <s v="VITOR DUARTE"/>
    <x v="4"/>
    <n v="-16200"/>
    <x v="0"/>
    <s v="VALE ALIMENTAÇÃO"/>
  </r>
  <r>
    <d v="2025-08-15T00:00:00"/>
    <x v="1"/>
    <s v="HSERV CABREUVA"/>
    <x v="452"/>
    <n v="-3500"/>
    <x v="0"/>
    <s v="ACORDO TRABALHISTA"/>
  </r>
  <r>
    <d v="2025-08-15T00:00:00"/>
    <x v="1"/>
    <s v="HENRIQUE JEAN"/>
    <x v="453"/>
    <n v="-1000"/>
    <x v="0"/>
    <s v="ACORDO TRABALHISTA"/>
  </r>
  <r>
    <d v="2025-11-10T00:00:00"/>
    <x v="4"/>
    <s v="HSERV COMBINADOS"/>
    <x v="454"/>
    <n v="-5600"/>
    <x v="0"/>
    <s v="ACORDO TRABALHISTA"/>
  </r>
  <r>
    <d v="2025-10-08T00:00:00"/>
    <x v="3"/>
    <s v="HSERV COMBINADOS"/>
    <x v="455"/>
    <n v="-5600"/>
    <x v="0"/>
    <s v="ACORDO TRABALHISTA"/>
  </r>
  <r>
    <d v="2025-09-08T00:00:00"/>
    <x v="2"/>
    <s v="HSERV COMBINADOS"/>
    <x v="456"/>
    <n v="-5600"/>
    <x v="0"/>
    <s v="ACORDO TRABALHISTA"/>
  </r>
  <r>
    <d v="2025-08-08T00:00:00"/>
    <x v="1"/>
    <s v="HSERV COMBINADOS"/>
    <x v="457"/>
    <n v="-5600"/>
    <x v="0"/>
    <s v="ACORDO TRABALHISTA"/>
  </r>
  <r>
    <d v="2025-08-08T00:00:00"/>
    <x v="1"/>
    <s v="HENRIQUE JEAN"/>
    <x v="458"/>
    <n v="-1000"/>
    <x v="0"/>
    <s v="ACORDO TRABALHISTA"/>
  </r>
  <r>
    <d v="2025-08-07T00:00:00"/>
    <x v="1"/>
    <s v="VITOR DUARTE"/>
    <x v="213"/>
    <n v="-1000"/>
    <x v="0"/>
    <s v="UNIFORMES"/>
  </r>
  <r>
    <d v="2025-08-07T00:00:00"/>
    <x v="1"/>
    <s v="HSERV CABREUVA"/>
    <x v="459"/>
    <n v="-1000"/>
    <x v="0"/>
    <s v="ACORDO TRABALHISTA"/>
  </r>
  <r>
    <d v="2025-08-29T00:00:00"/>
    <x v="1"/>
    <s v="HSERV CABREUVA"/>
    <x v="460"/>
    <n v="-2200"/>
    <x v="0"/>
    <s v="ACORDO TRABALHISTA"/>
  </r>
  <r>
    <d v="2025-08-29T00:00:00"/>
    <x v="1"/>
    <s v="HSERV CABREUVA"/>
    <x v="461"/>
    <n v="-1000"/>
    <x v="0"/>
    <s v="ACORDO TRABALHISTA"/>
  </r>
  <r>
    <d v="2025-08-29T00:00:00"/>
    <x v="1"/>
    <s v="HSERV CABREUVA"/>
    <x v="462"/>
    <n v="-3836.54"/>
    <x v="0"/>
    <s v="ACORDO TRABALHISTA"/>
  </r>
  <r>
    <d v="2025-08-29T00:00:00"/>
    <x v="1"/>
    <s v="HSERV CABREUVA"/>
    <x v="463"/>
    <n v="-3200"/>
    <x v="0"/>
    <s v="ACORDO TRABALHISTA"/>
  </r>
  <r>
    <d v="2025-08-29T00:00:00"/>
    <x v="1"/>
    <s v="HSERV LIMPEZA"/>
    <x v="464"/>
    <n v="-1000"/>
    <x v="0"/>
    <s v="ACORDO TRABALHISTA"/>
  </r>
  <r>
    <d v="2025-08-29T00:00:00"/>
    <x v="1"/>
    <s v="VITOR DUARTE"/>
    <x v="465"/>
    <n v="-2864.92"/>
    <x v="0"/>
    <s v="ACORDO TRABALHISTA"/>
  </r>
  <r>
    <d v="2025-08-29T00:00:00"/>
    <x v="1"/>
    <s v="HSERV CABREUVA"/>
    <x v="466"/>
    <n v="-2000"/>
    <x v="0"/>
    <s v="ACORDO TRABALHISTA"/>
  </r>
  <r>
    <d v="2025-08-29T00:00:00"/>
    <x v="1"/>
    <s v="HSERV CABREUVA"/>
    <x v="467"/>
    <n v="-501.54"/>
    <x v="0"/>
    <s v="ACORDO TRABALHISTA"/>
  </r>
  <r>
    <d v="2025-08-15T00:00:00"/>
    <x v="1"/>
    <s v="HSERV CABREUVA"/>
    <x v="468"/>
    <n v="-10000"/>
    <x v="0"/>
    <s v="ACORDO TRABALHISTA"/>
  </r>
  <r>
    <d v="2025-08-29T00:00:00"/>
    <x v="1"/>
    <s v="HSERV CLEAN"/>
    <x v="469"/>
    <n v="-2500"/>
    <x v="0"/>
    <s v="ACORDO TRABALHISTA"/>
  </r>
  <r>
    <d v="2025-08-15T00:00:00"/>
    <x v="1"/>
    <s v="HSERV REPRESENTACOES"/>
    <x v="470"/>
    <n v="-2000"/>
    <x v="0"/>
    <s v="ACORDO TRABALHISTA"/>
  </r>
  <r>
    <d v="2025-08-08T00:00:00"/>
    <x v="1"/>
    <s v="HSERV REPRESENTACOES"/>
    <x v="471"/>
    <n v="-2000"/>
    <x v="0"/>
    <s v="ACORDO TRABALHISTA"/>
  </r>
  <r>
    <d v="2025-08-29T00:00:00"/>
    <x v="1"/>
    <s v="VITOR DUARTE"/>
    <x v="472"/>
    <n v="-1916.67"/>
    <x v="0"/>
    <s v="ACORDO TRABALHISTA"/>
  </r>
  <r>
    <d v="2025-08-01T00:00:00"/>
    <x v="1"/>
    <s v="HSERV CLEAN"/>
    <x v="473"/>
    <n v="-3968.99"/>
    <x v="0"/>
    <s v="ACORDO TRABALHISTA"/>
  </r>
  <r>
    <d v="2025-08-01T00:00:00"/>
    <x v="1"/>
    <s v="VITOR DUARTE"/>
    <x v="474"/>
    <n v="-1848.63"/>
    <x v="0"/>
    <s v="ACORDO TRABALHISTA"/>
  </r>
  <r>
    <d v="2025-08-29T00:00:00"/>
    <x v="1"/>
    <s v="HSERV CABREUVA"/>
    <x v="475"/>
    <n v="-2500"/>
    <x v="0"/>
    <s v="ACORDO TRABALHISTA"/>
  </r>
  <r>
    <d v="2025-09-30T00:00:00"/>
    <x v="2"/>
    <s v="HSERV CABREUVA"/>
    <x v="476"/>
    <n v="-2500"/>
    <x v="0"/>
    <s v="ACORDO TRABALHISTA"/>
  </r>
  <r>
    <d v="2025-10-30T00:00:00"/>
    <x v="3"/>
    <s v="HSERV CABREUVA"/>
    <x v="477"/>
    <n v="-2500"/>
    <x v="0"/>
    <s v="ACORDO TRABALHISTA"/>
  </r>
  <r>
    <d v="2025-11-28T00:00:00"/>
    <x v="4"/>
    <s v="HSERV CABREUVA"/>
    <x v="478"/>
    <n v="-2500"/>
    <x v="0"/>
    <s v="ACORDO TRABALHISTA"/>
  </r>
  <r>
    <d v="2025-08-29T00:00:00"/>
    <x v="1"/>
    <s v="VITOR DUARTE"/>
    <x v="479"/>
    <n v="-1400"/>
    <x v="0"/>
    <s v="ACORDO TRABALHISTA"/>
  </r>
  <r>
    <d v="2025-08-18T00:00:00"/>
    <x v="1"/>
    <s v="HENRIQUE JEAN"/>
    <x v="254"/>
    <n v="-2324.85"/>
    <x v="0"/>
    <s v="CESTA BASICA"/>
  </r>
  <r>
    <d v="2025-08-18T00:00:00"/>
    <x v="1"/>
    <s v="HSERV CABREUVA"/>
    <x v="254"/>
    <n v="-2944.81"/>
    <x v="0"/>
    <s v="CESTA BASICA"/>
  </r>
  <r>
    <d v="2025-08-18T00:00:00"/>
    <x v="1"/>
    <s v="HSERV CLEAN"/>
    <x v="254"/>
    <n v="-2867.31"/>
    <x v="0"/>
    <s v="CESTA BASICA"/>
  </r>
  <r>
    <d v="2025-08-18T00:00:00"/>
    <x v="1"/>
    <s v="HSERV CLEAN"/>
    <x v="254"/>
    <n v="-852.44"/>
    <x v="0"/>
    <s v="CESTA BASICA"/>
  </r>
  <r>
    <d v="2025-08-18T00:00:00"/>
    <x v="1"/>
    <s v="HSERV COMBINADOS"/>
    <x v="254"/>
    <n v="-2789.82"/>
    <x v="0"/>
    <s v="CESTA BASICA"/>
  </r>
  <r>
    <d v="2025-08-18T00:00:00"/>
    <x v="1"/>
    <s v="HSERV LIMPEZA"/>
    <x v="254"/>
    <n v="-852.44"/>
    <x v="0"/>
    <s v="CESTA BASICA"/>
  </r>
  <r>
    <d v="2025-08-18T00:00:00"/>
    <x v="1"/>
    <s v="HSERV REPRESENTACOES"/>
    <x v="254"/>
    <n v="-619.96"/>
    <x v="0"/>
    <s v="CESTA BASICA"/>
  </r>
  <r>
    <d v="2025-08-18T00:00:00"/>
    <x v="1"/>
    <s v="HSERV TECNOLOGIA"/>
    <x v="254"/>
    <n v="-154.99"/>
    <x v="0"/>
    <s v="CESTA BASICA"/>
  </r>
  <r>
    <d v="2025-08-18T00:00:00"/>
    <x v="1"/>
    <s v="HSERV TERCEIRIZADOS"/>
    <x v="254"/>
    <n v="-852.44"/>
    <x v="0"/>
    <s v="CESTA BASICA"/>
  </r>
  <r>
    <d v="2025-08-18T00:00:00"/>
    <x v="1"/>
    <s v="VITOR DUARTE"/>
    <x v="254"/>
    <n v="-77.489999999999995"/>
    <x v="0"/>
    <s v="CESTA BASICA"/>
  </r>
  <r>
    <d v="2025-08-20T00:00:00"/>
    <x v="1"/>
    <s v="HENRIQUE JEAN"/>
    <x v="254"/>
    <n v="-1239.92"/>
    <x v="0"/>
    <s v="CESTA BASICA"/>
  </r>
  <r>
    <d v="2025-08-20T00:00:00"/>
    <x v="1"/>
    <s v="HSERV CABREUVA"/>
    <x v="254"/>
    <n v="-1627.4"/>
    <x v="0"/>
    <s v="CESTA BASICA"/>
  </r>
  <r>
    <d v="2025-08-20T00:00:00"/>
    <x v="1"/>
    <s v="HSERV CLEAN"/>
    <x v="254"/>
    <n v="-1162.43"/>
    <x v="0"/>
    <s v="CESTA BASICA"/>
  </r>
  <r>
    <d v="2025-08-20T00:00:00"/>
    <x v="1"/>
    <s v="HSERV CLEAN"/>
    <x v="254"/>
    <n v="-3099.8"/>
    <x v="0"/>
    <s v="CESTA BASICA"/>
  </r>
  <r>
    <d v="2025-08-20T00:00:00"/>
    <x v="1"/>
    <s v="HSERV COMBINADOS"/>
    <x v="254"/>
    <n v="-3564.77"/>
    <x v="0"/>
    <s v="CESTA BASICA"/>
  </r>
  <r>
    <d v="2025-08-20T00:00:00"/>
    <x v="1"/>
    <s v="HSERV LIMPEZA"/>
    <x v="254"/>
    <n v="-929.94"/>
    <x v="0"/>
    <s v="CESTA BASICA"/>
  </r>
  <r>
    <d v="2025-08-20T00:00:00"/>
    <x v="1"/>
    <s v="HSERV REPRESENTACOES"/>
    <x v="254"/>
    <n v="-697.46"/>
    <x v="0"/>
    <s v="CESTA BASICA"/>
  </r>
  <r>
    <d v="2025-08-20T00:00:00"/>
    <x v="1"/>
    <s v="HSERV TECNOLOGIA"/>
    <x v="254"/>
    <n v="-2479.84"/>
    <x v="0"/>
    <s v="CESTA BASICA"/>
  </r>
  <r>
    <d v="2025-08-20T00:00:00"/>
    <x v="1"/>
    <s v="HSERV TERCEIRIZADOS"/>
    <x v="254"/>
    <n v="-1394.91"/>
    <x v="0"/>
    <s v="CESTA BASICA"/>
  </r>
  <r>
    <d v="2025-08-20T00:00:00"/>
    <x v="1"/>
    <s v="VITOR DUARTE"/>
    <x v="254"/>
    <n v="-619.96"/>
    <x v="0"/>
    <s v="CESTA BASICA"/>
  </r>
  <r>
    <d v="2025-08-12T00:00:00"/>
    <x v="1"/>
    <s v="HSERV CLEAN"/>
    <x v="480"/>
    <n v="-1035.44"/>
    <x v="0"/>
    <s v="MANUTENÇÃO"/>
  </r>
  <r>
    <d v="2025-08-13T00:00:00"/>
    <x v="1"/>
    <s v="HSERV CLEAN"/>
    <x v="193"/>
    <n v="-1722.8"/>
    <x v="0"/>
    <s v="UNIFORMES"/>
  </r>
  <r>
    <d v="2025-09-01T00:00:00"/>
    <x v="2"/>
    <s v="HSERV CABREUVA"/>
    <x v="378"/>
    <n v="-650"/>
    <x v="0"/>
    <s v="ENERGIA ELETRICA"/>
  </r>
  <r>
    <d v="2025-09-01T00:00:00"/>
    <x v="2"/>
    <s v="HSERV CABREUVA"/>
    <x v="379"/>
    <n v="-320"/>
    <x v="0"/>
    <s v="ENERGIA ELETRICA"/>
  </r>
  <r>
    <d v="2025-09-01T00:00:00"/>
    <x v="2"/>
    <s v="HSERV CABREUVA"/>
    <x v="380"/>
    <n v="-350"/>
    <x v="0"/>
    <s v="ENERGIA ELETRICA"/>
  </r>
  <r>
    <d v="2025-09-01T00:00:00"/>
    <x v="2"/>
    <s v="HSERV CABREUVA"/>
    <x v="381"/>
    <n v="-201"/>
    <x v="0"/>
    <s v="ENERGIA ELETRICA"/>
  </r>
  <r>
    <d v="2025-09-01T00:00:00"/>
    <x v="2"/>
    <s v="HSERV COMBINADOS "/>
    <x v="3"/>
    <n v="-2000"/>
    <x v="0"/>
    <s v="CAIXINHA"/>
  </r>
  <r>
    <d v="2025-09-01T00:00:00"/>
    <x v="2"/>
    <s v="HSERV COMBINADOS "/>
    <x v="481"/>
    <n v="-5000"/>
    <x v="0"/>
    <s v="CAIXINHA"/>
  </r>
  <r>
    <d v="2025-09-05T00:00:00"/>
    <x v="2"/>
    <s v="VITOR DUARTE"/>
    <x v="4"/>
    <n v="-16200"/>
    <x v="0"/>
    <s v="VALE ALIMENTAÇÃO"/>
  </r>
  <r>
    <d v="2025-09-02T00:00:00"/>
    <x v="2"/>
    <s v="HSERV TERCEIRIZADOS ND"/>
    <x v="385"/>
    <n v="-900"/>
    <x v="0"/>
    <s v="ENCARGOS"/>
  </r>
  <r>
    <d v="2025-09-03T00:00:00"/>
    <x v="2"/>
    <s v="HSERV CABREUVA"/>
    <x v="14"/>
    <n v="-3809.98"/>
    <x v="0"/>
    <s v="FINANCIAMENTO"/>
  </r>
  <r>
    <d v="2025-09-04T00:00:00"/>
    <x v="2"/>
    <s v="HSERV CABREUVA"/>
    <x v="15"/>
    <n v="-349"/>
    <x v="0"/>
    <s v="TARIFA BANCARIA"/>
  </r>
  <r>
    <d v="2025-09-04T00:00:00"/>
    <x v="2"/>
    <s v="HSERV TERCERIZADOS"/>
    <x v="15"/>
    <n v="-389"/>
    <x v="0"/>
    <s v="TARIFA BANCARIA"/>
  </r>
  <r>
    <d v="2025-09-04T00:00:00"/>
    <x v="2"/>
    <s v="HSERV COMBINADOS"/>
    <x v="15"/>
    <n v="-349"/>
    <x v="0"/>
    <s v="TARIFA BANCARIA"/>
  </r>
  <r>
    <d v="2025-09-04T00:00:00"/>
    <x v="2"/>
    <s v="HENRIQUE JEAN"/>
    <x v="15"/>
    <n v="-349"/>
    <x v="0"/>
    <s v="TARIFA BANCARIA"/>
  </r>
  <r>
    <d v="2025-09-04T00:00:00"/>
    <x v="2"/>
    <s v="HSERV TECNOLOGIA"/>
    <x v="15"/>
    <n v="-389"/>
    <x v="0"/>
    <s v="TARIFA BANCARIA"/>
  </r>
  <r>
    <d v="2025-09-04T00:00:00"/>
    <x v="2"/>
    <s v="HSERV LIMPEZA"/>
    <x v="15"/>
    <n v="-389"/>
    <x v="0"/>
    <s v="TARIFA BANCARIA"/>
  </r>
  <r>
    <d v="2025-09-04T00:00:00"/>
    <x v="2"/>
    <s v="HSERV REPRESENTAÇÃO"/>
    <x v="15"/>
    <n v="-389"/>
    <x v="0"/>
    <s v="TARIFA BANCARIA"/>
  </r>
  <r>
    <d v="2025-09-05T00:00:00"/>
    <x v="2"/>
    <s v="HSERV CABREUVA "/>
    <x v="386"/>
    <n v="-9000"/>
    <x v="0"/>
    <s v="CONSIGNADO"/>
  </r>
  <r>
    <d v="2025-09-08T00:00:00"/>
    <x v="2"/>
    <s v="HENRIQUE JEAN"/>
    <x v="17"/>
    <n v="-760"/>
    <x v="0"/>
    <s v="RESERVA"/>
  </r>
  <r>
    <d v="2025-09-05T00:00:00"/>
    <x v="2"/>
    <s v="HSERV CABREUVA"/>
    <x v="18"/>
    <n v="-468000"/>
    <x v="0"/>
    <s v="SALARIOS"/>
  </r>
  <r>
    <d v="2025-09-05T00:00:00"/>
    <x v="2"/>
    <s v="HSERV CABREUVA"/>
    <x v="19"/>
    <n v="-500"/>
    <x v="0"/>
    <s v="SALARIOS"/>
  </r>
  <r>
    <d v="2025-09-05T00:00:00"/>
    <x v="2"/>
    <s v="HSERV CABREUVA"/>
    <x v="482"/>
    <n v="-9000"/>
    <x v="0"/>
    <s v="SALARIOS"/>
  </r>
  <r>
    <d v="2025-09-15T00:00:00"/>
    <x v="2"/>
    <s v="HSERV CLEAN"/>
    <x v="24"/>
    <n v="-5523.75"/>
    <x v="0"/>
    <s v="EMPRESTIMO "/>
  </r>
  <r>
    <d v="2025-09-05T00:00:00"/>
    <x v="2"/>
    <s v="HSERV COMBINADOS "/>
    <x v="389"/>
    <n v="-7000"/>
    <x v="0"/>
    <s v="FT"/>
  </r>
  <r>
    <d v="2025-09-12T00:00:00"/>
    <x v="2"/>
    <s v="VITOR DUARTE"/>
    <x v="4"/>
    <n v="-16200"/>
    <x v="0"/>
    <s v="VALE ALIMENTAÇÃO"/>
  </r>
  <r>
    <d v="2025-09-10T00:00:00"/>
    <x v="2"/>
    <s v="HSERV TECNOLOGIA"/>
    <x v="189"/>
    <n v="-700"/>
    <x v="0"/>
    <s v="MATERIAL DE ESCRITÓRIO"/>
  </r>
  <r>
    <d v="2025-09-10T00:00:00"/>
    <x v="2"/>
    <s v="HSERV COMBINADOS "/>
    <x v="390"/>
    <n v="-9000"/>
    <x v="0"/>
    <s v="SINDICATO"/>
  </r>
  <r>
    <d v="2025-09-10T00:00:00"/>
    <x v="2"/>
    <s v="HSERV CABREUVA"/>
    <x v="27"/>
    <n v="-290"/>
    <x v="0"/>
    <s v="ALUGUEL DE IMOVEIS"/>
  </r>
  <r>
    <d v="2025-09-10T00:00:00"/>
    <x v="2"/>
    <s v="HSERV COMBINADOS "/>
    <x v="391"/>
    <n v="-1000"/>
    <x v="0"/>
    <s v="COMISSOES"/>
  </r>
  <r>
    <d v="2025-09-10T00:00:00"/>
    <x v="2"/>
    <s v="VITOR DUARTE"/>
    <x v="392"/>
    <n v="-10500"/>
    <x v="0"/>
    <s v="SEGURANÇAS"/>
  </r>
  <r>
    <d v="2025-09-11T00:00:00"/>
    <x v="2"/>
    <s v="HSERV COMBINADOS "/>
    <x v="393"/>
    <n v="-1000"/>
    <x v="0"/>
    <s v="COMISSOES"/>
  </r>
  <r>
    <d v="2025-09-10T00:00:00"/>
    <x v="2"/>
    <s v="HENRIQUE JEAN"/>
    <x v="394"/>
    <n v="-3000"/>
    <x v="0"/>
    <s v="PROLABORE"/>
  </r>
  <r>
    <d v="2025-09-10T00:00:00"/>
    <x v="2"/>
    <s v="HENRIQUE JEAN"/>
    <x v="32"/>
    <n v="-9000"/>
    <x v="0"/>
    <s v="PROLABORE"/>
  </r>
  <r>
    <d v="2025-09-10T00:00:00"/>
    <x v="2"/>
    <s v="HSERV CLEAN"/>
    <x v="33"/>
    <n v="-9146.82"/>
    <x v="0"/>
    <s v="CONVENIO MEDICO"/>
  </r>
  <r>
    <d v="2025-09-10T00:00:00"/>
    <x v="2"/>
    <s v="HSERV CABREUVA"/>
    <x v="34"/>
    <n v="-9500"/>
    <x v="0"/>
    <s v="COMBUSTIVEL E PEDAGIO"/>
  </r>
  <r>
    <d v="2025-09-10T00:00:00"/>
    <x v="2"/>
    <s v="HENRIQUE JEAN ND"/>
    <x v="483"/>
    <n v="-432"/>
    <x v="0"/>
    <s v="RESERVA"/>
  </r>
  <r>
    <d v="2025-09-10T00:00:00"/>
    <x v="2"/>
    <s v="VITOR  DUARTE"/>
    <x v="36"/>
    <n v="-553.25"/>
    <x v="0"/>
    <s v="SISTEMA"/>
  </r>
  <r>
    <d v="2025-09-10T00:00:00"/>
    <x v="2"/>
    <s v="HSERV CABREUVA"/>
    <x v="484"/>
    <n v="-545.78"/>
    <x v="0"/>
    <s v="SEGUROS EM GERAL"/>
  </r>
  <r>
    <d v="2025-09-10T00:00:00"/>
    <x v="2"/>
    <s v="HSERV TERCEIRIZADOS"/>
    <x v="485"/>
    <n v="-4347.01"/>
    <x v="0"/>
    <s v="ALUGUEL DE VEICULOS"/>
  </r>
  <r>
    <d v="2025-09-10T00:00:00"/>
    <x v="2"/>
    <s v="HSERV TERCEIRIZADOS"/>
    <x v="485"/>
    <n v="-2173.96"/>
    <x v="0"/>
    <s v="ALUGUEL DE VEICULOS"/>
  </r>
  <r>
    <d v="2025-09-12T00:00:00"/>
    <x v="2"/>
    <s v="HSERV TERCEIRIZADOS"/>
    <x v="236"/>
    <n v="-4375.75"/>
    <x v="0"/>
    <s v="ALUGUEL DE VEICULOS"/>
  </r>
  <r>
    <d v="2025-09-12T00:00:00"/>
    <x v="2"/>
    <s v="HSERV CABREUVA"/>
    <x v="406"/>
    <n v="-40000"/>
    <x v="0"/>
    <s v="RESCISÕES"/>
  </r>
  <r>
    <d v="2025-09-15T00:00:00"/>
    <x v="2"/>
    <s v="HSERV CABREUVA"/>
    <x v="486"/>
    <n v="-100000"/>
    <x v="0"/>
    <s v="SALARIOS"/>
  </r>
  <r>
    <d v="2025-09-15T00:00:00"/>
    <x v="2"/>
    <s v="HSERV CABREUVA"/>
    <x v="407"/>
    <n v="-40000"/>
    <x v="0"/>
    <s v="ASSIDUIDADE"/>
  </r>
  <r>
    <d v="2025-09-15T00:00:00"/>
    <x v="2"/>
    <s v="HSERV CABREUVA"/>
    <x v="408"/>
    <n v="-90000"/>
    <x v="0"/>
    <s v="VALE ALIMENTAÇÃO"/>
  </r>
  <r>
    <d v="2025-09-15T00:00:00"/>
    <x v="2"/>
    <s v=" HSERV CABREUVA"/>
    <x v="144"/>
    <n v="-10000"/>
    <x v="0"/>
    <s v="VALE TRANSPORTE"/>
  </r>
  <r>
    <d v="2025-09-15T00:00:00"/>
    <x v="2"/>
    <s v="VITOR DUARTE"/>
    <x v="63"/>
    <n v="-20000"/>
    <x v="0"/>
    <s v="PROLABORE"/>
  </r>
  <r>
    <d v="2025-09-15T00:00:00"/>
    <x v="2"/>
    <s v="VITOR DUARTE"/>
    <x v="45"/>
    <n v="-145"/>
    <x v="0"/>
    <s v="CESTA BASICA"/>
  </r>
  <r>
    <d v="2025-09-15T00:00:00"/>
    <x v="2"/>
    <s v="VITOR DUARTE"/>
    <x v="409"/>
    <n v="-145"/>
    <x v="0"/>
    <s v="CESTA BASICA"/>
  </r>
  <r>
    <d v="2025-09-15T00:00:00"/>
    <x v="2"/>
    <s v="HSERV COMBINADOS "/>
    <x v="487"/>
    <n v="-1375"/>
    <x v="0"/>
    <s v="SALARIOS"/>
  </r>
  <r>
    <d v="2025-09-15T00:00:00"/>
    <x v="2"/>
    <s v="HSERV  COMBINADOS "/>
    <x v="488"/>
    <n v="-2281.6999999999998"/>
    <x v="0"/>
    <s v="SALARIOS"/>
  </r>
  <r>
    <d v="2025-09-15T00:00:00"/>
    <x v="2"/>
    <s v="HSERV CABREUVA"/>
    <x v="66"/>
    <n v="-6500"/>
    <x v="0"/>
    <s v="COMBUSTIVEL E PEDAGIO"/>
  </r>
  <r>
    <d v="2025-09-15T00:00:00"/>
    <x v="2"/>
    <s v="VITOR DUARTE"/>
    <x v="412"/>
    <n v="-12000"/>
    <x v="0"/>
    <s v="CARTÃO DE CREDITO"/>
  </r>
  <r>
    <d v="2025-09-15T00:00:00"/>
    <x v="2"/>
    <s v="HENRIQUE JEAN"/>
    <x v="413"/>
    <n v="-2302.0500000000002"/>
    <x v="0"/>
    <s v="CARTÃO DE CREDITO"/>
  </r>
  <r>
    <d v="2025-09-15T00:00:00"/>
    <x v="2"/>
    <s v="HSERV COMBINADOS"/>
    <x v="413"/>
    <n v="-1248.99"/>
    <x v="0"/>
    <s v="CARTÃO DE CREDITO"/>
  </r>
  <r>
    <d v="2025-09-12T00:00:00"/>
    <x v="2"/>
    <s v="HSERV CABREUVA"/>
    <x v="72"/>
    <n v="-2012.45"/>
    <x v="0"/>
    <s v="EMPRESTIMO "/>
  </r>
  <r>
    <d v="2025-09-15T00:00:00"/>
    <x v="2"/>
    <s v="HSERV CABREUVA"/>
    <x v="73"/>
    <n v="-171.1"/>
    <x v="0"/>
    <s v="TARIFA BANCARIA"/>
  </r>
  <r>
    <d v="2025-09-15T00:00:00"/>
    <x v="2"/>
    <s v="HSERV CLEAN"/>
    <x v="73"/>
    <n v="-171.1"/>
    <x v="0"/>
    <s v="TARIFA BANCARIA"/>
  </r>
  <r>
    <d v="2025-09-15T00:00:00"/>
    <x v="2"/>
    <s v="HSERV COMBINADOS "/>
    <x v="73"/>
    <n v="-171.1"/>
    <x v="0"/>
    <s v="TARIFA BANCARIA"/>
  </r>
  <r>
    <d v="2025-09-15T00:00:00"/>
    <x v="2"/>
    <s v="HSERV COMBINADOS  ND"/>
    <x v="73"/>
    <n v="-171.1"/>
    <x v="0"/>
    <s v="TARIFA BANCARIA"/>
  </r>
  <r>
    <d v="2025-09-15T00:00:00"/>
    <x v="2"/>
    <s v="HENRIQUE JEAN"/>
    <x v="73"/>
    <n v="-171.1"/>
    <x v="0"/>
    <s v="TARIFA BANCARIA"/>
  </r>
  <r>
    <d v="2025-09-15T00:00:00"/>
    <x v="2"/>
    <s v="HENRIQUE JEAN ND"/>
    <x v="73"/>
    <n v="-171.1"/>
    <x v="0"/>
    <s v="TARIFA BANCARIA"/>
  </r>
  <r>
    <d v="2025-09-15T00:00:00"/>
    <x v="2"/>
    <s v="VITOR DUARTE"/>
    <x v="73"/>
    <n v="-171.1"/>
    <x v="0"/>
    <s v="TARIFA BANCARIA"/>
  </r>
  <r>
    <d v="2025-09-15T00:00:00"/>
    <x v="2"/>
    <s v="VITOR DUARTE ND"/>
    <x v="73"/>
    <n v="-171.1"/>
    <x v="0"/>
    <s v="TARIFA BANCARIA"/>
  </r>
  <r>
    <d v="2025-09-15T00:00:00"/>
    <x v="2"/>
    <s v="HSERV TERCERIZADOS"/>
    <x v="73"/>
    <n v="-171.1"/>
    <x v="0"/>
    <s v="TARIFA BANCARIA"/>
  </r>
  <r>
    <d v="2025-09-15T00:00:00"/>
    <x v="2"/>
    <s v="HSERV TERCERIZADOS ND"/>
    <x v="73"/>
    <n v="-171.1"/>
    <x v="0"/>
    <s v="TARIFA BANCARIA"/>
  </r>
  <r>
    <d v="2025-09-15T00:00:00"/>
    <x v="2"/>
    <s v="HSERV LIMPEZA"/>
    <x v="73"/>
    <n v="-171.1"/>
    <x v="0"/>
    <s v="TARIFA BANCARIA"/>
  </r>
  <r>
    <d v="2025-09-15T00:00:00"/>
    <x v="2"/>
    <s v="HSERV LIMPEZA ND"/>
    <x v="73"/>
    <n v="-171.1"/>
    <x v="0"/>
    <s v="TARIFA BANCARIA"/>
  </r>
  <r>
    <d v="2025-09-15T00:00:00"/>
    <x v="2"/>
    <s v="HSERV TECNOLOGIA"/>
    <x v="73"/>
    <n v="-171.1"/>
    <x v="0"/>
    <s v="TARIFA BANCARIA"/>
  </r>
  <r>
    <d v="2025-09-15T00:00:00"/>
    <x v="2"/>
    <s v="HSERV REPRESENTAÇÃO"/>
    <x v="73"/>
    <n v="-171.1"/>
    <x v="0"/>
    <s v="TARIFA BANCARIA"/>
  </r>
  <r>
    <d v="2025-09-15T00:00:00"/>
    <x v="2"/>
    <s v="HENRIQUE JEAN ND"/>
    <x v="74"/>
    <n v="-877.96"/>
    <x v="0"/>
    <s v="RESERVA"/>
  </r>
  <r>
    <d v="2025-09-15T00:00:00"/>
    <x v="2"/>
    <s v="HSERV CABREUVA"/>
    <x v="489"/>
    <n v="-8000"/>
    <x v="0"/>
    <s v="VALE COMBUSTIVEL"/>
  </r>
  <r>
    <d v="2025-09-17T00:00:00"/>
    <x v="2"/>
    <s v="HSERV CABREUVA"/>
    <x v="78"/>
    <n v="-141.69999999999999"/>
    <x v="0"/>
    <s v="AGUA"/>
  </r>
  <r>
    <d v="2025-09-17T00:00:00"/>
    <x v="2"/>
    <s v="HSERV CABREUVA"/>
    <x v="79"/>
    <n v="-141.69999999999999"/>
    <x v="0"/>
    <s v="AGUA"/>
  </r>
  <r>
    <d v="2025-09-17T00:00:00"/>
    <x v="2"/>
    <s v="HSERV CABREUVA"/>
    <x v="80"/>
    <n v="-141.69999999999999"/>
    <x v="0"/>
    <s v="AGUA"/>
  </r>
  <r>
    <d v="2025-09-17T00:00:00"/>
    <x v="2"/>
    <s v="HSERV CABREUVA"/>
    <x v="81"/>
    <n v="-139.25"/>
    <x v="0"/>
    <s v="AGUA"/>
  </r>
  <r>
    <d v="2025-09-15T00:00:00"/>
    <x v="2"/>
    <s v="HSERV TECNOLOGIA"/>
    <x v="82"/>
    <n v="-244.5"/>
    <x v="0"/>
    <s v="SISTEMA"/>
  </r>
  <r>
    <d v="2025-09-15T00:00:00"/>
    <x v="2"/>
    <s v="HSERV REPRESENTACOES"/>
    <x v="82"/>
    <n v="-300"/>
    <x v="0"/>
    <s v="SISTEMA"/>
  </r>
  <r>
    <d v="2025-09-15T00:00:00"/>
    <x v="2"/>
    <s v="HSERV CABREUVA "/>
    <x v="82"/>
    <n v="-300"/>
    <x v="0"/>
    <s v="SISTEMA"/>
  </r>
  <r>
    <d v="2025-09-15T00:00:00"/>
    <x v="2"/>
    <s v="HSERV  COMBINADOS"/>
    <x v="82"/>
    <n v="-300"/>
    <x v="0"/>
    <s v="SISTEMA"/>
  </r>
  <r>
    <d v="2025-09-15T00:00:00"/>
    <x v="2"/>
    <s v="HENRIQUE JEAN DUARTE "/>
    <x v="82"/>
    <n v="-275"/>
    <x v="0"/>
    <s v="SISTEMA"/>
  </r>
  <r>
    <d v="2025-09-15T00:00:00"/>
    <x v="2"/>
    <s v="HSERV TERCEIRIZADOS"/>
    <x v="82"/>
    <n v="-300"/>
    <x v="0"/>
    <s v="SISTEMA"/>
  </r>
  <r>
    <d v="2025-09-15T00:00:00"/>
    <x v="2"/>
    <s v="HSERV  LIMPEZA "/>
    <x v="82"/>
    <n v="-300"/>
    <x v="0"/>
    <s v="SISTEMA"/>
  </r>
  <r>
    <d v="2025-09-15T00:00:00"/>
    <x v="2"/>
    <s v="VITOR  DUARTE "/>
    <x v="82"/>
    <n v="-350"/>
    <x v="0"/>
    <s v="SISTEMA"/>
  </r>
  <r>
    <d v="2025-09-15T00:00:00"/>
    <x v="2"/>
    <s v="HSER CLEAN"/>
    <x v="82"/>
    <n v="-373.51"/>
    <x v="0"/>
    <s v="SISTEMA"/>
  </r>
  <r>
    <d v="2025-09-16T00:00:00"/>
    <x v="2"/>
    <s v="HSERV CABREUVA"/>
    <x v="414"/>
    <n v="-2003.33"/>
    <x v="0"/>
    <s v="UNIFORMES"/>
  </r>
  <r>
    <d v="2025-09-16T00:00:00"/>
    <x v="2"/>
    <s v="HENRIQUE JEAN"/>
    <x v="254"/>
    <n v="-3177.29"/>
    <x v="0"/>
    <s v="CESTA BASICA"/>
  </r>
  <r>
    <d v="2025-09-16T00:00:00"/>
    <x v="2"/>
    <s v="HSERV CABREUVA"/>
    <x v="254"/>
    <n v="-2247.35"/>
    <x v="0"/>
    <s v="CESTA BASICA"/>
  </r>
  <r>
    <d v="2025-09-16T00:00:00"/>
    <x v="2"/>
    <s v="HSERV CLEAN"/>
    <x v="254"/>
    <n v="-1239.92"/>
    <x v="0"/>
    <s v="CESTA BASICA"/>
  </r>
  <r>
    <d v="2025-09-16T00:00:00"/>
    <x v="2"/>
    <s v="HSERV CLEAN"/>
    <x v="254"/>
    <n v="-3409.78"/>
    <x v="0"/>
    <s v="CESTA BASICA"/>
  </r>
  <r>
    <d v="2025-09-16T00:00:00"/>
    <x v="2"/>
    <s v="HSERV COMBINADOS"/>
    <x v="254"/>
    <n v="-3332.29"/>
    <x v="0"/>
    <s v="CESTA BASICA"/>
  </r>
  <r>
    <d v="2025-09-16T00:00:00"/>
    <x v="2"/>
    <s v="HSERV LIMPEZA"/>
    <x v="254"/>
    <n v="-929.94"/>
    <x v="0"/>
    <s v="CESTA BASICA"/>
  </r>
  <r>
    <d v="2025-09-16T00:00:00"/>
    <x v="2"/>
    <s v="HSERV REPRESENTACOES"/>
    <x v="254"/>
    <n v="-929.94"/>
    <x v="0"/>
    <s v="CESTA BASICA"/>
  </r>
  <r>
    <d v="2025-09-16T00:00:00"/>
    <x v="2"/>
    <s v="HSERV TECNOLOGIA"/>
    <x v="254"/>
    <n v="-232.49"/>
    <x v="0"/>
    <s v="CESTA BASICA"/>
  </r>
  <r>
    <d v="2025-09-16T00:00:00"/>
    <x v="2"/>
    <s v="HSERV TERCEIRIZADOS"/>
    <x v="254"/>
    <n v="-1084.93"/>
    <x v="0"/>
    <s v="CESTA BASICA"/>
  </r>
  <r>
    <d v="2025-09-16T00:00:00"/>
    <x v="2"/>
    <s v="VITOR DUARTE"/>
    <x v="254"/>
    <n v="-154.99"/>
    <x v="0"/>
    <s v="CESTA BASICA"/>
  </r>
  <r>
    <d v="2025-09-18T00:00:00"/>
    <x v="2"/>
    <s v="HSERV CABREUVA"/>
    <x v="414"/>
    <n v="-3619.33"/>
    <x v="0"/>
    <s v="UNIFORMES"/>
  </r>
  <r>
    <d v="2025-09-18T00:00:00"/>
    <x v="2"/>
    <s v="HSERV COMBINADOS "/>
    <x v="490"/>
    <n v="-5996.67"/>
    <x v="0"/>
    <s v="EMPRESTIMO "/>
  </r>
  <r>
    <d v="2025-09-22T00:00:00"/>
    <x v="2"/>
    <s v="HSERV CABREUVA"/>
    <x v="423"/>
    <n v="-16000"/>
    <x v="0"/>
    <s v="CONTABILIDADE"/>
  </r>
  <r>
    <d v="2025-09-23T00:00:00"/>
    <x v="2"/>
    <s v="HSERV CABREUVA"/>
    <x v="95"/>
    <n v="-600"/>
    <x v="0"/>
    <s v="VALE ALIMENTAÇÃO"/>
  </r>
  <r>
    <d v="2025-09-22T00:00:00"/>
    <x v="2"/>
    <s v="HSERV CABREUVA"/>
    <x v="96"/>
    <n v="-1100"/>
    <x v="0"/>
    <s v="SISTEMA"/>
  </r>
  <r>
    <d v="2025-09-22T00:00:00"/>
    <x v="2"/>
    <s v="HSERV CABREUVA"/>
    <x v="97"/>
    <n v="-39.799999999999997"/>
    <x v="0"/>
    <s v="SISTEMA"/>
  </r>
  <r>
    <d v="2025-09-19T00:00:00"/>
    <x v="2"/>
    <s v="HSERV CABREUVA"/>
    <x v="98"/>
    <n v="-15000"/>
    <x v="0"/>
    <s v="IMPOSTO"/>
  </r>
  <r>
    <d v="2025-09-19T00:00:00"/>
    <x v="2"/>
    <s v="VITOR DUARTE"/>
    <x v="99"/>
    <n v="-15000"/>
    <x v="0"/>
    <s v="IMPOSTO"/>
  </r>
  <r>
    <d v="2025-09-19T00:00:00"/>
    <x v="2"/>
    <s v="VITOR DUARTE"/>
    <x v="100"/>
    <n v="-3000"/>
    <x v="0"/>
    <s v="IMPOSTO"/>
  </r>
  <r>
    <d v="2025-09-19T00:00:00"/>
    <x v="2"/>
    <s v="HSERV CABREUVA"/>
    <x v="424"/>
    <n v="-55000"/>
    <x v="0"/>
    <s v="IMPOSTO"/>
  </r>
  <r>
    <d v="2025-09-19T00:00:00"/>
    <x v="2"/>
    <s v="HSERV CABREUVA"/>
    <x v="425"/>
    <n v="-50000"/>
    <x v="0"/>
    <s v="IMPOSTO"/>
  </r>
  <r>
    <d v="2025-09-22T00:00:00"/>
    <x v="2"/>
    <s v="HSERV CABREUVA"/>
    <x v="426"/>
    <n v="-110000"/>
    <x v="0"/>
    <s v="FT"/>
  </r>
  <r>
    <d v="2025-09-19T00:00:00"/>
    <x v="2"/>
    <s v="HSERV CABREUVA"/>
    <x v="119"/>
    <n v="-41000"/>
    <x v="0"/>
    <s v="VALE TRANSPORTE"/>
  </r>
  <r>
    <d v="2025-09-22T00:00:00"/>
    <x v="2"/>
    <s v="HSERV CABREUVA"/>
    <x v="389"/>
    <n v="-8000"/>
    <x v="0"/>
    <s v="FT"/>
  </r>
  <r>
    <d v="2025-09-22T00:00:00"/>
    <x v="2"/>
    <s v="HSERV COMBINADOS"/>
    <x v="427"/>
    <n v="-2756.99"/>
    <x v="0"/>
    <s v="APORTE"/>
  </r>
  <r>
    <d v="2025-09-22T00:00:00"/>
    <x v="2"/>
    <s v="VITOR DUARTE"/>
    <x v="432"/>
    <n v="-1700"/>
    <x v="0"/>
    <s v="TELEFONE"/>
  </r>
  <r>
    <d v="2025-09-19T00:00:00"/>
    <x v="2"/>
    <s v="HENRIQUE JEAN ND"/>
    <x v="132"/>
    <n v="-8937.32"/>
    <x v="0"/>
    <s v="RESERVA"/>
  </r>
  <r>
    <d v="2025-09-19T00:00:00"/>
    <x v="2"/>
    <s v="VITOR DUARTE"/>
    <x v="4"/>
    <n v="-16200"/>
    <x v="0"/>
    <s v="VALE ALIMENTAÇÃO"/>
  </r>
  <r>
    <d v="2025-09-26T00:00:00"/>
    <x v="2"/>
    <s v="VITOR DUARTE"/>
    <x v="4"/>
    <n v="-16200"/>
    <x v="0"/>
    <s v="VALE ALIMENTAÇÃO"/>
  </r>
  <r>
    <d v="2025-09-25T00:00:00"/>
    <x v="2"/>
    <s v="HSERV CABREUVA"/>
    <x v="34"/>
    <n v="-9000"/>
    <x v="0"/>
    <s v="COMBUSTIVEL E PEDAGIO"/>
  </r>
  <r>
    <d v="2025-09-25T00:00:00"/>
    <x v="2"/>
    <s v="VITOR DUARTE"/>
    <x v="135"/>
    <n v="-500"/>
    <x v="0"/>
    <s v="SISTEMA"/>
  </r>
  <r>
    <d v="2025-07-25T00:00:00"/>
    <x v="0"/>
    <s v="HSERV CABREUVA"/>
    <x v="491"/>
    <n v="-2688.37"/>
    <x v="0"/>
    <s v="ACORDO TRABALHISTA"/>
  </r>
  <r>
    <d v="2025-09-25T00:00:00"/>
    <x v="2"/>
    <s v="HSERV CABREUVA"/>
    <x v="491"/>
    <n v="-2688.37"/>
    <x v="0"/>
    <s v="ACORDO TRABALHISTA"/>
  </r>
  <r>
    <d v="2025-09-25T00:00:00"/>
    <x v="2"/>
    <s v="HSERV CABREUVA"/>
    <x v="435"/>
    <n v="-294.8"/>
    <x v="0"/>
    <s v="INTERNET"/>
  </r>
  <r>
    <d v="2025-09-25T00:00:00"/>
    <x v="2"/>
    <s v="HSERV COMBINADOS"/>
    <x v="436"/>
    <n v="-1812.64"/>
    <x v="0"/>
    <s v="APORTE"/>
  </r>
  <r>
    <d v="2025-09-19T00:00:00"/>
    <x v="2"/>
    <s v="VITOR DUARTE"/>
    <x v="141"/>
    <n v="-9980"/>
    <x v="0"/>
    <s v="PROLABORE"/>
  </r>
  <r>
    <d v="2025-09-29T00:00:00"/>
    <x v="2"/>
    <s v="HSERV CLEAN"/>
    <x v="193"/>
    <n v="-536.6"/>
    <x v="0"/>
    <s v="UNIFORMES"/>
  </r>
  <r>
    <d v="2025-09-29T00:00:00"/>
    <x v="2"/>
    <s v="HSERV COMBINADOS "/>
    <x v="437"/>
    <n v="-500"/>
    <x v="0"/>
    <s v="SISTEMA"/>
  </r>
  <r>
    <d v="2025-09-30T00:00:00"/>
    <x v="2"/>
    <s v="HENRIQUE JEAN ND"/>
    <x v="74"/>
    <n v="-5000"/>
    <x v="0"/>
    <s v="RESERVA"/>
  </r>
  <r>
    <d v="2025-09-30T00:00:00"/>
    <x v="2"/>
    <s v="VITOR DUARTE"/>
    <x v="143"/>
    <n v="-2530.4299999999998"/>
    <x v="0"/>
    <s v="SISTEMA"/>
  </r>
  <r>
    <d v="2025-09-30T00:00:00"/>
    <x v="2"/>
    <s v="VITOR DUARTE"/>
    <x v="143"/>
    <n v="-1339.5"/>
    <x v="0"/>
    <s v="SISTEMA"/>
  </r>
  <r>
    <d v="2025-09-05T00:00:00"/>
    <x v="2"/>
    <s v=" HSERV CABREUVA"/>
    <x v="438"/>
    <n v="-5000"/>
    <x v="0"/>
    <s v="VALE TRANSPORTE"/>
  </r>
  <r>
    <d v="2025-09-30T00:00:00"/>
    <x v="2"/>
    <s v=" HSERV CABREUVA"/>
    <x v="144"/>
    <n v="-15000"/>
    <x v="0"/>
    <s v="VALE TRANSPORTE"/>
  </r>
  <r>
    <d v="2025-09-26T00:00:00"/>
    <x v="2"/>
    <s v="VITOR DUARTE"/>
    <x v="141"/>
    <n v="-9980"/>
    <x v="0"/>
    <s v="PROLABORE"/>
  </r>
  <r>
    <d v="2025-09-30T00:00:00"/>
    <x v="2"/>
    <s v="VITOR DUARTE"/>
    <x v="141"/>
    <n v="-23498.18"/>
    <x v="0"/>
    <s v="PROLABORE"/>
  </r>
  <r>
    <d v="2025-09-30T00:00:00"/>
    <x v="2"/>
    <s v="HSERV CABREUVA"/>
    <x v="154"/>
    <n v="-35000"/>
    <x v="0"/>
    <s v="IMPOSTO"/>
  </r>
  <r>
    <d v="2025-09-30T00:00:00"/>
    <x v="2"/>
    <s v="HSERV CABREUVA"/>
    <x v="439"/>
    <n v="-7000"/>
    <x v="0"/>
    <s v="VALE COMBUSTIVEL"/>
  </r>
  <r>
    <d v="2025-09-30T00:00:00"/>
    <x v="2"/>
    <s v="VITOR DUARTE"/>
    <x v="156"/>
    <n v="-1500"/>
    <x v="0"/>
    <s v="TI"/>
  </r>
  <r>
    <d v="2025-09-30T00:00:00"/>
    <x v="2"/>
    <s v="VITOR DUARTE"/>
    <x v="157"/>
    <n v="-50"/>
    <x v="0"/>
    <s v="TI"/>
  </r>
  <r>
    <d v="2025-09-30T00:00:00"/>
    <x v="2"/>
    <s v="HSERV COMBINADOS "/>
    <x v="158"/>
    <n v="-800"/>
    <x v="0"/>
    <s v="REEMBOLSO"/>
  </r>
  <r>
    <d v="2025-09-30T00:00:00"/>
    <x v="2"/>
    <s v="HSERV CABREUVA"/>
    <x v="440"/>
    <n v="-40000"/>
    <x v="0"/>
    <s v="FÉRIAS"/>
  </r>
  <r>
    <d v="2025-09-30T00:00:00"/>
    <x v="2"/>
    <s v="VITOR DUARTE"/>
    <x v="441"/>
    <n v="-56900"/>
    <x v="0"/>
    <s v="APORTE"/>
  </r>
  <r>
    <d v="2025-09-30T00:00:00"/>
    <x v="2"/>
    <s v="VITOR DUARTE"/>
    <x v="163"/>
    <n v="-7000"/>
    <x v="0"/>
    <s v="IMPOSTO"/>
  </r>
  <r>
    <d v="2025-09-30T00:00:00"/>
    <x v="2"/>
    <s v="HSERV CLEAN"/>
    <x v="164"/>
    <n v="-600"/>
    <x v="0"/>
    <s v="IMPOSTO"/>
  </r>
  <r>
    <d v="2025-09-30T00:00:00"/>
    <x v="2"/>
    <s v="HSERV CLEAN"/>
    <x v="165"/>
    <n v="-4000"/>
    <x v="0"/>
    <s v="IMPOSTO"/>
  </r>
  <r>
    <d v="2025-09-30T00:00:00"/>
    <x v="2"/>
    <s v=" HSERV CABREUVA"/>
    <x v="166"/>
    <n v="-9000"/>
    <x v="0"/>
    <s v="IMPOSTO"/>
  </r>
  <r>
    <d v="2025-09-30T00:00:00"/>
    <x v="2"/>
    <s v="HSERV CLEAN"/>
    <x v="167"/>
    <n v="-1719.53"/>
    <x v="0"/>
    <s v="CARTÃO DE CREDITO"/>
  </r>
  <r>
    <d v="2025-09-30T00:00:00"/>
    <x v="2"/>
    <s v="HSERV CABREUVA"/>
    <x v="167"/>
    <n v="-1392.65"/>
    <x v="0"/>
    <s v="CARTÃO DE CREDITO"/>
  </r>
  <r>
    <d v="2025-09-02T00:00:00"/>
    <x v="2"/>
    <s v="TECNOLOGIA"/>
    <x v="168"/>
    <n v="23638.67"/>
    <x v="1"/>
    <s v="VENDAS DE SERVIÇOS"/>
  </r>
  <r>
    <d v="2025-09-02T00:00:00"/>
    <x v="2"/>
    <s v="LIMPEZA"/>
    <x v="169"/>
    <n v="799.2"/>
    <x v="1"/>
    <s v="VENDAS DE SERVIÇOS"/>
  </r>
  <r>
    <d v="2025-09-02T00:00:00"/>
    <x v="2"/>
    <s v="LIMPEZA"/>
    <x v="169"/>
    <n v="18532.8"/>
    <x v="1"/>
    <s v="VENDAS DE SERVIÇOS"/>
  </r>
  <r>
    <d v="2025-09-02T00:00:00"/>
    <x v="2"/>
    <s v="COMBINADOS"/>
    <x v="170"/>
    <n v="22451.91"/>
    <x v="1"/>
    <s v="VENDAS DE SERVIÇOS"/>
  </r>
  <r>
    <d v="2025-09-02T00:00:00"/>
    <x v="2"/>
    <s v="REPRESENTAÇÃO"/>
    <x v="171"/>
    <n v="14482.07"/>
    <x v="1"/>
    <s v="VENDAS DE SERVIÇOS"/>
  </r>
  <r>
    <d v="2025-09-02T00:00:00"/>
    <x v="2"/>
    <s v="REPRESENTAÇÃO"/>
    <x v="171"/>
    <n v="23943.3"/>
    <x v="1"/>
    <s v="VENDAS DE SERVIÇOS"/>
  </r>
  <r>
    <d v="2025-09-02T00:00:00"/>
    <x v="2"/>
    <s v="REPRESENTAÇÃO"/>
    <x v="171"/>
    <n v="21852.37"/>
    <x v="1"/>
    <s v="VENDAS DE SERVIÇOS"/>
  </r>
  <r>
    <d v="2025-09-02T00:00:00"/>
    <x v="2"/>
    <s v="REPRESENTAÇÃO"/>
    <x v="171"/>
    <n v="4683.53"/>
    <x v="1"/>
    <s v="VENDAS DE SERVIÇOS"/>
  </r>
  <r>
    <d v="2025-09-02T00:00:00"/>
    <x v="2"/>
    <s v="REPRESENTAÇÃO"/>
    <x v="171"/>
    <n v="196"/>
    <x v="1"/>
    <s v="VENDAS DE SERVIÇOS"/>
  </r>
  <r>
    <d v="2025-09-10T00:00:00"/>
    <x v="2"/>
    <s v="HSERV COMBINADOS "/>
    <x v="442"/>
    <n v="-50000"/>
    <x v="0"/>
    <s v="FT"/>
  </r>
  <r>
    <d v="2025-09-10T00:00:00"/>
    <x v="2"/>
    <s v="CABREUVA"/>
    <x v="175"/>
    <n v="8041"/>
    <x v="1"/>
    <s v="VENDAS DE SERVIÇOS"/>
  </r>
  <r>
    <d v="2025-09-10T00:00:00"/>
    <x v="2"/>
    <s v="CABREUVA"/>
    <x v="175"/>
    <n v="33748.379999999997"/>
    <x v="1"/>
    <s v="VENDAS DE SERVIÇOS"/>
  </r>
  <r>
    <d v="2025-09-11T00:00:00"/>
    <x v="2"/>
    <s v="CABREUVA"/>
    <x v="176"/>
    <n v="4880.1400000000003"/>
    <x v="1"/>
    <s v="VENDAS DE SERVIÇOS"/>
  </r>
  <r>
    <d v="2025-09-11T00:00:00"/>
    <x v="2"/>
    <s v="REPRESENTAÇÃO"/>
    <x v="177"/>
    <n v="603.26"/>
    <x v="1"/>
    <s v="VENDAS DE SERVIÇOS"/>
  </r>
  <r>
    <d v="2025-09-11T00:00:00"/>
    <x v="2"/>
    <s v="REPRESENTAÇÃO"/>
    <x v="177"/>
    <n v="1106.1400000000001"/>
    <x v="1"/>
    <s v="VENDAS DE SERVIÇOS"/>
  </r>
  <r>
    <d v="2025-09-11T00:00:00"/>
    <x v="2"/>
    <s v="REPRESENTAÇÃO"/>
    <x v="177"/>
    <n v="9631"/>
    <x v="1"/>
    <s v="VENDAS DE SERVIÇOS"/>
  </r>
  <r>
    <d v="2025-09-11T00:00:00"/>
    <x v="2"/>
    <s v="VITOR"/>
    <x v="178"/>
    <n v="257.81"/>
    <x v="1"/>
    <s v="VENDAS DE SERVIÇOS"/>
  </r>
  <r>
    <d v="2025-09-11T00:00:00"/>
    <x v="2"/>
    <s v="VITOR"/>
    <x v="179"/>
    <n v="680.03"/>
    <x v="1"/>
    <s v="VENDAS DE SERVIÇOS"/>
  </r>
  <r>
    <d v="2025-09-11T00:00:00"/>
    <x v="2"/>
    <s v="CLEAN"/>
    <x v="183"/>
    <n v="24988.71"/>
    <x v="1"/>
    <s v="VENDAS DE SERVIÇOS"/>
  </r>
  <r>
    <d v="2025-09-11T00:00:00"/>
    <x v="2"/>
    <s v="CLEAN"/>
    <x v="183"/>
    <n v="16834.330000000002"/>
    <x v="1"/>
    <s v="VENDAS DE SERVIÇOS"/>
  </r>
  <r>
    <d v="2025-09-11T00:00:00"/>
    <x v="2"/>
    <s v="CLEAN"/>
    <x v="183"/>
    <n v="268.13"/>
    <x v="1"/>
    <s v="VENDAS DE SERVIÇOS"/>
  </r>
  <r>
    <d v="2025-09-23T00:00:00"/>
    <x v="2"/>
    <s v="CLEAN"/>
    <x v="183"/>
    <n v="12459.61"/>
    <x v="1"/>
    <s v="VENDAS DE SERVIÇOS"/>
  </r>
  <r>
    <d v="2025-09-11T00:00:00"/>
    <x v="2"/>
    <s v="LIMPEZA"/>
    <x v="181"/>
    <n v="7850"/>
    <x v="1"/>
    <s v="VENDAS DE SERVIÇOS"/>
  </r>
  <r>
    <d v="2025-09-04T00:00:00"/>
    <x v="2"/>
    <s v="VITOR DUARTE"/>
    <x v="444"/>
    <n v="345280"/>
    <x v="1"/>
    <s v="VENDAS DE SERVIÇOS"/>
  </r>
  <r>
    <d v="2025-09-24T00:00:00"/>
    <x v="2"/>
    <s v="HSERV COMBINADOS"/>
    <x v="492"/>
    <m/>
    <x v="0"/>
    <s v="FT"/>
  </r>
  <r>
    <d v="2025-09-16T00:00:00"/>
    <x v="2"/>
    <s v="TERCEIRIZADOS"/>
    <x v="185"/>
    <n v="17956.39"/>
    <x v="1"/>
    <s v="VENDAS DE SERVIÇOS"/>
  </r>
  <r>
    <d v="2025-09-18T00:00:00"/>
    <x v="2"/>
    <s v="LIMPEZA"/>
    <x v="186"/>
    <n v="4717.4399999999996"/>
    <x v="1"/>
    <s v="VENDAS DE SERVIÇOS"/>
  </r>
  <r>
    <d v="2025-09-18T00:00:00"/>
    <x v="2"/>
    <s v="LIMPEZA"/>
    <x v="186"/>
    <n v="9938.39"/>
    <x v="1"/>
    <s v="VENDAS DE SERVIÇOS"/>
  </r>
  <r>
    <d v="2025-09-18T00:00:00"/>
    <x v="2"/>
    <s v="LIMPEZA"/>
    <x v="186"/>
    <n v="22139.98"/>
    <x v="1"/>
    <s v="VENDAS DE SERVIÇOS"/>
  </r>
  <r>
    <d v="2025-09-26T00:00:00"/>
    <x v="2"/>
    <s v="CLEAN"/>
    <x v="187"/>
    <n v="2373.8200000000002"/>
    <x v="1"/>
    <s v="VENDAS DE SERVIÇOS"/>
  </r>
  <r>
    <d v="2025-09-26T00:00:00"/>
    <x v="2"/>
    <s v="CLEAN"/>
    <x v="187"/>
    <n v="5823.82"/>
    <x v="1"/>
    <s v="VENDAS DE SERVIÇOS"/>
  </r>
  <r>
    <d v="2025-09-26T00:00:00"/>
    <x v="2"/>
    <s v="CLEAN"/>
    <x v="187"/>
    <n v="7526.95"/>
    <x v="1"/>
    <s v="VENDAS DE SERVIÇOS"/>
  </r>
  <r>
    <d v="2025-09-26T00:00:00"/>
    <x v="2"/>
    <s v="CLEAN"/>
    <x v="187"/>
    <n v="25756.63"/>
    <x v="1"/>
    <s v="VENDAS DE SERVIÇOS"/>
  </r>
  <r>
    <d v="2025-09-30T00:00:00"/>
    <x v="2"/>
    <s v="CABREUVA"/>
    <x v="446"/>
    <n v="816717.89"/>
    <x v="1"/>
    <s v="VENDAS DE SERVIÇOS"/>
  </r>
  <r>
    <d v="2025-09-23T00:00:00"/>
    <x v="2"/>
    <s v="HENRIQUE JEAN"/>
    <x v="448"/>
    <n v="-7000"/>
    <x v="0"/>
    <s v="EMPRESTIMO "/>
  </r>
  <r>
    <d v="2025-09-23T00:00:00"/>
    <x v="2"/>
    <s v="HSERV COMBINADOS"/>
    <x v="450"/>
    <n v="-7000"/>
    <x v="0"/>
    <s v="EMPRESTIMO "/>
  </r>
  <r>
    <d v="2025-09-10T00:00:00"/>
    <x v="2"/>
    <s v="HSERV CABREUVA"/>
    <x v="89"/>
    <n v="-10030"/>
    <x v="0"/>
    <s v="SINDICATO"/>
  </r>
  <r>
    <d v="2025-09-10T00:00:00"/>
    <x v="2"/>
    <s v="HSERV CABREUVA"/>
    <x v="421"/>
    <n v="-4500"/>
    <x v="0"/>
    <s v="SINDICATO"/>
  </r>
  <r>
    <d v="2025-09-17T00:00:00"/>
    <x v="2"/>
    <s v="HENRIQUE JEAN"/>
    <x v="451"/>
    <n v="-630"/>
    <x v="0"/>
    <s v="SINDICATO"/>
  </r>
  <r>
    <d v="2025-09-17T00:00:00"/>
    <x v="2"/>
    <s v="HSERV CABREUVA"/>
    <x v="244"/>
    <n v="-1905.5"/>
    <x v="0"/>
    <s v="SINDICATO"/>
  </r>
  <r>
    <d v="2025-09-22T00:00:00"/>
    <x v="2"/>
    <s v="VITOR DUARTE"/>
    <x v="254"/>
    <n v="-18000"/>
    <x v="0"/>
    <s v="CESTA BASICA"/>
  </r>
  <r>
    <d v="2025-09-10T00:00:00"/>
    <x v="2"/>
    <s v="HENRIQUE JEAN"/>
    <x v="493"/>
    <n v="-1000"/>
    <x v="0"/>
    <s v="ACORDO TRABALHISTA"/>
  </r>
  <r>
    <d v="2025-09-15T00:00:00"/>
    <x v="2"/>
    <s v="HENRIQUE JEAN"/>
    <x v="494"/>
    <n v="-1000"/>
    <x v="0"/>
    <s v="ACORDO TRABALHISTA"/>
  </r>
  <r>
    <d v="2025-09-30T00:00:00"/>
    <x v="2"/>
    <s v="HSERV CABREUVA"/>
    <x v="495"/>
    <n v="-2000"/>
    <x v="0"/>
    <s v="ACORDO TRABALHISTA"/>
  </r>
  <r>
    <d v="2025-09-30T00:00:00"/>
    <x v="2"/>
    <s v="HSERV CABREUVA"/>
    <x v="496"/>
    <n v="-1465"/>
    <x v="0"/>
    <s v="ACORDO TRABALHISTA"/>
  </r>
  <r>
    <d v="2025-09-30T00:00:00"/>
    <x v="2"/>
    <s v="HSERV CABREUVA"/>
    <x v="497"/>
    <n v="-3836.54"/>
    <x v="0"/>
    <s v="ACORDO TRABALHISTA"/>
  </r>
  <r>
    <d v="2025-09-30T00:00:00"/>
    <x v="2"/>
    <s v="HSERV CABREUVA"/>
    <x v="498"/>
    <n v="-3200"/>
    <x v="0"/>
    <s v="ACORDO TRABALHISTA"/>
  </r>
  <r>
    <d v="2025-09-30T00:00:00"/>
    <x v="2"/>
    <s v="HSERV CABREUVA"/>
    <x v="499"/>
    <n v="-2500"/>
    <x v="0"/>
    <s v="ACORDO TRABALHISTA"/>
  </r>
  <r>
    <d v="2025-09-30T00:00:00"/>
    <x v="2"/>
    <s v="HSERV CLEAN"/>
    <x v="500"/>
    <n v="-2500"/>
    <x v="0"/>
    <s v="ACORDO TRABALHISTA"/>
  </r>
  <r>
    <d v="2025-09-30T00:00:00"/>
    <x v="2"/>
    <s v="HSERV LIMPEZA"/>
    <x v="501"/>
    <n v="-1000"/>
    <x v="0"/>
    <s v="ACORDO TRABALHISTA"/>
  </r>
  <r>
    <d v="2025-09-30T00:00:00"/>
    <x v="2"/>
    <s v="VITOR DUARTE"/>
    <x v="502"/>
    <n v="-2864.92"/>
    <x v="0"/>
    <s v="ACORDO TRABALHISTA"/>
  </r>
  <r>
    <d v="2025-09-30T00:00:00"/>
    <x v="2"/>
    <s v="VITOR DUARTE"/>
    <x v="503"/>
    <n v="-1400"/>
    <x v="0"/>
    <s v="ACORDO TRABALHISTA"/>
  </r>
  <r>
    <d v="2025-09-30T00:00:00"/>
    <x v="2"/>
    <s v="VITOR DUARTE"/>
    <x v="504"/>
    <n v="-1916.67"/>
    <x v="0"/>
    <s v="ACORDO TRABALHISTA"/>
  </r>
  <r>
    <d v="2025-09-15T00:00:00"/>
    <x v="2"/>
    <s v="HSERV CABREUVA"/>
    <x v="505"/>
    <n v="-10000"/>
    <x v="0"/>
    <s v="ACORDO TRABALHISTA"/>
  </r>
  <r>
    <d v="2025-09-09T00:00:00"/>
    <x v="2"/>
    <s v="HSERV REPRESENTACOES"/>
    <x v="506"/>
    <n v="-2000"/>
    <x v="0"/>
    <s v="ACORDO TRABALHISTA"/>
  </r>
  <r>
    <d v="2025-09-15T00:00:00"/>
    <x v="2"/>
    <s v="HSERV REPRESENTACOES"/>
    <x v="507"/>
    <n v="-2000"/>
    <x v="0"/>
    <s v="ACORDO TRABALHISTA"/>
  </r>
  <r>
    <d v="2025-12-01T00:00:00"/>
    <x v="5"/>
    <s v="HSERV CLEAN"/>
    <x v="508"/>
    <n v="-3968.99"/>
    <x v="0"/>
    <s v="ACORDO TRABALHISTA"/>
  </r>
  <r>
    <d v="2025-11-03T00:00:00"/>
    <x v="4"/>
    <s v="HSERV CLEAN"/>
    <x v="509"/>
    <n v="-3968.99"/>
    <x v="0"/>
    <s v="ACORDO TRABALHISTA"/>
  </r>
  <r>
    <d v="2025-10-01T00:00:00"/>
    <x v="3"/>
    <s v="HSERV CLEAN"/>
    <x v="510"/>
    <n v="-3968.99"/>
    <x v="0"/>
    <s v="ACORDO TRABALHISTA"/>
  </r>
  <r>
    <d v="2025-09-01T00:00:00"/>
    <x v="2"/>
    <s v="HSERV CLEAN"/>
    <x v="511"/>
    <n v="-3968.99"/>
    <x v="0"/>
    <s v="ACORDO TRABALHISTA"/>
  </r>
  <r>
    <d v="2025-09-01T00:00:00"/>
    <x v="2"/>
    <s v="VITOR DUARTE"/>
    <x v="512"/>
    <n v="-1848.63"/>
    <x v="0"/>
    <s v="ACORDO TRABALHISTA"/>
  </r>
  <r>
    <d v="2025-10-15T00:00:00"/>
    <x v="3"/>
    <s v="HSERV CABREUVA"/>
    <x v="486"/>
    <n v="-100000"/>
    <x v="0"/>
    <s v="SALARIOS"/>
  </r>
  <r>
    <d v="2025-10-06T00:00:00"/>
    <x v="3"/>
    <s v="HSERV CABREUVA"/>
    <x v="482"/>
    <n v="-9000"/>
    <x v="0"/>
    <s v="SALARIOS"/>
  </r>
  <r>
    <d v="2025-10-02T00:00:00"/>
    <x v="3"/>
    <s v="HSERV TERCEIRIZADOS ND"/>
    <x v="385"/>
    <n v="-900"/>
    <x v="0"/>
    <s v="ENCARGOS"/>
  </r>
  <r>
    <d v="2025-10-31T00:00:00"/>
    <x v="3"/>
    <s v="VITOR DUARTE"/>
    <x v="156"/>
    <n v="-1500"/>
    <x v="0"/>
    <s v="TI"/>
  </r>
  <r>
    <d v="2025-10-31T00:00:00"/>
    <x v="3"/>
    <s v="VITOR DUARTE"/>
    <x v="157"/>
    <n v="-50"/>
    <x v="0"/>
    <s v="TI"/>
  </r>
  <r>
    <d v="2025-10-20T00:00:00"/>
    <x v="3"/>
    <s v="HSERV CABREUVA"/>
    <x v="96"/>
    <n v="-1100"/>
    <x v="0"/>
    <s v="SISTEMA"/>
  </r>
  <r>
    <d v="2025-10-15T00:00:00"/>
    <x v="3"/>
    <s v="HSERV CABREUVA"/>
    <x v="407"/>
    <n v="-40000"/>
    <x v="0"/>
    <s v="ASSIDUIDADE"/>
  </r>
  <r>
    <d v="2025-09-19T00:00:00"/>
    <x v="2"/>
    <s v="HSERV CABREUVA"/>
    <x v="417"/>
    <n v="-4500"/>
    <x v="0"/>
    <s v="EXAMES MEDICOS"/>
  </r>
  <r>
    <d v="2025-10-17T00:00:00"/>
    <x v="3"/>
    <s v="HSERV CABREUVA"/>
    <x v="417"/>
    <n v="-4500"/>
    <x v="0"/>
    <s v="EXAMES MEDICOS"/>
  </r>
  <r>
    <d v="2025-10-10T00:00:00"/>
    <x v="3"/>
    <s v="HSERV CABREUVA"/>
    <x v="34"/>
    <n v="-9500"/>
    <x v="0"/>
    <s v="COMBUSTIVEL E PEDAGIO"/>
  </r>
  <r>
    <d v="2025-10-27T00:00:00"/>
    <x v="3"/>
    <s v="HSERV CABREUVA"/>
    <x v="34"/>
    <n v="-9000"/>
    <x v="0"/>
    <s v="COMBUSTIVEL E PEDAGIO"/>
  </r>
  <r>
    <d v="2025-10-03T00:00:00"/>
    <x v="3"/>
    <s v="VITOR DUARTE"/>
    <x v="444"/>
    <n v="345280"/>
    <x v="1"/>
    <s v="VENDAS DE SERVIÇOS"/>
  </r>
  <r>
    <d v="2025-10-06T00:00:00"/>
    <x v="3"/>
    <s v="HSERV CABREUVA"/>
    <x v="14"/>
    <n v="-3809.98"/>
    <x v="0"/>
    <s v="FINANCIAMENTO"/>
  </r>
  <r>
    <d v="2025-10-16T00:00:00"/>
    <x v="3"/>
    <s v="TERCEIRIZADOS"/>
    <x v="185"/>
    <n v="17956.39"/>
    <x v="1"/>
    <s v="VENDAS DE SERVIÇOS"/>
  </r>
  <r>
    <d v="2025-10-16T00:00:00"/>
    <x v="3"/>
    <s v="HSERV CABREUVA"/>
    <x v="421"/>
    <n v="-4500"/>
    <x v="0"/>
    <s v="SINDICATO"/>
  </r>
  <r>
    <d v="2025-10-30T00:00:00"/>
    <x v="3"/>
    <s v="CABREUVA"/>
    <x v="446"/>
    <n v="816717.89"/>
    <x v="1"/>
    <s v="VENDAS DE SERVIÇOS"/>
  </r>
  <r>
    <d v="2025-10-15T00:00:00"/>
    <x v="3"/>
    <s v="VITOR DUARTE"/>
    <x v="63"/>
    <n v="-20000"/>
    <x v="0"/>
    <s v="PROLABORE"/>
  </r>
  <r>
    <d v="2025-09-28T00:00:00"/>
    <x v="2"/>
    <s v="HSERV CABREUVA"/>
    <x v="88"/>
    <n v="-35714.57"/>
    <x v="0"/>
    <s v="EMPRESTIMO "/>
  </r>
  <r>
    <d v="2025-10-27T00:00:00"/>
    <x v="3"/>
    <s v="HSERV CABREUVA"/>
    <x v="88"/>
    <n v="-35714.57"/>
    <x v="0"/>
    <s v="EMPRESTIMO "/>
  </r>
  <r>
    <d v="2025-10-10T00:00:00"/>
    <x v="3"/>
    <s v="HSERV CABREUVA"/>
    <x v="37"/>
    <n v="-545.78"/>
    <x v="0"/>
    <s v="SEGUROS EM GERAL"/>
  </r>
  <r>
    <d v="2025-10-10T00:00:00"/>
    <x v="3"/>
    <s v="HSERV COMBINADOS "/>
    <x v="390"/>
    <n v="-9000"/>
    <x v="0"/>
    <s v="SINDICATO"/>
  </r>
  <r>
    <d v="2025-10-01T00:00:00"/>
    <x v="3"/>
    <s v="HSERV COMBINADOS "/>
    <x v="481"/>
    <n v="-5000"/>
    <x v="0"/>
    <s v="CAIXINHA"/>
  </r>
  <r>
    <d v="2025-10-01T00:00:00"/>
    <x v="3"/>
    <s v="HSERV COMBINADOS "/>
    <x v="3"/>
    <n v="-2000"/>
    <x v="0"/>
    <s v="CAIXINHA"/>
  </r>
  <r>
    <d v="2025-10-15T00:00:00"/>
    <x v="3"/>
    <s v="HENRIQUE JEAN"/>
    <x v="413"/>
    <n v="-2302.0500000000002"/>
    <x v="0"/>
    <s v="CARTÃO DE CREDITO"/>
  </r>
  <r>
    <d v="2025-10-15T00:00:00"/>
    <x v="3"/>
    <s v="HSERV COMBINADOS"/>
    <x v="413"/>
    <n v="-1248.99"/>
    <x v="0"/>
    <s v="CARTÃO DE CREDITO"/>
  </r>
  <r>
    <d v="2025-10-15T00:00:00"/>
    <x v="3"/>
    <s v="VITOR DUARTE"/>
    <x v="412"/>
    <n v="-12000"/>
    <x v="0"/>
    <s v="CARTÃO DE CREDITO"/>
  </r>
  <r>
    <d v="2025-10-10T00:00:00"/>
    <x v="3"/>
    <s v="HENRIQUE JEAN"/>
    <x v="32"/>
    <n v="-9000"/>
    <x v="0"/>
    <s v="PROLABORE"/>
  </r>
  <r>
    <d v="2025-10-27T00:00:00"/>
    <x v="3"/>
    <s v="HSERV COMBINADOS"/>
    <x v="450"/>
    <n v="-7000"/>
    <x v="0"/>
    <s v="EMPRESTIMO "/>
  </r>
  <r>
    <d v="2025-10-27T00:00:00"/>
    <x v="3"/>
    <s v="HENRIQUE JEAN"/>
    <x v="448"/>
    <n v="-7000"/>
    <x v="0"/>
    <s v="EMPRESTIMO "/>
  </r>
  <r>
    <d v="2025-10-15T00:00:00"/>
    <x v="3"/>
    <s v="HENRIQUE JEAN ND"/>
    <x v="74"/>
    <n v="-877.96"/>
    <x v="0"/>
    <s v="RESERVA"/>
  </r>
  <r>
    <d v="2025-10-31T00:00:00"/>
    <x v="3"/>
    <s v="HENRIQUE JEAN ND"/>
    <x v="74"/>
    <n v="-5000"/>
    <x v="0"/>
    <s v="RESERVA"/>
  </r>
  <r>
    <d v="2025-10-17T00:00:00"/>
    <x v="3"/>
    <s v="VITOR DUARTE"/>
    <x v="141"/>
    <n v="-9980"/>
    <x v="0"/>
    <s v="PROLABORE"/>
  </r>
  <r>
    <d v="2025-10-24T00:00:00"/>
    <x v="3"/>
    <s v="VITOR DUARTE"/>
    <x v="141"/>
    <n v="-9980"/>
    <x v="0"/>
    <s v="PROLABORE"/>
  </r>
  <r>
    <d v="2025-10-31T00:00:00"/>
    <x v="3"/>
    <s v="VITOR DUARTE"/>
    <x v="141"/>
    <n v="-23498.18"/>
    <x v="0"/>
    <s v="PROLABORE"/>
  </r>
  <r>
    <d v="2025-10-22T00:00:00"/>
    <x v="3"/>
    <s v="VITOR DUARTE"/>
    <x v="432"/>
    <n v="-1700"/>
    <x v="0"/>
    <s v="TELEFONE"/>
  </r>
  <r>
    <d v="2025-10-06T00:00:00"/>
    <x v="3"/>
    <s v="HENRIQUE JEAN"/>
    <x v="17"/>
    <n v="-760"/>
    <x v="0"/>
    <s v="RESERVA"/>
  </r>
  <r>
    <d v="2025-10-13T00:00:00"/>
    <x v="3"/>
    <s v="CABREUVA"/>
    <x v="176"/>
    <n v="4880.1400000000003"/>
    <x v="1"/>
    <s v="VENDAS DE SERVIÇOS"/>
  </r>
  <r>
    <d v="2025-10-06T00:00:00"/>
    <x v="3"/>
    <s v="HSERV CABREUVA "/>
    <x v="386"/>
    <n v="-9000"/>
    <x v="0"/>
    <s v="CONSIGNADO"/>
  </r>
  <r>
    <d v="2025-10-20T00:00:00"/>
    <x v="3"/>
    <s v="VITOR DUARTE"/>
    <x v="100"/>
    <n v="-3000"/>
    <x v="0"/>
    <s v="IMPOSTO"/>
  </r>
  <r>
    <d v="2025-10-20T00:00:00"/>
    <x v="3"/>
    <s v="VITOR DUARTE"/>
    <x v="99"/>
    <n v="-15000"/>
    <x v="0"/>
    <s v="IMPOSTO"/>
  </r>
  <r>
    <d v="2025-10-20T00:00:00"/>
    <x v="3"/>
    <s v="HSERV CABREUVA"/>
    <x v="425"/>
    <n v="-50000"/>
    <x v="0"/>
    <s v="IMPOSTO"/>
  </r>
  <r>
    <d v="2025-10-13T00:00:00"/>
    <x v="3"/>
    <s v="VITOR"/>
    <x v="178"/>
    <n v="257.81"/>
    <x v="1"/>
    <s v="VENDAS DE SERVIÇOS"/>
  </r>
  <r>
    <d v="2025-10-31T00:00:00"/>
    <x v="3"/>
    <s v="VITOR DUARTE"/>
    <x v="441"/>
    <n v="-56900"/>
    <x v="0"/>
    <s v="APORTE"/>
  </r>
  <r>
    <d v="2025-11-28T00:00:00"/>
    <x v="4"/>
    <s v="VITOR DUARTE"/>
    <x v="441"/>
    <n v="-56900"/>
    <x v="0"/>
    <s v="APORTE"/>
  </r>
  <r>
    <d v="2025-10-01T00:00:00"/>
    <x v="3"/>
    <s v="LIMPEZA"/>
    <x v="169"/>
    <n v="799.2"/>
    <x v="1"/>
    <s v="VENDAS DE SERVIÇOS"/>
  </r>
  <r>
    <d v="2025-10-01T00:00:00"/>
    <x v="3"/>
    <s v="LIMPEZA"/>
    <x v="169"/>
    <n v="18532.8"/>
    <x v="1"/>
    <s v="VENDAS DE SERVIÇOS"/>
  </r>
  <r>
    <d v="2025-10-01T00:00:00"/>
    <x v="3"/>
    <s v="HSERV CABREUVA"/>
    <x v="381"/>
    <n v="-201"/>
    <x v="0"/>
    <s v="ENERGIA ELETRICA"/>
  </r>
  <r>
    <d v="2025-10-01T00:00:00"/>
    <x v="3"/>
    <s v="HSERV CABREUVA"/>
    <x v="378"/>
    <n v="-650"/>
    <x v="0"/>
    <s v="ENERGIA ELETRICA"/>
  </r>
  <r>
    <d v="2025-10-01T00:00:00"/>
    <x v="3"/>
    <s v="HSERV CABREUVA"/>
    <x v="379"/>
    <n v="-320"/>
    <x v="0"/>
    <s v="ENERGIA ELETRICA"/>
  </r>
  <r>
    <d v="2025-10-01T00:00:00"/>
    <x v="3"/>
    <s v="HSERV CABREUVA"/>
    <x v="380"/>
    <n v="-350"/>
    <x v="0"/>
    <s v="ENERGIA ELETRICA"/>
  </r>
  <r>
    <d v="2025-10-16T00:00:00"/>
    <x v="3"/>
    <s v="HENRIQUE JEAN"/>
    <x v="254"/>
    <n v="-1239.92"/>
    <x v="0"/>
    <s v="CESTA BASICA"/>
  </r>
  <r>
    <d v="2025-10-16T00:00:00"/>
    <x v="3"/>
    <s v="HSERV CABREUVA"/>
    <x v="254"/>
    <n v="-1627.39"/>
    <x v="0"/>
    <s v="CESTA BASICA"/>
  </r>
  <r>
    <d v="2025-10-16T00:00:00"/>
    <x v="3"/>
    <s v="HSERV CLEAN"/>
    <x v="254"/>
    <n v="-1162.42"/>
    <x v="0"/>
    <s v="CESTA BASICA"/>
  </r>
  <r>
    <d v="2025-10-16T00:00:00"/>
    <x v="3"/>
    <s v="HSERV CLEAN"/>
    <x v="254"/>
    <n v="-3099.8"/>
    <x v="0"/>
    <s v="CESTA BASICA"/>
  </r>
  <r>
    <d v="2025-10-16T00:00:00"/>
    <x v="3"/>
    <s v="HSERV COMBINADOS"/>
    <x v="254"/>
    <n v="-3564.77"/>
    <x v="0"/>
    <s v="CESTA BASICA"/>
  </r>
  <r>
    <d v="2025-10-16T00:00:00"/>
    <x v="3"/>
    <s v="HSERV LIMPEZA"/>
    <x v="254"/>
    <n v="-929.94"/>
    <x v="0"/>
    <s v="CESTA BASICA"/>
  </r>
  <r>
    <d v="2025-10-16T00:00:00"/>
    <x v="3"/>
    <s v="HSERV REPRESENTACOES"/>
    <x v="254"/>
    <n v="-697.45"/>
    <x v="0"/>
    <s v="CESTA BASICA"/>
  </r>
  <r>
    <d v="2025-10-16T00:00:00"/>
    <x v="3"/>
    <s v="HSERV TECNOLOGIA"/>
    <x v="254"/>
    <n v="-2479.84"/>
    <x v="0"/>
    <s v="CESTA BASICA"/>
  </r>
  <r>
    <d v="2025-10-16T00:00:00"/>
    <x v="3"/>
    <s v="HSERV TERCEIRIZADOS"/>
    <x v="254"/>
    <n v="-1394.91"/>
    <x v="0"/>
    <s v="CESTA BASICA"/>
  </r>
  <r>
    <d v="2025-10-16T00:00:00"/>
    <x v="3"/>
    <s v="VITOR DUARTE"/>
    <x v="254"/>
    <n v="-619.96"/>
    <x v="0"/>
    <s v="CESTA BASICA"/>
  </r>
  <r>
    <d v="2025-10-20T00:00:00"/>
    <x v="3"/>
    <s v="HENRIQUE JEAN"/>
    <x v="254"/>
    <n v="-2324.85"/>
    <x v="0"/>
    <s v="CESTA BASICA"/>
  </r>
  <r>
    <d v="2025-10-20T00:00:00"/>
    <x v="3"/>
    <s v="HSERV CABREUVA"/>
    <x v="254"/>
    <n v="-2944.81"/>
    <x v="0"/>
    <s v="CESTA BASICA"/>
  </r>
  <r>
    <d v="2025-10-20T00:00:00"/>
    <x v="3"/>
    <s v="HSERV CLEAN"/>
    <x v="254"/>
    <n v="-2867.32"/>
    <x v="0"/>
    <s v="CESTA BASICA"/>
  </r>
  <r>
    <d v="2025-10-20T00:00:00"/>
    <x v="3"/>
    <s v="HSERV CLEAN"/>
    <x v="254"/>
    <n v="-852.45"/>
    <x v="0"/>
    <s v="CESTA BASICA"/>
  </r>
  <r>
    <d v="2025-10-20T00:00:00"/>
    <x v="3"/>
    <s v="HSERV COMBINADOS"/>
    <x v="254"/>
    <n v="-2789.82"/>
    <x v="0"/>
    <s v="CESTA BASICA"/>
  </r>
  <r>
    <d v="2025-10-20T00:00:00"/>
    <x v="3"/>
    <s v="HSERV LIMPEZA"/>
    <x v="254"/>
    <n v="-852.45"/>
    <x v="0"/>
    <s v="CESTA BASICA"/>
  </r>
  <r>
    <d v="2025-10-20T00:00:00"/>
    <x v="3"/>
    <s v="HSERV REPRESENTACOES"/>
    <x v="254"/>
    <n v="-619.96"/>
    <x v="0"/>
    <s v="CESTA BASICA"/>
  </r>
  <r>
    <d v="2025-10-20T00:00:00"/>
    <x v="3"/>
    <s v="HSERV TECNOLOGIA"/>
    <x v="254"/>
    <n v="-154.99"/>
    <x v="0"/>
    <s v="CESTA BASICA"/>
  </r>
  <r>
    <d v="2025-10-20T00:00:00"/>
    <x v="3"/>
    <s v="HSERV TERCEIRIZADOS"/>
    <x v="254"/>
    <n v="-852.45"/>
    <x v="0"/>
    <s v="CESTA BASICA"/>
  </r>
  <r>
    <d v="2025-10-20T00:00:00"/>
    <x v="3"/>
    <s v="VITOR DUARTE"/>
    <x v="254"/>
    <n v="-77.5"/>
    <x v="0"/>
    <s v="CESTA BASICA"/>
  </r>
  <r>
    <d v="2025-10-15T00:00:00"/>
    <x v="3"/>
    <s v="HSERV CLEAN"/>
    <x v="388"/>
    <n v="-5523.75"/>
    <x v="0"/>
    <s v="EMPRESTIMO "/>
  </r>
  <r>
    <d v="2025-10-15T00:00:00"/>
    <x v="3"/>
    <s v="HSERV COMBINADOS "/>
    <x v="487"/>
    <n v="-1375"/>
    <x v="0"/>
    <s v="SALARIOS"/>
  </r>
  <r>
    <d v="2025-10-06T00:00:00"/>
    <x v="3"/>
    <s v="HSERV CABREUVA"/>
    <x v="19"/>
    <n v="-500"/>
    <x v="0"/>
    <s v="SALARIOS"/>
  </r>
  <r>
    <d v="2025-10-15T00:00:00"/>
    <x v="3"/>
    <s v="VITOR DUARTE"/>
    <x v="45"/>
    <n v="-145"/>
    <x v="0"/>
    <s v="CESTA BASICA"/>
  </r>
  <r>
    <d v="2025-10-31T00:00:00"/>
    <x v="3"/>
    <s v="HSERV CABREUVA"/>
    <x v="440"/>
    <n v="-40000"/>
    <x v="0"/>
    <s v="FÉRIAS"/>
  </r>
  <r>
    <d v="2025-10-20T00:00:00"/>
    <x v="3"/>
    <s v="HSERV CABREUVA"/>
    <x v="424"/>
    <n v="-55000"/>
    <x v="0"/>
    <s v="IMPOSTO"/>
  </r>
  <r>
    <d v="2025-10-10T00:00:00"/>
    <x v="3"/>
    <s v="HENRIQUE JEAN ND"/>
    <x v="483"/>
    <n v="-432"/>
    <x v="0"/>
    <s v="RESERVA"/>
  </r>
  <r>
    <d v="2025-10-20T00:00:00"/>
    <x v="3"/>
    <s v="HSERV CABREUVA"/>
    <x v="426"/>
    <n v="-110000"/>
    <x v="0"/>
    <s v="FT"/>
  </r>
  <r>
    <d v="2025-10-10T00:00:00"/>
    <x v="3"/>
    <s v="HSERV COMBINADOS "/>
    <x v="442"/>
    <n v="-50000"/>
    <x v="0"/>
    <s v="FT"/>
  </r>
  <r>
    <d v="2025-10-06T00:00:00"/>
    <x v="3"/>
    <s v="HSERV COMBINADOS "/>
    <x v="389"/>
    <n v="-7000"/>
    <x v="0"/>
    <s v="FT"/>
  </r>
  <r>
    <d v="2025-10-20T00:00:00"/>
    <x v="3"/>
    <s v="HSERV CABREUVA"/>
    <x v="389"/>
    <n v="-8000"/>
    <x v="0"/>
    <s v="FT"/>
  </r>
  <r>
    <d v="2025-10-29T00:00:00"/>
    <x v="3"/>
    <s v="HSERV COMBINADOS "/>
    <x v="437"/>
    <n v="-500"/>
    <x v="0"/>
    <s v="SISTEMA"/>
  </r>
  <r>
    <d v="2025-10-27T00:00:00"/>
    <x v="3"/>
    <s v="VITOR DUARTE"/>
    <x v="135"/>
    <n v="-500"/>
    <x v="0"/>
    <s v="SISTEMA"/>
  </r>
  <r>
    <d v="2025-10-13T00:00:00"/>
    <x v="3"/>
    <s v="VITOR"/>
    <x v="179"/>
    <n v="680.03"/>
    <x v="1"/>
    <s v="VENDAS DE SERVIÇOS"/>
  </r>
  <r>
    <d v="2025-10-30T00:00:00"/>
    <x v="3"/>
    <s v="HSERV CLEAN"/>
    <x v="165"/>
    <n v="-4000"/>
    <x v="0"/>
    <s v="IMPOSTO"/>
  </r>
  <r>
    <d v="2025-10-31T00:00:00"/>
    <x v="3"/>
    <s v="VITOR DUARTE"/>
    <x v="163"/>
    <n v="-7000"/>
    <x v="0"/>
    <s v="IMPOSTO"/>
  </r>
  <r>
    <d v="2025-10-31T00:00:00"/>
    <x v="3"/>
    <s v="HSERV CLEAN"/>
    <x v="164"/>
    <n v="-600"/>
    <x v="0"/>
    <s v="IMPOSTO"/>
  </r>
  <r>
    <d v="2025-10-20T00:00:00"/>
    <x v="3"/>
    <s v="HSERV CABREUVA"/>
    <x v="423"/>
    <n v="-16000"/>
    <x v="0"/>
    <s v="CONTABILIDADE"/>
  </r>
  <r>
    <d v="2025-10-20T00:00:00"/>
    <x v="3"/>
    <s v="HENRIQUE JEAN ND"/>
    <x v="132"/>
    <n v="-8937.32"/>
    <x v="0"/>
    <s v="RESERVA"/>
  </r>
  <r>
    <d v="2025-10-13T00:00:00"/>
    <x v="3"/>
    <s v="LIMPEZA"/>
    <x v="181"/>
    <n v="7850"/>
    <x v="1"/>
    <s v="VENDAS DE SERVIÇOS"/>
  </r>
  <r>
    <d v="2025-10-01T00:00:00"/>
    <x v="3"/>
    <s v="TECNOLOGIA"/>
    <x v="168"/>
    <n v="23638.67"/>
    <x v="1"/>
    <s v="VENDAS DE SERVIÇOS"/>
  </r>
  <r>
    <d v="2025-10-10T00:00:00"/>
    <x v="3"/>
    <s v="HSERV CLEAN"/>
    <x v="33"/>
    <n v="-9146.82"/>
    <x v="0"/>
    <s v="CONVENIO MEDICO"/>
  </r>
  <r>
    <d v="2025-10-10T00:00:00"/>
    <x v="3"/>
    <s v="HSERV COMBINADOS "/>
    <x v="391"/>
    <n v="-1000"/>
    <x v="0"/>
    <s v="COMISSOES"/>
  </r>
  <r>
    <d v="2025-10-10T00:00:00"/>
    <x v="3"/>
    <s v="HSERV COMBINADOS "/>
    <x v="393"/>
    <n v="-1000"/>
    <x v="0"/>
    <s v="COMISSOES"/>
  </r>
  <r>
    <d v="2025-09-17T00:00:00"/>
    <x v="2"/>
    <s v="VITOR DUARTE"/>
    <x v="91"/>
    <n v="-5300"/>
    <x v="0"/>
    <s v="ALUGUEL DE IMOVEIS"/>
  </r>
  <r>
    <d v="2025-10-17T00:00:00"/>
    <x v="3"/>
    <s v="VITOR DUARTE"/>
    <x v="91"/>
    <n v="-5300"/>
    <x v="0"/>
    <s v="ALUGUEL DE IMOVEIS"/>
  </r>
  <r>
    <d v="2025-09-17T00:00:00"/>
    <x v="2"/>
    <s v="VITOR DUARTE"/>
    <x v="513"/>
    <n v="-3760"/>
    <x v="0"/>
    <s v="ALUGUEL DE VEICULOS"/>
  </r>
  <r>
    <d v="2025-09-17T00:00:00"/>
    <x v="2"/>
    <s v="VITOR DUARTE"/>
    <x v="513"/>
    <n v="-5800"/>
    <x v="0"/>
    <s v="ALUGUEL DE VEICULOS"/>
  </r>
  <r>
    <d v="2025-09-17T00:00:00"/>
    <x v="2"/>
    <s v="VITOR DUARTE"/>
    <x v="513"/>
    <n v="-5460"/>
    <x v="0"/>
    <s v="ALUGUEL DE VEICULOS"/>
  </r>
  <r>
    <d v="2025-10-17T00:00:00"/>
    <x v="3"/>
    <s v="VITOR DUARTE"/>
    <x v="513"/>
    <n v="-3760"/>
    <x v="0"/>
    <s v="ALUGUEL DE VEICULOS"/>
  </r>
  <r>
    <d v="2025-10-17T00:00:00"/>
    <x v="3"/>
    <s v="VITOR DUARTE"/>
    <x v="513"/>
    <n v="-5800"/>
    <x v="0"/>
    <s v="ALUGUEL DE VEICULOS"/>
  </r>
  <r>
    <d v="2025-10-17T00:00:00"/>
    <x v="3"/>
    <s v="HSERV COMBINADOS "/>
    <x v="513"/>
    <n v="-5460"/>
    <x v="0"/>
    <s v="ALUGUEL DE VEICULOS"/>
  </r>
  <r>
    <d v="2025-10-20T00:00:00"/>
    <x v="3"/>
    <s v="HSERV COMBINADOS"/>
    <x v="427"/>
    <n v="-2756.99"/>
    <x v="0"/>
    <s v="APORTE"/>
  </r>
  <r>
    <d v="2025-10-27T00:00:00"/>
    <x v="3"/>
    <s v="HSERV COMBINADOS"/>
    <x v="436"/>
    <n v="-1812.64"/>
    <x v="0"/>
    <s v="APORTE"/>
  </r>
  <r>
    <d v="2025-10-10T00:00:00"/>
    <x v="3"/>
    <s v="VITOR DUARTE"/>
    <x v="392"/>
    <n v="-10500"/>
    <x v="0"/>
    <s v="SEGURANÇAS"/>
  </r>
  <r>
    <d v="2025-10-20T00:00:00"/>
    <x v="3"/>
    <s v="HSERV CABREUVA"/>
    <x v="97"/>
    <n v="-39.799999999999997"/>
    <x v="0"/>
    <s v="SISTEMA"/>
  </r>
  <r>
    <d v="2025-10-20T00:00:00"/>
    <x v="3"/>
    <s v="LIMPEZA"/>
    <x v="186"/>
    <n v="4717.4399999999996"/>
    <x v="1"/>
    <s v="VENDAS DE SERVIÇOS"/>
  </r>
  <r>
    <d v="2025-10-20T00:00:00"/>
    <x v="3"/>
    <s v="LIMPEZA"/>
    <x v="186"/>
    <n v="9938.39"/>
    <x v="1"/>
    <s v="VENDAS DE SERVIÇOS"/>
  </r>
  <r>
    <d v="2025-10-20T00:00:00"/>
    <x v="3"/>
    <s v="LIMPEZA"/>
    <x v="186"/>
    <n v="22139.98"/>
    <x v="1"/>
    <s v="VENDAS DE SERVIÇOS"/>
  </r>
  <r>
    <d v="2025-10-13T00:00:00"/>
    <x v="3"/>
    <s v="HSERV TERCEIRIZADOS"/>
    <x v="236"/>
    <n v="-4375.75"/>
    <x v="0"/>
    <s v="ALUGUEL DE VEICULOS"/>
  </r>
  <r>
    <d v="2025-10-10T00:00:00"/>
    <x v="3"/>
    <s v="HSERV TERCEIRIZADOS"/>
    <x v="514"/>
    <n v="-4347.01"/>
    <x v="0"/>
    <s v="ALUGUEL DE VEICULOS"/>
  </r>
  <r>
    <d v="2025-10-10T00:00:00"/>
    <x v="3"/>
    <s v="HSERV TERCEIRIZADOS"/>
    <x v="514"/>
    <n v="-2173.96"/>
    <x v="0"/>
    <s v="ALUGUEL DE VEICULOS"/>
  </r>
  <r>
    <d v="2025-10-31T00:00:00"/>
    <x v="3"/>
    <s v="VITOR DUARTE"/>
    <x v="143"/>
    <n v="-2530.4299999999998"/>
    <x v="0"/>
    <s v="SISTEMA"/>
  </r>
  <r>
    <d v="2025-10-31T00:00:00"/>
    <x v="3"/>
    <s v="VITOR DUARTE"/>
    <x v="143"/>
    <n v="-1339.5"/>
    <x v="0"/>
    <s v="SISTEMA"/>
  </r>
  <r>
    <d v="2025-10-15T00:00:00"/>
    <x v="3"/>
    <s v="HSERV TECNOLOGIA"/>
    <x v="82"/>
    <n v="-244.5"/>
    <x v="0"/>
    <s v="SISTEMA"/>
  </r>
  <r>
    <d v="2025-10-15T00:00:00"/>
    <x v="3"/>
    <s v="HSERV REPRESENTACOES"/>
    <x v="82"/>
    <n v="-300"/>
    <x v="0"/>
    <s v="SISTEMA"/>
  </r>
  <r>
    <d v="2025-10-15T00:00:00"/>
    <x v="3"/>
    <s v="HSERV CABREUVA "/>
    <x v="82"/>
    <n v="-300"/>
    <x v="0"/>
    <s v="SISTEMA"/>
  </r>
  <r>
    <d v="2025-10-15T00:00:00"/>
    <x v="3"/>
    <s v="HSERV  COMBINADOS"/>
    <x v="82"/>
    <n v="-300"/>
    <x v="0"/>
    <s v="SISTEMA"/>
  </r>
  <r>
    <d v="2025-10-15T00:00:00"/>
    <x v="3"/>
    <s v="HENRIQUE JEAN DUARTE "/>
    <x v="82"/>
    <n v="-275"/>
    <x v="0"/>
    <s v="SISTEMA"/>
  </r>
  <r>
    <d v="2025-10-15T00:00:00"/>
    <x v="3"/>
    <s v="HSERV TERCEIRIZADOS"/>
    <x v="82"/>
    <n v="-300"/>
    <x v="0"/>
    <s v="SISTEMA"/>
  </r>
  <r>
    <d v="2025-10-15T00:00:00"/>
    <x v="3"/>
    <s v="HSERV  LIMPEZA "/>
    <x v="82"/>
    <n v="-300"/>
    <x v="0"/>
    <s v="SISTEMA"/>
  </r>
  <r>
    <d v="2025-10-15T00:00:00"/>
    <x v="3"/>
    <s v="VITOR  DUARTE "/>
    <x v="82"/>
    <n v="-350"/>
    <x v="0"/>
    <s v="SISTEMA"/>
  </r>
  <r>
    <d v="2025-10-15T00:00:00"/>
    <x v="3"/>
    <s v="HSER CLEAN"/>
    <x v="82"/>
    <n v="-373.51"/>
    <x v="0"/>
    <s v="SISTEMA"/>
  </r>
  <r>
    <d v="2025-10-27T00:00:00"/>
    <x v="3"/>
    <s v="HSERV CABREUVA"/>
    <x v="435"/>
    <n v="-294.8"/>
    <x v="0"/>
    <s v="INTERNET"/>
  </r>
  <r>
    <d v="2025-10-15T00:00:00"/>
    <x v="3"/>
    <s v="HSERV  COMBINADOS "/>
    <x v="488"/>
    <n v="-2281.6999999999998"/>
    <x v="0"/>
    <s v="SALARIOS"/>
  </r>
  <r>
    <d v="2025-10-10T00:00:00"/>
    <x v="3"/>
    <s v="HSERV TECNOLOGIA"/>
    <x v="189"/>
    <n v="-700"/>
    <x v="0"/>
    <s v="MATERIAL DE ESCRITÓRIO"/>
  </r>
  <r>
    <d v="2025-10-31T00:00:00"/>
    <x v="3"/>
    <s v="HSERV CLEAN"/>
    <x v="167"/>
    <n v="-1719.53"/>
    <x v="0"/>
    <s v="CARTÃO DE CREDITO"/>
  </r>
  <r>
    <d v="2025-10-31T00:00:00"/>
    <x v="3"/>
    <s v="HSERV CABREUVA"/>
    <x v="167"/>
    <n v="-1392.65"/>
    <x v="0"/>
    <s v="CARTÃO DE CREDITO"/>
  </r>
  <r>
    <d v="2025-10-31T00:00:00"/>
    <x v="3"/>
    <s v=" HSERV CABREUVA"/>
    <x v="166"/>
    <n v="-9000"/>
    <x v="0"/>
    <s v="IMPOSTO"/>
  </r>
  <r>
    <d v="2025-10-31T00:00:00"/>
    <x v="3"/>
    <s v="CLEAN"/>
    <x v="187"/>
    <n v="2373.8200000000002"/>
    <x v="1"/>
    <s v="VENDAS DE SERVIÇOS"/>
  </r>
  <r>
    <d v="2025-10-31T00:00:00"/>
    <x v="3"/>
    <s v="CLEAN"/>
    <x v="187"/>
    <n v="5823.82"/>
    <x v="1"/>
    <s v="VENDAS DE SERVIÇOS"/>
  </r>
  <r>
    <d v="2025-10-31T00:00:00"/>
    <x v="3"/>
    <s v="CLEAN"/>
    <x v="187"/>
    <n v="7526.95"/>
    <x v="1"/>
    <s v="VENDAS DE SERVIÇOS"/>
  </r>
  <r>
    <d v="2025-10-31T00:00:00"/>
    <x v="3"/>
    <s v="CLEAN"/>
    <x v="187"/>
    <n v="25756.63"/>
    <x v="1"/>
    <s v="VENDAS DE SERVIÇOS"/>
  </r>
  <r>
    <d v="2025-10-10T00:00:00"/>
    <x v="3"/>
    <s v="HENRIQUE JEAN"/>
    <x v="394"/>
    <n v="-3000"/>
    <x v="0"/>
    <s v="PROLABORE"/>
  </r>
  <r>
    <d v="2025-10-31T00:00:00"/>
    <x v="3"/>
    <s v="HSERV COMBINADOS "/>
    <x v="158"/>
    <n v="-800"/>
    <x v="0"/>
    <s v="REEMBOLSO"/>
  </r>
  <r>
    <d v="2025-10-14T00:00:00"/>
    <x v="3"/>
    <s v="HSERV CABREUVA"/>
    <x v="406"/>
    <n v="-40000"/>
    <x v="0"/>
    <s v="RESCISÕES"/>
  </r>
  <r>
    <d v="2025-10-20T00:00:00"/>
    <x v="3"/>
    <s v="HSERV CABREUVA"/>
    <x v="95"/>
    <n v="-600"/>
    <x v="0"/>
    <s v="VALE ALIMENTAÇÃO"/>
  </r>
  <r>
    <d v="2025-09-23T00:00:00"/>
    <x v="2"/>
    <s v="CLEAN"/>
    <x v="183"/>
    <n v="2284.4499999999998"/>
    <x v="1"/>
    <s v="VENDAS DE SERVIÇOS"/>
  </r>
  <r>
    <d v="2025-10-13T00:00:00"/>
    <x v="3"/>
    <s v="CLEAN"/>
    <x v="183"/>
    <n v="24988.71"/>
    <x v="1"/>
    <s v="VENDAS DE SERVIÇOS"/>
  </r>
  <r>
    <d v="2025-10-13T00:00:00"/>
    <x v="3"/>
    <s v="CLEAN"/>
    <x v="183"/>
    <n v="16834.330000000002"/>
    <x v="1"/>
    <s v="VENDAS DE SERVIÇOS"/>
  </r>
  <r>
    <d v="2025-10-13T00:00:00"/>
    <x v="3"/>
    <s v="CLEAN"/>
    <x v="183"/>
    <n v="268.13"/>
    <x v="1"/>
    <s v="VENDAS DE SERVIÇOS"/>
  </r>
  <r>
    <d v="2025-10-22T00:00:00"/>
    <x v="3"/>
    <s v="CLEAN"/>
    <x v="183"/>
    <n v="2284.4499999999998"/>
    <x v="1"/>
    <s v="VENDAS DE SERVIÇOS"/>
  </r>
  <r>
    <d v="2025-10-10T00:00:00"/>
    <x v="3"/>
    <s v="VITOR  DUARTE"/>
    <x v="36"/>
    <n v="-553.25"/>
    <x v="0"/>
    <s v="SISTEMA"/>
  </r>
  <r>
    <d v="2025-10-16T00:00:00"/>
    <x v="3"/>
    <s v="HSERV CABREUVA"/>
    <x v="81"/>
    <n v="-139.25"/>
    <x v="0"/>
    <s v="AGUA"/>
  </r>
  <r>
    <d v="2025-10-16T00:00:00"/>
    <x v="3"/>
    <s v="HSERV CABREUVA"/>
    <x v="78"/>
    <n v="-141.69999999999999"/>
    <x v="0"/>
    <s v="AGUA"/>
  </r>
  <r>
    <d v="2025-10-16T00:00:00"/>
    <x v="3"/>
    <s v="HSERV CABREUVA"/>
    <x v="79"/>
    <n v="-141.69999999999999"/>
    <x v="0"/>
    <s v="AGUA"/>
  </r>
  <r>
    <d v="2025-10-16T00:00:00"/>
    <x v="3"/>
    <s v="HSERV CABREUVA"/>
    <x v="80"/>
    <n v="-141.69999999999999"/>
    <x v="0"/>
    <s v="AGUA"/>
  </r>
  <r>
    <d v="2025-10-06T00:00:00"/>
    <x v="3"/>
    <s v="HSERV CABREUVA"/>
    <x v="18"/>
    <n v="-468000"/>
    <x v="0"/>
    <s v="SALARIOS"/>
  </r>
  <r>
    <d v="2025-10-15T00:00:00"/>
    <x v="3"/>
    <s v="HSERV CABREUVA"/>
    <x v="66"/>
    <n v="-6500"/>
    <x v="0"/>
    <s v="COMBUSTIVEL E PEDAGIO"/>
  </r>
  <r>
    <d v="2025-10-10T00:00:00"/>
    <x v="3"/>
    <s v="HSERV CABREUVA"/>
    <x v="27"/>
    <n v="-290"/>
    <x v="0"/>
    <s v="ALUGUEL DE IMOVEIS"/>
  </r>
  <r>
    <d v="2025-10-13T00:00:00"/>
    <x v="3"/>
    <s v="HSERV CABREUVA"/>
    <x v="72"/>
    <n v="-2012.45"/>
    <x v="0"/>
    <s v="EMPRESTIMO "/>
  </r>
  <r>
    <d v="2025-10-16T00:00:00"/>
    <x v="3"/>
    <s v="HSERV CABREUVA"/>
    <x v="244"/>
    <n v="-1905.5"/>
    <x v="0"/>
    <s v="SINDICATO"/>
  </r>
  <r>
    <d v="2025-10-20T00:00:00"/>
    <x v="3"/>
    <s v="HSERV CABREUVA"/>
    <x v="98"/>
    <n v="-15000"/>
    <x v="0"/>
    <s v="IMPOSTO"/>
  </r>
  <r>
    <d v="2025-10-31T00:00:00"/>
    <x v="3"/>
    <s v="HSERV CABREUVA"/>
    <x v="154"/>
    <n v="-35000"/>
    <x v="0"/>
    <s v="IMPOSTO"/>
  </r>
  <r>
    <d v="2025-10-16T00:00:00"/>
    <x v="3"/>
    <s v="HSERV CABREUVA"/>
    <x v="420"/>
    <n v="-30"/>
    <x v="0"/>
    <s v="SINDICATO"/>
  </r>
  <r>
    <d v="2025-10-16T00:00:00"/>
    <x v="3"/>
    <s v="HSERV CABREUVA"/>
    <x v="89"/>
    <n v="-10000"/>
    <x v="0"/>
    <s v="SINDICATO"/>
  </r>
  <r>
    <d v="2025-10-16T00:00:00"/>
    <x v="3"/>
    <s v="HENRIQUE JEAN"/>
    <x v="451"/>
    <n v="-630"/>
    <x v="0"/>
    <s v="SINDICATO"/>
  </r>
  <r>
    <d v="2025-10-17T00:00:00"/>
    <x v="3"/>
    <s v="HSERV COMBINADOS "/>
    <x v="490"/>
    <n v="-5996.67"/>
    <x v="0"/>
    <s v="EMPRESTIMO "/>
  </r>
  <r>
    <d v="2025-10-06T00:00:00"/>
    <x v="3"/>
    <s v="HSERV CABREUVA"/>
    <x v="15"/>
    <n v="-349"/>
    <x v="0"/>
    <s v="TARIFA BANCARIA"/>
  </r>
  <r>
    <d v="2025-10-06T00:00:00"/>
    <x v="3"/>
    <s v="HSERV TERCERIZADOS"/>
    <x v="15"/>
    <n v="-389"/>
    <x v="0"/>
    <s v="TARIFA BANCARIA"/>
  </r>
  <r>
    <d v="2025-10-06T00:00:00"/>
    <x v="3"/>
    <s v="HSERV COMBINADOS"/>
    <x v="15"/>
    <n v="-349"/>
    <x v="0"/>
    <s v="TARIFA BANCARIA"/>
  </r>
  <r>
    <d v="2025-10-06T00:00:00"/>
    <x v="3"/>
    <s v="HENRIQUE JEAN"/>
    <x v="15"/>
    <n v="-349"/>
    <x v="0"/>
    <s v="TARIFA BANCARIA"/>
  </r>
  <r>
    <d v="2025-10-06T00:00:00"/>
    <x v="3"/>
    <s v="HSERV TECNOLOGIA"/>
    <x v="15"/>
    <n v="-389"/>
    <x v="0"/>
    <s v="TARIFA BANCARIA"/>
  </r>
  <r>
    <d v="2025-10-06T00:00:00"/>
    <x v="3"/>
    <s v="HSERV LIMPEZA"/>
    <x v="15"/>
    <n v="-389"/>
    <x v="0"/>
    <s v="TARIFA BANCARIA"/>
  </r>
  <r>
    <d v="2025-10-06T00:00:00"/>
    <x v="3"/>
    <s v="HSERV REPRESENTAÇÃO"/>
    <x v="15"/>
    <n v="-389"/>
    <x v="0"/>
    <s v="TARIFA BANCARIA"/>
  </r>
  <r>
    <d v="2025-10-15T00:00:00"/>
    <x v="3"/>
    <s v="HSERV CABREUVA"/>
    <x v="73"/>
    <n v="-171.1"/>
    <x v="0"/>
    <s v="TARIFA BANCARIA"/>
  </r>
  <r>
    <d v="2025-10-15T00:00:00"/>
    <x v="3"/>
    <s v="HSERV CLEAN"/>
    <x v="73"/>
    <n v="-171.1"/>
    <x v="0"/>
    <s v="TARIFA BANCARIA"/>
  </r>
  <r>
    <d v="2025-10-15T00:00:00"/>
    <x v="3"/>
    <s v="HSERV COMBINADOS "/>
    <x v="73"/>
    <n v="-171.1"/>
    <x v="0"/>
    <s v="TARIFA BANCARIA"/>
  </r>
  <r>
    <d v="2025-10-15T00:00:00"/>
    <x v="3"/>
    <s v="HSERV COMBINADOS  ND"/>
    <x v="73"/>
    <n v="-171.1"/>
    <x v="0"/>
    <s v="TARIFA BANCARIA"/>
  </r>
  <r>
    <d v="2025-10-15T00:00:00"/>
    <x v="3"/>
    <s v="HENRIQUE JEAN"/>
    <x v="73"/>
    <n v="-171.1"/>
    <x v="0"/>
    <s v="TARIFA BANCARIA"/>
  </r>
  <r>
    <d v="2025-10-15T00:00:00"/>
    <x v="3"/>
    <s v="HENRIQUE JEAN ND"/>
    <x v="73"/>
    <n v="-171.1"/>
    <x v="0"/>
    <s v="TARIFA BANCARIA"/>
  </r>
  <r>
    <d v="2025-10-15T00:00:00"/>
    <x v="3"/>
    <s v="VITOR DUARTE"/>
    <x v="73"/>
    <n v="-171.1"/>
    <x v="0"/>
    <s v="TARIFA BANCARIA"/>
  </r>
  <r>
    <d v="2025-10-15T00:00:00"/>
    <x v="3"/>
    <s v="VITOR DUARTE ND"/>
    <x v="73"/>
    <n v="-171.1"/>
    <x v="0"/>
    <s v="TARIFA BANCARIA"/>
  </r>
  <r>
    <d v="2025-10-15T00:00:00"/>
    <x v="3"/>
    <s v="HSERV TERCERIZADOS"/>
    <x v="73"/>
    <n v="-171.1"/>
    <x v="0"/>
    <s v="TARIFA BANCARIA"/>
  </r>
  <r>
    <d v="2025-10-15T00:00:00"/>
    <x v="3"/>
    <s v="HSERV TERCERIZADOS ND"/>
    <x v="73"/>
    <n v="-171.1"/>
    <x v="0"/>
    <s v="TARIFA BANCARIA"/>
  </r>
  <r>
    <d v="2025-10-15T00:00:00"/>
    <x v="3"/>
    <s v="HSERV LIMPEZA"/>
    <x v="73"/>
    <n v="-171.1"/>
    <x v="0"/>
    <s v="TARIFA BANCARIA"/>
  </r>
  <r>
    <d v="2025-10-15T00:00:00"/>
    <x v="3"/>
    <s v="HSERV LIMPEZA ND"/>
    <x v="73"/>
    <n v="-171.1"/>
    <x v="0"/>
    <s v="TARIFA BANCARIA"/>
  </r>
  <r>
    <d v="2025-10-15T00:00:00"/>
    <x v="3"/>
    <s v="HSERV TECNOLOGIA"/>
    <x v="73"/>
    <n v="-171.1"/>
    <x v="0"/>
    <s v="TARIFA BANCARIA"/>
  </r>
  <r>
    <d v="2025-10-15T00:00:00"/>
    <x v="3"/>
    <s v="HSERV REPRESENTAÇÃO"/>
    <x v="73"/>
    <n v="-171.1"/>
    <x v="0"/>
    <s v="TARIFA BANCARIA"/>
  </r>
  <r>
    <d v="2025-10-01T00:00:00"/>
    <x v="3"/>
    <s v="COMBINADOS"/>
    <x v="170"/>
    <n v="22451.91"/>
    <x v="1"/>
    <s v="VENDAS DE SERVIÇOS"/>
  </r>
  <r>
    <d v="2025-10-10T00:00:00"/>
    <x v="3"/>
    <s v="CABREUVA"/>
    <x v="175"/>
    <n v="33748"/>
    <x v="1"/>
    <s v="VENDAS DE SERVIÇOS"/>
  </r>
  <r>
    <d v="2025-10-13T00:00:00"/>
    <x v="3"/>
    <s v="REPRESENTAÇÃO"/>
    <x v="177"/>
    <n v="603.26"/>
    <x v="1"/>
    <s v="VENDAS DE SERVIÇOS"/>
  </r>
  <r>
    <d v="2025-10-13T00:00:00"/>
    <x v="3"/>
    <s v="REPRESENTAÇÃO"/>
    <x v="177"/>
    <n v="1106.1400000000001"/>
    <x v="1"/>
    <s v="VENDAS DE SERVIÇOS"/>
  </r>
  <r>
    <d v="2025-10-13T00:00:00"/>
    <x v="3"/>
    <s v="REPRESENTAÇÃO"/>
    <x v="177"/>
    <n v="9631"/>
    <x v="1"/>
    <s v="VENDAS DE SERVIÇOS"/>
  </r>
  <r>
    <d v="2025-10-15T00:00:00"/>
    <x v="3"/>
    <s v="HSERV CABREUVA"/>
    <x v="408"/>
    <n v="-90000"/>
    <x v="0"/>
    <s v="VALE ALIMENTAÇÃO"/>
  </r>
  <r>
    <d v="2025-10-30T00:00:00"/>
    <x v="3"/>
    <s v="HSERV CABREUVA"/>
    <x v="439"/>
    <n v="-7000"/>
    <x v="0"/>
    <s v="VALE COMBUSTIVEL"/>
  </r>
  <r>
    <d v="2025-10-15T00:00:00"/>
    <x v="3"/>
    <s v="HSERV CABREUVA"/>
    <x v="515"/>
    <n v="-8000"/>
    <x v="0"/>
    <s v="VALE COMBUSTIVEL"/>
  </r>
  <r>
    <d v="2025-10-06T00:00:00"/>
    <x v="3"/>
    <s v=" HSERV CABREUVA"/>
    <x v="438"/>
    <n v="-5000"/>
    <x v="0"/>
    <s v="VALE TRANSPORTE"/>
  </r>
  <r>
    <d v="2025-10-15T00:00:00"/>
    <x v="3"/>
    <s v=" HSERV CABREUVA"/>
    <x v="144"/>
    <n v="-10000"/>
    <x v="0"/>
    <s v="VALE TRANSPORTE"/>
  </r>
  <r>
    <d v="2025-10-31T00:00:00"/>
    <x v="3"/>
    <s v=" HSERV CABREUVA"/>
    <x v="144"/>
    <n v="-15000"/>
    <x v="0"/>
    <s v="VALE TRANSPORTE"/>
  </r>
  <r>
    <d v="2025-10-20T00:00:00"/>
    <x v="3"/>
    <s v="HSERV CABREUVA"/>
    <x v="119"/>
    <n v="-41000"/>
    <x v="0"/>
    <s v="VALE TRANSPORTE"/>
  </r>
  <r>
    <d v="2025-10-01T00:00:00"/>
    <x v="3"/>
    <s v="REPRESENTAÇÃO"/>
    <x v="171"/>
    <n v="14482.07"/>
    <x v="1"/>
    <s v="VENDAS DE SERVIÇOS"/>
  </r>
  <r>
    <d v="2025-10-01T00:00:00"/>
    <x v="3"/>
    <s v="REPRESENTAÇÃO"/>
    <x v="171"/>
    <n v="23943.3"/>
    <x v="1"/>
    <s v="VENDAS DE SERVIÇOS"/>
  </r>
  <r>
    <d v="2025-10-01T00:00:00"/>
    <x v="3"/>
    <s v="REPRESENTAÇÃO"/>
    <x v="171"/>
    <n v="21852.37"/>
    <x v="1"/>
    <s v="VENDAS DE SERVIÇOS"/>
  </r>
  <r>
    <d v="2025-10-01T00:00:00"/>
    <x v="3"/>
    <s v="REPRESENTAÇÃO"/>
    <x v="171"/>
    <n v="4683.53"/>
    <x v="1"/>
    <s v="VENDAS DE SERVIÇOS"/>
  </r>
  <r>
    <d v="2025-10-01T00:00:00"/>
    <x v="3"/>
    <s v="REPRESENTAÇÃO"/>
    <x v="171"/>
    <n v="196"/>
    <x v="1"/>
    <s v="VENDAS DE SERVIÇOS"/>
  </r>
  <r>
    <d v="2025-10-03T00:00:00"/>
    <x v="3"/>
    <s v="VITOR DUARTE"/>
    <x v="4"/>
    <n v="-16200"/>
    <x v="0"/>
    <s v="VALE ALIMENTAÇÃO"/>
  </r>
  <r>
    <d v="2025-10-10T00:00:00"/>
    <x v="3"/>
    <s v="VITOR DUARTE"/>
    <x v="4"/>
    <n v="-16200"/>
    <x v="0"/>
    <s v="VALE ALIMENTAÇÃO"/>
  </r>
  <r>
    <d v="2025-10-17T00:00:00"/>
    <x v="3"/>
    <s v="VITOR DUARTE"/>
    <x v="4"/>
    <n v="-16200"/>
    <x v="0"/>
    <s v="VALE ALIMENTAÇÃO"/>
  </r>
  <r>
    <d v="2025-10-24T00:00:00"/>
    <x v="3"/>
    <s v="VITOR DUARTE"/>
    <x v="4"/>
    <n v="-16200"/>
    <x v="0"/>
    <s v="VALE ALIMENTAÇÃO"/>
  </r>
  <r>
    <d v="2025-10-31T00:00:00"/>
    <x v="3"/>
    <s v="HSERV CLEAN"/>
    <x v="516"/>
    <n v="-3968.99"/>
    <x v="0"/>
    <s v="ACORDO TRABALHISTA"/>
  </r>
  <r>
    <d v="2025-10-31T00:00:00"/>
    <x v="3"/>
    <s v="VITOR DUARTE"/>
    <x v="4"/>
    <n v="-16200"/>
    <x v="0"/>
    <s v="VALE ALIMENTAÇÃO"/>
  </r>
  <r>
    <d v="2025-10-31T00:00:00"/>
    <x v="3"/>
    <s v="LIMPEZA"/>
    <x v="169"/>
    <n v="799.2"/>
    <x v="1"/>
    <s v="VENDAS DE SERVIÇOS"/>
  </r>
  <r>
    <d v="2025-10-31T00:00:00"/>
    <x v="3"/>
    <s v="LIMPEZA"/>
    <x v="169"/>
    <n v="18532.8"/>
    <x v="1"/>
    <s v="VENDAS DE SERVIÇOS"/>
  </r>
  <r>
    <d v="2025-10-31T00:00:00"/>
    <x v="3"/>
    <s v="TECNOLOGIA"/>
    <x v="168"/>
    <n v="23638.67"/>
    <x v="1"/>
    <s v="VENDAS DE SERVIÇOS"/>
  </r>
  <r>
    <d v="2025-10-31T00:00:00"/>
    <x v="3"/>
    <s v="COMBINADOS"/>
    <x v="170"/>
    <n v="22451.91"/>
    <x v="1"/>
    <s v="VENDAS DE SERVIÇOS"/>
  </r>
  <r>
    <d v="2025-10-31T00:00:00"/>
    <x v="3"/>
    <s v="REPRESENTAÇÃO"/>
    <x v="171"/>
    <n v="14482.07"/>
    <x v="1"/>
    <s v="VENDAS DE SERVIÇOS"/>
  </r>
  <r>
    <d v="2025-10-31T00:00:00"/>
    <x v="3"/>
    <s v="REPRESENTAÇÃO"/>
    <x v="171"/>
    <n v="23943.3"/>
    <x v="1"/>
    <s v="VENDAS DE SERVIÇOS"/>
  </r>
  <r>
    <d v="2025-10-31T00:00:00"/>
    <x v="3"/>
    <s v="REPRESENTAÇÃO"/>
    <x v="171"/>
    <n v="21852.37"/>
    <x v="1"/>
    <s v="VENDAS DE SERVIÇOS"/>
  </r>
  <r>
    <d v="2025-10-31T00:00:00"/>
    <x v="3"/>
    <s v="REPRESENTAÇÃO"/>
    <x v="171"/>
    <n v="4683.53"/>
    <x v="1"/>
    <s v="VENDAS DE SERVIÇOS"/>
  </r>
  <r>
    <d v="2025-10-31T00:00:00"/>
    <x v="3"/>
    <s v="REPRESENTAÇÃO"/>
    <x v="171"/>
    <n v="196"/>
    <x v="1"/>
    <s v="VENDAS DE SERVIÇOS"/>
  </r>
  <r>
    <d v="2025-10-10T00:00:00"/>
    <x v="3"/>
    <s v="HENRIQUE JEAN"/>
    <x v="517"/>
    <n v="-1000"/>
    <x v="0"/>
    <s v="ACORDO TRABALHISTA"/>
  </r>
  <r>
    <d v="2025-10-15T00:00:00"/>
    <x v="3"/>
    <s v="HSERV CABREUVA"/>
    <x v="518"/>
    <n v="-10000"/>
    <x v="0"/>
    <s v="ACORDO TRABALHISTA"/>
  </r>
  <r>
    <d v="2025-10-30T00:00:00"/>
    <x v="3"/>
    <s v="HSERV CABREUVA"/>
    <x v="499"/>
    <n v="-2500"/>
    <x v="0"/>
    <s v="ACORDO TRABALHISTA"/>
  </r>
  <r>
    <d v="2025-10-30T00:00:00"/>
    <x v="3"/>
    <s v="HSERV CABREUVA"/>
    <x v="498"/>
    <n v="-3200"/>
    <x v="0"/>
    <s v="ACORDO TRABALHISTA"/>
  </r>
  <r>
    <d v="2025-10-30T00:00:00"/>
    <x v="3"/>
    <s v="HSERV CABREUVA"/>
    <x v="495"/>
    <n v="-2000"/>
    <x v="0"/>
    <s v="ACORDO TRABALHISTA"/>
  </r>
  <r>
    <d v="2025-10-30T00:00:00"/>
    <x v="3"/>
    <s v="HSERV CABREUVA"/>
    <x v="497"/>
    <n v="-3836.54"/>
    <x v="0"/>
    <s v="ACORDO TRABALHISTA"/>
  </r>
  <r>
    <d v="2025-10-30T00:00:00"/>
    <x v="3"/>
    <s v="HSERV CLEAN"/>
    <x v="500"/>
    <n v="-2500"/>
    <x v="0"/>
    <s v="ACORDO TRABALHISTA"/>
  </r>
  <r>
    <d v="2025-10-30T00:00:00"/>
    <x v="3"/>
    <s v="HSERV LIMPEZA"/>
    <x v="501"/>
    <n v="-1000"/>
    <x v="0"/>
    <s v="ACORDO TRABALHISTA"/>
  </r>
  <r>
    <d v="2025-10-30T00:00:00"/>
    <x v="3"/>
    <s v="VITOR DUARTE"/>
    <x v="504"/>
    <n v="-1916.67"/>
    <x v="0"/>
    <s v="ACORDO TRABALHISTA"/>
  </r>
  <r>
    <d v="2025-10-30T00:00:00"/>
    <x v="3"/>
    <s v="VITOR DUARTE"/>
    <x v="502"/>
    <n v="-2864.92"/>
    <x v="0"/>
    <s v="ACORDO TRABALHISTA"/>
  </r>
  <r>
    <d v="2025-10-30T00:00:00"/>
    <x v="3"/>
    <s v="VITOR DUARTE"/>
    <x v="503"/>
    <n v="-1400"/>
    <x v="0"/>
    <s v="ACORDO TRABALHISTA"/>
  </r>
  <r>
    <d v="2025-10-09T00:00:00"/>
    <x v="3"/>
    <s v="HSERV REPRESENTACOES"/>
    <x v="519"/>
    <n v="-2000"/>
    <x v="0"/>
    <s v="ACORDO TRABALHISTA"/>
  </r>
  <r>
    <d v="2025-10-15T00:00:00"/>
    <x v="3"/>
    <s v="HSERV REPRESENTACOES"/>
    <x v="520"/>
    <n v="-2000"/>
    <x v="0"/>
    <s v="ACORDO TRABALHISTA"/>
  </r>
  <r>
    <d v="2025-10-01T00:00:00"/>
    <x v="3"/>
    <s v="VITOR DUARTE"/>
    <x v="521"/>
    <n v="-1848.63"/>
    <x v="0"/>
    <s v="ACORDO TRABALHISTA"/>
  </r>
  <r>
    <d v="2025-11-03T00:00:00"/>
    <x v="4"/>
    <s v="HSERV CABREUVA"/>
    <x v="378"/>
    <n v="-650"/>
    <x v="0"/>
    <s v="ENERGIA ELETRICA"/>
  </r>
  <r>
    <d v="2025-11-03T00:00:00"/>
    <x v="4"/>
    <s v="HSERV CABREUVA"/>
    <x v="379"/>
    <n v="-320"/>
    <x v="0"/>
    <s v="ENERGIA ELETRICA"/>
  </r>
  <r>
    <d v="2025-11-03T00:00:00"/>
    <x v="4"/>
    <s v="HSERV CABREUVA"/>
    <x v="380"/>
    <n v="-350"/>
    <x v="0"/>
    <s v="ENERGIA ELETRICA"/>
  </r>
  <r>
    <d v="2025-11-03T00:00:00"/>
    <x v="4"/>
    <s v="HSERV CABREUVA"/>
    <x v="381"/>
    <n v="-201"/>
    <x v="0"/>
    <s v="ENERGIA ELETRICA"/>
  </r>
  <r>
    <d v="2025-11-03T00:00:00"/>
    <x v="4"/>
    <s v="HSERV COMBINADOS "/>
    <x v="3"/>
    <n v="-2000"/>
    <x v="0"/>
    <s v="CAIXINHA"/>
  </r>
  <r>
    <d v="2025-11-03T00:00:00"/>
    <x v="4"/>
    <s v="HSERV COMBINADOS "/>
    <x v="481"/>
    <n v="-5000"/>
    <x v="0"/>
    <s v="CAIXINHA"/>
  </r>
  <r>
    <d v="2025-11-07T00:00:00"/>
    <x v="4"/>
    <s v="VITOR DUARTE"/>
    <x v="4"/>
    <n v="-16200"/>
    <x v="0"/>
    <s v="VALE ALIMENTAÇÃO"/>
  </r>
  <r>
    <d v="2025-11-03T00:00:00"/>
    <x v="4"/>
    <s v="HSERV TERCEIRIZADOS ND"/>
    <x v="385"/>
    <n v="-900"/>
    <x v="0"/>
    <s v="ENCARGOS"/>
  </r>
  <r>
    <d v="2025-11-04T00:00:00"/>
    <x v="4"/>
    <s v="HSERV CABREUVA"/>
    <x v="14"/>
    <n v="-3809.98"/>
    <x v="0"/>
    <s v="FINANCIAMENTO"/>
  </r>
  <r>
    <d v="2025-11-04T00:00:00"/>
    <x v="4"/>
    <s v="HSERV CABREUVA"/>
    <x v="15"/>
    <n v="-349"/>
    <x v="0"/>
    <s v="TARIFA BANCARIA"/>
  </r>
  <r>
    <d v="2025-11-04T00:00:00"/>
    <x v="4"/>
    <s v="HSERV TERCERIZADOS"/>
    <x v="15"/>
    <n v="-389"/>
    <x v="0"/>
    <s v="TARIFA BANCARIA"/>
  </r>
  <r>
    <d v="2025-11-04T00:00:00"/>
    <x v="4"/>
    <s v="HSERV COMBINADOS"/>
    <x v="15"/>
    <n v="-349"/>
    <x v="0"/>
    <s v="TARIFA BANCARIA"/>
  </r>
  <r>
    <d v="2025-11-04T00:00:00"/>
    <x v="4"/>
    <s v="HENRIQUE JEAN"/>
    <x v="15"/>
    <n v="-349"/>
    <x v="0"/>
    <s v="TARIFA BANCARIA"/>
  </r>
  <r>
    <d v="2025-11-06T00:00:00"/>
    <x v="4"/>
    <s v="HSERV TECNOLOGIA"/>
    <x v="15"/>
    <n v="-389"/>
    <x v="0"/>
    <s v="TARIFA BANCARIA"/>
  </r>
  <r>
    <d v="2025-11-04T00:00:00"/>
    <x v="4"/>
    <s v="HSERV LIMPEZA"/>
    <x v="15"/>
    <n v="-389"/>
    <x v="0"/>
    <s v="TARIFA BANCARIA"/>
  </r>
  <r>
    <d v="2025-11-04T00:00:00"/>
    <x v="4"/>
    <s v="HSERV REPRESENTAÇÃO"/>
    <x v="15"/>
    <n v="-389"/>
    <x v="0"/>
    <s v="TARIFA BANCARIA"/>
  </r>
  <r>
    <d v="2025-11-05T00:00:00"/>
    <x v="4"/>
    <s v="HSERV CABREUVA "/>
    <x v="386"/>
    <n v="-9000"/>
    <x v="0"/>
    <s v="CONSIGNADO"/>
  </r>
  <r>
    <d v="2025-11-07T00:00:00"/>
    <x v="4"/>
    <s v="HENRIQUE JEAN"/>
    <x v="17"/>
    <n v="-760"/>
    <x v="0"/>
    <s v="RESERVA"/>
  </r>
  <r>
    <d v="2025-11-07T00:00:00"/>
    <x v="4"/>
    <s v="HSERV CABREUVA"/>
    <x v="18"/>
    <n v="-468000"/>
    <x v="0"/>
    <s v="SALARIOS"/>
  </r>
  <r>
    <d v="2025-11-07T00:00:00"/>
    <x v="4"/>
    <s v="HSERV CABREUVA"/>
    <x v="19"/>
    <n v="-500"/>
    <x v="0"/>
    <s v="SALARIOS"/>
  </r>
  <r>
    <d v="2025-11-07T00:00:00"/>
    <x v="4"/>
    <s v="HSERV CABREUVA"/>
    <x v="482"/>
    <n v="-9000"/>
    <x v="0"/>
    <s v="SALARIOS"/>
  </r>
  <r>
    <d v="2025-11-17T00:00:00"/>
    <x v="4"/>
    <s v="HSERV CLEAN"/>
    <x v="388"/>
    <n v="-5523.75"/>
    <x v="0"/>
    <s v="EMPRESTIMO "/>
  </r>
  <r>
    <d v="2025-11-07T00:00:00"/>
    <x v="4"/>
    <s v="HSERV COMBINADOS "/>
    <x v="389"/>
    <n v="-7000"/>
    <x v="0"/>
    <s v="FT"/>
  </r>
  <r>
    <d v="2025-11-14T00:00:00"/>
    <x v="4"/>
    <s v="VITOR DUARTE"/>
    <x v="4"/>
    <n v="-16200"/>
    <x v="0"/>
    <s v="VALE ALIMENTAÇÃO"/>
  </r>
  <r>
    <d v="2025-11-10T00:00:00"/>
    <x v="4"/>
    <s v="HSERV TECNOLOGIA"/>
    <x v="189"/>
    <n v="-700"/>
    <x v="0"/>
    <s v="MATERIAL DE ESCRITÓRIO"/>
  </r>
  <r>
    <d v="2025-11-10T00:00:00"/>
    <x v="4"/>
    <s v="HSERV COMBINADOS "/>
    <x v="390"/>
    <n v="-9000"/>
    <x v="0"/>
    <s v="SINDICATO"/>
  </r>
  <r>
    <d v="2025-11-10T00:00:00"/>
    <x v="4"/>
    <s v="HSERV CABREUVA"/>
    <x v="27"/>
    <n v="-290"/>
    <x v="0"/>
    <s v="ALUGUEL DE IMOVEIS"/>
  </r>
  <r>
    <d v="2025-11-10T00:00:00"/>
    <x v="4"/>
    <s v="HSERV COMBINADOS "/>
    <x v="391"/>
    <n v="-1000"/>
    <x v="0"/>
    <s v="COMISSOES"/>
  </r>
  <r>
    <d v="2025-11-10T00:00:00"/>
    <x v="4"/>
    <s v="VITOR DUARTE"/>
    <x v="392"/>
    <n v="-10500"/>
    <x v="0"/>
    <s v="SEGURANÇAS"/>
  </r>
  <r>
    <d v="2025-11-10T00:00:00"/>
    <x v="4"/>
    <s v="HSERV COMBINADOS "/>
    <x v="393"/>
    <n v="-1000"/>
    <x v="0"/>
    <s v="COMISSOES"/>
  </r>
  <r>
    <d v="2025-11-10T00:00:00"/>
    <x v="4"/>
    <s v="HENRIQUE JEAN"/>
    <x v="394"/>
    <n v="-3000"/>
    <x v="0"/>
    <s v="PROLABORE"/>
  </r>
  <r>
    <d v="2025-11-10T00:00:00"/>
    <x v="4"/>
    <s v="HENRIQUE JEAN"/>
    <x v="32"/>
    <n v="-9000"/>
    <x v="0"/>
    <s v="PROLABORE"/>
  </r>
  <r>
    <d v="2025-11-10T00:00:00"/>
    <x v="4"/>
    <s v="HSERV CLEAN"/>
    <x v="33"/>
    <n v="-9146.82"/>
    <x v="0"/>
    <s v="CONVENIO MEDICO"/>
  </r>
  <r>
    <d v="2025-11-10T00:00:00"/>
    <x v="4"/>
    <s v="HSERV CABREUVA"/>
    <x v="34"/>
    <n v="-9500"/>
    <x v="0"/>
    <s v="COMBUSTIVEL E PEDAGIO"/>
  </r>
  <r>
    <d v="2025-11-10T00:00:00"/>
    <x v="4"/>
    <s v="HENRIQUE JEAN ND"/>
    <x v="483"/>
    <n v="-432"/>
    <x v="0"/>
    <s v="RESERVA"/>
  </r>
  <r>
    <d v="2025-11-10T00:00:00"/>
    <x v="4"/>
    <s v="VITOR  DUARTE"/>
    <x v="36"/>
    <n v="-553.25"/>
    <x v="0"/>
    <s v="SISTEMA"/>
  </r>
  <r>
    <d v="2025-11-10T00:00:00"/>
    <x v="4"/>
    <s v="HSERV CABREUVA"/>
    <x v="37"/>
    <n v="-545.78"/>
    <x v="0"/>
    <s v="SEGUROS EM GERAL"/>
  </r>
  <r>
    <d v="2025-11-10T00:00:00"/>
    <x v="4"/>
    <s v="HSERV TERCEIRIZADOS"/>
    <x v="514"/>
    <n v="-4347.01"/>
    <x v="0"/>
    <s v="ALUGUEL DE VEICULOS"/>
  </r>
  <r>
    <d v="2025-11-10T00:00:00"/>
    <x v="4"/>
    <s v="HSERV TERCEIRIZADOS"/>
    <x v="514"/>
    <n v="-2173.96"/>
    <x v="0"/>
    <s v="ALUGUEL DE VEICULOS"/>
  </r>
  <r>
    <d v="2025-11-13T00:00:00"/>
    <x v="4"/>
    <s v="HSERV TERCEIRIZADOS"/>
    <x v="236"/>
    <n v="-4375.75"/>
    <x v="0"/>
    <s v="ALUGUEL DE VEICULOS"/>
  </r>
  <r>
    <d v="2025-11-13T00:00:00"/>
    <x v="4"/>
    <s v="HSERV CABREUVA"/>
    <x v="406"/>
    <n v="-40000"/>
    <x v="0"/>
    <s v="RESCISÕES"/>
  </r>
  <r>
    <d v="2025-11-17T00:00:00"/>
    <x v="4"/>
    <s v="HSERV CABREUVA"/>
    <x v="486"/>
    <n v="-100000"/>
    <x v="0"/>
    <s v="SALARIOS"/>
  </r>
  <r>
    <d v="2025-11-17T00:00:00"/>
    <x v="4"/>
    <s v="HSERV CABREUVA"/>
    <x v="407"/>
    <n v="-40000"/>
    <x v="0"/>
    <s v="ASSIDUIDADE"/>
  </r>
  <r>
    <d v="2025-11-17T00:00:00"/>
    <x v="4"/>
    <s v="HSERV CABREUVA"/>
    <x v="408"/>
    <n v="-90000"/>
    <x v="0"/>
    <s v="VALE ALIMENTAÇÃO"/>
  </r>
  <r>
    <d v="2025-11-17T00:00:00"/>
    <x v="4"/>
    <s v=" HSERV CABREUVA"/>
    <x v="144"/>
    <n v="-10000"/>
    <x v="0"/>
    <s v="VALE TRANSPORTE"/>
  </r>
  <r>
    <d v="2025-11-17T00:00:00"/>
    <x v="4"/>
    <s v="VITOR DUARTE"/>
    <x v="63"/>
    <n v="-20000"/>
    <x v="0"/>
    <s v="PROLABORE"/>
  </r>
  <r>
    <d v="2025-11-17T00:00:00"/>
    <x v="4"/>
    <s v="VITOR DUARTE"/>
    <x v="45"/>
    <n v="-145"/>
    <x v="0"/>
    <s v="CESTA BASICA"/>
  </r>
  <r>
    <d v="2025-11-17T00:00:00"/>
    <x v="4"/>
    <s v="VITOR DUARTE"/>
    <x v="409"/>
    <n v="-145"/>
    <x v="0"/>
    <s v="CESTA BASICA"/>
  </r>
  <r>
    <d v="2025-11-17T00:00:00"/>
    <x v="4"/>
    <s v="HSERV COMBINADOS "/>
    <x v="487"/>
    <n v="-1375"/>
    <x v="0"/>
    <s v="SALARIOS"/>
  </r>
  <r>
    <d v="2025-11-17T00:00:00"/>
    <x v="4"/>
    <s v="HSERV  COMBINADOS "/>
    <x v="488"/>
    <n v="-2281.6999999999998"/>
    <x v="0"/>
    <s v="SALARIOS"/>
  </r>
  <r>
    <d v="2025-11-17T00:00:00"/>
    <x v="4"/>
    <s v="HSERV CABREUVA"/>
    <x v="66"/>
    <n v="-6500"/>
    <x v="0"/>
    <s v="COMBUSTIVEL E PEDAGIO"/>
  </r>
  <r>
    <d v="2025-11-17T00:00:00"/>
    <x v="4"/>
    <s v="VITOR DUARTE"/>
    <x v="412"/>
    <n v="-12000"/>
    <x v="0"/>
    <s v="CARTÃO DE CREDITO"/>
  </r>
  <r>
    <d v="2025-11-17T00:00:00"/>
    <x v="4"/>
    <s v="HENRIQUE JEAN"/>
    <x v="413"/>
    <n v="-2302.0500000000002"/>
    <x v="0"/>
    <s v="CARTÃO DE CREDITO"/>
  </r>
  <r>
    <d v="2025-11-17T00:00:00"/>
    <x v="4"/>
    <s v="HSERV COMBINADOS"/>
    <x v="413"/>
    <n v="-1248.99"/>
    <x v="0"/>
    <s v="CARTÃO DE CREDITO"/>
  </r>
  <r>
    <d v="2025-11-13T00:00:00"/>
    <x v="4"/>
    <s v="HSERV CABREUVA"/>
    <x v="72"/>
    <n v="-2012.45"/>
    <x v="0"/>
    <s v="EMPRESTIMO "/>
  </r>
  <r>
    <d v="2025-11-17T00:00:00"/>
    <x v="4"/>
    <s v="HSERV CABREUVA"/>
    <x v="73"/>
    <n v="-171.1"/>
    <x v="0"/>
    <s v="TARIFA BANCARIA"/>
  </r>
  <r>
    <d v="2025-11-17T00:00:00"/>
    <x v="4"/>
    <s v="HSERV CLEAN"/>
    <x v="73"/>
    <n v="-171.1"/>
    <x v="0"/>
    <s v="TARIFA BANCARIA"/>
  </r>
  <r>
    <d v="2025-11-17T00:00:00"/>
    <x v="4"/>
    <s v="HSERV COMBINADOS "/>
    <x v="73"/>
    <n v="-171.1"/>
    <x v="0"/>
    <s v="TARIFA BANCARIA"/>
  </r>
  <r>
    <d v="2025-11-17T00:00:00"/>
    <x v="4"/>
    <s v="HSERV COMBINADOS  ND"/>
    <x v="73"/>
    <n v="-171.1"/>
    <x v="0"/>
    <s v="TARIFA BANCARIA"/>
  </r>
  <r>
    <d v="2025-11-17T00:00:00"/>
    <x v="4"/>
    <s v="HENRIQUE JEAN"/>
    <x v="73"/>
    <n v="-171.1"/>
    <x v="0"/>
    <s v="TARIFA BANCARIA"/>
  </r>
  <r>
    <d v="2025-11-17T00:00:00"/>
    <x v="4"/>
    <s v="HENRIQUE JEAN ND"/>
    <x v="73"/>
    <n v="-171.1"/>
    <x v="0"/>
    <s v="TARIFA BANCARIA"/>
  </r>
  <r>
    <d v="2025-11-17T00:00:00"/>
    <x v="4"/>
    <s v="VITOR DUARTE ND"/>
    <x v="73"/>
    <n v="-171.1"/>
    <x v="0"/>
    <s v="TARIFA BANCARIA"/>
  </r>
  <r>
    <d v="2025-11-17T00:00:00"/>
    <x v="4"/>
    <s v="VITOR DUARTE"/>
    <x v="73"/>
    <n v="-171.1"/>
    <x v="0"/>
    <s v="TARIFA BANCARIA"/>
  </r>
  <r>
    <d v="2025-11-17T00:00:00"/>
    <x v="4"/>
    <s v="HSERV TERCERIZADOS"/>
    <x v="73"/>
    <n v="-171.1"/>
    <x v="0"/>
    <s v="TARIFA BANCARIA"/>
  </r>
  <r>
    <d v="2025-11-17T00:00:00"/>
    <x v="4"/>
    <s v="HSERV TERCERIZADOS ND"/>
    <x v="73"/>
    <n v="-171.1"/>
    <x v="0"/>
    <s v="TARIFA BANCARIA"/>
  </r>
  <r>
    <d v="2025-11-17T00:00:00"/>
    <x v="4"/>
    <s v="HSERV LIMPEZA"/>
    <x v="73"/>
    <n v="-171.1"/>
    <x v="0"/>
    <s v="TARIFA BANCARIA"/>
  </r>
  <r>
    <d v="2025-11-17T00:00:00"/>
    <x v="4"/>
    <s v="HSERV LIMPEZA ND"/>
    <x v="73"/>
    <n v="-171.1"/>
    <x v="0"/>
    <s v="TARIFA BANCARIA"/>
  </r>
  <r>
    <d v="2025-11-17T00:00:00"/>
    <x v="4"/>
    <s v="HSERV TECNOLOGIA"/>
    <x v="73"/>
    <n v="-171.1"/>
    <x v="0"/>
    <s v="TARIFA BANCARIA"/>
  </r>
  <r>
    <d v="2025-11-17T00:00:00"/>
    <x v="4"/>
    <s v="HSERV REPRESENTAÇÃO"/>
    <x v="73"/>
    <n v="-171.1"/>
    <x v="0"/>
    <s v="TARIFA BANCARIA"/>
  </r>
  <r>
    <d v="2025-11-17T00:00:00"/>
    <x v="4"/>
    <s v="HENRIQUE JEAN ND"/>
    <x v="74"/>
    <n v="-877.96"/>
    <x v="0"/>
    <s v="RESERVA"/>
  </r>
  <r>
    <d v="2025-11-17T00:00:00"/>
    <x v="4"/>
    <s v="HSERV CABREUVA"/>
    <x v="515"/>
    <n v="-8000"/>
    <x v="0"/>
    <s v="VALE COMBUSTIVEL"/>
  </r>
  <r>
    <d v="2025-11-17T00:00:00"/>
    <x v="4"/>
    <s v="HSERV CABREUVA"/>
    <x v="78"/>
    <n v="-141.69999999999999"/>
    <x v="0"/>
    <s v="AGUA"/>
  </r>
  <r>
    <d v="2025-11-17T00:00:00"/>
    <x v="4"/>
    <s v="HSERV CABREUVA"/>
    <x v="79"/>
    <n v="-141.69999999999999"/>
    <x v="0"/>
    <s v="AGUA"/>
  </r>
  <r>
    <d v="2025-11-17T00:00:00"/>
    <x v="4"/>
    <s v="HSERV CABREUVA"/>
    <x v="80"/>
    <n v="-141.69999999999999"/>
    <x v="0"/>
    <s v="AGUA"/>
  </r>
  <r>
    <d v="2025-11-17T00:00:00"/>
    <x v="4"/>
    <s v="HSERV CABREUVA"/>
    <x v="81"/>
    <n v="-139.25"/>
    <x v="0"/>
    <s v="AGUA"/>
  </r>
  <r>
    <d v="2025-11-17T00:00:00"/>
    <x v="4"/>
    <s v="HSERV TECNOLOGIA"/>
    <x v="82"/>
    <n v="-244.5"/>
    <x v="0"/>
    <s v="SISTEMA"/>
  </r>
  <r>
    <d v="2025-11-17T00:00:00"/>
    <x v="4"/>
    <s v="HSERV REPRESENTACOES"/>
    <x v="82"/>
    <n v="-300"/>
    <x v="0"/>
    <s v="SISTEMA"/>
  </r>
  <r>
    <d v="2025-11-17T00:00:00"/>
    <x v="4"/>
    <s v="HSERV CABREUVA "/>
    <x v="82"/>
    <n v="-300"/>
    <x v="0"/>
    <s v="SISTEMA"/>
  </r>
  <r>
    <d v="2025-11-17T00:00:00"/>
    <x v="4"/>
    <s v="HSERV  COMBINADOS"/>
    <x v="82"/>
    <n v="-300"/>
    <x v="0"/>
    <s v="SISTEMA"/>
  </r>
  <r>
    <d v="2025-11-17T00:00:00"/>
    <x v="4"/>
    <s v="HENRIQUE JEAN DUARTE "/>
    <x v="82"/>
    <n v="-275"/>
    <x v="0"/>
    <s v="SISTEMA"/>
  </r>
  <r>
    <d v="2025-11-17T00:00:00"/>
    <x v="4"/>
    <s v="HSERV TERCEIRIZADOS"/>
    <x v="82"/>
    <n v="-300"/>
    <x v="0"/>
    <s v="SISTEMA"/>
  </r>
  <r>
    <d v="2025-11-17T00:00:00"/>
    <x v="4"/>
    <s v="HSERV  LIMPEZA "/>
    <x v="82"/>
    <n v="-300"/>
    <x v="0"/>
    <s v="SISTEMA"/>
  </r>
  <r>
    <d v="2025-11-17T00:00:00"/>
    <x v="4"/>
    <s v="VITOR  DUARTE "/>
    <x v="82"/>
    <n v="-350"/>
    <x v="0"/>
    <s v="SISTEMA"/>
  </r>
  <r>
    <d v="2025-11-17T00:00:00"/>
    <x v="4"/>
    <s v="HSER CLEAN"/>
    <x v="82"/>
    <n v="-373.51"/>
    <x v="0"/>
    <s v="SISTEMA"/>
  </r>
  <r>
    <d v="2025-11-17T00:00:00"/>
    <x v="4"/>
    <s v="HENRIQUE JEAN"/>
    <x v="254"/>
    <n v="-3022.31"/>
    <x v="0"/>
    <s v="CESTA BASICA"/>
  </r>
  <r>
    <d v="2025-11-17T00:00:00"/>
    <x v="4"/>
    <s v="HSERV CABREUVA"/>
    <x v="254"/>
    <n v="-3952.25"/>
    <x v="0"/>
    <s v="CESTA BASICA"/>
  </r>
  <r>
    <d v="2025-11-17T00:00:00"/>
    <x v="4"/>
    <s v="HSERV CLEAN"/>
    <x v="254"/>
    <n v="-3409.78"/>
    <x v="0"/>
    <s v="CESTA BASICA"/>
  </r>
  <r>
    <d v="2025-11-17T00:00:00"/>
    <x v="4"/>
    <s v="HSERV CLEAN"/>
    <x v="254"/>
    <n v="-852.45"/>
    <x v="0"/>
    <s v="CESTA BASICA"/>
  </r>
  <r>
    <d v="2025-11-17T00:00:00"/>
    <x v="4"/>
    <s v="HSERV COMBINADOS"/>
    <x v="254"/>
    <n v="-2944.81"/>
    <x v="0"/>
    <s v="CESTA BASICA"/>
  </r>
  <r>
    <d v="2025-11-17T00:00:00"/>
    <x v="4"/>
    <s v="HSERV LIMPEZA"/>
    <x v="254"/>
    <n v="-852.45"/>
    <x v="0"/>
    <s v="CESTA BASICA"/>
  </r>
  <r>
    <d v="2025-11-17T00:00:00"/>
    <x v="4"/>
    <s v="HSERV REPRESENTACOES"/>
    <x v="254"/>
    <n v="-929.94"/>
    <x v="0"/>
    <s v="CESTA BASICA"/>
  </r>
  <r>
    <d v="2025-11-17T00:00:00"/>
    <x v="4"/>
    <s v="HSERV TECNOLOGIA"/>
    <x v="254"/>
    <n v="-232.49"/>
    <x v="0"/>
    <s v="CESTA BASICA"/>
  </r>
  <r>
    <d v="2025-11-17T00:00:00"/>
    <x v="4"/>
    <s v="HSERV TERCEIRIZADOS"/>
    <x v="254"/>
    <n v="-464.97"/>
    <x v="0"/>
    <s v="CESTA BASICA"/>
  </r>
  <r>
    <d v="2025-11-17T00:00:00"/>
    <x v="4"/>
    <s v="VITOR DUARTE"/>
    <x v="254"/>
    <n v="-542.47"/>
    <x v="0"/>
    <s v="CESTA BASICA"/>
  </r>
  <r>
    <d v="2025-11-17T00:00:00"/>
    <x v="4"/>
    <s v="VITOR DUARTE"/>
    <x v="513"/>
    <n v="-3760"/>
    <x v="0"/>
    <s v="ALUGUEL DE VEICULOS"/>
  </r>
  <r>
    <d v="2025-11-17T00:00:00"/>
    <x v="4"/>
    <s v="VITOR DUARTE"/>
    <x v="513"/>
    <n v="-5800"/>
    <x v="0"/>
    <s v="ALUGUEL DE VEICULOS"/>
  </r>
  <r>
    <d v="2025-11-17T00:00:00"/>
    <x v="4"/>
    <s v="HSERV COMBINADOS "/>
    <x v="513"/>
    <n v="-5460"/>
    <x v="0"/>
    <s v="ALUGUEL DE VEICULOS"/>
  </r>
  <r>
    <d v="2025-11-21T00:00:00"/>
    <x v="4"/>
    <s v="VITOR DUARTE"/>
    <x v="4"/>
    <n v="-16200"/>
    <x v="0"/>
    <s v="VALE ALIMENTAÇÃO"/>
  </r>
  <r>
    <d v="2025-11-17T00:00:00"/>
    <x v="4"/>
    <s v="HSERV CABREUVA"/>
    <x v="417"/>
    <n v="-4500"/>
    <x v="0"/>
    <s v="EXAMES MEDICOS"/>
  </r>
  <r>
    <d v="2025-11-26T00:00:00"/>
    <x v="4"/>
    <s v="HSERV CABREUVA"/>
    <x v="88"/>
    <n v="-35714.57"/>
    <x v="0"/>
    <s v="EMPRESTIMO "/>
  </r>
  <r>
    <d v="2025-11-17T00:00:00"/>
    <x v="4"/>
    <s v="HSERV CABREUVA"/>
    <x v="420"/>
    <n v="-30"/>
    <x v="0"/>
    <s v="SINDICATO"/>
  </r>
  <r>
    <d v="2025-11-17T00:00:00"/>
    <x v="4"/>
    <s v="HSERV CABREUVA"/>
    <x v="89"/>
    <n v="-10000"/>
    <x v="0"/>
    <s v="SINDICATO"/>
  </r>
  <r>
    <d v="2025-11-17T00:00:00"/>
    <x v="4"/>
    <s v="HSERV CABREUVA"/>
    <x v="421"/>
    <n v="-4500"/>
    <x v="0"/>
    <s v="SINDICATO"/>
  </r>
  <r>
    <d v="2025-11-17T00:00:00"/>
    <x v="4"/>
    <s v="VITOR DUARTE"/>
    <x v="91"/>
    <n v="-5300"/>
    <x v="0"/>
    <s v="ALUGUEL DE IMOVEIS"/>
  </r>
  <r>
    <d v="2025-11-18T00:00:00"/>
    <x v="4"/>
    <s v="HSERV COMBINADOS "/>
    <x v="490"/>
    <n v="-5996.67"/>
    <x v="0"/>
    <s v="EMPRESTIMO "/>
  </r>
  <r>
    <d v="2025-11-20T00:00:00"/>
    <x v="4"/>
    <s v="HSERV CABREUVA"/>
    <x v="423"/>
    <n v="-16000"/>
    <x v="0"/>
    <s v="CONTABILIDADE"/>
  </r>
  <r>
    <d v="2025-11-20T00:00:00"/>
    <x v="4"/>
    <s v="HSERV CABREUVA"/>
    <x v="95"/>
    <n v="-600"/>
    <x v="0"/>
    <s v="VALE ALIMENTAÇÃO"/>
  </r>
  <r>
    <d v="2025-11-20T00:00:00"/>
    <x v="4"/>
    <s v="HSERV CABREUVA"/>
    <x v="96"/>
    <n v="-1100"/>
    <x v="0"/>
    <s v="SISTEMA"/>
  </r>
  <r>
    <d v="2025-11-20T00:00:00"/>
    <x v="4"/>
    <s v="HSERV CABREUVA"/>
    <x v="97"/>
    <n v="-39.799999999999997"/>
    <x v="0"/>
    <s v="SISTEMA"/>
  </r>
  <r>
    <d v="2025-11-20T00:00:00"/>
    <x v="4"/>
    <s v="HSERV CABREUVA"/>
    <x v="98"/>
    <n v="-15000"/>
    <x v="0"/>
    <s v="IMPOSTO"/>
  </r>
  <r>
    <d v="2025-11-20T00:00:00"/>
    <x v="4"/>
    <s v="VITOR DUARTE"/>
    <x v="99"/>
    <n v="-15000"/>
    <x v="0"/>
    <s v="IMPOSTO"/>
  </r>
  <r>
    <d v="2025-11-20T00:00:00"/>
    <x v="4"/>
    <s v="VITOR DUARTE"/>
    <x v="100"/>
    <n v="-3000"/>
    <x v="0"/>
    <s v="IMPOSTO"/>
  </r>
  <r>
    <d v="2025-11-20T00:00:00"/>
    <x v="4"/>
    <s v="HSERV CABREUVA"/>
    <x v="424"/>
    <n v="-55000"/>
    <x v="0"/>
    <s v="IMPOSTO"/>
  </r>
  <r>
    <d v="2025-11-20T00:00:00"/>
    <x v="4"/>
    <s v="HSERV CABREUVA"/>
    <x v="425"/>
    <n v="-50000"/>
    <x v="0"/>
    <s v="IMPOSTO"/>
  </r>
  <r>
    <d v="2025-11-20T00:00:00"/>
    <x v="4"/>
    <s v="HSERV CABREUVA"/>
    <x v="426"/>
    <n v="-110000"/>
    <x v="0"/>
    <s v="FT"/>
  </r>
  <r>
    <d v="2025-11-20T00:00:00"/>
    <x v="4"/>
    <s v="HSERV CABREUVA"/>
    <x v="119"/>
    <n v="-41000"/>
    <x v="0"/>
    <s v="VALE TRANSPORTE"/>
  </r>
  <r>
    <d v="2025-11-20T00:00:00"/>
    <x v="4"/>
    <s v="HENRIQUE JEAN"/>
    <x v="254"/>
    <n v="-2324.85"/>
    <x v="0"/>
    <s v="CESTA BASICA"/>
  </r>
  <r>
    <d v="2025-11-20T00:00:00"/>
    <x v="4"/>
    <s v="HSERV CABREUVA"/>
    <x v="254"/>
    <n v="-2944.81"/>
    <x v="0"/>
    <s v="CESTA BASICA"/>
  </r>
  <r>
    <d v="2025-11-20T00:00:00"/>
    <x v="4"/>
    <s v="HSERV CLEAN"/>
    <x v="254"/>
    <n v="-2867.32"/>
    <x v="0"/>
    <s v="CESTA BASICA"/>
  </r>
  <r>
    <d v="2025-11-20T00:00:00"/>
    <x v="4"/>
    <s v="HSERV CLEAN"/>
    <x v="254"/>
    <n v="-852.45"/>
    <x v="0"/>
    <s v="CESTA BASICA"/>
  </r>
  <r>
    <d v="2025-11-20T00:00:00"/>
    <x v="4"/>
    <s v="HSERV COMBINADOS"/>
    <x v="254"/>
    <n v="-2789.82"/>
    <x v="0"/>
    <s v="CESTA BASICA"/>
  </r>
  <r>
    <d v="2025-11-20T00:00:00"/>
    <x v="4"/>
    <s v="HSERV LIMPEZA"/>
    <x v="254"/>
    <n v="-852.45"/>
    <x v="0"/>
    <s v="CESTA BASICA"/>
  </r>
  <r>
    <d v="2025-11-20T00:00:00"/>
    <x v="4"/>
    <s v="HSERV REPRESENTACOES"/>
    <x v="254"/>
    <n v="-619.96"/>
    <x v="0"/>
    <s v="CESTA BASICA"/>
  </r>
  <r>
    <d v="2025-11-20T00:00:00"/>
    <x v="4"/>
    <s v="HSERV TECNOLOGIA"/>
    <x v="254"/>
    <n v="-154.99"/>
    <x v="0"/>
    <s v="CESTA BASICA"/>
  </r>
  <r>
    <d v="2025-11-20T00:00:00"/>
    <x v="4"/>
    <s v="HSERV TERCEIRIZADOS"/>
    <x v="254"/>
    <n v="-852.45"/>
    <x v="0"/>
    <s v="CESTA BASICA"/>
  </r>
  <r>
    <d v="2025-11-20T00:00:00"/>
    <x v="4"/>
    <s v="VITOR DUARTE"/>
    <x v="254"/>
    <n v="-77.5"/>
    <x v="0"/>
    <s v="CESTA BASICA"/>
  </r>
  <r>
    <d v="2025-11-20T00:00:00"/>
    <x v="4"/>
    <s v="HSERV CABREUVA"/>
    <x v="389"/>
    <n v="-8000"/>
    <x v="0"/>
    <s v="FT"/>
  </r>
  <r>
    <d v="2025-11-20T00:00:00"/>
    <x v="4"/>
    <s v="HSERV COMBINADOS"/>
    <x v="427"/>
    <n v="-2756.99"/>
    <x v="0"/>
    <s v="APORTE"/>
  </r>
  <r>
    <d v="2025-11-24T00:00:00"/>
    <x v="4"/>
    <s v="VITOR DUARTE"/>
    <x v="432"/>
    <n v="-1700"/>
    <x v="0"/>
    <s v="TELEFONE"/>
  </r>
  <r>
    <d v="2025-11-20T00:00:00"/>
    <x v="4"/>
    <s v="HENRIQUE JEAN ND"/>
    <x v="132"/>
    <n v="-8937.32"/>
    <x v="0"/>
    <s v="RESERVA"/>
  </r>
  <r>
    <d v="2025-11-28T00:00:00"/>
    <x v="4"/>
    <s v="VITOR DUARTE"/>
    <x v="4"/>
    <n v="-16200"/>
    <x v="0"/>
    <s v="VALE ALIMENTAÇÃO"/>
  </r>
  <r>
    <d v="2025-11-25T00:00:00"/>
    <x v="4"/>
    <s v="HSERV CABREUVA"/>
    <x v="34"/>
    <n v="-9000"/>
    <x v="0"/>
    <s v="COMBUSTIVEL E PEDAGIO"/>
  </r>
  <r>
    <d v="2025-11-25T00:00:00"/>
    <x v="4"/>
    <s v="VITOR DUARTE"/>
    <x v="135"/>
    <n v="-500"/>
    <x v="0"/>
    <s v="SISTEMA"/>
  </r>
  <r>
    <d v="2025-11-25T00:00:00"/>
    <x v="4"/>
    <s v="HSERV CABREUVA"/>
    <x v="435"/>
    <n v="-294.8"/>
    <x v="0"/>
    <s v="INTERNET"/>
  </r>
  <r>
    <d v="2025-11-25T00:00:00"/>
    <x v="4"/>
    <s v="HSERV COMBINADOS"/>
    <x v="436"/>
    <n v="-1812.64"/>
    <x v="0"/>
    <s v="APORTE"/>
  </r>
  <r>
    <d v="2025-11-14T00:00:00"/>
    <x v="4"/>
    <s v="VITOR DUARTE"/>
    <x v="141"/>
    <n v="-9980"/>
    <x v="0"/>
    <s v="PROLABORE"/>
  </r>
  <r>
    <d v="2025-11-28T00:00:00"/>
    <x v="4"/>
    <s v="HSERV COMBINADOS "/>
    <x v="437"/>
    <n v="-500"/>
    <x v="0"/>
    <s v="SISTEMA"/>
  </r>
  <r>
    <d v="2025-11-28T00:00:00"/>
    <x v="4"/>
    <s v="HENRIQUE JEAN ND"/>
    <x v="74"/>
    <n v="-5000"/>
    <x v="0"/>
    <s v="RESERVA"/>
  </r>
  <r>
    <d v="2025-11-28T00:00:00"/>
    <x v="4"/>
    <s v="VITOR DUARTE"/>
    <x v="143"/>
    <n v="-2530.4299999999998"/>
    <x v="0"/>
    <s v="SISTEMA"/>
  </r>
  <r>
    <d v="2025-11-28T00:00:00"/>
    <x v="4"/>
    <s v="VITOR DUARTE"/>
    <x v="143"/>
    <n v="-1339.5"/>
    <x v="0"/>
    <s v="SISTEMA"/>
  </r>
  <r>
    <d v="2025-11-07T00:00:00"/>
    <x v="4"/>
    <s v=" HSERV CABREUVA"/>
    <x v="438"/>
    <n v="-5000"/>
    <x v="0"/>
    <s v="VALE TRANSPORTE"/>
  </r>
  <r>
    <d v="2025-11-28T00:00:00"/>
    <x v="4"/>
    <s v=" HSERV CABREUVA"/>
    <x v="144"/>
    <n v="-15000"/>
    <x v="0"/>
    <s v="VALE TRANSPORTE"/>
  </r>
  <r>
    <d v="2025-11-21T00:00:00"/>
    <x v="4"/>
    <s v="VITOR DUARTE"/>
    <x v="141"/>
    <n v="-9980"/>
    <x v="0"/>
    <s v="PROLABORE"/>
  </r>
  <r>
    <d v="2025-11-28T00:00:00"/>
    <x v="4"/>
    <s v="VITOR DUARTE"/>
    <x v="141"/>
    <n v="-23498.18"/>
    <x v="0"/>
    <s v="PROLABORE"/>
  </r>
  <r>
    <d v="2025-11-28T00:00:00"/>
    <x v="4"/>
    <s v="HSERV CABREUVA"/>
    <x v="154"/>
    <n v="-35000"/>
    <x v="0"/>
    <s v="IMPOSTO"/>
  </r>
  <r>
    <d v="2025-11-28T00:00:00"/>
    <x v="4"/>
    <s v="HSERV CABREUVA"/>
    <x v="439"/>
    <n v="-7000"/>
    <x v="0"/>
    <s v="VALE COMBUSTIVEL"/>
  </r>
  <r>
    <d v="2025-11-28T00:00:00"/>
    <x v="4"/>
    <s v="VITOR DUARTE"/>
    <x v="156"/>
    <n v="-1500"/>
    <x v="0"/>
    <s v="TI"/>
  </r>
  <r>
    <d v="2025-11-28T00:00:00"/>
    <x v="4"/>
    <s v="VITOR DUARTE"/>
    <x v="157"/>
    <n v="-50"/>
    <x v="0"/>
    <s v="TI"/>
  </r>
  <r>
    <d v="2025-11-28T00:00:00"/>
    <x v="4"/>
    <s v="HSERV COMBINADOS "/>
    <x v="158"/>
    <n v="-800"/>
    <x v="0"/>
    <s v="REEMBOLSO"/>
  </r>
  <r>
    <d v="2025-11-28T00:00:00"/>
    <x v="4"/>
    <s v="HSERV CABREUVA"/>
    <x v="440"/>
    <n v="-40000"/>
    <x v="0"/>
    <s v="FÉRIAS"/>
  </r>
  <r>
    <d v="2025-11-28T00:00:00"/>
    <x v="4"/>
    <s v="VITOR DUARTE"/>
    <x v="163"/>
    <n v="-7000"/>
    <x v="0"/>
    <s v="IMPOSTO"/>
  </r>
  <r>
    <d v="2025-11-28T00:00:00"/>
    <x v="4"/>
    <s v="HSERV CLEAN"/>
    <x v="164"/>
    <n v="-600"/>
    <x v="0"/>
    <s v="IMPOSTO"/>
  </r>
  <r>
    <d v="2025-11-28T00:00:00"/>
    <x v="4"/>
    <s v="HSERV CLEAN"/>
    <x v="165"/>
    <n v="-4000"/>
    <x v="0"/>
    <s v="IMPOSTO"/>
  </r>
  <r>
    <d v="2025-11-28T00:00:00"/>
    <x v="4"/>
    <s v=" HSERV CABREUVA"/>
    <x v="166"/>
    <n v="-9000"/>
    <x v="0"/>
    <s v="IMPOSTO"/>
  </r>
  <r>
    <d v="2025-11-28T00:00:00"/>
    <x v="4"/>
    <s v="HSERV CLEAN"/>
    <x v="167"/>
    <n v="-1719.53"/>
    <x v="0"/>
    <s v="CARTÃO DE CREDITO"/>
  </r>
  <r>
    <d v="2025-11-28T00:00:00"/>
    <x v="4"/>
    <s v="HSERV CABREUVA"/>
    <x v="167"/>
    <n v="-1392.65"/>
    <x v="0"/>
    <s v="CARTÃO DE CREDITO"/>
  </r>
  <r>
    <d v="2025-11-10T00:00:00"/>
    <x v="4"/>
    <s v="HSERV COMBINADOS "/>
    <x v="522"/>
    <n v="-50000"/>
    <x v="0"/>
    <s v="FT"/>
  </r>
  <r>
    <d v="2025-10-10T00:00:00"/>
    <x v="3"/>
    <s v="CABREUVA"/>
    <x v="175"/>
    <n v="8041"/>
    <x v="1"/>
    <s v="VENDAS DE SERVIÇOS"/>
  </r>
  <r>
    <d v="2025-11-10T00:00:00"/>
    <x v="4"/>
    <s v="CABREUVA"/>
    <x v="175"/>
    <n v="33748.379999999997"/>
    <x v="1"/>
    <s v="VENDAS DE SERVIÇOS"/>
  </r>
  <r>
    <d v="2025-11-10T00:00:00"/>
    <x v="4"/>
    <s v="CABREUVA"/>
    <x v="175"/>
    <n v="8041"/>
    <x v="1"/>
    <s v="VENDAS DE SERVIÇOS"/>
  </r>
  <r>
    <d v="2025-11-11T00:00:00"/>
    <x v="4"/>
    <s v="CABREUVA"/>
    <x v="176"/>
    <n v="4880.1400000000003"/>
    <x v="1"/>
    <s v="VENDAS DE SERVIÇOS"/>
  </r>
  <r>
    <d v="2025-11-11T00:00:00"/>
    <x v="4"/>
    <s v="REPRESENTAÇÃO"/>
    <x v="177"/>
    <n v="603.26"/>
    <x v="1"/>
    <s v="VENDAS DE SERVIÇOS"/>
  </r>
  <r>
    <d v="2025-11-11T00:00:00"/>
    <x v="4"/>
    <s v="REPRESENTAÇÃO"/>
    <x v="177"/>
    <n v="1106.1400000000001"/>
    <x v="1"/>
    <s v="VENDAS DE SERVIÇOS"/>
  </r>
  <r>
    <d v="2025-11-11T00:00:00"/>
    <x v="4"/>
    <s v="REPRESENTAÇÃO"/>
    <x v="177"/>
    <n v="9631"/>
    <x v="1"/>
    <s v="VENDAS DE SERVIÇOS"/>
  </r>
  <r>
    <d v="2025-11-11T00:00:00"/>
    <x v="4"/>
    <s v="VITOR"/>
    <x v="178"/>
    <n v="257.81"/>
    <x v="1"/>
    <s v="VENDAS DE SERVIÇOS"/>
  </r>
  <r>
    <d v="2025-11-11T00:00:00"/>
    <x v="4"/>
    <s v="VITOR"/>
    <x v="179"/>
    <n v="680.03"/>
    <x v="1"/>
    <s v="VENDAS DE SERVIÇOS"/>
  </r>
  <r>
    <d v="2025-10-22T00:00:00"/>
    <x v="3"/>
    <s v="CLEAN"/>
    <x v="183"/>
    <n v="12459.61"/>
    <x v="1"/>
    <s v="VENDAS DE SERVIÇOS"/>
  </r>
  <r>
    <d v="2025-11-11T00:00:00"/>
    <x v="4"/>
    <s v="CLEAN"/>
    <x v="183"/>
    <n v="24988.71"/>
    <x v="1"/>
    <s v="VENDAS DE SERVIÇOS"/>
  </r>
  <r>
    <d v="2025-11-11T00:00:00"/>
    <x v="4"/>
    <s v="CLEAN"/>
    <x v="183"/>
    <n v="16834.330000000002"/>
    <x v="1"/>
    <s v="VENDAS DE SERVIÇOS"/>
  </r>
  <r>
    <d v="2025-11-11T00:00:00"/>
    <x v="4"/>
    <s v="CLEAN"/>
    <x v="183"/>
    <n v="268.13"/>
    <x v="1"/>
    <s v="VENDAS DE SERVIÇOS"/>
  </r>
  <r>
    <d v="2025-11-21T00:00:00"/>
    <x v="4"/>
    <s v="CLEAN"/>
    <x v="183"/>
    <n v="2284.4499999999998"/>
    <x v="1"/>
    <s v="VENDAS DE SERVIÇOS"/>
  </r>
  <r>
    <d v="2025-11-11T00:00:00"/>
    <x v="4"/>
    <s v="LIMPEZA"/>
    <x v="181"/>
    <n v="7850"/>
    <x v="1"/>
    <s v="VENDAS DE SERVIÇOS"/>
  </r>
  <r>
    <d v="2025-11-04T00:00:00"/>
    <x v="4"/>
    <s v="VITOR DUARTE"/>
    <x v="444"/>
    <n v="345280"/>
    <x v="1"/>
    <s v="VENDAS DE SERVIÇOS"/>
  </r>
  <r>
    <d v="2025-11-18T00:00:00"/>
    <x v="4"/>
    <s v="TERCEIRIZADOS"/>
    <x v="185"/>
    <n v="17956.39"/>
    <x v="1"/>
    <s v="VENDAS DE SERVIÇOS"/>
  </r>
  <r>
    <d v="2025-11-18T00:00:00"/>
    <x v="4"/>
    <s v="LIMPEZA"/>
    <x v="186"/>
    <n v="4717.4399999999996"/>
    <x v="1"/>
    <s v="VENDAS DE SERVIÇOS"/>
  </r>
  <r>
    <d v="2025-11-18T00:00:00"/>
    <x v="4"/>
    <s v="LIMPEZA"/>
    <x v="186"/>
    <n v="9938.39"/>
    <x v="1"/>
    <s v="VENDAS DE SERVIÇOS"/>
  </r>
  <r>
    <d v="2025-11-18T00:00:00"/>
    <x v="4"/>
    <s v="LIMPEZA"/>
    <x v="186"/>
    <n v="22139.98"/>
    <x v="1"/>
    <s v="VENDAS DE SERVIÇOS"/>
  </r>
  <r>
    <d v="2025-11-28T00:00:00"/>
    <x v="4"/>
    <s v="CLEAN"/>
    <x v="187"/>
    <n v="2373.8200000000002"/>
    <x v="1"/>
    <s v="VENDAS DE SERVIÇOS"/>
  </r>
  <r>
    <d v="2025-11-28T00:00:00"/>
    <x v="4"/>
    <s v="CLEAN"/>
    <x v="187"/>
    <n v="5823.82"/>
    <x v="1"/>
    <s v="VENDAS DE SERVIÇOS"/>
  </r>
  <r>
    <d v="2025-11-28T00:00:00"/>
    <x v="4"/>
    <s v="CLEAN"/>
    <x v="187"/>
    <n v="7526.95"/>
    <x v="1"/>
    <s v="VENDAS DE SERVIÇOS"/>
  </r>
  <r>
    <d v="2025-11-28T00:00:00"/>
    <x v="4"/>
    <s v="CLEAN"/>
    <x v="187"/>
    <n v="25756.63"/>
    <x v="1"/>
    <s v="VENDAS DE SERVIÇOS"/>
  </r>
  <r>
    <d v="2025-11-28T00:00:00"/>
    <x v="4"/>
    <s v="CABREUVA"/>
    <x v="446"/>
    <n v="816717.89"/>
    <x v="1"/>
    <s v="VENDAS DE SERVIÇOS"/>
  </r>
  <r>
    <d v="2025-11-25T00:00:00"/>
    <x v="4"/>
    <s v="HENRIQUE JEAN"/>
    <x v="448"/>
    <n v="-7000"/>
    <x v="0"/>
    <s v="EMPRESTIMO "/>
  </r>
  <r>
    <d v="2025-11-25T00:00:00"/>
    <x v="4"/>
    <s v="HSERV COMBINADOS"/>
    <x v="450"/>
    <n v="-7000"/>
    <x v="0"/>
    <s v="EMPRESTIMO "/>
  </r>
  <r>
    <d v="2025-11-17T00:00:00"/>
    <x v="4"/>
    <s v="HENRIQUE JEAN"/>
    <x v="451"/>
    <n v="-630"/>
    <x v="0"/>
    <s v="SINDICATO"/>
  </r>
  <r>
    <d v="2025-11-17T00:00:00"/>
    <x v="4"/>
    <s v="HSERV CABREUVA"/>
    <x v="244"/>
    <n v="-1905.5"/>
    <x v="0"/>
    <s v="SINDICATO"/>
  </r>
  <r>
    <d v="2025-11-28T00:00:00"/>
    <x v="4"/>
    <s v="VITOR DUARTE"/>
    <x v="523"/>
    <n v="-160000"/>
    <x v="0"/>
    <s v="DECIMO TERCEIRO SALARIO"/>
  </r>
  <r>
    <d v="2025-11-10T00:00:00"/>
    <x v="4"/>
    <s v="HENRIQUE JEAN"/>
    <x v="524"/>
    <n v="-1000"/>
    <x v="0"/>
    <s v="ACORDO TRABALHISTA"/>
  </r>
  <r>
    <d v="2025-11-14T00:00:00"/>
    <x v="4"/>
    <s v="HSERV CABREUVA"/>
    <x v="525"/>
    <n v="-10000"/>
    <x v="0"/>
    <s v="ACORDO TRABALHISTA"/>
  </r>
  <r>
    <d v="2025-11-07T00:00:00"/>
    <x v="4"/>
    <s v="HSERV REPRESENTACOES"/>
    <x v="526"/>
    <n v="-2000"/>
    <x v="0"/>
    <s v="ACORDO TRABALHISTA"/>
  </r>
  <r>
    <d v="2025-11-14T00:00:00"/>
    <x v="4"/>
    <s v="HSERV REPRESENTACOES"/>
    <x v="527"/>
    <n v="-2000"/>
    <x v="0"/>
    <s v="ACORDO TRABALHISTA"/>
  </r>
  <r>
    <d v="2025-11-28T00:00:00"/>
    <x v="4"/>
    <s v="HSERV CABREUVA"/>
    <x v="495"/>
    <n v="-2000"/>
    <x v="0"/>
    <s v="ACORDO TRABALHISTA"/>
  </r>
  <r>
    <d v="2025-11-28T00:00:00"/>
    <x v="4"/>
    <s v="HSERV CABREUVA"/>
    <x v="497"/>
    <n v="-3836.54"/>
    <x v="0"/>
    <s v="ACORDO TRABALHISTA"/>
  </r>
  <r>
    <d v="2025-11-28T00:00:00"/>
    <x v="4"/>
    <s v="HSERV CABREUVA"/>
    <x v="499"/>
    <n v="-2500"/>
    <x v="0"/>
    <s v="ACORDO TRABALHISTA"/>
  </r>
  <r>
    <d v="2025-11-28T00:00:00"/>
    <x v="4"/>
    <s v="HSERV CABREUVA"/>
    <x v="498"/>
    <n v="-3200"/>
    <x v="0"/>
    <s v="ACORDO TRABALHISTA"/>
  </r>
  <r>
    <d v="2025-11-28T00:00:00"/>
    <x v="4"/>
    <s v="HSERV LIMPEZA"/>
    <x v="501"/>
    <n v="-1000"/>
    <x v="0"/>
    <s v="ACORDO TRABALHISTA"/>
  </r>
  <r>
    <d v="2025-11-28T00:00:00"/>
    <x v="4"/>
    <s v="VITOR DUARTE"/>
    <x v="503"/>
    <n v="-1400"/>
    <x v="0"/>
    <s v="ACORDO TRABALHISTA"/>
  </r>
  <r>
    <d v="2025-11-28T00:00:00"/>
    <x v="4"/>
    <s v="VITOR DUARTE"/>
    <x v="504"/>
    <n v="-1916.67"/>
    <x v="0"/>
    <s v="ACORDO TRABALHISTA"/>
  </r>
  <r>
    <d v="2025-11-28T00:00:00"/>
    <x v="4"/>
    <s v="VITOR DUARTE"/>
    <x v="502"/>
    <n v="-2864.92"/>
    <x v="0"/>
    <s v="ACORDO TRABALHISTA"/>
  </r>
  <r>
    <d v="2025-12-01T00:00:00"/>
    <x v="5"/>
    <s v="HSERV CABREUVA"/>
    <x v="378"/>
    <n v="-650"/>
    <x v="0"/>
    <s v="ENERGIA ELETRICA"/>
  </r>
  <r>
    <d v="2025-12-01T00:00:00"/>
    <x v="5"/>
    <s v="HSERV CABREUVA"/>
    <x v="379"/>
    <n v="-320"/>
    <x v="0"/>
    <s v="ENERGIA ELETRICA"/>
  </r>
  <r>
    <d v="2025-12-01T00:00:00"/>
    <x v="5"/>
    <s v="HSERV CABREUVA"/>
    <x v="380"/>
    <n v="-350"/>
    <x v="0"/>
    <s v="ENERGIA ELETRICA"/>
  </r>
  <r>
    <d v="2025-12-01T00:00:00"/>
    <x v="5"/>
    <s v="HSERV CABREUVA"/>
    <x v="381"/>
    <n v="-201"/>
    <x v="0"/>
    <s v="ENERGIA ELETRICA"/>
  </r>
  <r>
    <d v="2025-12-01T00:00:00"/>
    <x v="5"/>
    <s v="HSERV COMBINADOS "/>
    <x v="3"/>
    <n v="-2000"/>
    <x v="0"/>
    <s v="CAIXINHA"/>
  </r>
  <r>
    <d v="2025-12-01T00:00:00"/>
    <x v="5"/>
    <s v="HSERV COMBINADOS "/>
    <x v="481"/>
    <n v="-5000"/>
    <x v="0"/>
    <s v="CAIXINHA"/>
  </r>
  <r>
    <d v="2025-12-05T00:00:00"/>
    <x v="5"/>
    <s v="VITOR DUARTE"/>
    <x v="4"/>
    <n v="-16200"/>
    <x v="0"/>
    <s v="VALE ALIMENTAÇÃO"/>
  </r>
  <r>
    <d v="2025-12-02T00:00:00"/>
    <x v="5"/>
    <s v="HSERV TERCEIRIZADOS ND"/>
    <x v="385"/>
    <n v="-900"/>
    <x v="0"/>
    <s v="ENCARGOS"/>
  </r>
  <r>
    <d v="2025-12-04T00:00:00"/>
    <x v="5"/>
    <s v="HSERV CABREUVA"/>
    <x v="14"/>
    <n v="-3809.98"/>
    <x v="0"/>
    <s v="FINANCIAMENTO"/>
  </r>
  <r>
    <d v="2025-12-04T00:00:00"/>
    <x v="5"/>
    <s v="HSERV CABREUVA"/>
    <x v="15"/>
    <n v="-349"/>
    <x v="0"/>
    <s v="TARIFA BANCARIA"/>
  </r>
  <r>
    <d v="2025-12-04T00:00:00"/>
    <x v="5"/>
    <s v="HSERV TERCERIZADOS"/>
    <x v="15"/>
    <n v="-389"/>
    <x v="0"/>
    <s v="TARIFA BANCARIA"/>
  </r>
  <r>
    <d v="2025-12-04T00:00:00"/>
    <x v="5"/>
    <s v="HSERV COMBINADOS"/>
    <x v="15"/>
    <n v="-349"/>
    <x v="0"/>
    <s v="TARIFA BANCARIA"/>
  </r>
  <r>
    <d v="2025-12-04T00:00:00"/>
    <x v="5"/>
    <s v="HENRIQUE JEAN"/>
    <x v="15"/>
    <n v="-349"/>
    <x v="0"/>
    <s v="TARIFA BANCARIA"/>
  </r>
  <r>
    <d v="2025-12-04T00:00:00"/>
    <x v="5"/>
    <s v="HSERV TECNOLOGIA"/>
    <x v="15"/>
    <n v="-389"/>
    <x v="0"/>
    <s v="TARIFA BANCARIA"/>
  </r>
  <r>
    <d v="2025-12-04T00:00:00"/>
    <x v="5"/>
    <s v="HSERV LIMPEZA"/>
    <x v="15"/>
    <n v="-389"/>
    <x v="0"/>
    <s v="TARIFA BANCARIA"/>
  </r>
  <r>
    <d v="2025-12-04T00:00:00"/>
    <x v="5"/>
    <s v="HSERV REPRESENTAÇÃO"/>
    <x v="15"/>
    <n v="-389"/>
    <x v="0"/>
    <s v="TARIFA BANCARIA"/>
  </r>
  <r>
    <d v="2025-12-05T00:00:00"/>
    <x v="5"/>
    <s v="HSERV CABREUVA "/>
    <x v="386"/>
    <n v="-9000"/>
    <x v="0"/>
    <s v="CONSIGNADO"/>
  </r>
  <r>
    <d v="2025-12-08T00:00:00"/>
    <x v="5"/>
    <s v="HENRIQUE JEAN"/>
    <x v="17"/>
    <n v="-760"/>
    <x v="0"/>
    <s v="RESERVA"/>
  </r>
  <r>
    <d v="2025-12-05T00:00:00"/>
    <x v="5"/>
    <s v="HSERV CABREUVA"/>
    <x v="18"/>
    <n v="-468000"/>
    <x v="0"/>
    <s v="SALARIOS"/>
  </r>
  <r>
    <d v="2025-12-05T00:00:00"/>
    <x v="5"/>
    <s v="HSERV CABREUVA"/>
    <x v="19"/>
    <n v="-500"/>
    <x v="0"/>
    <s v="SALARIOS"/>
  </r>
  <r>
    <d v="2025-12-05T00:00:00"/>
    <x v="5"/>
    <s v="HSERV CABREUVA"/>
    <x v="482"/>
    <n v="-9000"/>
    <x v="0"/>
    <s v="SALARIOS"/>
  </r>
  <r>
    <d v="2025-12-15T00:00:00"/>
    <x v="5"/>
    <s v="HSERV CLEAN"/>
    <x v="388"/>
    <n v="-5523.75"/>
    <x v="0"/>
    <s v="EMPRESTIMO "/>
  </r>
  <r>
    <d v="2025-12-05T00:00:00"/>
    <x v="5"/>
    <s v="HSERV COMBINADOS "/>
    <x v="389"/>
    <n v="-7000"/>
    <x v="0"/>
    <s v="FT"/>
  </r>
  <r>
    <d v="2025-12-12T00:00:00"/>
    <x v="5"/>
    <s v="VITOR DUARTE"/>
    <x v="4"/>
    <n v="-16200"/>
    <x v="0"/>
    <s v="VALE ALIMENTAÇÃO"/>
  </r>
  <r>
    <d v="2025-12-10T00:00:00"/>
    <x v="5"/>
    <s v="HSERV TECNOLOGIA"/>
    <x v="189"/>
    <n v="-700"/>
    <x v="0"/>
    <s v="MATERIAL DE ESCRITÓRIO"/>
  </r>
  <r>
    <d v="2025-12-10T00:00:00"/>
    <x v="5"/>
    <s v="HSERV COMBINADOS "/>
    <x v="390"/>
    <n v="-9000"/>
    <x v="0"/>
    <s v="SINDICATO"/>
  </r>
  <r>
    <d v="2025-12-10T00:00:00"/>
    <x v="5"/>
    <s v="HSERV CABREUVA"/>
    <x v="27"/>
    <n v="-290"/>
    <x v="0"/>
    <s v="ALUGUEL DE IMOVEIS"/>
  </r>
  <r>
    <d v="2025-12-10T00:00:00"/>
    <x v="5"/>
    <s v="HSERV COMBINADOS "/>
    <x v="391"/>
    <n v="-1000"/>
    <x v="0"/>
    <s v="COMISSOES"/>
  </r>
  <r>
    <d v="2025-12-10T00:00:00"/>
    <x v="5"/>
    <s v="VITOR DUARTE"/>
    <x v="392"/>
    <n v="-10500"/>
    <x v="0"/>
    <s v="SEGURANÇAS"/>
  </r>
  <r>
    <d v="2025-12-10T00:00:00"/>
    <x v="5"/>
    <s v="HSERV COMBINADOS "/>
    <x v="393"/>
    <n v="-1000"/>
    <x v="0"/>
    <s v="COMISSOES"/>
  </r>
  <r>
    <d v="2025-12-10T00:00:00"/>
    <x v="5"/>
    <s v="HENRIQUE JEAN"/>
    <x v="394"/>
    <n v="-3000"/>
    <x v="0"/>
    <s v="PROLABORE"/>
  </r>
  <r>
    <d v="2025-12-10T00:00:00"/>
    <x v="5"/>
    <s v="HENRIQUE JEAN"/>
    <x v="32"/>
    <n v="-9000"/>
    <x v="0"/>
    <s v="PROLABORE"/>
  </r>
  <r>
    <d v="2025-12-10T00:00:00"/>
    <x v="5"/>
    <s v="HSERV CLEAN"/>
    <x v="33"/>
    <n v="-9146.82"/>
    <x v="0"/>
    <s v="CONVENIO MEDICO"/>
  </r>
  <r>
    <d v="2025-12-10T00:00:00"/>
    <x v="5"/>
    <s v="HSERV CABREUVA"/>
    <x v="34"/>
    <n v="-9500"/>
    <x v="0"/>
    <s v="COMBUSTIVEL E PEDAGIO"/>
  </r>
  <r>
    <d v="2025-12-10T00:00:00"/>
    <x v="5"/>
    <s v="HENRIQUE JEAN ND"/>
    <x v="483"/>
    <n v="-432"/>
    <x v="0"/>
    <s v="RESERVA"/>
  </r>
  <r>
    <d v="2025-12-10T00:00:00"/>
    <x v="5"/>
    <s v="VITOR  DUARTE"/>
    <x v="36"/>
    <n v="-553.25"/>
    <x v="0"/>
    <s v="SISTEMA"/>
  </r>
  <r>
    <d v="2025-12-10T00:00:00"/>
    <x v="5"/>
    <s v="HSERV CABREUVA"/>
    <x v="528"/>
    <n v="-545.78"/>
    <x v="0"/>
    <s v="SEGUROS EM GERAL"/>
  </r>
  <r>
    <d v="2025-12-10T00:00:00"/>
    <x v="5"/>
    <s v="HSERV TERCEIRIZADOS"/>
    <x v="514"/>
    <n v="-4347.01"/>
    <x v="0"/>
    <s v="ALUGUEL DE VEICULOS"/>
  </r>
  <r>
    <d v="2025-12-10T00:00:00"/>
    <x v="5"/>
    <s v="HSERV TERCEIRIZADOS"/>
    <x v="514"/>
    <n v="-2173.96"/>
    <x v="0"/>
    <s v="ALUGUEL DE VEICULOS"/>
  </r>
  <r>
    <d v="2025-12-12T00:00:00"/>
    <x v="5"/>
    <s v="HSERV TERCEIRIZADOS"/>
    <x v="236"/>
    <n v="-4375.75"/>
    <x v="0"/>
    <s v="ALUGUEL DE VEICULOS"/>
  </r>
  <r>
    <d v="2025-12-12T00:00:00"/>
    <x v="5"/>
    <s v="HSERV CABREUVA"/>
    <x v="406"/>
    <n v="-40000"/>
    <x v="0"/>
    <s v="RESCISÕES"/>
  </r>
  <r>
    <d v="2025-12-15T00:00:00"/>
    <x v="5"/>
    <s v="HSERV CABREUVA"/>
    <x v="486"/>
    <n v="-100000"/>
    <x v="0"/>
    <s v="SALARIOS"/>
  </r>
  <r>
    <d v="2025-12-15T00:00:00"/>
    <x v="5"/>
    <s v="HSERV CABREUVA"/>
    <x v="407"/>
    <n v="-40000"/>
    <x v="0"/>
    <s v="ASSIDUIDADE"/>
  </r>
  <r>
    <d v="2025-12-15T00:00:00"/>
    <x v="5"/>
    <s v="HSERV CABREUVA"/>
    <x v="408"/>
    <n v="-90000"/>
    <x v="0"/>
    <s v="VALE ALIMENTAÇÃO"/>
  </r>
  <r>
    <d v="2025-12-15T00:00:00"/>
    <x v="5"/>
    <s v=" HSERV CABREUVA"/>
    <x v="144"/>
    <n v="-10000"/>
    <x v="0"/>
    <s v="VALE TRANSPORTE"/>
  </r>
  <r>
    <d v="2025-12-15T00:00:00"/>
    <x v="5"/>
    <s v="VITOR DUARTE"/>
    <x v="63"/>
    <n v="-20000"/>
    <x v="0"/>
    <s v="PROLABORE"/>
  </r>
  <r>
    <d v="2025-12-15T00:00:00"/>
    <x v="5"/>
    <s v="VITOR DUARTE"/>
    <x v="45"/>
    <n v="-145"/>
    <x v="0"/>
    <s v="CESTA BASICA"/>
  </r>
  <r>
    <d v="2025-12-15T00:00:00"/>
    <x v="5"/>
    <s v="VITOR DUARTE"/>
    <x v="409"/>
    <n v="-145"/>
    <x v="0"/>
    <s v="CESTA BASICA"/>
  </r>
  <r>
    <d v="2025-12-15T00:00:00"/>
    <x v="5"/>
    <s v="HSERV COMBINADOS "/>
    <x v="487"/>
    <n v="-1375"/>
    <x v="0"/>
    <s v="SALARIOS"/>
  </r>
  <r>
    <d v="2025-12-15T00:00:00"/>
    <x v="5"/>
    <s v="HSERV  COMBINADOS "/>
    <x v="488"/>
    <n v="-2281.6999999999998"/>
    <x v="0"/>
    <s v="SALARIOS"/>
  </r>
  <r>
    <d v="2025-12-15T00:00:00"/>
    <x v="5"/>
    <s v="HSERV CABREUVA"/>
    <x v="66"/>
    <n v="-6500"/>
    <x v="0"/>
    <s v="COMBUSTIVEL E PEDAGIO"/>
  </r>
  <r>
    <d v="2025-12-15T00:00:00"/>
    <x v="5"/>
    <s v="VITOR DUARTE"/>
    <x v="412"/>
    <n v="-12000"/>
    <x v="0"/>
    <s v="CARTÃO DE CREDITO"/>
  </r>
  <r>
    <d v="2025-12-15T00:00:00"/>
    <x v="5"/>
    <s v="HENRIQUE JEAN"/>
    <x v="413"/>
    <n v="-2302.0500000000002"/>
    <x v="0"/>
    <s v="CARTÃO DE CREDITO"/>
  </r>
  <r>
    <d v="2025-12-15T00:00:00"/>
    <x v="5"/>
    <s v="HSERV COMBINADOS"/>
    <x v="413"/>
    <n v="-1248.99"/>
    <x v="0"/>
    <s v="CARTÃO DE CREDITO"/>
  </r>
  <r>
    <d v="2025-12-12T00:00:00"/>
    <x v="5"/>
    <s v="HSERV CABREUVA"/>
    <x v="72"/>
    <n v="-2012.45"/>
    <x v="0"/>
    <s v="EMPRESTIMO "/>
  </r>
  <r>
    <d v="2025-12-15T00:00:00"/>
    <x v="5"/>
    <s v="HSERV CABREUVA"/>
    <x v="73"/>
    <n v="-171.1"/>
    <x v="0"/>
    <s v="TARIFA BANCARIA"/>
  </r>
  <r>
    <d v="2025-12-15T00:00:00"/>
    <x v="5"/>
    <s v="HSERV CLEAN"/>
    <x v="73"/>
    <n v="-171.1"/>
    <x v="0"/>
    <s v="TARIFA BANCARIA"/>
  </r>
  <r>
    <d v="2025-12-15T00:00:00"/>
    <x v="5"/>
    <s v="HSERV COMBINADOS "/>
    <x v="73"/>
    <n v="-171.1"/>
    <x v="0"/>
    <s v="TARIFA BANCARIA"/>
  </r>
  <r>
    <d v="2025-12-15T00:00:00"/>
    <x v="5"/>
    <s v="HSERV COMBINADOS  ND "/>
    <x v="73"/>
    <n v="-171.1"/>
    <x v="0"/>
    <s v="TARIFA BANCARIA"/>
  </r>
  <r>
    <d v="2025-12-15T00:00:00"/>
    <x v="5"/>
    <s v="HENRIQUE JEAN"/>
    <x v="73"/>
    <n v="-171.1"/>
    <x v="0"/>
    <s v="TARIFA BANCARIA"/>
  </r>
  <r>
    <d v="2025-12-15T00:00:00"/>
    <x v="5"/>
    <s v="HENRIQUE JEAN ND"/>
    <x v="73"/>
    <n v="-171.1"/>
    <x v="0"/>
    <s v="TARIFA BANCARIA"/>
  </r>
  <r>
    <d v="2025-12-15T00:00:00"/>
    <x v="5"/>
    <s v="VITOR DUARTE"/>
    <x v="73"/>
    <n v="-171.1"/>
    <x v="0"/>
    <s v="TARIFA BANCARIA"/>
  </r>
  <r>
    <d v="2025-12-15T00:00:00"/>
    <x v="5"/>
    <s v="VITOR DUARTE ND"/>
    <x v="73"/>
    <n v="-171.1"/>
    <x v="0"/>
    <s v="TARIFA BANCARIA"/>
  </r>
  <r>
    <d v="2025-12-15T00:00:00"/>
    <x v="5"/>
    <s v="HSERV TERCERIZADOS"/>
    <x v="73"/>
    <n v="-171.1"/>
    <x v="0"/>
    <s v="TARIFA BANCARIA"/>
  </r>
  <r>
    <d v="2025-12-15T00:00:00"/>
    <x v="5"/>
    <s v="HSERV TERCERIZADOS ND"/>
    <x v="73"/>
    <n v="-171.1"/>
    <x v="0"/>
    <s v="TARIFA BANCARIA"/>
  </r>
  <r>
    <d v="2025-12-15T00:00:00"/>
    <x v="5"/>
    <s v="HSERV LIMPEZA"/>
    <x v="73"/>
    <n v="-171.1"/>
    <x v="0"/>
    <s v="TARIFA BANCARIA"/>
  </r>
  <r>
    <d v="2025-12-15T00:00:00"/>
    <x v="5"/>
    <s v="HSERV LIMPEZA ND"/>
    <x v="73"/>
    <n v="-171.1"/>
    <x v="0"/>
    <s v="TARIFA BANCARIA"/>
  </r>
  <r>
    <d v="2025-12-15T00:00:00"/>
    <x v="5"/>
    <s v="HSERV TECNOLOGIA"/>
    <x v="73"/>
    <n v="-171.1"/>
    <x v="0"/>
    <s v="TARIFA BANCARIA"/>
  </r>
  <r>
    <d v="2025-12-15T00:00:00"/>
    <x v="5"/>
    <s v="HSERV REPRESENTAÇÃO"/>
    <x v="73"/>
    <n v="-171.1"/>
    <x v="0"/>
    <s v="TARIFA BANCARIA"/>
  </r>
  <r>
    <d v="2025-12-15T00:00:00"/>
    <x v="5"/>
    <s v="HENRIQUE JEAN ND"/>
    <x v="74"/>
    <n v="-877.96"/>
    <x v="0"/>
    <s v="RESERVA"/>
  </r>
  <r>
    <d v="2025-12-15T00:00:00"/>
    <x v="5"/>
    <s v="HSERV CABREUVA"/>
    <x v="515"/>
    <n v="-8000"/>
    <x v="0"/>
    <s v="VALE COMBUSTIVEL"/>
  </r>
  <r>
    <d v="2025-12-17T00:00:00"/>
    <x v="5"/>
    <s v="HSERV CABREUVA"/>
    <x v="78"/>
    <n v="-141.69999999999999"/>
    <x v="0"/>
    <s v="AGUA"/>
  </r>
  <r>
    <d v="2025-12-17T00:00:00"/>
    <x v="5"/>
    <s v="HSERV CABREUVA"/>
    <x v="79"/>
    <n v="-141.69999999999999"/>
    <x v="0"/>
    <s v="AGUA"/>
  </r>
  <r>
    <d v="2025-12-17T00:00:00"/>
    <x v="5"/>
    <s v="HSERV CABREUVA"/>
    <x v="80"/>
    <n v="-141.69999999999999"/>
    <x v="0"/>
    <s v="AGUA"/>
  </r>
  <r>
    <d v="2025-12-17T00:00:00"/>
    <x v="5"/>
    <s v="HSERV CABREUVA"/>
    <x v="81"/>
    <n v="-139.25"/>
    <x v="0"/>
    <s v="AGUA"/>
  </r>
  <r>
    <d v="2025-12-15T00:00:00"/>
    <x v="5"/>
    <s v="HSERV TECNOLOGIA"/>
    <x v="82"/>
    <n v="-244.5"/>
    <x v="0"/>
    <s v="SISTEMA"/>
  </r>
  <r>
    <d v="2025-12-15T00:00:00"/>
    <x v="5"/>
    <s v="HSERV REPRESENTACOES"/>
    <x v="82"/>
    <n v="-300"/>
    <x v="0"/>
    <s v="SISTEMA"/>
  </r>
  <r>
    <d v="2025-12-15T00:00:00"/>
    <x v="5"/>
    <s v="HSERV CABREUVA "/>
    <x v="82"/>
    <n v="-300"/>
    <x v="0"/>
    <s v="SISTEMA"/>
  </r>
  <r>
    <d v="2025-12-15T00:00:00"/>
    <x v="5"/>
    <s v="HSERV  COMBINADOS"/>
    <x v="82"/>
    <n v="-300"/>
    <x v="0"/>
    <s v="SISTEMA"/>
  </r>
  <r>
    <d v="2025-12-15T00:00:00"/>
    <x v="5"/>
    <s v="HENRIQUE JEAN DUARTE "/>
    <x v="82"/>
    <n v="-275"/>
    <x v="0"/>
    <s v="SISTEMA"/>
  </r>
  <r>
    <d v="2025-12-15T00:00:00"/>
    <x v="5"/>
    <s v="HSERV TERCEIRIZADOS"/>
    <x v="82"/>
    <n v="-300"/>
    <x v="0"/>
    <s v="SISTEMA"/>
  </r>
  <r>
    <d v="2025-12-15T00:00:00"/>
    <x v="5"/>
    <s v="HSERV  LIMPEZA "/>
    <x v="82"/>
    <n v="-300"/>
    <x v="0"/>
    <s v="SISTEMA"/>
  </r>
  <r>
    <d v="2025-12-15T00:00:00"/>
    <x v="5"/>
    <s v="VITOR  DUARTE "/>
    <x v="82"/>
    <n v="-350"/>
    <x v="0"/>
    <s v="SISTEMA"/>
  </r>
  <r>
    <d v="2025-12-15T00:00:00"/>
    <x v="5"/>
    <s v="HSER CLEAN"/>
    <x v="82"/>
    <n v="-373.51"/>
    <x v="0"/>
    <s v="SISTEMA"/>
  </r>
  <r>
    <d v="2025-12-16T00:00:00"/>
    <x v="5"/>
    <s v="HENRIQUE JEAN"/>
    <x v="254"/>
    <n v="-3022.31"/>
    <x v="0"/>
    <s v="CESTA BASICA"/>
  </r>
  <r>
    <d v="2025-12-16T00:00:00"/>
    <x v="5"/>
    <s v="HSERV CABREUVA"/>
    <x v="254"/>
    <n v="-3952.25"/>
    <x v="0"/>
    <s v="CESTA BASICA"/>
  </r>
  <r>
    <d v="2025-12-16T00:00:00"/>
    <x v="5"/>
    <s v="HSERV CLEAN"/>
    <x v="254"/>
    <n v="-3409.78"/>
    <x v="0"/>
    <s v="CESTA BASICA"/>
  </r>
  <r>
    <d v="2025-12-16T00:00:00"/>
    <x v="5"/>
    <s v="HSERV CLEAN"/>
    <x v="254"/>
    <n v="-852.45"/>
    <x v="0"/>
    <s v="CESTA BASICA"/>
  </r>
  <r>
    <d v="2025-12-16T00:00:00"/>
    <x v="5"/>
    <s v="HSERV COMBINADOS"/>
    <x v="254"/>
    <n v="-2944.81"/>
    <x v="0"/>
    <s v="CESTA BASICA"/>
  </r>
  <r>
    <d v="2025-12-16T00:00:00"/>
    <x v="5"/>
    <s v="HSERV LIMPEZA"/>
    <x v="254"/>
    <n v="-852.45"/>
    <x v="0"/>
    <s v="CESTA BASICA"/>
  </r>
  <r>
    <d v="2025-12-16T00:00:00"/>
    <x v="5"/>
    <s v="HSERV REPRESENTACOES"/>
    <x v="254"/>
    <n v="-929.94"/>
    <x v="0"/>
    <s v="CESTA BASICA"/>
  </r>
  <r>
    <d v="2025-12-16T00:00:00"/>
    <x v="5"/>
    <s v="HSERV TECNOLOGIA"/>
    <x v="254"/>
    <n v="-232.49"/>
    <x v="0"/>
    <s v="CESTA BASICA"/>
  </r>
  <r>
    <d v="2025-12-16T00:00:00"/>
    <x v="5"/>
    <s v="HSERV TERCEIRIZADOS"/>
    <x v="254"/>
    <n v="-464.97"/>
    <x v="0"/>
    <s v="CESTA BASICA"/>
  </r>
  <r>
    <d v="2025-12-16T00:00:00"/>
    <x v="5"/>
    <s v="VITOR DUARTE"/>
    <x v="254"/>
    <n v="-542.47"/>
    <x v="0"/>
    <s v="CESTA BASICA"/>
  </r>
  <r>
    <d v="2025-12-17T00:00:00"/>
    <x v="5"/>
    <s v="VITOR DUARTE"/>
    <x v="513"/>
    <n v="-3760"/>
    <x v="0"/>
    <s v="ALUGUEL DE VEICULOS"/>
  </r>
  <r>
    <d v="2025-12-17T00:00:00"/>
    <x v="5"/>
    <s v="VITOR DUARTE"/>
    <x v="513"/>
    <n v="-5800"/>
    <x v="0"/>
    <s v="ALUGUEL DE VEICULOS"/>
  </r>
  <r>
    <d v="2025-12-17T00:00:00"/>
    <x v="5"/>
    <s v="HSERV COMBINADOS "/>
    <x v="513"/>
    <n v="-5460"/>
    <x v="0"/>
    <s v="ALUGUEL DE VEICULOS"/>
  </r>
  <r>
    <d v="2025-12-19T00:00:00"/>
    <x v="5"/>
    <s v="VITOR DUARTE"/>
    <x v="4"/>
    <n v="-16200"/>
    <x v="0"/>
    <s v="VALE ALIMENTAÇÃO"/>
  </r>
  <r>
    <d v="2025-12-17T00:00:00"/>
    <x v="5"/>
    <s v="HSERV CABREUVA"/>
    <x v="417"/>
    <n v="-4500"/>
    <x v="0"/>
    <s v="EXAMES MEDICOS"/>
  </r>
  <r>
    <d v="2025-12-26T00:00:00"/>
    <x v="5"/>
    <s v="HSERV CABREUVA"/>
    <x v="88"/>
    <n v="-35714.57"/>
    <x v="0"/>
    <s v="EMPRESTIMO "/>
  </r>
  <r>
    <d v="2025-12-17T00:00:00"/>
    <x v="5"/>
    <s v="HSERV CABREUVA"/>
    <x v="420"/>
    <n v="-30"/>
    <x v="0"/>
    <s v="SINDICATO"/>
  </r>
  <r>
    <d v="2025-12-17T00:00:00"/>
    <x v="5"/>
    <s v="HSERV CABREUVA"/>
    <x v="89"/>
    <n v="-10000"/>
    <x v="0"/>
    <s v="SINDICATO"/>
  </r>
  <r>
    <d v="2025-12-17T00:00:00"/>
    <x v="5"/>
    <s v="HSERV CABREUVA"/>
    <x v="421"/>
    <n v="-4500"/>
    <x v="0"/>
    <s v="SINDICATO"/>
  </r>
  <r>
    <d v="2025-12-17T00:00:00"/>
    <x v="5"/>
    <s v="VITOR DUARTE"/>
    <x v="91"/>
    <n v="-5300"/>
    <x v="0"/>
    <s v="ALUGUEL DE IMOVEIS"/>
  </r>
  <r>
    <d v="2025-12-18T00:00:00"/>
    <x v="5"/>
    <s v="HSERV COMBINADOS "/>
    <x v="490"/>
    <n v="-5996.67"/>
    <x v="0"/>
    <s v="EMPRESTIMO "/>
  </r>
  <r>
    <d v="2025-12-22T00:00:00"/>
    <x v="5"/>
    <s v="HSERV CABREUVA"/>
    <x v="423"/>
    <n v="-16000"/>
    <x v="0"/>
    <s v="CONTABILIDADE"/>
  </r>
  <r>
    <d v="2025-12-22T00:00:00"/>
    <x v="5"/>
    <s v="HSERV CABREUVA"/>
    <x v="95"/>
    <n v="-600"/>
    <x v="0"/>
    <s v="VALE ALIMENTAÇÃO"/>
  </r>
  <r>
    <d v="2025-12-22T00:00:00"/>
    <x v="5"/>
    <s v="HSERV CABREUVA"/>
    <x v="96"/>
    <n v="-1100"/>
    <x v="0"/>
    <s v="SISTEMA"/>
  </r>
  <r>
    <d v="2025-12-22T00:00:00"/>
    <x v="5"/>
    <s v="HSERV CABREUVA"/>
    <x v="97"/>
    <n v="-39.799999999999997"/>
    <x v="0"/>
    <s v="SISTEMA"/>
  </r>
  <r>
    <d v="2025-12-19T00:00:00"/>
    <x v="5"/>
    <s v="HSERV CABREUVA"/>
    <x v="98"/>
    <n v="-15000"/>
    <x v="0"/>
    <s v="IMPOSTO"/>
  </r>
  <r>
    <d v="2025-12-19T00:00:00"/>
    <x v="5"/>
    <s v="VITOR DUARTE"/>
    <x v="99"/>
    <n v="-15000"/>
    <x v="0"/>
    <s v="IMPOSTO"/>
  </r>
  <r>
    <d v="2025-12-19T00:00:00"/>
    <x v="5"/>
    <s v="VITOR DUARTE"/>
    <x v="100"/>
    <n v="-3000"/>
    <x v="0"/>
    <s v="IMPOSTO"/>
  </r>
  <r>
    <d v="2025-12-19T00:00:00"/>
    <x v="5"/>
    <s v="HSERV CABREUVA"/>
    <x v="424"/>
    <n v="-55000"/>
    <x v="0"/>
    <s v="IMPOSTO"/>
  </r>
  <r>
    <d v="2025-12-19T00:00:00"/>
    <x v="5"/>
    <s v="HSERV CABREUVA"/>
    <x v="425"/>
    <n v="-50000"/>
    <x v="0"/>
    <s v="IMPOSTO"/>
  </r>
  <r>
    <d v="2025-12-22T00:00:00"/>
    <x v="5"/>
    <s v="HSERV CABREUVA"/>
    <x v="426"/>
    <n v="-110000"/>
    <x v="0"/>
    <s v="FT"/>
  </r>
  <r>
    <d v="2025-12-19T00:00:00"/>
    <x v="5"/>
    <s v="HSERV CABREUVA"/>
    <x v="119"/>
    <n v="-41000"/>
    <x v="0"/>
    <s v="VALE TRANSPORTE"/>
  </r>
  <r>
    <d v="2025-12-22T00:00:00"/>
    <x v="5"/>
    <s v="HENRIQUE JEAN"/>
    <x v="254"/>
    <n v="-2324.85"/>
    <x v="0"/>
    <s v="CESTA BASICA"/>
  </r>
  <r>
    <d v="2025-12-22T00:00:00"/>
    <x v="5"/>
    <s v="HSERV CABREUVA"/>
    <x v="254"/>
    <n v="-2944.81"/>
    <x v="0"/>
    <s v="CESTA BASICA"/>
  </r>
  <r>
    <d v="2025-12-22T00:00:00"/>
    <x v="5"/>
    <s v="HSERV CLEAN"/>
    <x v="254"/>
    <n v="-2867.32"/>
    <x v="0"/>
    <s v="CESTA BASICA"/>
  </r>
  <r>
    <d v="2025-12-22T00:00:00"/>
    <x v="5"/>
    <s v="HSERV CLEAN"/>
    <x v="254"/>
    <n v="-852.45"/>
    <x v="0"/>
    <s v="CESTA BASICA"/>
  </r>
  <r>
    <d v="2025-12-22T00:00:00"/>
    <x v="5"/>
    <s v="HSERV COMBINADOS"/>
    <x v="254"/>
    <n v="-2789.82"/>
    <x v="0"/>
    <s v="CESTA BASICA"/>
  </r>
  <r>
    <d v="2025-12-22T00:00:00"/>
    <x v="5"/>
    <s v="HSERV LIMPEZA"/>
    <x v="254"/>
    <n v="-852.45"/>
    <x v="0"/>
    <s v="CESTA BASICA"/>
  </r>
  <r>
    <d v="2025-12-22T00:00:00"/>
    <x v="5"/>
    <s v="HSERV REPRESENTACOES"/>
    <x v="254"/>
    <n v="-619.96"/>
    <x v="0"/>
    <s v="CESTA BASICA"/>
  </r>
  <r>
    <d v="2025-12-22T00:00:00"/>
    <x v="5"/>
    <s v="HSERV TECNOLOGIA"/>
    <x v="254"/>
    <n v="-154.99"/>
    <x v="0"/>
    <s v="CESTA BASICA"/>
  </r>
  <r>
    <d v="2025-12-22T00:00:00"/>
    <x v="5"/>
    <s v="HSERV TERCEIRIZADOS"/>
    <x v="254"/>
    <n v="-852.45"/>
    <x v="0"/>
    <s v="CESTA BASICA"/>
  </r>
  <r>
    <d v="2025-12-22T00:00:00"/>
    <x v="5"/>
    <s v="VITOR DUARTE"/>
    <x v="254"/>
    <n v="-77.5"/>
    <x v="0"/>
    <s v="CESTA BASICA"/>
  </r>
  <r>
    <d v="2025-12-22T00:00:00"/>
    <x v="5"/>
    <s v="HSERV CABREUVA"/>
    <x v="389"/>
    <n v="-8000"/>
    <x v="0"/>
    <s v="FT"/>
  </r>
  <r>
    <d v="2025-12-22T00:00:00"/>
    <x v="5"/>
    <s v="HSERV COMBINADOS"/>
    <x v="427"/>
    <n v="-2756.99"/>
    <x v="0"/>
    <s v="APORTE"/>
  </r>
  <r>
    <d v="2025-12-22T00:00:00"/>
    <x v="5"/>
    <s v="VITOR DUARTE"/>
    <x v="432"/>
    <n v="-1700"/>
    <x v="0"/>
    <s v="TELEFONE"/>
  </r>
  <r>
    <d v="2025-12-19T00:00:00"/>
    <x v="5"/>
    <s v="HENRIQUE JEAN ND"/>
    <x v="132"/>
    <n v="-8937.32"/>
    <x v="0"/>
    <s v="RESERVA"/>
  </r>
  <r>
    <d v="2025-12-26T00:00:00"/>
    <x v="5"/>
    <s v="VITOR DUARTE"/>
    <x v="4"/>
    <n v="-16200"/>
    <x v="0"/>
    <s v="VALE ALIMENTAÇÃO"/>
  </r>
  <r>
    <d v="2025-12-26T00:00:00"/>
    <x v="5"/>
    <s v="HSERV CABREUVA"/>
    <x v="34"/>
    <n v="-9000"/>
    <x v="0"/>
    <s v="COMBUSTIVEL E PEDAGIO"/>
  </r>
  <r>
    <d v="2025-12-26T00:00:00"/>
    <x v="5"/>
    <s v="VITOR DUARTE"/>
    <x v="135"/>
    <n v="-500"/>
    <x v="0"/>
    <s v="SISTEMA"/>
  </r>
  <r>
    <d v="2025-12-26T00:00:00"/>
    <x v="5"/>
    <s v="HSERV CABREUVA"/>
    <x v="435"/>
    <n v="-294.8"/>
    <x v="0"/>
    <s v="INTERNET"/>
  </r>
  <r>
    <d v="2025-12-26T00:00:00"/>
    <x v="5"/>
    <s v="HSERV COMBINADOS"/>
    <x v="436"/>
    <n v="-1812.64"/>
    <x v="0"/>
    <s v="APORTE"/>
  </r>
  <r>
    <d v="2025-12-19T00:00:00"/>
    <x v="5"/>
    <s v="HSERV CABREUVA"/>
    <x v="523"/>
    <n v="-260000"/>
    <x v="0"/>
    <s v="DECIMO TERCEIRO SALARIO"/>
  </r>
  <r>
    <d v="2025-12-19T00:00:00"/>
    <x v="5"/>
    <s v="VITOR DUARTE"/>
    <x v="141"/>
    <n v="-9980"/>
    <x v="0"/>
    <s v="PROLABORE"/>
  </r>
  <r>
    <d v="2025-12-29T00:00:00"/>
    <x v="5"/>
    <s v="HSERV COMBINADOS "/>
    <x v="437"/>
    <n v="-500"/>
    <x v="0"/>
    <s v="SISTEMA"/>
  </r>
  <r>
    <d v="2025-12-30T00:00:00"/>
    <x v="5"/>
    <s v="HENRIQUE JEAN ND"/>
    <x v="74"/>
    <n v="-5000"/>
    <x v="0"/>
    <s v="RESERVA"/>
  </r>
  <r>
    <d v="2025-12-30T00:00:00"/>
    <x v="5"/>
    <s v="VITOR DUARTE"/>
    <x v="143"/>
    <n v="-2530.4299999999998"/>
    <x v="0"/>
    <s v="SISTEMA"/>
  </r>
  <r>
    <d v="2025-12-30T00:00:00"/>
    <x v="5"/>
    <s v="VITOR DUARTE"/>
    <x v="143"/>
    <n v="-1339.5"/>
    <x v="0"/>
    <s v="SISTEMA"/>
  </r>
  <r>
    <d v="2025-12-05T00:00:00"/>
    <x v="5"/>
    <s v=" HSERV CABREUVA"/>
    <x v="438"/>
    <n v="-5000"/>
    <x v="0"/>
    <s v="VALE TRANSPORTE"/>
  </r>
  <r>
    <d v="2025-12-30T00:00:00"/>
    <x v="5"/>
    <s v=" HSERV CABREUVA"/>
    <x v="144"/>
    <n v="-15000"/>
    <x v="0"/>
    <s v="VALE TRANSPORTE"/>
  </r>
  <r>
    <d v="2025-12-26T00:00:00"/>
    <x v="5"/>
    <s v="VITOR DUARTE"/>
    <x v="141"/>
    <n v="-9980"/>
    <x v="0"/>
    <s v="PROLABORE"/>
  </r>
  <r>
    <d v="2025-12-30T00:00:00"/>
    <x v="5"/>
    <s v="VITOR DUARTE"/>
    <x v="141"/>
    <n v="-23498.18"/>
    <x v="0"/>
    <s v="PROLABORE"/>
  </r>
  <r>
    <d v="2025-12-30T00:00:00"/>
    <x v="5"/>
    <s v="HSERV CABREUVA"/>
    <x v="154"/>
    <n v="-35000"/>
    <x v="0"/>
    <s v="IMPOSTO"/>
  </r>
  <r>
    <d v="2025-12-30T00:00:00"/>
    <x v="5"/>
    <s v="HSERV CABREUVA"/>
    <x v="439"/>
    <n v="-7000"/>
    <x v="0"/>
    <s v="VALE COMBUSTIVEL"/>
  </r>
  <r>
    <d v="2025-12-30T00:00:00"/>
    <x v="5"/>
    <s v="VITOR DUARTE"/>
    <x v="156"/>
    <n v="-1500"/>
    <x v="0"/>
    <s v="TI"/>
  </r>
  <r>
    <d v="2025-12-30T00:00:00"/>
    <x v="5"/>
    <s v="VITOR DUARTE"/>
    <x v="157"/>
    <n v="-50"/>
    <x v="0"/>
    <s v="TI"/>
  </r>
  <r>
    <d v="2025-12-30T00:00:00"/>
    <x v="5"/>
    <s v="HSERV COMBINADOS "/>
    <x v="158"/>
    <n v="-800"/>
    <x v="0"/>
    <s v="REEMBOLSO"/>
  </r>
  <r>
    <d v="2025-12-30T00:00:00"/>
    <x v="5"/>
    <s v="VITOR DUARTE"/>
    <x v="163"/>
    <n v="-7000"/>
    <x v="0"/>
    <s v="IMPOSTO"/>
  </r>
  <r>
    <d v="2025-12-30T00:00:00"/>
    <x v="5"/>
    <s v="HSERV CLEAN"/>
    <x v="164"/>
    <n v="-600"/>
    <x v="0"/>
    <s v="IMPOSTO"/>
  </r>
  <r>
    <d v="2025-12-30T00:00:00"/>
    <x v="5"/>
    <s v="HSERV CLEAN"/>
    <x v="165"/>
    <n v="-4000"/>
    <x v="0"/>
    <s v="IMPOSTO"/>
  </r>
  <r>
    <d v="2025-12-30T00:00:00"/>
    <x v="5"/>
    <s v=" HSERV CABREUVA"/>
    <x v="166"/>
    <n v="-9000"/>
    <x v="0"/>
    <s v="IMPOSTO"/>
  </r>
  <r>
    <d v="2025-12-30T00:00:00"/>
    <x v="5"/>
    <s v="HSERV CLEAN"/>
    <x v="167"/>
    <n v="-1719.53"/>
    <x v="0"/>
    <s v="CARTÃO DE CREDITO"/>
  </r>
  <r>
    <d v="2025-12-30T00:00:00"/>
    <x v="5"/>
    <s v="HSERV CABREUVA"/>
    <x v="167"/>
    <n v="-1392.65"/>
    <x v="0"/>
    <s v="CARTÃO DE CREDITO"/>
  </r>
  <r>
    <d v="2025-12-02T00:00:00"/>
    <x v="5"/>
    <s v="TECNOLOGIA"/>
    <x v="168"/>
    <n v="23638.67"/>
    <x v="1"/>
    <s v="VENDAS DE SERVIÇOS"/>
  </r>
  <r>
    <d v="2025-12-02T00:00:00"/>
    <x v="5"/>
    <s v="LIMPEZA"/>
    <x v="169"/>
    <n v="799.2"/>
    <x v="1"/>
    <s v="VENDAS DE SERVIÇOS"/>
  </r>
  <r>
    <d v="2025-12-02T00:00:00"/>
    <x v="5"/>
    <s v="LIMPEZA"/>
    <x v="169"/>
    <n v="18532.8"/>
    <x v="1"/>
    <s v="VENDAS DE SERVIÇOS"/>
  </r>
  <r>
    <d v="2025-12-02T00:00:00"/>
    <x v="5"/>
    <s v="COMBINADOS"/>
    <x v="170"/>
    <n v="22451.91"/>
    <x v="1"/>
    <s v="VENDAS DE SERVIÇOS"/>
  </r>
  <r>
    <d v="2025-12-02T00:00:00"/>
    <x v="5"/>
    <s v="REPRESENTAÇÃO"/>
    <x v="171"/>
    <n v="14482.07"/>
    <x v="1"/>
    <s v="VENDAS DE SERVIÇOS"/>
  </r>
  <r>
    <d v="2025-12-02T00:00:00"/>
    <x v="5"/>
    <s v="REPRESENTAÇÃO"/>
    <x v="171"/>
    <n v="23943.3"/>
    <x v="1"/>
    <s v="VENDAS DE SERVIÇOS"/>
  </r>
  <r>
    <d v="2025-12-02T00:00:00"/>
    <x v="5"/>
    <s v="REPRESENTAÇÃO"/>
    <x v="171"/>
    <n v="21852.37"/>
    <x v="1"/>
    <s v="VENDAS DE SERVIÇOS"/>
  </r>
  <r>
    <d v="2025-12-02T00:00:00"/>
    <x v="5"/>
    <s v="REPRESENTAÇÃO"/>
    <x v="171"/>
    <n v="4683.53"/>
    <x v="1"/>
    <s v="VENDAS DE SERVIÇOS"/>
  </r>
  <r>
    <d v="2025-12-02T00:00:00"/>
    <x v="5"/>
    <s v="REPRESENTAÇÃO"/>
    <x v="171"/>
    <n v="196"/>
    <x v="1"/>
    <s v="VENDAS DE SERVIÇOS"/>
  </r>
  <r>
    <d v="2025-12-10T00:00:00"/>
    <x v="5"/>
    <s v="HSERV COMBINADOS "/>
    <x v="442"/>
    <n v="-50000"/>
    <x v="0"/>
    <s v="FT"/>
  </r>
  <r>
    <d v="2025-12-10T00:00:00"/>
    <x v="5"/>
    <s v="CABREUVA"/>
    <x v="175"/>
    <n v="33748"/>
    <x v="1"/>
    <s v="VENDAS DE SERVIÇOS"/>
  </r>
  <r>
    <d v="2025-12-10T00:00:00"/>
    <x v="5"/>
    <s v="CABREUVA"/>
    <x v="175"/>
    <n v="8041"/>
    <x v="1"/>
    <s v="VENDAS DE SERVIÇOS"/>
  </r>
  <r>
    <d v="2025-12-11T00:00:00"/>
    <x v="5"/>
    <s v="CABREUVA"/>
    <x v="176"/>
    <n v="4880.1400000000003"/>
    <x v="1"/>
    <s v="VENDAS DE SERVIÇOS"/>
  </r>
  <r>
    <d v="2025-12-11T00:00:00"/>
    <x v="5"/>
    <s v="REPRESENTAÇÃO"/>
    <x v="177"/>
    <n v="603.26"/>
    <x v="1"/>
    <s v="VENDAS DE SERVIÇOS"/>
  </r>
  <r>
    <d v="2025-12-11T00:00:00"/>
    <x v="5"/>
    <s v="REPRESENTAÇÃO"/>
    <x v="177"/>
    <n v="1106.1400000000001"/>
    <x v="1"/>
    <s v="VENDAS DE SERVIÇOS"/>
  </r>
  <r>
    <d v="2025-12-11T00:00:00"/>
    <x v="5"/>
    <s v="REPRESENTAÇÃO"/>
    <x v="177"/>
    <n v="9631"/>
    <x v="1"/>
    <s v="VENDAS DE SERVIÇOS"/>
  </r>
  <r>
    <d v="2025-12-11T00:00:00"/>
    <x v="5"/>
    <s v="VITOR"/>
    <x v="178"/>
    <n v="257.81"/>
    <x v="1"/>
    <s v="VENDAS DE SERVIÇOS"/>
  </r>
  <r>
    <d v="2025-12-11T00:00:00"/>
    <x v="5"/>
    <s v="VITOR"/>
    <x v="179"/>
    <n v="680.03"/>
    <x v="1"/>
    <s v="VENDAS DE SERVIÇOS"/>
  </r>
  <r>
    <d v="2025-11-21T00:00:00"/>
    <x v="4"/>
    <s v="CLEAN"/>
    <x v="183"/>
    <n v="12459.61"/>
    <x v="1"/>
    <s v="VENDAS DE SERVIÇOS"/>
  </r>
  <r>
    <d v="2025-12-11T00:00:00"/>
    <x v="5"/>
    <s v="CLEAN"/>
    <x v="183"/>
    <n v="24988.71"/>
    <x v="1"/>
    <s v="VENDAS DE SERVIÇOS"/>
  </r>
  <r>
    <d v="2025-12-11T00:00:00"/>
    <x v="5"/>
    <s v="CLEAN"/>
    <x v="183"/>
    <n v="12459.61"/>
    <x v="1"/>
    <s v="VENDAS DE SERVIÇOS"/>
  </r>
  <r>
    <d v="2025-12-11T00:00:00"/>
    <x v="5"/>
    <s v="CLEAN"/>
    <x v="183"/>
    <n v="16834.330000000002"/>
    <x v="1"/>
    <s v="VENDAS DE SERVIÇOS"/>
  </r>
  <r>
    <d v="2025-12-11T00:00:00"/>
    <x v="5"/>
    <s v="CLEAN"/>
    <x v="183"/>
    <n v="268.13"/>
    <x v="1"/>
    <s v="VENDAS DE SERVIÇOS"/>
  </r>
  <r>
    <d v="2025-12-23T00:00:00"/>
    <x v="5"/>
    <s v="CLEAN"/>
    <x v="183"/>
    <n v="2284.4499999999998"/>
    <x v="1"/>
    <s v="VENDAS DE SERVIÇOS"/>
  </r>
  <r>
    <d v="2025-12-11T00:00:00"/>
    <x v="5"/>
    <s v="LIMPEZA"/>
    <x v="181"/>
    <n v="7850"/>
    <x v="1"/>
    <s v="VENDAS DE SERVIÇOS"/>
  </r>
  <r>
    <d v="2025-12-04T00:00:00"/>
    <x v="5"/>
    <s v="VITOR DUARTE"/>
    <x v="444"/>
    <n v="345280"/>
    <x v="1"/>
    <s v="VENDAS DE SERVIÇOS"/>
  </r>
  <r>
    <d v="2025-12-16T00:00:00"/>
    <x v="5"/>
    <s v="TERCEIRIZADOS"/>
    <x v="185"/>
    <n v="17956.39"/>
    <x v="1"/>
    <s v="VENDAS DE SERVIÇOS"/>
  </r>
  <r>
    <d v="2025-12-18T00:00:00"/>
    <x v="5"/>
    <s v="LIMPEZA"/>
    <x v="186"/>
    <n v="4717.4399999999996"/>
    <x v="1"/>
    <s v="VENDAS DE SERVIÇOS"/>
  </r>
  <r>
    <d v="2025-12-18T00:00:00"/>
    <x v="5"/>
    <s v="LIMPEZA"/>
    <x v="186"/>
    <n v="9938.39"/>
    <x v="1"/>
    <s v="VENDAS DE SERVIÇOS"/>
  </r>
  <r>
    <d v="2025-12-18T00:00:00"/>
    <x v="5"/>
    <s v="LIMPEZA"/>
    <x v="186"/>
    <n v="22139.98"/>
    <x v="1"/>
    <s v="VENDAS DE SERVIÇOS"/>
  </r>
  <r>
    <d v="2025-12-29T00:00:00"/>
    <x v="5"/>
    <s v="CLEAN"/>
    <x v="187"/>
    <n v="2373.8200000000002"/>
    <x v="1"/>
    <s v="VENDAS DE SERVIÇOS"/>
  </r>
  <r>
    <d v="2025-12-29T00:00:00"/>
    <x v="5"/>
    <s v="CLEAN"/>
    <x v="187"/>
    <n v="5823.82"/>
    <x v="1"/>
    <s v="VENDAS DE SERVIÇOS"/>
  </r>
  <r>
    <d v="2025-12-29T00:00:00"/>
    <x v="5"/>
    <s v="CLEAN"/>
    <x v="187"/>
    <n v="7526.95"/>
    <x v="1"/>
    <s v="VENDAS DE SERVIÇOS"/>
  </r>
  <r>
    <d v="2025-12-29T00:00:00"/>
    <x v="5"/>
    <s v="CLEAN"/>
    <x v="187"/>
    <n v="25756.63"/>
    <x v="1"/>
    <s v="VENDAS DE SERVIÇOS"/>
  </r>
  <r>
    <d v="2025-12-30T00:00:00"/>
    <x v="5"/>
    <s v="CABREUVA"/>
    <x v="446"/>
    <n v="816717.89"/>
    <x v="1"/>
    <s v="VENDAS DE SERVIÇO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1">
  <r>
    <x v="0"/>
    <s v="JULHO"/>
    <s v="HSERV CABREUVA"/>
    <s v="ELEKTRO SALA 16 07/2025- UNIDADE 42926742"/>
    <n v="-252.95"/>
    <x v="0"/>
    <x v="0"/>
  </r>
  <r>
    <x v="0"/>
    <s v="JULHO"/>
    <s v="HSERV CABREUVA"/>
    <s v="ELEKTRO SALA 17- 07/2025-UNIDADE 42926823"/>
    <n v="-259.85000000000002"/>
    <x v="0"/>
    <x v="0"/>
  </r>
  <r>
    <x v="0"/>
    <s v="JULHO"/>
    <s v="HSERV CABREUVA"/>
    <s v="ELEKTRO SALA 18 07/2025- UNIDADE 9584765"/>
    <n v="-83.43"/>
    <x v="0"/>
    <x v="0"/>
  </r>
  <r>
    <x v="0"/>
    <s v="JULHO"/>
    <s v="HSERV CABREUVA"/>
    <s v="ELEKTRO SALA 18 07/2025- UNIDADE 9584765"/>
    <n v="-168.11"/>
    <x v="0"/>
    <x v="0"/>
  </r>
  <r>
    <x v="1"/>
    <s v="JULHO"/>
    <s v="HSERV COMBINADOS "/>
    <s v="CAIXINHA OPERACIONAL - OSSIRES"/>
    <n v="-1500"/>
    <x v="0"/>
    <x v="1"/>
  </r>
  <r>
    <x v="2"/>
    <s v="JULHO"/>
    <s v="VITOR DUARTE"/>
    <s v="VIVA FOOD R E LTDA"/>
    <n v="-16869.599999999999"/>
    <x v="0"/>
    <x v="2"/>
  </r>
  <r>
    <x v="3"/>
    <s v="JULHO"/>
    <s v="VITOR DUARTE"/>
    <s v="IRMÃOS BOAS-RECEITAS DO DIA 30/06/2025-PAGAMENTO ATRASADO"/>
    <n v="5807.51"/>
    <x v="1"/>
    <x v="3"/>
  </r>
  <r>
    <x v="4"/>
    <s v="JULHO"/>
    <s v="VITOR DUARTE"/>
    <s v="IRMÃOS BOAS-RECEITAS DO DIA 30/06/2025-PAGAMENTO ATRASADO"/>
    <n v="291731.96000000002"/>
    <x v="1"/>
    <x v="3"/>
  </r>
  <r>
    <x v="4"/>
    <s v="JULHO"/>
    <s v="HSERV CLEAN"/>
    <s v="SPARTAN DO BRASIL PRODUTOS QUIMICOS LTDA VENCIDA 02/07/2025"/>
    <n v="-1709.15"/>
    <x v="0"/>
    <x v="4"/>
  </r>
  <r>
    <x v="4"/>
    <s v="JULHO"/>
    <s v="HSERV TERCEIRIZADOS"/>
    <s v="WIG COMERCIO DE BATERIAS COMPONENTES LTDA NF 553- 02 BATERIAS - VENCIMENTO 02/07/2025 "/>
    <n v="-1330"/>
    <x v="0"/>
    <x v="5"/>
  </r>
  <r>
    <x v="4"/>
    <s v="JULHO"/>
    <s v="HENRIQUE JEAN"/>
    <s v="PRISCILA JESUS DOS SANTOS"/>
    <n v="-282.07"/>
    <x v="0"/>
    <x v="6"/>
  </r>
  <r>
    <x v="4"/>
    <s v="JULHO"/>
    <s v="HSERV COMBINADOS"/>
    <s v="GRRF DANILO ENDRIGO GARAVELO"/>
    <n v="-21.33"/>
    <x v="0"/>
    <x v="6"/>
  </r>
  <r>
    <x v="4"/>
    <s v="JULHO"/>
    <s v="HSERV TERCEIRIZADOS"/>
    <s v="GLOVAN CABREUVA ALUGUEL DE EQUIPAMENTOS LTDA"/>
    <n v="-163"/>
    <x v="0"/>
    <x v="5"/>
  </r>
  <r>
    <x v="4"/>
    <s v="JULHO"/>
    <s v="HSERV COMBINADOS"/>
    <s v="REBECCA ELONICE"/>
    <n v="-99"/>
    <x v="0"/>
    <x v="7"/>
  </r>
  <r>
    <x v="4"/>
    <s v="JULHO"/>
    <s v="HSERV COMBINADOS"/>
    <s v="GUSTAVO HENRIQUE DOS SANTOS"/>
    <n v="-377.6"/>
    <x v="0"/>
    <x v="7"/>
  </r>
  <r>
    <x v="4"/>
    <s v="JULHO"/>
    <s v="VITOR DUARTE"/>
    <s v="JOSE ADILSON LIMA BATISTA"/>
    <n v="-165"/>
    <x v="0"/>
    <x v="7"/>
  </r>
  <r>
    <x v="2"/>
    <s v="JULHO"/>
    <s v="HSERV CABREUVA"/>
    <s v="BANCO ITAUCARD S.A.- "/>
    <n v="-3809.98"/>
    <x v="0"/>
    <x v="8"/>
  </r>
  <r>
    <x v="2"/>
    <s v="JULHO"/>
    <s v="HSERV COMBINADOS"/>
    <s v="TAR PLANO ADAPT 3 05/24"/>
    <n v="-389"/>
    <x v="0"/>
    <x v="9"/>
  </r>
  <r>
    <x v="2"/>
    <s v="JULHO"/>
    <s v="HSERV COMBINADOS"/>
    <s v="TAR PLANO ADAPT 3 06/24"/>
    <n v="-389"/>
    <x v="0"/>
    <x v="9"/>
  </r>
  <r>
    <x v="2"/>
    <s v="JULHO"/>
    <s v="HSERV LIMPEZA"/>
    <s v="TAR PLANO ADAPT 3 06/24"/>
    <n v="-389"/>
    <x v="0"/>
    <x v="9"/>
  </r>
  <r>
    <x v="5"/>
    <s v="JULHO"/>
    <s v="HENRIQUE JEAN"/>
    <s v="CONDOMINIO NEX ONE CONSOLAÇÃO BELAS ARTES- ROBOTTON"/>
    <n v="-613.47"/>
    <x v="0"/>
    <x v="10"/>
  </r>
  <r>
    <x v="2"/>
    <s v="JULHO"/>
    <s v="HSERV CABREUVA"/>
    <s v="SALARIO CLT, PENSÃO ALIMENTICIA, BONUS-"/>
    <n v="-460657.26"/>
    <x v="0"/>
    <x v="11"/>
  </r>
  <r>
    <x v="2"/>
    <s v="JULHO"/>
    <s v="HSERV COMBINADOS ND"/>
    <s v="ESTER CARDOZO DE LIMA "/>
    <n v="-500"/>
    <x v="0"/>
    <x v="11"/>
  </r>
  <r>
    <x v="2"/>
    <s v="JULHO"/>
    <s v="HSERV CABREUVA"/>
    <s v="MARIA SOCORRO DA SILVA PEREIRA- MEI"/>
    <n v="-1974.52"/>
    <x v="0"/>
    <x v="11"/>
  </r>
  <r>
    <x v="6"/>
    <s v="JULHO"/>
    <s v="HSERV CLEAN"/>
    <s v="HOSPITALSÃO ROQUE"/>
    <n v="2800.33"/>
    <x v="1"/>
    <x v="3"/>
  </r>
  <r>
    <x v="6"/>
    <s v="JULHO"/>
    <s v="HSERV CLEAN"/>
    <s v="SPARTAN DO BRASIL"/>
    <n v="1709.15"/>
    <x v="1"/>
    <x v="4"/>
  </r>
  <r>
    <x v="4"/>
    <s v="JULHO"/>
    <s v="HSERV TERCERIZADOS"/>
    <s v="RAI INGREDIENTES INDUSTRIAL"/>
    <n v="6599.4"/>
    <x v="1"/>
    <x v="3"/>
  </r>
  <r>
    <x v="6"/>
    <s v="JULHO"/>
    <s v="HSERV TERCERIZADOS"/>
    <s v="RAI INGREDIENTES INDUSTRIAL"/>
    <n v="5040.2700000000004"/>
    <x v="1"/>
    <x v="3"/>
  </r>
  <r>
    <x v="6"/>
    <s v="JULHO"/>
    <s v="HSERV CLEAN"/>
    <s v="EMPRESTIMO HSERV CLEAN BRADESCO -PARCELA MENSAL"/>
    <n v="-5670.51"/>
    <x v="0"/>
    <x v="12"/>
  </r>
  <r>
    <x v="5"/>
    <s v="JULHO"/>
    <s v="HSERV COMBINADOS "/>
    <s v="FT REDE AVENIDA -ASSIS E REGIÃO- "/>
    <n v="-2980"/>
    <x v="0"/>
    <x v="13"/>
  </r>
  <r>
    <x v="7"/>
    <s v="JULHO"/>
    <s v="VITOR DUARTE"/>
    <s v="VIVA FOOD R E LTDA"/>
    <n v="-16200"/>
    <x v="0"/>
    <x v="2"/>
  </r>
  <r>
    <x v="8"/>
    <s v="JULHO"/>
    <s v="HENRIQUE JEAN"/>
    <s v="BRASIL MEDICINA E SAUDE PREVENTIVA ORGANIZACAO,-VENCIMENTO 10/07/2025"/>
    <n v="-494.62"/>
    <x v="0"/>
    <x v="14"/>
  </r>
  <r>
    <x v="8"/>
    <s v="JULHO"/>
    <s v="HSERV CABREUVA"/>
    <s v="BRASIL MEDICINA E SAUDE PREVENTIVA ORGANIZACAO,-VENCIMENTO 10/07/2025"/>
    <n v="-883.25"/>
    <x v="0"/>
    <x v="14"/>
  </r>
  <r>
    <x v="8"/>
    <s v="JULHO"/>
    <s v="HSERV CLEAN"/>
    <s v="BRASIL MEDICINA E SAUDE PREVENTIVA ORGANIZACAO,-VENCIMENTO 10/07/2025"/>
    <n v="-847.92"/>
    <x v="0"/>
    <x v="14"/>
  </r>
  <r>
    <x v="8"/>
    <s v="JULHO"/>
    <s v="HSERV COMBINADOS"/>
    <s v="BRASIL MEDICINA E SAUDE PREVENTIVA ORGANIZACAO,-VENCIMENTO 10/07/2025"/>
    <n v="-2084.4699999999998"/>
    <x v="0"/>
    <x v="14"/>
  </r>
  <r>
    <x v="8"/>
    <s v="JULHO"/>
    <s v="HSERV LIMPEZA"/>
    <s v="BRASIL MEDICINA E SAUDE PREVENTIVA ORGANIZACAO,-VENCIMENTO 10/07/2025"/>
    <n v="-600.61"/>
    <x v="0"/>
    <x v="14"/>
  </r>
  <r>
    <x v="8"/>
    <s v="JULHO"/>
    <s v="HSERV REPRESENTACOES"/>
    <s v="BRASIL MEDICINA E SAUDE PREVENTIVA ORGANIZACAO,-VENCIMENTO 10/07/2025"/>
    <n v="-635.94000000000005"/>
    <x v="0"/>
    <x v="14"/>
  </r>
  <r>
    <x v="8"/>
    <s v="JULHO"/>
    <s v="HSERV TECNOLOGIA"/>
    <s v="BRASIL MEDICINA E SAUDE PREVENTIVA ORGANIZACAO,-VENCIMENTO 10/07/2025"/>
    <n v="-1342.54"/>
    <x v="0"/>
    <x v="14"/>
  </r>
  <r>
    <x v="8"/>
    <s v="JULHO"/>
    <s v="HSERV TERCEIRIZADOS"/>
    <s v="BRASIL MEDICINA E SAUDE PREVENTIVA ORGANIZACAO,-VENCIMENTO 10/07/2025"/>
    <n v="-777.26"/>
    <x v="0"/>
    <x v="14"/>
  </r>
  <r>
    <x v="8"/>
    <s v="JULHO"/>
    <s v="VITOR DUARTE"/>
    <s v="BRASIL MEDICINA E SAUDE PREVENTIVA ORGANIZACAO,-VENCIMENTO 10/07/2025"/>
    <n v="-459.29"/>
    <x v="0"/>
    <x v="14"/>
  </r>
  <r>
    <x v="8"/>
    <s v="JULHO"/>
    <s v="HSERV CABREUVA"/>
    <s v="SERGIO LUIZ BERTOLO"/>
    <n v="-421.26"/>
    <x v="0"/>
    <x v="15"/>
  </r>
  <r>
    <x v="8"/>
    <s v="JULHO"/>
    <s v="VITOR DUARTE"/>
    <s v="MARCASA-SEGURANÇA VEPAKUM"/>
    <n v="-10500"/>
    <x v="0"/>
    <x v="16"/>
  </r>
  <r>
    <x v="9"/>
    <s v="JULHO"/>
    <s v="HSERV COMBINADOS "/>
    <s v="JHONNY WALACE REEMBOLSO"/>
    <n v="-40"/>
    <x v="0"/>
    <x v="17"/>
  </r>
  <r>
    <x v="8"/>
    <s v="JULHO"/>
    <s v="HENRIQUE JEAN"/>
    <s v="PROLABORE SOCIOS -MARIA JOSE-THAIS MACEDO"/>
    <n v="-1000"/>
    <x v="0"/>
    <x v="18"/>
  </r>
  <r>
    <x v="10"/>
    <s v="JULHO"/>
    <s v="HENRIQUE JEAN"/>
    <s v="PROLABORE SOCIOS -CRISTIANE-E GUTHIERRI- BLOQUEADO ATE SOCIOS COMPARECER NA BASE"/>
    <n v="-2000"/>
    <x v="0"/>
    <x v="18"/>
  </r>
  <r>
    <x v="8"/>
    <s v="JULHO"/>
    <s v="HSERV TERCERIZADOS ND"/>
    <s v="CARTÃO VITOR"/>
    <n v="-5590.46"/>
    <x v="0"/>
    <x v="18"/>
  </r>
  <r>
    <x v="8"/>
    <s v="JULHO"/>
    <s v="HSERV CLEAN"/>
    <s v="INTERMEDICA"/>
    <n v="-9146.82"/>
    <x v="0"/>
    <x v="19"/>
  </r>
  <r>
    <x v="8"/>
    <s v="JULHO"/>
    <s v="HSERV CABREUVA"/>
    <s v="AUTO POSTO JARDIM DAS HORTENCI"/>
    <n v="-5896.35"/>
    <x v="0"/>
    <x v="20"/>
  </r>
  <r>
    <x v="8"/>
    <s v="JULHO"/>
    <s v="HENRIQUE JEAN ND"/>
    <s v="FIT ADM (VIDA NOVA) 43-02"/>
    <n v="-441.64"/>
    <x v="0"/>
    <x v="10"/>
  </r>
  <r>
    <x v="8"/>
    <s v="JULHO"/>
    <s v="VITOR  DUARTE"/>
    <s v="RONDAWEB CONEXOES LTDA"/>
    <n v="-553.25"/>
    <x v="0"/>
    <x v="21"/>
  </r>
  <r>
    <x v="8"/>
    <s v="JULHO"/>
    <s v="HSERV CABREUVA"/>
    <s v="BRADESCO SEGUROS - QUY9F13- DEBITO AUTOMATICO HSERV CABREUVA BRADESCO"/>
    <n v="-545.78"/>
    <x v="0"/>
    <x v="22"/>
  </r>
  <r>
    <x v="11"/>
    <s v="JULHO"/>
    <s v="HSERV CABREUVA"/>
    <s v="SALARIOS MEI"/>
    <n v="-82400.03"/>
    <x v="0"/>
    <x v="11"/>
  </r>
  <r>
    <x v="10"/>
    <s v="JULHO"/>
    <s v="VITOR DUARTE"/>
    <s v="IFOOD.COM AGENCIA DE RESTAURANTES-ASSIDUIDADE BOA"/>
    <n v="-18300"/>
    <x v="0"/>
    <x v="23"/>
  </r>
  <r>
    <x v="10"/>
    <s v="JULHO"/>
    <s v="VITOR DUARTE"/>
    <s v="IFOOD.COM AGENCIA DE RESTAURANTES -ASSIDUIDADE AVENID."/>
    <n v="-3700"/>
    <x v="0"/>
    <x v="23"/>
  </r>
  <r>
    <x v="10"/>
    <s v="JULHO"/>
    <s v="VITOR DUARTE"/>
    <s v="IFOOD.COM AGENCIA DE RESTAURANTES -ASSIDUIDADE RICOY JUNHO"/>
    <n v="-900"/>
    <x v="0"/>
    <x v="23"/>
  </r>
  <r>
    <x v="10"/>
    <s v="JULHO"/>
    <s v="VITOR DUARTE"/>
    <s v="IFOOD.COM AGENCIA DE RESTAURANTES -ASSIDUIDADE EMPRESAS"/>
    <n v="-12600"/>
    <x v="0"/>
    <x v="23"/>
  </r>
  <r>
    <x v="10"/>
    <s v="JULHO"/>
    <s v="HSERV CABREUVA"/>
    <s v="VALE ALIMENTAÇÃO MENSAL DE JULHO"/>
    <n v="-88560.88"/>
    <x v="0"/>
    <x v="2"/>
  </r>
  <r>
    <x v="11"/>
    <s v="JULHO"/>
    <s v="HSERV COMBINADOS"/>
    <s v="TAMIRES DA SILVA CAPUCHINHO"/>
    <n v="-456.72"/>
    <x v="0"/>
    <x v="2"/>
  </r>
  <r>
    <x v="11"/>
    <s v="JULHO"/>
    <s v="VITOR DUARTE"/>
    <s v="FABIOLA FARIAS FELIX"/>
    <n v="-456.72"/>
    <x v="0"/>
    <x v="2"/>
  </r>
  <r>
    <x v="11"/>
    <s v="JULHO"/>
    <s v="VITOR DUARTE"/>
    <s v="JHONY WALLACE GOMES DE OLIVEIRA"/>
    <n v="-456.72"/>
    <x v="0"/>
    <x v="2"/>
  </r>
  <r>
    <x v="11"/>
    <s v="JULHO"/>
    <s v="VITOR DUARTE"/>
    <s v="QUEILA JESUS BERNARDES DE OLIVEIRA"/>
    <n v="-415.2"/>
    <x v="0"/>
    <x v="2"/>
  </r>
  <r>
    <x v="11"/>
    <s v="JULHO"/>
    <s v="VITOR DUARTE"/>
    <s v="THIAGO ALMEIDA SANTANA"/>
    <n v="-373.68"/>
    <x v="0"/>
    <x v="2"/>
  </r>
  <r>
    <x v="11"/>
    <s v="JULHO"/>
    <s v="VITOR DUARTE"/>
    <s v="LARAH MELYSSA ALVES DE SOUSA"/>
    <n v="-456.72"/>
    <x v="0"/>
    <x v="2"/>
  </r>
  <r>
    <x v="11"/>
    <s v="JULHO"/>
    <s v="VITOR DUARTE"/>
    <s v="GISELE RODRIGUES DOS SANTOS"/>
    <n v="-456.72"/>
    <x v="0"/>
    <x v="2"/>
  </r>
  <r>
    <x v="11"/>
    <s v="JULHO"/>
    <s v="HSERV CABREUVA"/>
    <s v="ELAINE BARBOSA DE SOUSA"/>
    <n v="-267"/>
    <x v="0"/>
    <x v="7"/>
  </r>
  <r>
    <x v="11"/>
    <s v="JULHO"/>
    <s v="HSERV TECNOLOGIA"/>
    <s v="ROSALINA CRISTIANE JUSTINO"/>
    <n v="-196.8"/>
    <x v="0"/>
    <x v="7"/>
  </r>
  <r>
    <x v="11"/>
    <s v="JULHO"/>
    <s v="HSERV COMBINADOS"/>
    <s v="ILAIDE JOSE RODRIGUES"/>
    <n v="-177"/>
    <x v="0"/>
    <x v="7"/>
  </r>
  <r>
    <x v="11"/>
    <s v="JULHO"/>
    <s v="HSERV COMBINADOS"/>
    <s v="MARINALDA ALMEIDA PEREIRA"/>
    <n v="-165.2"/>
    <x v="0"/>
    <x v="7"/>
  </r>
  <r>
    <x v="11"/>
    <s v="JULHO"/>
    <s v="HSERV COMBINADOS"/>
    <s v="MARCIA VALERIA DA SILVA"/>
    <n v="-346.5"/>
    <x v="0"/>
    <x v="7"/>
  </r>
  <r>
    <x v="11"/>
    <s v="JULHO"/>
    <s v="HSERV COMBINADOS"/>
    <s v="TAMIRES DA SILVA CAPUCHINHO"/>
    <n v="-304"/>
    <x v="0"/>
    <x v="7"/>
  </r>
  <r>
    <x v="11"/>
    <s v="JULHO"/>
    <s v="HSERV COMBINADOS"/>
    <s v="GABRIEL DO NASCIMENTO NEVES"/>
    <n v="-271"/>
    <x v="0"/>
    <x v="7"/>
  </r>
  <r>
    <x v="11"/>
    <s v="JULHO"/>
    <s v="HSERV TERCEIRIZADOS"/>
    <s v="ESTER CARDOZO DE LIMA"/>
    <n v="-110"/>
    <x v="0"/>
    <x v="7"/>
  </r>
  <r>
    <x v="11"/>
    <s v="JULHO"/>
    <s v="VITOR DUARTE"/>
    <s v="PAMELA GREICE MARINHO ROCHA"/>
    <n v="-261.8"/>
    <x v="0"/>
    <x v="7"/>
  </r>
  <r>
    <x v="11"/>
    <s v="JULHO"/>
    <s v="VITOR DUARTE"/>
    <s v="ELIANE ULITZKA DOS SANTOS"/>
    <n v="-342"/>
    <x v="0"/>
    <x v="7"/>
  </r>
  <r>
    <x v="11"/>
    <s v="JULHO"/>
    <s v="VITOR DUARTE"/>
    <s v="FABIOLA FARIAS FELIX"/>
    <n v="-300"/>
    <x v="0"/>
    <x v="7"/>
  </r>
  <r>
    <x v="11"/>
    <s v="JULHO"/>
    <s v="VITOR DUARTE"/>
    <s v="THIAGO ALMEIDA SANTANA"/>
    <n v="-90"/>
    <x v="0"/>
    <x v="7"/>
  </r>
  <r>
    <x v="11"/>
    <s v="JULHO"/>
    <s v="VITOR DUARTE"/>
    <s v="GISELE RODRIGUES DOS SANTOS"/>
    <n v="-32.549999999999997"/>
    <x v="0"/>
    <x v="7"/>
  </r>
  <r>
    <x v="11"/>
    <s v="JULHO"/>
    <s v="VITOR DUARTE"/>
    <s v="JAIR APARECIDO RE"/>
    <n v="-275"/>
    <x v="0"/>
    <x v="7"/>
  </r>
  <r>
    <x v="11"/>
    <s v="JULHO"/>
    <s v="VITOR DUARTE"/>
    <s v="LARAH MELYSSA ALVES DE SOUSA"/>
    <n v="-110"/>
    <x v="0"/>
    <x v="7"/>
  </r>
  <r>
    <x v="11"/>
    <s v="JULHO"/>
    <s v="VITOR DUARTE"/>
    <s v="JHONY WALLACE GOMES DE OLIVEIRA"/>
    <n v="-110"/>
    <x v="0"/>
    <x v="7"/>
  </r>
  <r>
    <x v="11"/>
    <s v="JULHO"/>
    <s v="VITOR DUARTE"/>
    <s v="QUEILA JESUS BERNARDES DE OLIVEIRA"/>
    <n v="-90"/>
    <x v="0"/>
    <x v="7"/>
  </r>
  <r>
    <x v="11"/>
    <s v="JULHO"/>
    <s v="VITOR DUARTE"/>
    <s v="CARLOS HENRIQUE CONCEICAO"/>
    <n v="-140"/>
    <x v="0"/>
    <x v="7"/>
  </r>
  <r>
    <x v="11"/>
    <s v="JULHO"/>
    <s v="VITOR DUARTE"/>
    <s v="GABRIEL GATTI DA SILVA"/>
    <n v="-222"/>
    <x v="0"/>
    <x v="7"/>
  </r>
  <r>
    <x v="11"/>
    <s v="JULHO"/>
    <s v="VITOR DUARTE"/>
    <s v="BOLETO OTAVIO"/>
    <n v="-20498.98"/>
    <x v="0"/>
    <x v="18"/>
  </r>
  <r>
    <x v="11"/>
    <s v="JULHO"/>
    <s v="VITOR DUARTE"/>
    <s v="FABIOLA FARIAS FELIX"/>
    <n v="-144.68"/>
    <x v="0"/>
    <x v="24"/>
  </r>
  <r>
    <x v="11"/>
    <s v="JULHO"/>
    <s v="HSERV COMBINADOS "/>
    <s v="ESTER CARDOZO- SALARIO"/>
    <n v="-1375"/>
    <x v="0"/>
    <x v="11"/>
  </r>
  <r>
    <x v="11"/>
    <s v="JULHO"/>
    <s v="HSERV  COMBINADOS "/>
    <s v="PAMELA ROCHA MARINHO-SALARIO "/>
    <n v="-2281.6999999999998"/>
    <x v="0"/>
    <x v="11"/>
  </r>
  <r>
    <x v="11"/>
    <s v="JULHO"/>
    <s v="HSERV CABREUVA"/>
    <s v="SEM PARAR- "/>
    <n v="-6276.28"/>
    <x v="0"/>
    <x v="20"/>
  </r>
  <r>
    <x v="11"/>
    <s v="JULHO"/>
    <s v="VITOR DUARTE"/>
    <s v="CARTAO DE CRÉDITO-EMPRESA VITOR DUARTE"/>
    <n v="-10605.99"/>
    <x v="0"/>
    <x v="25"/>
  </r>
  <r>
    <x v="11"/>
    <s v="JULHO"/>
    <s v="HENRIQUE JEAN"/>
    <s v="CARTÃO DE CREDITO-PARCELAMENTO"/>
    <n v="-2225.21"/>
    <x v="0"/>
    <x v="25"/>
  </r>
  <r>
    <x v="11"/>
    <s v="JULHO"/>
    <s v="HSERV COMBINADOS"/>
    <s v="CARTÃO DE CREDITO-PARCELAMENTO"/>
    <n v="-1248.99"/>
    <x v="0"/>
    <x v="25"/>
  </r>
  <r>
    <x v="9"/>
    <s v="JULHO"/>
    <s v="HENRIQUE JEAN"/>
    <s v="BENEFICIOS SOCIAIS LTDA- VENCIMENTO 10/04/2025"/>
    <n v="-928.72"/>
    <x v="0"/>
    <x v="14"/>
  </r>
  <r>
    <x v="9"/>
    <s v="JULHO"/>
    <s v="HSERV CABREUVA"/>
    <s v="BENEFICIOS SOCIAIS LTDA- VENCIMENTO 10/04/2025"/>
    <n v="-517.94000000000005"/>
    <x v="0"/>
    <x v="14"/>
  </r>
  <r>
    <x v="9"/>
    <s v="JULHO"/>
    <s v="HSERV CLEAN"/>
    <s v="BENEFICIOS SOCIAIS LTDA- VENCIMENTO 10/04/2025"/>
    <n v="-339.33"/>
    <x v="0"/>
    <x v="14"/>
  </r>
  <r>
    <x v="9"/>
    <s v="JULHO"/>
    <s v="HSERV COMBINADOS"/>
    <s v="BENEFICIOS SOCIAIS LTDA- VENCIMENTO 10/04/2025"/>
    <n v="-910.87"/>
    <x v="0"/>
    <x v="14"/>
  </r>
  <r>
    <x v="9"/>
    <s v="JULHO"/>
    <s v="HSERV LIMPEZA"/>
    <s v="BENEFICIOS SOCIAIS LTDA- VENCIMENTO 10/04/2025"/>
    <n v="-232.18"/>
    <x v="0"/>
    <x v="14"/>
  </r>
  <r>
    <x v="9"/>
    <s v="JULHO"/>
    <s v="HSERV REPRESENTACOES"/>
    <s v="BENEFICIOS SOCIAIS LTDA- VENCIMENTO 10/04/2025"/>
    <n v="-232.18"/>
    <x v="0"/>
    <x v="14"/>
  </r>
  <r>
    <x v="9"/>
    <s v="JULHO"/>
    <s v="HSERV TECNOLOGIA"/>
    <s v="BENEFICIOS SOCIAIS LTDA- VENCIMENTO 10/04/2025"/>
    <n v="-71.430000000000007"/>
    <x v="0"/>
    <x v="14"/>
  </r>
  <r>
    <x v="9"/>
    <s v="JULHO"/>
    <s v="HSERV TERCEIRIZADOS"/>
    <s v="BENEFICIOS SOCIAIS LTDA- VENCIMENTO 10/04/2025"/>
    <n v="-125.01"/>
    <x v="0"/>
    <x v="14"/>
  </r>
  <r>
    <x v="7"/>
    <s v="JULHO"/>
    <s v="HSERV TERCEIRIZADOS"/>
    <s v="RODRIGO GUIMARÃES - FT MOTORISTA"/>
    <n v="-1200"/>
    <x v="0"/>
    <x v="13"/>
  </r>
  <r>
    <x v="9"/>
    <s v="JULHO"/>
    <s v="VITOR DUARTE"/>
    <s v="BENEFICIOS SOCIAIS LTDA- VENCIMENTO 10/04/2025"/>
    <n v="-357.2"/>
    <x v="0"/>
    <x v="14"/>
  </r>
  <r>
    <x v="7"/>
    <s v="JULHO"/>
    <s v="VITOR DUARTE"/>
    <s v="GABRIEL DOS SANTOS NOVÃESCLOUD-TELEFONIA-VENCIDO 30/06/2025"/>
    <n v="-535.1"/>
    <x v="0"/>
    <x v="21"/>
  </r>
  <r>
    <x v="11"/>
    <s v="JULHO"/>
    <s v="HSERV CABREUVA"/>
    <s v="SICOOB HSERV CABREUVA NEGOCIAÇÃO CHEQUE ESPECIAL "/>
    <n v="-2012.45"/>
    <x v="0"/>
    <x v="12"/>
  </r>
  <r>
    <x v="11"/>
    <s v="JULHO"/>
    <s v="HSERV CABREUVA"/>
    <s v="TARIFA MAX EMPRESARIAL"/>
    <n v="-171.1"/>
    <x v="0"/>
    <x v="9"/>
  </r>
  <r>
    <x v="11"/>
    <s v="JULHO"/>
    <s v="HSERV CLEAN"/>
    <s v="TARIFA MAX EMPRESARIAL"/>
    <n v="-171.1"/>
    <x v="0"/>
    <x v="9"/>
  </r>
  <r>
    <x v="11"/>
    <s v="JULHO"/>
    <s v="HSERV COMBINADOS "/>
    <s v="TARIFA MAX EMPRESARIAL"/>
    <n v="-171.1"/>
    <x v="0"/>
    <x v="9"/>
  </r>
  <r>
    <x v="11"/>
    <s v="JULHO"/>
    <s v="HSERV COMBINADOS  ND"/>
    <s v="TARIFA MAX EMPRESARIAL"/>
    <n v="-171.1"/>
    <x v="0"/>
    <x v="9"/>
  </r>
  <r>
    <x v="11"/>
    <s v="JULHO"/>
    <s v="HENRIQUE JEAN"/>
    <s v="TARIFA MAX EMPRESARIAL"/>
    <n v="-171.1"/>
    <x v="0"/>
    <x v="9"/>
  </r>
  <r>
    <x v="11"/>
    <s v="JULHO"/>
    <s v="HENRIQUE JEAN ND"/>
    <s v="TARIFA MAX EMPRESARIAL"/>
    <n v="-171.1"/>
    <x v="0"/>
    <x v="9"/>
  </r>
  <r>
    <x v="11"/>
    <s v="JULHO"/>
    <s v="VITOR DUARTE"/>
    <s v="TARIFA MAX EMPRESARIAL"/>
    <n v="-171.1"/>
    <x v="0"/>
    <x v="9"/>
  </r>
  <r>
    <x v="11"/>
    <s v="JULHO"/>
    <s v="VITOR DUARTE ND"/>
    <s v="TARIFA MAX EMPRESARIAL"/>
    <n v="-171.1"/>
    <x v="0"/>
    <x v="9"/>
  </r>
  <r>
    <x v="11"/>
    <s v="JULHO"/>
    <s v="HSERV TERCERIZADOS"/>
    <s v="TARIFA MAX EMPRESARIAL"/>
    <n v="-171.1"/>
    <x v="0"/>
    <x v="9"/>
  </r>
  <r>
    <x v="11"/>
    <s v="JULHO"/>
    <s v="HSERV TERCERIZADOS ND"/>
    <s v="TARIFA MAX EMPRESARIAL"/>
    <n v="-171.1"/>
    <x v="0"/>
    <x v="9"/>
  </r>
  <r>
    <x v="11"/>
    <s v="JULHO"/>
    <s v="HSERV LIMPEZA"/>
    <s v="TARIFA MAX EMPRESARIAL"/>
    <n v="-171.1"/>
    <x v="0"/>
    <x v="9"/>
  </r>
  <r>
    <x v="11"/>
    <s v="JULHO"/>
    <s v="HSERV LIMPEZA ND"/>
    <s v="TARIFA MAX EMPRESARIAL"/>
    <n v="-171.1"/>
    <x v="0"/>
    <x v="9"/>
  </r>
  <r>
    <x v="11"/>
    <s v="JULHO"/>
    <s v="HSERV TECNOLOGIA"/>
    <s v="TARIFA MAX EMPRESARIAL"/>
    <n v="-171.1"/>
    <x v="0"/>
    <x v="9"/>
  </r>
  <r>
    <x v="11"/>
    <s v="JULHO"/>
    <s v="HSERV REPRESENTAÇÃO"/>
    <s v="TARIFA MAX EMPRESARIAL"/>
    <n v="-171.1"/>
    <x v="0"/>
    <x v="9"/>
  </r>
  <r>
    <x v="12"/>
    <s v="JULHO"/>
    <s v="HENRIQUE JEAN ND"/>
    <s v="CELIO ROBERTO"/>
    <n v="-768.94"/>
    <x v="0"/>
    <x v="10"/>
  </r>
  <r>
    <x v="10"/>
    <s v="JULHO"/>
    <s v="HSERV CABREUVA"/>
    <s v="IFOOD.COM AGENCIA DE RESTAURANTES- VALE COMBUSTIVEL-2º QUINZENA DE JULHO"/>
    <n v="-6748.2"/>
    <x v="0"/>
    <x v="26"/>
  </r>
  <r>
    <x v="12"/>
    <s v="JULHO"/>
    <s v="HSERV COMBINADOS"/>
    <s v="JAIR APARECIDO RÉ -COMISSÃO MAIO/JUNHO"/>
    <n v="-553.59"/>
    <x v="0"/>
    <x v="17"/>
  </r>
  <r>
    <x v="12"/>
    <s v="JULHO"/>
    <s v="HSERV COMBINADOS"/>
    <s v="OSSIRES DONAGELO-RREMBOLSO DE DESPESAS"/>
    <n v="-916.89"/>
    <x v="0"/>
    <x v="27"/>
  </r>
  <r>
    <x v="13"/>
    <s v="JULHO"/>
    <s v="HSERV CABREUVA"/>
    <s v="SABESP SALA 16"/>
    <n v="-138.56"/>
    <x v="0"/>
    <x v="28"/>
  </r>
  <r>
    <x v="13"/>
    <s v="JULHO"/>
    <s v="HSERV CABREUVA"/>
    <s v="SABESP SALA 17"/>
    <n v="-138.56"/>
    <x v="0"/>
    <x v="28"/>
  </r>
  <r>
    <x v="13"/>
    <s v="JULHO"/>
    <s v="HSERV CABREUVA"/>
    <s v="SABESP SALA 18"/>
    <n v="-138.56"/>
    <x v="0"/>
    <x v="28"/>
  </r>
  <r>
    <x v="13"/>
    <s v="JULHO"/>
    <s v="HSERV CABREUVA"/>
    <s v="SABESP CLEAN"/>
    <n v="-138.56"/>
    <x v="0"/>
    <x v="28"/>
  </r>
  <r>
    <x v="11"/>
    <s v="JULHO"/>
    <s v="HSERV TECNOLOGIA"/>
    <s v="OMIEXPERIENCE LTDA."/>
    <n v="-261.68"/>
    <x v="0"/>
    <x v="21"/>
  </r>
  <r>
    <x v="11"/>
    <s v="JULHO"/>
    <s v="HSERV REPRESENTACOES"/>
    <s v="OMIEXPERIENCE LTDA."/>
    <n v="-300"/>
    <x v="0"/>
    <x v="21"/>
  </r>
  <r>
    <x v="11"/>
    <s v="JULHO"/>
    <s v="HSERV CABREUVA "/>
    <s v="OMIEXPERIENCE LTDA."/>
    <n v="-300"/>
    <x v="0"/>
    <x v="21"/>
  </r>
  <r>
    <x v="11"/>
    <s v="JULHO"/>
    <s v="HSERV  COMBINADOS"/>
    <s v="OMIEXPERIENCE LTDA."/>
    <n v="-300"/>
    <x v="0"/>
    <x v="21"/>
  </r>
  <r>
    <x v="11"/>
    <s v="JULHO"/>
    <s v="HENRIQUE JEAN DUARTE "/>
    <s v="OMIEXPERIENCE LTDA."/>
    <n v="-294.32"/>
    <x v="0"/>
    <x v="21"/>
  </r>
  <r>
    <x v="11"/>
    <s v="JULHO"/>
    <s v="HSERV TERCEIRIZADOS"/>
    <s v="OMIEXPERIENCE LTDA."/>
    <n v="-300"/>
    <x v="0"/>
    <x v="21"/>
  </r>
  <r>
    <x v="11"/>
    <s v="JULHO"/>
    <s v="HSERV  LIMPEZA "/>
    <s v="OMIEXPERIENCE LTDA."/>
    <n v="-300"/>
    <x v="0"/>
    <x v="21"/>
  </r>
  <r>
    <x v="11"/>
    <s v="JULHO"/>
    <s v="VITOR  DUARTE "/>
    <s v="OMIEXPERIENCE LTDA."/>
    <n v="-350"/>
    <x v="0"/>
    <x v="21"/>
  </r>
  <r>
    <x v="11"/>
    <s v="JULHO"/>
    <s v="HSER CLEAN"/>
    <s v="OMIEXPERIENCE LTDA."/>
    <n v="-373.51"/>
    <x v="0"/>
    <x v="21"/>
  </r>
  <r>
    <x v="13"/>
    <s v="JULHO"/>
    <s v="HSERV COMBINADOS "/>
    <s v="LOCALIZA - VENCIDA 30/04/2025- AFMTZ 2273080"/>
    <n v="-4169.6000000000004"/>
    <x v="0"/>
    <x v="29"/>
  </r>
  <r>
    <x v="13"/>
    <s v="JULHO"/>
    <s v="HSERV COMBINADOS "/>
    <s v="LOCALIZA - VENCIDA 30/05/2025-AFMTZ 2347763"/>
    <n v="-4169.6000000000004"/>
    <x v="0"/>
    <x v="29"/>
  </r>
  <r>
    <x v="13"/>
    <s v="JULHO"/>
    <s v="HSERV COMBINADOS "/>
    <s v="LOCALIZA - VENCIDA 30/06/2025 -AFMTZ 2417828"/>
    <n v="-4276.45"/>
    <x v="0"/>
    <x v="29"/>
  </r>
  <r>
    <x v="14"/>
    <s v="JULHO"/>
    <s v="VITOR DUARTE"/>
    <s v="VIVA FOOD R E LTDA"/>
    <n v="-16200"/>
    <x v="0"/>
    <x v="2"/>
  </r>
  <r>
    <x v="13"/>
    <s v="JULHO"/>
    <s v="VITOR DUARTE"/>
    <s v="LOCALIZA - VENCIDA 30/06/2025 -AFMTZ 2417828"/>
    <n v="-6435.72"/>
    <x v="0"/>
    <x v="29"/>
  </r>
  <r>
    <x v="13"/>
    <s v="JULHO"/>
    <s v="H SERV CLEAN "/>
    <s v="ASOMETRA ENGENHARIA DE SEGURANÇA- VENCIMENTO 20/06/2025"/>
    <n v="-223.28"/>
    <x v="0"/>
    <x v="30"/>
  </r>
  <r>
    <x v="13"/>
    <s v="JULHO"/>
    <s v="HENRIQUE JEAN DUARTE"/>
    <s v="ASOMETRA ENGENHARIA DE SEGURANÇA- VENCIMENTO 20/06/2025"/>
    <n v="-714.08"/>
    <x v="0"/>
    <x v="30"/>
  </r>
  <r>
    <x v="13"/>
    <s v="JULHO"/>
    <s v="HSERV CABREUVA "/>
    <s v="ASOMETRA ENGENHARIA DE SEGURANÇA- VENCIMENTO 20/06/2025"/>
    <n v="-247.03"/>
    <x v="0"/>
    <x v="30"/>
  </r>
  <r>
    <x v="13"/>
    <s v="JULHO"/>
    <s v="HSERV  COMBINADOS "/>
    <s v="ASOMETRA ENGENHARIA DE SEGURANÇA- VENCIMENTO 20/06/2025"/>
    <n v="-853.8"/>
    <x v="0"/>
    <x v="30"/>
  </r>
  <r>
    <x v="13"/>
    <s v="JULHO"/>
    <s v="HSERV  REPRESENTACOES"/>
    <s v="ASOMETRA ENGENHARIA DE SEGURANÇA- VENCIMENTO 20/06/2025"/>
    <n v="-731.98"/>
    <x v="0"/>
    <x v="30"/>
  </r>
  <r>
    <x v="13"/>
    <s v="JULHO"/>
    <s v="HSERV LIMPEZA"/>
    <s v="ASOMETRA ENGENHARIA DE SEGURANÇA- VENCIMENTO 20/06/2025"/>
    <n v="-405.11"/>
    <x v="0"/>
    <x v="30"/>
  </r>
  <r>
    <x v="13"/>
    <s v="JULHO"/>
    <s v="HSERV TERCEIRIZADOS"/>
    <s v="ASOMETRA ENGENHARIA DE SEGURANÇA- VENCIMENTO 20/06/2025"/>
    <n v="-455.06"/>
    <x v="0"/>
    <x v="30"/>
  </r>
  <r>
    <x v="13"/>
    <s v="JULHO"/>
    <s v="HSERV TECNOLOGIA "/>
    <s v="ASOMETRA ENGENHARIA DE SEGURANÇA- VENCIMENTO 20/06/2025"/>
    <n v="-505"/>
    <x v="0"/>
    <x v="30"/>
  </r>
  <r>
    <x v="13"/>
    <s v="JULHO"/>
    <s v="VITOR  DUARTE "/>
    <s v="ASOMETRA ENGENHARIA DE SEGURANÇA- VENCIMENTO 20/06/2025"/>
    <n v="-47.48"/>
    <x v="0"/>
    <x v="30"/>
  </r>
  <r>
    <x v="15"/>
    <s v="JULHO"/>
    <s v="HSERV CABREUVA"/>
    <s v="BRADESCO "/>
    <n v="-35714.57"/>
    <x v="0"/>
    <x v="12"/>
  </r>
  <r>
    <x v="13"/>
    <s v="JULHO"/>
    <s v="HSERV CABREUVA"/>
    <s v="SINDICATO DOS EMPREGADOS - VENCIDA "/>
    <n v="-11371.26"/>
    <x v="0"/>
    <x v="14"/>
  </r>
  <r>
    <x v="16"/>
    <s v="JULHO"/>
    <s v="H SERV CLEAN "/>
    <s v="BENEFICIO SOCIAL SINDICAL-VENCIMENTO 10/05/2025"/>
    <n v="-403.79"/>
    <x v="0"/>
    <x v="14"/>
  </r>
  <r>
    <x v="16"/>
    <s v="JULHO"/>
    <s v="HENRIQUE JEAN DUARTE LTDA"/>
    <s v="BENEFICIO SOCIAL SINDICAL-VENCIMENTO 10/05/2025"/>
    <n v="-930.47"/>
    <x v="0"/>
    <x v="14"/>
  </r>
  <r>
    <x v="16"/>
    <s v="JULHO"/>
    <s v="HSERV  REPRESENTACOES"/>
    <s v="BENEFICIO SOCIAL SINDICAL-VENCIMENTO 10/05/2025"/>
    <n v="-333.56"/>
    <x v="0"/>
    <x v="14"/>
  </r>
  <r>
    <x v="16"/>
    <s v="JULHO"/>
    <s v="VITOR  DUARTE"/>
    <s v="BENEFICIO SOCIAL SINDICAL-VENCIMENTO 10/05/2025"/>
    <n v="-158"/>
    <x v="0"/>
    <x v="14"/>
  </r>
  <r>
    <x v="16"/>
    <s v="JULHO"/>
    <s v="HSERVTERCEIRIZADOS "/>
    <s v="BENEFICIO SOCIAL SINDICAL-VENCIMENTO 10/05/2025"/>
    <n v="-105.34"/>
    <x v="0"/>
    <x v="14"/>
  </r>
  <r>
    <x v="16"/>
    <s v="JULHO"/>
    <s v="HSERV CABREUVA"/>
    <s v="BENEFICIO SOCIAL SINDICAL-VENCIMENTO 10/05/2025"/>
    <n v="-509.12"/>
    <x v="0"/>
    <x v="14"/>
  </r>
  <r>
    <x v="16"/>
    <s v="JULHO"/>
    <s v="HSERV COMBINADOS "/>
    <s v="BENEFICIO SOCIAL SINDICAL-VENCIMENTO 10/05/2025"/>
    <n v="-1053.3599999999999"/>
    <x v="0"/>
    <x v="14"/>
  </r>
  <r>
    <x v="16"/>
    <s v="JULHO"/>
    <s v="HSERV TECNOLOGIA "/>
    <s v="BENEFICIO SOCIAL SINDICAL-VENCIMENTO 10/05/2025"/>
    <n v="-70.22"/>
    <x v="0"/>
    <x v="14"/>
  </r>
  <r>
    <x v="16"/>
    <s v="JULHO"/>
    <s v="HSERV  LIMPEZA "/>
    <s v="BENEFICIO SOCIAL SINDICAL-VENCIMENTO 10/05/2025"/>
    <n v="-245.78"/>
    <x v="0"/>
    <x v="14"/>
  </r>
  <r>
    <x v="13"/>
    <s v="JULHO"/>
    <s v="VITOR DUARTE"/>
    <s v="JONESO EMPREENDIMENTOS"/>
    <n v="-5300"/>
    <x v="0"/>
    <x v="15"/>
  </r>
  <r>
    <x v="12"/>
    <s v="JULHO"/>
    <s v="HSERV COMBINADOS "/>
    <s v="SOFISA ACORDO - HONORARIOS ADVICATICIOS-PARCELA 18/18"/>
    <n v="-660.75"/>
    <x v="0"/>
    <x v="12"/>
  </r>
  <r>
    <x v="12"/>
    <s v="JULHO"/>
    <s v="HSERV COMBINADOS "/>
    <s v="SOFISA ACORDO- PROCESSO EXECUÇÃO-PARCELA 18/24"/>
    <n v="-5173.13"/>
    <x v="0"/>
    <x v="12"/>
  </r>
  <r>
    <x v="14"/>
    <s v="JULHO"/>
    <s v="HSERV CABREUVA"/>
    <s v="IF EMPRESARIAL-CONTABILIDADE, JURIDICO E DEPARTAMENTO PESSOAL"/>
    <n v="-15860.65"/>
    <x v="0"/>
    <x v="31"/>
  </r>
  <r>
    <x v="16"/>
    <s v="JULHO"/>
    <s v="VITOR DUARTE"/>
    <s v="RESOLVE ALIMENTAÇÃO "/>
    <n v="-711.2"/>
    <x v="0"/>
    <x v="2"/>
  </r>
  <r>
    <x v="14"/>
    <s v="JULHO"/>
    <s v="VITOR DUARTE"/>
    <s v="ANJO AZUL ALARMES"/>
    <n v="-1046.6400000000001"/>
    <x v="0"/>
    <x v="21"/>
  </r>
  <r>
    <x v="14"/>
    <s v="JULHO"/>
    <s v="HSERV CABREUVA"/>
    <s v="MAXIWEB INTERNET PROVIDER LTDA"/>
    <n v="-39.799999999999997"/>
    <x v="0"/>
    <x v="21"/>
  </r>
  <r>
    <x v="12"/>
    <s v="JULHO"/>
    <s v="HSERV CABREUVA"/>
    <s v="SIMPLES NACIONAL MENSAL "/>
    <n v="-17301.96"/>
    <x v="0"/>
    <x v="32"/>
  </r>
  <r>
    <x v="12"/>
    <s v="JULHO"/>
    <s v="VITOR DUARTE"/>
    <s v="DARF ISS MENSAL- EMPRESA VITOR"/>
    <n v="-13903.62"/>
    <x v="0"/>
    <x v="32"/>
  </r>
  <r>
    <x v="12"/>
    <s v="JULHO"/>
    <s v="HSERV CABREUVA"/>
    <s v="DARF UNIFICADA DE IMPOSTO; COFINS,PIS - HSERV CABREUVA"/>
    <n v="-1773.62"/>
    <x v="0"/>
    <x v="32"/>
  </r>
  <r>
    <x v="12"/>
    <s v="JULHO"/>
    <s v="HENRIQUE JEAN"/>
    <s v="FGTS MENSAL HENRIQUE JEAN"/>
    <n v="-10844.25"/>
    <x v="0"/>
    <x v="32"/>
  </r>
  <r>
    <x v="12"/>
    <s v="JULHO"/>
    <s v="HSERV CABREUVA"/>
    <s v="FGTS MENSAL HSERV CABREUVA"/>
    <n v="-3612.96"/>
    <x v="0"/>
    <x v="32"/>
  </r>
  <r>
    <x v="12"/>
    <s v="JULHO"/>
    <s v="HSERV CLEAN"/>
    <s v="FGTS MENSAL HSERV CLEAN "/>
    <n v="-4669.5600000000004"/>
    <x v="0"/>
    <x v="32"/>
  </r>
  <r>
    <x v="12"/>
    <s v="JULHO"/>
    <s v="HSERV COMBINADOS"/>
    <s v="FGTS MENSAL HSERV COMBINADOS"/>
    <n v="-9585.3799999999992"/>
    <x v="0"/>
    <x v="32"/>
  </r>
  <r>
    <x v="12"/>
    <s v="JULHO"/>
    <s v="HSERV LIMPEZA"/>
    <s v="FGTS MENSAL HSERV LIMPEZA"/>
    <n v="-5389.73"/>
    <x v="0"/>
    <x v="32"/>
  </r>
  <r>
    <x v="12"/>
    <s v="JULHO"/>
    <s v="HSERV REPRESENTACOES"/>
    <s v="FGTS MENSAL HSERV CABREUVA REPRESENTACOES"/>
    <n v="-2822.7"/>
    <x v="0"/>
    <x v="32"/>
  </r>
  <r>
    <x v="12"/>
    <s v="JULHO"/>
    <s v="HSERV TECNOLOGIA"/>
    <s v="FGTS MENSAL HSERV TECNOLOGIA"/>
    <n v="-9747.2900000000009"/>
    <x v="0"/>
    <x v="32"/>
  </r>
  <r>
    <x v="12"/>
    <s v="JULHO"/>
    <s v="HSERV TERCEIRIZADOS"/>
    <s v="FGTS MENSAL HSERV  TERCEIRIZADOS"/>
    <n v="-3316.36"/>
    <x v="0"/>
    <x v="32"/>
  </r>
  <r>
    <x v="12"/>
    <s v="JULHO"/>
    <s v="VITOR DUARTE"/>
    <s v="FGTS MENSAL VITOR DUARTE"/>
    <n v="-1814.02"/>
    <x v="0"/>
    <x v="32"/>
  </r>
  <r>
    <x v="12"/>
    <s v="JULHO"/>
    <s v="HENRIQUE JEAN"/>
    <s v="DARF INSS MENSAL HENRIQUE JEAN DUARTE"/>
    <n v="-9471.3700000000008"/>
    <x v="0"/>
    <x v="32"/>
  </r>
  <r>
    <x v="12"/>
    <s v="JULHO"/>
    <s v="HSERV CABREUVA"/>
    <s v="DARF INSS MENSAL HSERV CABREUVA"/>
    <n v="-10100.56"/>
    <x v="0"/>
    <x v="32"/>
  </r>
  <r>
    <x v="12"/>
    <s v="JULHO"/>
    <s v="HSERV CLEAN"/>
    <s v="DARF INSS MENSAL HSERV CLEAN "/>
    <n v="-4196.1499999999996"/>
    <x v="0"/>
    <x v="32"/>
  </r>
  <r>
    <x v="12"/>
    <s v="JULHO"/>
    <s v="HSERV COMBINADOS"/>
    <s v="DARF INSS MENSAL HSERV  COMBINADOS "/>
    <n v="-7126.8"/>
    <x v="0"/>
    <x v="32"/>
  </r>
  <r>
    <x v="12"/>
    <s v="JULHO"/>
    <s v="HSERV LIMPEZA"/>
    <s v="DARF INSS MENSAL HSERV  LIMPEZA "/>
    <n v="-2239.33"/>
    <x v="0"/>
    <x v="32"/>
  </r>
  <r>
    <x v="12"/>
    <s v="JULHO"/>
    <s v="HSERV TECNOLOGIA"/>
    <s v="DARF INSS MENSAL HSERV TECNOLOGIA "/>
    <n v="-7005.46"/>
    <x v="0"/>
    <x v="32"/>
  </r>
  <r>
    <x v="12"/>
    <s v="JULHO"/>
    <s v="HSERV TERCEIRIZADOS"/>
    <s v="DARF INSS MENSAL HSERVTERCEIRIZADOS"/>
    <n v="-2104.9"/>
    <x v="0"/>
    <x v="32"/>
  </r>
  <r>
    <x v="12"/>
    <s v="JULHO"/>
    <s v="VITOR DUARTE"/>
    <s v="DARF INSS MNSAL VITOR DUARTE"/>
    <n v="-7440.24"/>
    <x v="0"/>
    <x v="32"/>
  </r>
  <r>
    <x v="14"/>
    <s v="JULHO"/>
    <s v="HSERV CABREUVA"/>
    <s v="FT 1 QUINZENA DE JUNHO E PACOTES, RT"/>
    <n v="-76710"/>
    <x v="0"/>
    <x v="13"/>
  </r>
  <r>
    <x v="0"/>
    <s v="JULHO"/>
    <s v="HSERV CABREUVA"/>
    <s v="FT ASSIS E REGIÃO- REDE AVENIDA"/>
    <n v="-4720"/>
    <x v="0"/>
    <x v="13"/>
  </r>
  <r>
    <x v="14"/>
    <s v="JULHO"/>
    <s v="HSERV COMBINADOS"/>
    <s v="MAC LUCER - MAITA (MENSAL) -20/07/2025 -RESIDENCIAL MAITÁ APTO 073 (contrato-170) PARCELA 16/27"/>
    <n v="-2955.36"/>
    <x v="0"/>
    <x v="33"/>
  </r>
  <r>
    <x v="0"/>
    <s v="JULHO"/>
    <s v="HSERV CLEAN"/>
    <s v="J.E. COMERCIO E SOLUCOES LTDA NF 10.676"/>
    <n v="-879.16"/>
    <x v="0"/>
    <x v="4"/>
  </r>
  <r>
    <x v="0"/>
    <s v="JULHO"/>
    <s v="HSERV CLEAN"/>
    <s v="J.E. COMERCIO E SOLUCOES LTDA- NF 10.679"/>
    <n v="-1093.9000000000001"/>
    <x v="0"/>
    <x v="4"/>
  </r>
  <r>
    <x v="14"/>
    <s v="JULHO"/>
    <s v="HSERV CABREUVA"/>
    <s v="JESAIAS ROMANHA -PROC 0010363-38.2022.5.15.0097 - ISABEL MACHADO PARCELA 2/8"/>
    <n v="-50000"/>
    <x v="0"/>
    <x v="34"/>
  </r>
  <r>
    <x v="0"/>
    <s v="JULHO"/>
    <s v="HSERV TERCEIRIZADOS"/>
    <s v="RAFAEL MOREIRA ANDRELINO"/>
    <n v="-194.79"/>
    <x v="0"/>
    <x v="6"/>
  </r>
  <r>
    <x v="0"/>
    <s v="JULHO"/>
    <s v="HSERV TERCEIRIZADOS"/>
    <s v="LOTUS CENTRAL DE DISTRIBUICAO DE HIGIENICOS LTDA NF 138.143"/>
    <n v="-1800.31"/>
    <x v="0"/>
    <x v="4"/>
  </r>
  <r>
    <x v="0"/>
    <s v="JULHO"/>
    <s v="HSERV CABREUVA"/>
    <s v="CAIXA CARTOES PRE-PAGOS S.A.- VALE TRANSPORTE COLABORADORES -VIAÇÕES"/>
    <n v="-11132.93"/>
    <x v="0"/>
    <x v="7"/>
  </r>
  <r>
    <x v="0"/>
    <s v="JULHO"/>
    <s v="HSERV CLEAN"/>
    <s v="CAIXA CARTOES PRE-PAGOS S.A.- VALE TRANSPORTE COLABORADORES -VIAÇÕES"/>
    <n v="-2223.9"/>
    <x v="0"/>
    <x v="7"/>
  </r>
  <r>
    <x v="0"/>
    <s v="JULHO"/>
    <s v="HSERV LIMPEZA"/>
    <s v="CAIXA CARTOES PRE-PAGOS S.A.- VALE TRANSPORTE COLABORADORES -VIAÇÕES"/>
    <n v="-217.38"/>
    <x v="0"/>
    <x v="7"/>
  </r>
  <r>
    <x v="0"/>
    <s v="JULHO"/>
    <s v="HSERV REPRESENTACOES"/>
    <s v="CAIXA CARTOES PRE-PAGOS S.A.- VALE TRANSPORTE COLABORADORES -VIAÇÕES"/>
    <n v="-1076.56"/>
    <x v="0"/>
    <x v="7"/>
  </r>
  <r>
    <x v="0"/>
    <s v="JULHO"/>
    <s v="HSERV TECNOLOGIA"/>
    <s v="CAIXA CARTOES PRE-PAGOS S.A.- VALE TRANSPORTE COLABORADORES -VIAÇÕES"/>
    <n v="-5876.56"/>
    <x v="0"/>
    <x v="7"/>
  </r>
  <r>
    <x v="0"/>
    <s v="JULHO"/>
    <s v="HSERV TERCEIRIZADOS"/>
    <s v="CAIXA CARTOES PRE-PAGOS S.A.- VALE TRANSPORTE COLABORADORES -VIAÇÕES"/>
    <n v="-1627.95"/>
    <x v="0"/>
    <x v="7"/>
  </r>
  <r>
    <x v="0"/>
    <s v="JULHO"/>
    <s v="VITOR DUARTE"/>
    <s v="CAIXA CARTOES PRE-PAGOS S.A.- VALE TRANSPORTE COLABORADORES -VIAÇÕES"/>
    <n v="-22056.55"/>
    <x v="0"/>
    <x v="7"/>
  </r>
  <r>
    <x v="9"/>
    <s v="JULHO"/>
    <s v="VITOR DUARTE"/>
    <s v="CLARO S/A-LINHAS TELEFONICAS"/>
    <n v="-1560.68"/>
    <x v="0"/>
    <x v="35"/>
  </r>
  <r>
    <x v="17"/>
    <s v="AGOSTO"/>
    <s v="HSERV CABREUVA"/>
    <s v="JESAIAS ROMANHA -PROC 0010363-38.2022.5.15.0097 - ISABEL MACHADO PARCELA 3/8"/>
    <n v="-50000"/>
    <x v="0"/>
    <x v="34"/>
  </r>
  <r>
    <x v="18"/>
    <s v="SETEMBRO"/>
    <s v="HSERV CABREUVA"/>
    <s v="JESAIAS ROMANHA -PROC 0010363-38.2022.5.15.0097 - ISABEL MACHADO PARCELA 4/8"/>
    <n v="-50000"/>
    <x v="0"/>
    <x v="34"/>
  </r>
  <r>
    <x v="19"/>
    <s v="OUTUBRO"/>
    <s v="HSERV CABREUVA"/>
    <s v="JESAIAS ROMANHA -PROC 0010363-38.2022.5.15.0097 - ISABEL MACHADO PARCELA 5/8"/>
    <n v="-50000"/>
    <x v="0"/>
    <x v="34"/>
  </r>
  <r>
    <x v="20"/>
    <s v="NOVEMBRO"/>
    <s v="HSERV CABREUVA"/>
    <s v="JESAIAS ROMANHA -PROC 0010363-38.2022.5.15.0097 - ISABEL MACHADO PARCELA 6/8"/>
    <n v="-50000"/>
    <x v="0"/>
    <x v="34"/>
  </r>
  <r>
    <x v="21"/>
    <s v="DEZEMBRO"/>
    <s v="HSERV CABREUVA"/>
    <s v="ACORDO TRABALHISTA - ISABEL MACHADO PARCELA 6/6"/>
    <n v="-65000"/>
    <x v="0"/>
    <x v="34"/>
  </r>
  <r>
    <x v="14"/>
    <s v="JULHO"/>
    <s v="VITOR DUARTE"/>
    <s v="ARGENTON E QUEIROZ ADVOGADOS ASSOCIADOS- Proc 0012026-51.2024.5.15.0097 Reclamante: SIMONE DA SILVA CORREIA PARCELA 2/6"/>
    <n v="-268.92"/>
    <x v="0"/>
    <x v="34"/>
  </r>
  <r>
    <x v="14"/>
    <s v="JULHO"/>
    <s v="HENRIQUE JEAN ND"/>
    <s v="IMOVEL NEX ONE "/>
    <n v="-8937.32"/>
    <x v="0"/>
    <x v="10"/>
  </r>
  <r>
    <x v="22"/>
    <s v="JULHO"/>
    <s v="VITOR DUARTE"/>
    <s v="VIVA FOOD R E LTDA"/>
    <n v="-17235"/>
    <x v="0"/>
    <x v="2"/>
  </r>
  <r>
    <x v="22"/>
    <s v="JULHO"/>
    <s v="HSERV CLEAN"/>
    <s v="AUTO POSTO JARDIM DAS HORTENCIAS NF 869"/>
    <n v="-4943.53"/>
    <x v="0"/>
    <x v="20"/>
  </r>
  <r>
    <x v="15"/>
    <s v="JULHO"/>
    <s v="H SERV CLEAN"/>
    <s v="BENEFICIO SOCIAL SINDICAL- VENCIMENTO 10/06/2025"/>
    <n v="-367.08"/>
    <x v="0"/>
    <x v="14"/>
  </r>
  <r>
    <x v="15"/>
    <s v="JULHO"/>
    <s v="HSERV REPRESENTACOES"/>
    <s v="BENEFICIO SOCIAL SINDICAL- VENCIMENTO 10/06/2025"/>
    <n v="-303.24"/>
    <x v="0"/>
    <x v="14"/>
  </r>
  <r>
    <x v="15"/>
    <s v="JULHO"/>
    <s v="HENRIQUE  DUARTE"/>
    <s v="BENEFICIO SOCIAL SINDICAL- VENCIMENTO 10/06/2025"/>
    <n v="-845.88"/>
    <x v="0"/>
    <x v="14"/>
  </r>
  <r>
    <x v="15"/>
    <s v="JULHO"/>
    <s v="VITOR DUARTE "/>
    <s v="BENEFICIO SOCIAL SINDICAL- VENCIMENTO 10/06/2025"/>
    <n v="-143.63999999999999"/>
    <x v="0"/>
    <x v="14"/>
  </r>
  <r>
    <x v="15"/>
    <s v="JULHO"/>
    <s v="HSERV CABREUVA"/>
    <s v="BENEFICIO SOCIAL SINDICAL- VENCIMENTO 10/06/2025"/>
    <n v="-63.84"/>
    <x v="0"/>
    <x v="14"/>
  </r>
  <r>
    <x v="15"/>
    <s v="JULHO"/>
    <s v="HSERV TERCEIRIZADOS "/>
    <s v="BENEFICIO SOCIAL SINDICAL- VENCIMENTO 10/06/2025"/>
    <n v="-95.76"/>
    <x v="0"/>
    <x v="14"/>
  </r>
  <r>
    <x v="15"/>
    <s v="JULHO"/>
    <s v="HSERV COMBINADOS "/>
    <s v="BENEFICIO SOCIAL SINDICAL- VENCIMENTO 10/06/2025"/>
    <n v="-957.6"/>
    <x v="0"/>
    <x v="14"/>
  </r>
  <r>
    <x v="15"/>
    <s v="JULHO"/>
    <s v="HSERV TECNOLOGIA "/>
    <s v="BENEFICIO SOCIAL SINDICAL- VENCIMENTO 10/06/2025"/>
    <n v="-63.84"/>
    <x v="0"/>
    <x v="14"/>
  </r>
  <r>
    <x v="15"/>
    <s v="JULHO"/>
    <s v="HSERV LIMPEZA "/>
    <s v="BENEFICIO SOCIAL SINDICAL- VENCIMENTO 10/06/2025"/>
    <n v="-223.44"/>
    <x v="0"/>
    <x v="14"/>
  </r>
  <r>
    <x v="16"/>
    <s v="JULHO"/>
    <s v="HENRIQUE JEAN"/>
    <s v="VERA LUCIA FELIX DE OLIVEIRA"/>
    <n v="-1262.8699999999999"/>
    <x v="0"/>
    <x v="6"/>
  </r>
  <r>
    <x v="16"/>
    <s v="JULHO"/>
    <s v="VITOR DUARTE"/>
    <s v="VANDERLEI APARECIDO SOARES DOS SANTOS"/>
    <n v="-1580.18"/>
    <x v="0"/>
    <x v="6"/>
  </r>
  <r>
    <x v="16"/>
    <s v="JULHO"/>
    <s v="VITOR DUARTE"/>
    <s v="ADRIANA APARECIDA DA SILVA"/>
    <n v="-8.42"/>
    <x v="0"/>
    <x v="6"/>
  </r>
  <r>
    <x v="16"/>
    <s v="JULHO"/>
    <s v="HSERV TERCEIRIZADOS"/>
    <s v="LOTUS CENTRAL DE DISTRIBUICAO DE HIGIENICOS LTDA NF 140.263"/>
    <n v="-357.72"/>
    <x v="0"/>
    <x v="4"/>
  </r>
  <r>
    <x v="22"/>
    <s v="JULHO"/>
    <s v="VITOR DUARTE"/>
    <s v="GADE CORPORATIVA"/>
    <n v="-545.28"/>
    <x v="0"/>
    <x v="21"/>
  </r>
  <r>
    <x v="22"/>
    <s v="JULHO"/>
    <s v="VITOR DUARTE"/>
    <s v="OPEN IT GROUP- ESCRITORIO"/>
    <n v="-154.9"/>
    <x v="0"/>
    <x v="36"/>
  </r>
  <r>
    <x v="22"/>
    <s v="JULHO"/>
    <s v="VITOR DUARTE"/>
    <s v="OPEN IT GROUP-LOJA CLEAN "/>
    <n v="-139.9"/>
    <x v="0"/>
    <x v="36"/>
  </r>
  <r>
    <x v="23"/>
    <s v="AGOSTO"/>
    <s v="HSERV CABREUVA"/>
    <s v="JAIR RÉ-COMISSAO MARÇO "/>
    <n v="-810.56"/>
    <x v="0"/>
    <x v="17"/>
  </r>
  <r>
    <x v="23"/>
    <s v="AGOSTO"/>
    <s v="HSERV CABREUVA"/>
    <s v="JAIR RÉ-COMISSAO JULHO"/>
    <n v="-2014.2"/>
    <x v="0"/>
    <x v="17"/>
  </r>
  <r>
    <x v="22"/>
    <s v="JULHO"/>
    <s v="HSERV COMBINADOS"/>
    <s v="MAC LUCER - VINEA (MENSAL) PARCELA 13- VINEA -Apto 004 (contrato-95)"/>
    <n v="-1925.16"/>
    <x v="0"/>
    <x v="33"/>
  </r>
  <r>
    <x v="12"/>
    <s v="JULHO"/>
    <s v="HSERV COMBINADOS"/>
    <s v="MARIA DE JESUS SANTOS"/>
    <n v="-291"/>
    <x v="0"/>
    <x v="7"/>
  </r>
  <r>
    <x v="12"/>
    <s v="JULHO"/>
    <s v="HSERV COMBINADOS"/>
    <s v="PALOMA CARVALHO PINHEIRO"/>
    <n v="-108"/>
    <x v="0"/>
    <x v="7"/>
  </r>
  <r>
    <x v="12"/>
    <s v="JULHO"/>
    <s v="HSERV COMBINADOS"/>
    <s v="FABIO NOGUEIRA DA SILVA LOPES"/>
    <n v="-110.7"/>
    <x v="0"/>
    <x v="7"/>
  </r>
  <r>
    <x v="12"/>
    <s v="JULHO"/>
    <s v="VITOR DUARTE"/>
    <s v="DANIELE VIEIRA DA SILVA"/>
    <n v="-160"/>
    <x v="0"/>
    <x v="7"/>
  </r>
  <r>
    <x v="0"/>
    <s v="JULHO"/>
    <s v="VITOR DUARTE"/>
    <s v="CHEQUES DR DUARTE"/>
    <n v="-9980"/>
    <x v="0"/>
    <x v="18"/>
  </r>
  <r>
    <x v="24"/>
    <s v="JULHO"/>
    <s v="HENRIQUE JEAN"/>
    <s v="SIND DAS EMP DE PREST DE SER T C A M O T T NO E DE SP"/>
    <n v="-630"/>
    <x v="0"/>
    <x v="14"/>
  </r>
  <r>
    <x v="25"/>
    <s v="JULHO"/>
    <s v="VITOR DUARTE"/>
    <s v="NEXTI DESENVOLVIMENTO DE SISTEMAS S.A."/>
    <n v="-1689.04"/>
    <x v="0"/>
    <x v="21"/>
  </r>
  <r>
    <x v="25"/>
    <s v="JULHO"/>
    <s v="VITOR DUARTE"/>
    <s v="NEXTI DESENVOLVIMENTO DE SISTEMAS S.A."/>
    <n v="-2644.76"/>
    <x v="0"/>
    <x v="21"/>
  </r>
  <r>
    <x v="15"/>
    <s v="JULHO"/>
    <s v="VITOR DUARTE"/>
    <s v="CHEQUES DR DUARTE"/>
    <n v="-9980"/>
    <x v="0"/>
    <x v="18"/>
  </r>
  <r>
    <x v="26"/>
    <s v="AGOSTO"/>
    <s v="HSERV CLEAN"/>
    <s v="SPARTAN DO BRASIL PRODUTOS QUIMICOS LTDA- NF 258.675"/>
    <n v="-9520.2900000000009"/>
    <x v="0"/>
    <x v="4"/>
  </r>
  <r>
    <x v="27"/>
    <s v="SETEMBRO"/>
    <s v="COMBINADOS"/>
    <s v="CBM TOWER -RATEIO MENSAL"/>
    <n v="-1500"/>
    <x v="0"/>
    <x v="33"/>
  </r>
  <r>
    <x v="27"/>
    <s v="SETEMBRO"/>
    <s v="COMBINADOS"/>
    <s v="CBM TOWER -TAXA DE CONDOMINIO"/>
    <n v="-200"/>
    <x v="0"/>
    <x v="33"/>
  </r>
  <r>
    <x v="28"/>
    <s v="SETEMBRO"/>
    <s v="COMBINADOS"/>
    <s v="CBM TOWER -RATEIO MENSAL"/>
    <n v="-1500"/>
    <x v="0"/>
    <x v="33"/>
  </r>
  <r>
    <x v="28"/>
    <s v="SETEMBRO"/>
    <s v="COMBINADOS"/>
    <s v="CBM TOWER -TAXA DE CONDOMINIO"/>
    <n v="-200"/>
    <x v="0"/>
    <x v="33"/>
  </r>
  <r>
    <x v="29"/>
    <s v="OUTUBRO"/>
    <s v="COMBINADOS"/>
    <s v="CBM TOWER -RATEIO MENSAL"/>
    <n v="-1500"/>
    <x v="0"/>
    <x v="33"/>
  </r>
  <r>
    <x v="29"/>
    <s v="OUTUBRO"/>
    <s v="COMBINADOS"/>
    <s v="CBM TOWER -TAXA DE CONDOMINIO"/>
    <n v="-200"/>
    <x v="0"/>
    <x v="33"/>
  </r>
  <r>
    <x v="30"/>
    <s v="NOVEMBRO"/>
    <s v="COMBINADOS"/>
    <s v="CBM TOWER -RATEIO MENSAL"/>
    <n v="-1500"/>
    <x v="0"/>
    <x v="33"/>
  </r>
  <r>
    <x v="30"/>
    <s v="NOVEMBRO"/>
    <s v="COMBINADOS"/>
    <s v="CBM TOWER -TAXA DE CONDOMINIO"/>
    <n v="-200"/>
    <x v="0"/>
    <x v="33"/>
  </r>
  <r>
    <x v="31"/>
    <s v="DEZEMBRO"/>
    <s v="COMBINADOS"/>
    <s v="CBM TOWER -RATEIO MENSAL"/>
    <n v="-1500"/>
    <x v="0"/>
    <x v="33"/>
  </r>
  <r>
    <x v="31"/>
    <s v="DEZEMBRO"/>
    <s v="COMBINADOS"/>
    <s v="CBM TOWER -TAXA DE CONDOMINIO"/>
    <n v="-200"/>
    <x v="0"/>
    <x v="33"/>
  </r>
  <r>
    <x v="32"/>
    <s v="AGOSTO"/>
    <s v="HSERV COMBINADOS"/>
    <s v="PAMELA GREICE MARINHO ROCHA-UBER FISCAL DAVI DO RIO ACIMA E DANIEL DA VARZEA PAULISTA  - JUNDIAI  LOJA 08 -APOIO EXTRA-  CAIXINHA PARA CONDUÇÃO DE APOIOS EXTRAS LOJA 08"/>
    <n v="-111.89"/>
    <x v="0"/>
    <x v="37"/>
  </r>
  <r>
    <x v="24"/>
    <s v="JULHO"/>
    <s v="HENRIQUE JEAN"/>
    <s v="NILDA FERREIRA SOBRINHO"/>
    <n v="-2198.9"/>
    <x v="0"/>
    <x v="38"/>
  </r>
  <r>
    <x v="24"/>
    <s v="JULHO"/>
    <s v="HENRIQUE JEAN"/>
    <s v="MAURA VILELA PINTO"/>
    <n v="-2926.15"/>
    <x v="0"/>
    <x v="38"/>
  </r>
  <r>
    <x v="24"/>
    <s v="JULHO"/>
    <s v="HSERV CABREUVA"/>
    <s v="MARIA INES VERDEIRO"/>
    <n v="-2484.92"/>
    <x v="0"/>
    <x v="38"/>
  </r>
  <r>
    <x v="24"/>
    <s v="JULHO"/>
    <s v="HSERV CLEAN"/>
    <s v="WILLIAN KIOSHI NEVES SAKAI"/>
    <n v="-3034.93"/>
    <x v="0"/>
    <x v="38"/>
  </r>
  <r>
    <x v="24"/>
    <s v="JULHO"/>
    <s v="HSERV CLEAN"/>
    <s v="JOSE DAVI DOS SANTOS MEDEIROS"/>
    <n v="-2902.63"/>
    <x v="0"/>
    <x v="38"/>
  </r>
  <r>
    <x v="24"/>
    <s v="JULHO"/>
    <s v="HSERV COMBINADOS"/>
    <s v="GUSTAVO AMARANTE DA SILVA"/>
    <n v="-3185.1"/>
    <x v="0"/>
    <x v="38"/>
  </r>
  <r>
    <x v="24"/>
    <s v="JULHO"/>
    <s v="HSERV COMBINADOS"/>
    <s v="REGINA DE SOUZA"/>
    <n v="-2701.72"/>
    <x v="0"/>
    <x v="38"/>
  </r>
  <r>
    <x v="24"/>
    <s v="JULHO"/>
    <s v="HSERV COMBINADOS"/>
    <s v="CICERA MATOS DA SILVA"/>
    <n v="-2634.1"/>
    <x v="0"/>
    <x v="38"/>
  </r>
  <r>
    <x v="24"/>
    <s v="JULHO"/>
    <s v="HSERV COMBINADOS"/>
    <s v="VANDERLEIA BISPO DE SOUZA"/>
    <n v="-2117.89"/>
    <x v="0"/>
    <x v="38"/>
  </r>
  <r>
    <x v="24"/>
    <s v="JULHO"/>
    <s v="HSERV LIMPEZA"/>
    <s v="Lucineia de Souza Megueiro"/>
    <n v="-2703.07"/>
    <x v="0"/>
    <x v="38"/>
  </r>
  <r>
    <x v="24"/>
    <s v="JULHO"/>
    <s v="HSERV REPRESENTACOES"/>
    <s v="SANDRO HELENO DE OLIVEIRA"/>
    <n v="-2931.59"/>
    <x v="0"/>
    <x v="38"/>
  </r>
  <r>
    <x v="24"/>
    <s v="JULHO"/>
    <s v="HSERV TECNOLOGIA"/>
    <s v="PATRICIA PEREIRA DOS SANTOS"/>
    <n v="-2958.07"/>
    <x v="0"/>
    <x v="38"/>
  </r>
  <r>
    <x v="24"/>
    <s v="JULHO"/>
    <s v="HSERV TERCEIRIZADOS"/>
    <s v="MANOEL FREIRE SANTOS"/>
    <n v="-2106.31"/>
    <x v="0"/>
    <x v="38"/>
  </r>
  <r>
    <x v="24"/>
    <s v="JULHO"/>
    <s v="VITOR DUARTE"/>
    <s v="FABIOLA FARIAS FELIX"/>
    <n v="-4725"/>
    <x v="0"/>
    <x v="38"/>
  </r>
  <r>
    <x v="24"/>
    <s v="JULHO"/>
    <s v="VITOR DUARTE"/>
    <s v="IFOOD.COM AGENCIA DE RESTAURANTES ONLINE S.A.-VALDILMA,GILBERTO,LAURINDA E FABIA"/>
    <n v="-726.6"/>
    <x v="0"/>
    <x v="39"/>
  </r>
  <r>
    <x v="24"/>
    <s v="JULHO"/>
    <s v="HSERV COMBINADOS"/>
    <s v="GRRF MARIA LUCIA SOUSA SANTOS"/>
    <n v="-141.81"/>
    <x v="0"/>
    <x v="6"/>
  </r>
  <r>
    <x v="24"/>
    <s v="JULHO"/>
    <s v="HSERV COMBINADOS"/>
    <s v="MARIA APARECIDA DOS SANTOS ROCHA"/>
    <n v="-952.95"/>
    <x v="0"/>
    <x v="6"/>
  </r>
  <r>
    <x v="24"/>
    <s v="JULHO"/>
    <s v="HSERV TECNOLOGIA"/>
    <s v="ELENILZA PATRICIA ALMEIDA DUARTE"/>
    <n v="-1987.42"/>
    <x v="0"/>
    <x v="6"/>
  </r>
  <r>
    <x v="32"/>
    <s v="AGOSTO"/>
    <s v="HSERV COMBINADOS"/>
    <s v="PAMELA GREICE MARINHO ROCHA- JONATHAN PRECISAVA IR PARA VALINHOS, O POSTO DE GASOLINA FECHOU- UBER DO BOA VALINHOS PARA VILA NAMBI  FISCAL FABIO E ASG FLAVIA KELLY"/>
    <n v="-214.13"/>
    <x v="0"/>
    <x v="37"/>
  </r>
  <r>
    <x v="33"/>
    <s v="AGOSTO"/>
    <s v="VITOR DUARTE"/>
    <s v="CLAUDIO JESUS DE ALMEIDA ADVOGADOS ASSOCIADOS-Proc 0011865-05.2024.5.15.0109- ADRILENE PEREIRA DA SILVA-PARCELA 2/6"/>
    <n v="-1500"/>
    <x v="0"/>
    <x v="34"/>
  </r>
  <r>
    <x v="28"/>
    <s v="SETEMBRO"/>
    <s v="VITOR DUARTE"/>
    <s v="CLAUDIO JESUS DE ALMEIDA ADVOGADOS ASSOCIADOS-Proc 0011865-05.2024.5.15.0109- ADRILENE PEREIRA DA SILVA-PARCELA 3/6"/>
    <n v="-1500"/>
    <x v="0"/>
    <x v="34"/>
  </r>
  <r>
    <x v="29"/>
    <s v="OUTUBRO"/>
    <s v="VITOR DUARTE"/>
    <s v="CLAUDIO JESUS DE ALMEIDA ADVOGADOS ASSOCIADOS-Proc 0011865-05.2024.5.15.0109- ADRILENE PEREIRA DA SILVA-PARCELA 4/6"/>
    <n v="-1500"/>
    <x v="0"/>
    <x v="34"/>
  </r>
  <r>
    <x v="30"/>
    <s v="NOVEMBRO"/>
    <s v="VITOR DUARTE"/>
    <s v="CLAUDIO JESUS DE ALMEIDA ADVOGADOS ASSOCIADOS-Proc 0011865-05.2024.5.15.0109- ADRILENE PEREIRA DA SILVA-PARCELA 5/6"/>
    <n v="-1500"/>
    <x v="0"/>
    <x v="34"/>
  </r>
  <r>
    <x v="31"/>
    <s v="DEZEMBRO"/>
    <s v="VITOR DUARTE"/>
    <s v="CLAUDIO JESUS DE ALMEIDA ADVOGADOS ASSOCIADOS-Proc 0011865-05.2024.5.15.0109- ADRILENE PEREIRA DA SILVA-PARCELA 6/6"/>
    <n v="-1500"/>
    <x v="0"/>
    <x v="34"/>
  </r>
  <r>
    <x v="24"/>
    <s v="JULHO"/>
    <s v="VITOR DUARTE"/>
    <s v="CLAUDIO JESUS DE ALMEIDA ADVOGADOS ASSOCIADOS-Proc 0011865-05.2024.5.15.0109- ADRILENE PEREIRA DA SILVA-PARCELA 1/6"/>
    <n v="-1500"/>
    <x v="0"/>
    <x v="34"/>
  </r>
  <r>
    <x v="24"/>
    <s v="JULHO"/>
    <s v="HSERV CABREUVA"/>
    <s v="OKUYAMA &amp; ALVES SOCIEDADE DE ADVOGADOS-PROC 0012360-22.2024.5.15.0021 ADRIANA TEIXEIRA DE OLIVEIRA PARCELA 1/8"/>
    <n v="-2000"/>
    <x v="0"/>
    <x v="34"/>
  </r>
  <r>
    <x v="33"/>
    <s v="AGOSTO"/>
    <s v="HSERV CABREUVA"/>
    <s v="OKUYAMA &amp; ALVES SOCIEDADE DE ADVOGADOS-PROC 0012360-22.2024.5.15.0021 ADRIANA TEIXEIRA DE OLIVEIRA PARCELA 2/8"/>
    <n v="-2000"/>
    <x v="0"/>
    <x v="34"/>
  </r>
  <r>
    <x v="28"/>
    <s v="SETEMBRO"/>
    <s v="HSERV CABREUVA"/>
    <s v="OKUYAMA &amp; ALVES SOCIEDADE DE ADVOGADOS-PROC 0012360-22.2024.5.15.0021 ADRIANA TEIXEIRA DE OLIVEIRA PARCELA 3/8"/>
    <n v="-2000"/>
    <x v="0"/>
    <x v="34"/>
  </r>
  <r>
    <x v="29"/>
    <s v="OUTUBRO"/>
    <s v="HSERV CABREUVA"/>
    <s v="OKUYAMA &amp; ALVES SOCIEDADE DE ADVOGADOS-PROC 0012360-22.2024.5.15.0021 ADRIANA TEIXEIRA DE OLIVEIRA PARCELA 4/8"/>
    <n v="-2000"/>
    <x v="0"/>
    <x v="34"/>
  </r>
  <r>
    <x v="30"/>
    <s v="NOVEMBRO"/>
    <s v="HSERV CABREUVA"/>
    <s v="OKUYAMA &amp; ALVES SOCIEDADE DE ADVOGADOS-PROC 0012360-22.2024.5.15.0021 ADRIANA TEIXEIRA DE OLIVEIRA PARCELA 5/8"/>
    <n v="-2000"/>
    <x v="0"/>
    <x v="34"/>
  </r>
  <r>
    <x v="31"/>
    <s v="DEZEMBRO"/>
    <s v="HSERV CABREUVA"/>
    <s v="OKUYAMA &amp; ALVES SOCIEDADE DE ADVOGADOS-PROC 0012360-22.2024.5.15.0021 ADRIANA TEIXEIRA DE OLIVEIRA PARCELA 6/8"/>
    <n v="-2000"/>
    <x v="0"/>
    <x v="34"/>
  </r>
  <r>
    <x v="24"/>
    <s v="JULHO"/>
    <s v="HSERV CLEAN"/>
    <s v="HM MAQ COMERCIO E ASSISTENCIA TECNICA INDUSTRIAL"/>
    <n v="-875.98"/>
    <x v="0"/>
    <x v="5"/>
  </r>
  <r>
    <x v="24"/>
    <s v="JULHO"/>
    <s v="VITOR DUARTE"/>
    <s v="CHEQUES DR DUARTE"/>
    <n v="-12331.74"/>
    <x v="0"/>
    <x v="18"/>
  </r>
  <r>
    <x v="24"/>
    <s v="JULHO"/>
    <s v="HSERV CABREUVA"/>
    <s v="SIMPLES NACIONAL-PARCELAMENTO"/>
    <n v="-32356.7"/>
    <x v="0"/>
    <x v="32"/>
  </r>
  <r>
    <x v="24"/>
    <s v="JULHO"/>
    <s v="HSERV CABREUVA"/>
    <s v="IFOOD BENEFICIOS - VALE COMBUSTIVEL 1 QUINZENA DE AGOSTO"/>
    <n v="-6924.55"/>
    <x v="0"/>
    <x v="26"/>
  </r>
  <r>
    <x v="25"/>
    <s v="JULHO"/>
    <s v="VITOR DUARTE"/>
    <s v="54.055.078 MATHEUS PEIXOTO DE OLIVEIRA"/>
    <n v="-1500"/>
    <x v="0"/>
    <x v="40"/>
  </r>
  <r>
    <x v="32"/>
    <s v="AGOSTO"/>
    <s v="VITOR DUARTE"/>
    <s v="ADEMIR- IMPRESSÃO E IMPRESSORA-ALUGUEL IMPRESSORA"/>
    <n v="-100"/>
    <x v="0"/>
    <x v="41"/>
  </r>
  <r>
    <x v="25"/>
    <s v="JULHO"/>
    <s v="HSERV TERCEIRIZADOS"/>
    <s v="RFP MATERIAIS PARA CONSTRUCAO LTDA NF 138143-MERCADORIA PARA REVENDA"/>
    <n v="-387.74"/>
    <x v="0"/>
    <x v="5"/>
  </r>
  <r>
    <x v="25"/>
    <s v="JULHO"/>
    <s v="HSERV TERCEIRIZADOS"/>
    <s v="WIG COMERCIO DE BATERIAS E COMP. LTDA NF 553 BATERIAS PARA B70"/>
    <n v="-1330"/>
    <x v="0"/>
    <x v="5"/>
  </r>
  <r>
    <x v="34"/>
    <s v="SETEMBRO"/>
    <s v="VITOR DUARTE"/>
    <s v="DEVOLUÇÃO APORTE VITOR - APORTE 16/12 "/>
    <n v="-56900"/>
    <x v="0"/>
    <x v="33"/>
  </r>
  <r>
    <x v="24"/>
    <s v="JULHO"/>
    <s v="VITOR DUARTE"/>
    <s v="PARCELAMENTO - VITOR DUARTE  DEBITO PREVIDENCIARIO-GPS JULHO A NOVEMBRO DE 2024- VENCIMENTO 30/07/2025"/>
    <n v="-6479.07"/>
    <x v="0"/>
    <x v="32"/>
  </r>
  <r>
    <x v="24"/>
    <s v="JULHO"/>
    <s v="HSERV CLEAN"/>
    <s v="GUIA DE PARCELAMENTO DE DIVIDA ATIVA HSERV CLEAN"/>
    <n v="-547.91999999999996"/>
    <x v="0"/>
    <x v="32"/>
  </r>
  <r>
    <x v="16"/>
    <s v="JULHO"/>
    <s v="HSERV CABREUVA"/>
    <s v="MARIA INES VERDEIRO fazer 4 dias  R$49,20 R$12,30 POR DIA  vencedor"/>
    <n v="-49.2"/>
    <x v="0"/>
    <x v="7"/>
  </r>
  <r>
    <x v="16"/>
    <s v="JULHO"/>
    <s v="HSERV COMBINADOS"/>
    <s v="LINDIMAR FERREIRA DOS SANTOS-VALE TRANSPORTE PARA FINALIZAR O MES  R$11,80 POR DIA  CAMPO LIMPO"/>
    <n v="-118"/>
    <x v="0"/>
    <x v="7"/>
  </r>
  <r>
    <x v="16"/>
    <s v="JULHO"/>
    <s v="VITOR DUARTE"/>
    <s v="JOSE ADILSON LIMA BATISTA -VALE TRANSPORTE DO DIA 24/07 AO DIA 31/07 R$12,30 POR D"/>
    <n v="-86.1"/>
    <x v="0"/>
    <x v="7"/>
  </r>
  <r>
    <x v="24"/>
    <s v="JULHO"/>
    <s v="HSERV CLEAN"/>
    <s v="GUIA DE IRRF_1708_07.2024 - HSERV CLEAN- VEPAKUM"/>
    <n v="-896.2"/>
    <x v="0"/>
    <x v="32"/>
  </r>
  <r>
    <x v="24"/>
    <s v="JULHO"/>
    <s v="HSERV CLEAN"/>
    <s v="GUIA DE CSRF_1708_07.2024 - HSERV CLEAN- VEPAKUM"/>
    <n v="-4167.3599999999997"/>
    <x v="0"/>
    <x v="32"/>
  </r>
  <r>
    <x v="24"/>
    <s v="JULHO"/>
    <s v="HSERV CABREUVA"/>
    <s v="GUIA DE PARCELAMENTO- ENTRADA PARC_SIMPLES NACIONAL_DIVIDA ATIVA  HSERV CABREUVA"/>
    <n v="-1584.61"/>
    <x v="0"/>
    <x v="32"/>
  </r>
  <r>
    <x v="24"/>
    <s v="JULHO"/>
    <s v="HSERV COMBINADOS "/>
    <s v="GUIA DE PARCELAMENTO- ENTRADA PARC_SIMPLES NACIONAL_DIVIDA ATIVA HSERV COMBINADOS"/>
    <n v="-744.15"/>
    <x v="0"/>
    <x v="32"/>
  </r>
  <r>
    <x v="24"/>
    <s v="JULHO"/>
    <s v="HENRIQUE JEAN"/>
    <s v="PARCELAMENTO SIMPLICADO- HENRIQUE JEAN DEBITO PREVIDENCIARIO  VENCIMENTO 30/07/2025"/>
    <n v="-527.71"/>
    <x v="0"/>
    <x v="32"/>
  </r>
  <r>
    <x v="24"/>
    <s v="JULHO"/>
    <s v="HSERV COMBINADOS"/>
    <s v="PARCELAMENTO SIMPLICADO- HSERV COMBINADOS  DEBITO PREVIDENCIARIO - VENCIMENTO 30/07/2025"/>
    <n v="-511.22"/>
    <x v="0"/>
    <x v="32"/>
  </r>
  <r>
    <x v="24"/>
    <s v="JULHO"/>
    <s v="VITOR DUARTE"/>
    <s v="PARCELAMENTO - VITOR DUARTE  DEBITO PREVIDENCIARIO-GPS DEZEMBRO A FEVEREIRO DE 2025- VENCIMENTO 30/07/2025"/>
    <n v="-4331.1099999999997"/>
    <x v="0"/>
    <x v="32"/>
  </r>
  <r>
    <x v="24"/>
    <s v="JULHO"/>
    <s v="HSERV REPRESENTAÇÃO "/>
    <s v="PARCELAMENTO SIMPLICADO- HSERV REPRESENTAÇÃO  DEBITO PREVIDENCIARIO  - VENCIMENTO 30/07/2025"/>
    <n v="-521.20000000000005"/>
    <x v="0"/>
    <x v="32"/>
  </r>
  <r>
    <x v="24"/>
    <s v="JULHO"/>
    <s v="HSERV LIMPEZA"/>
    <s v="PARCELAMENTO SIMPLICADO- HSERV LIMPEZA - DEBITO PREVIDENCIARIO  - VENCIMENTO 30/07/2025"/>
    <n v="-525.48"/>
    <x v="0"/>
    <x v="32"/>
  </r>
  <r>
    <x v="25"/>
    <s v="JULHO"/>
    <s v="HSERV CLEAN"/>
    <s v="PARCELA CREDITO PESSOAL CONTR 016721926 PARC"/>
    <n v="-1719.53"/>
    <x v="0"/>
    <x v="25"/>
  </r>
  <r>
    <x v="25"/>
    <s v="JULHO"/>
    <s v="HSERV CABREUVA"/>
    <s v="PARCELA CREDITO PESSOAL CONTR 016721926 PARC"/>
    <n v="-1392.65"/>
    <x v="0"/>
    <x v="25"/>
  </r>
  <r>
    <x v="1"/>
    <s v="JULHO"/>
    <s v="TECNOLOGIA"/>
    <s v="INTERBRILHO HIGIENE E LIMPEZA LTDA"/>
    <n v="900"/>
    <x v="1"/>
    <x v="3"/>
  </r>
  <r>
    <x v="1"/>
    <s v="JULHO"/>
    <s v="TECNOLOGIA"/>
    <s v="INTERBRILHO HIGIENE E LIMPEZA LTDA"/>
    <n v="23638.67"/>
    <x v="1"/>
    <x v="3"/>
  </r>
  <r>
    <x v="1"/>
    <s v="JULHO"/>
    <s v="TECNOLOGIA"/>
    <s v="INTERBRILHO HIGIENE E LIMPEZA LTDA"/>
    <n v="2700"/>
    <x v="1"/>
    <x v="3"/>
  </r>
  <r>
    <x v="1"/>
    <s v="JULHO"/>
    <s v="LIMPEZA"/>
    <s v="EDMAR APARECIDO MARTINEZ"/>
    <n v="18532.8"/>
    <x v="1"/>
    <x v="3"/>
  </r>
  <r>
    <x v="1"/>
    <s v="JULHO"/>
    <s v="LIMPEZA"/>
    <s v="EDMAR APARECIDO MARTINEZ"/>
    <n v="799.2"/>
    <x v="1"/>
    <x v="3"/>
  </r>
  <r>
    <x v="1"/>
    <s v="JULHO"/>
    <s v="LIMPEZA"/>
    <s v="EDMAR APARECIDO MARTINEZ"/>
    <n v="1200"/>
    <x v="1"/>
    <x v="3"/>
  </r>
  <r>
    <x v="1"/>
    <s v="JULHO"/>
    <s v="COMBINADOS"/>
    <s v="TECNIPLAS EQUIPAMENTOS EM COMPOSITOS EIR"/>
    <n v="22451.91"/>
    <x v="1"/>
    <x v="3"/>
  </r>
  <r>
    <x v="1"/>
    <s v="JULHO"/>
    <s v="REPRESENTAÇÃO"/>
    <s v="VETTOR TORRES DE RESFRIAMENTO LTDA"/>
    <n v="196"/>
    <x v="1"/>
    <x v="3"/>
  </r>
  <r>
    <x v="1"/>
    <s v="JULHO"/>
    <s v="REPRESENTAÇÃO"/>
    <s v="VETTOR TORRES DE RESFRIAMENTO LTDA"/>
    <n v="1500"/>
    <x v="1"/>
    <x v="3"/>
  </r>
  <r>
    <x v="1"/>
    <s v="JULHO"/>
    <s v="REPRESENTAÇÃO"/>
    <s v="VETTOR PECAS E TUBOS INDUSTRIA E COMERCIO LTDA."/>
    <n v="1200"/>
    <x v="1"/>
    <x v="3"/>
  </r>
  <r>
    <x v="1"/>
    <s v="JULHO"/>
    <s v="REPRESENTAÇÃO"/>
    <s v="VETTOR PECAS E TUBOS INDUSTRIA E COMERCIO LTDA."/>
    <n v="21852.37"/>
    <x v="1"/>
    <x v="3"/>
  </r>
  <r>
    <x v="1"/>
    <s v="JULHO"/>
    <s v="REPRESENTAÇÃO"/>
    <s v="VETTOR PECAS E TUBOS INDUSTRIA E COMERCIO LTDA."/>
    <n v="4683.53"/>
    <x v="1"/>
    <x v="3"/>
  </r>
  <r>
    <x v="1"/>
    <s v="JULHO"/>
    <s v="REPRESENTAÇÃO"/>
    <s v="VETTOR TORRES DE RESFRIAMENTO LTDA"/>
    <n v="23943.3"/>
    <x v="1"/>
    <x v="3"/>
  </r>
  <r>
    <x v="1"/>
    <s v="JULHO"/>
    <s v="REPRESENTAÇÃO"/>
    <s v="VETTOR TORRES DE RESFRIAMENTO LTDA"/>
    <n v="14482.07"/>
    <x v="1"/>
    <x v="3"/>
  </r>
  <r>
    <x v="8"/>
    <s v="JULHO"/>
    <s v="HSERV COMBINADOS "/>
    <s v="FT 2 QUINZENA DE FEVEREIRO"/>
    <n v="-25275.45"/>
    <x v="0"/>
    <x v="13"/>
  </r>
  <r>
    <x v="8"/>
    <s v="JULHO"/>
    <s v="HSERV TERCEIRIZADOS"/>
    <s v="FLORA DISTRIB PROD DE HIGIENE E LIMPEZA LTDA"/>
    <n v="-968.52"/>
    <x v="0"/>
    <x v="4"/>
  </r>
  <r>
    <x v="8"/>
    <s v="JULHO"/>
    <s v="CABREUVA"/>
    <s v="TED 422.0115.KYN C V A L"/>
    <n v="40231.050000000003"/>
    <x v="1"/>
    <x v="3"/>
  </r>
  <r>
    <x v="35"/>
    <s v="JULHO"/>
    <s v="CABREUVA"/>
    <s v="CONDOMINIO PALAZZO VENEZA"/>
    <n v="4880.1400000000003"/>
    <x v="1"/>
    <x v="3"/>
  </r>
  <r>
    <x v="7"/>
    <s v="JULHO"/>
    <s v="REPRESENTAÇÃO"/>
    <s v="TTB INDUSTRIA E COMERCIO DE PRODUTOS MET"/>
    <n v="1106.1400000000001"/>
    <x v="1"/>
    <x v="3"/>
  </r>
  <r>
    <x v="7"/>
    <s v="JULHO"/>
    <s v="REPRESENTAÇÃO"/>
    <s v="TTB INDUSTRIA E COMERCIO DE PRODUTOS MET"/>
    <n v="603.26"/>
    <x v="1"/>
    <x v="3"/>
  </r>
  <r>
    <x v="7"/>
    <s v="JULHO"/>
    <s v="REPRESENTAÇÃO"/>
    <s v="TTB INDUSTRIA E COMERCIO DE PRODUTOS MET"/>
    <n v="9631"/>
    <x v="1"/>
    <x v="3"/>
  </r>
  <r>
    <x v="7"/>
    <s v="JULHO"/>
    <s v="VITOR"/>
    <s v="DEPOSITO SANTA CATARINA LTDA"/>
    <n v="257.81"/>
    <x v="1"/>
    <x v="3"/>
  </r>
  <r>
    <x v="7"/>
    <s v="JULHO"/>
    <s v="VITOR"/>
    <s v="GIFEL"/>
    <n v="680.03"/>
    <x v="1"/>
    <x v="3"/>
  </r>
  <r>
    <x v="7"/>
    <s v="JULHO"/>
    <s v="HENRIQUE JEAN"/>
    <s v="SANTA CASA DE MISERICORDIA DE CABREUVA"/>
    <n v="2800.33"/>
    <x v="1"/>
    <x v="3"/>
  </r>
  <r>
    <x v="7"/>
    <s v="JULHO"/>
    <s v="HENRIQUE JEAN"/>
    <s v="SANTA CASA DE MISERICORDIA DE CABREUVA"/>
    <n v="22930"/>
    <x v="1"/>
    <x v="3"/>
  </r>
  <r>
    <x v="7"/>
    <s v="JULHO"/>
    <s v="CLEAN"/>
    <s v="IMPROVEMENT FIT ACADEMIA LTDA"/>
    <n v="496.96"/>
    <x v="1"/>
    <x v="42"/>
  </r>
  <r>
    <x v="7"/>
    <s v="JULHO"/>
    <s v="HSERV COMBINADOS"/>
    <s v="IMPROVEMENT FIT ACADEMIA LTDA"/>
    <n v="7850"/>
    <x v="1"/>
    <x v="3"/>
  </r>
  <r>
    <x v="7"/>
    <s v="JULHO"/>
    <s v="HSERV LIMPEZA"/>
    <s v="NEW PARK TENIS"/>
    <n v="42961.04"/>
    <x v="1"/>
    <x v="42"/>
  </r>
  <r>
    <x v="7"/>
    <s v="JULHO"/>
    <s v="CLEAN"/>
    <s v="RICARO"/>
    <n v="24988.71"/>
    <x v="1"/>
    <x v="3"/>
  </r>
  <r>
    <x v="7"/>
    <s v="JULHO"/>
    <s v="CLEAN"/>
    <s v="RICARO"/>
    <n v="16834.330000000002"/>
    <x v="1"/>
    <x v="3"/>
  </r>
  <r>
    <x v="7"/>
    <s v="JULHO"/>
    <s v="CLEAN"/>
    <s v="RICARO"/>
    <n v="12459.61"/>
    <x v="1"/>
    <x v="3"/>
  </r>
  <r>
    <x v="3"/>
    <s v="JULHO"/>
    <s v="CLEAN"/>
    <s v="RICARO"/>
    <n v="2284.4499999999998"/>
    <x v="1"/>
    <x v="3"/>
  </r>
  <r>
    <x v="11"/>
    <s v="JULHO"/>
    <s v="CLEAN"/>
    <s v="RICARO"/>
    <n v="268.13"/>
    <x v="1"/>
    <x v="3"/>
  </r>
  <r>
    <x v="11"/>
    <s v="JULHO"/>
    <s v="CLEAN"/>
    <s v="RICARO"/>
    <n v="386"/>
    <x v="1"/>
    <x v="3"/>
  </r>
  <r>
    <x v="11"/>
    <s v="JULHO"/>
    <s v="CLEAN"/>
    <s v="RICARO"/>
    <n v="386"/>
    <x v="1"/>
    <x v="3"/>
  </r>
  <r>
    <x v="7"/>
    <s v="JULHO"/>
    <s v="CLEAN"/>
    <s v="RICARO"/>
    <n v="2284.4499999999998"/>
    <x v="1"/>
    <x v="3"/>
  </r>
  <r>
    <x v="4"/>
    <s v="JULHO"/>
    <s v="VITOR DUARTE"/>
    <s v="AVENIDA -ANTECIPADO DIA 02/07- VENCIMENTO 15/07"/>
    <n v="352449.65"/>
    <x v="1"/>
    <x v="3"/>
  </r>
  <r>
    <x v="10"/>
    <s v="JULHO"/>
    <s v="TERCEIRIZADOS"/>
    <s v="BELLART"/>
    <n v="1200"/>
    <x v="1"/>
    <x v="3"/>
  </r>
  <r>
    <x v="10"/>
    <s v="JULHO"/>
    <s v="TERCEIRIZADOS"/>
    <s v="NEWPARK TENIS"/>
    <n v="1200"/>
    <x v="1"/>
    <x v="3"/>
  </r>
  <r>
    <x v="10"/>
    <s v="JULHO"/>
    <s v="TERCEIRIZADOS"/>
    <s v="BELLART"/>
    <n v="17956.39"/>
    <x v="1"/>
    <x v="3"/>
  </r>
  <r>
    <x v="36"/>
    <s v="AGOSTO"/>
    <s v="LIMPEZA"/>
    <s v="MIPAL INDUSTRIA DE EVAPORADORES LTDA"/>
    <n v="36639.58"/>
    <x v="1"/>
    <x v="3"/>
  </r>
  <r>
    <x v="32"/>
    <s v="AGOSTO"/>
    <s v="CLEAN"/>
    <s v="PLASTY COMERCIAL DE PLASTICOS LTDA"/>
    <n v="2373.8200000000002"/>
    <x v="1"/>
    <x v="3"/>
  </r>
  <r>
    <x v="32"/>
    <s v="AGOSTO"/>
    <s v="CLEAN"/>
    <s v="PLASTY COMERCIAL DE PLASTICOS LTDA"/>
    <n v="5823.82"/>
    <x v="1"/>
    <x v="3"/>
  </r>
  <r>
    <x v="32"/>
    <s v="AGOSTO"/>
    <s v="CLEAN"/>
    <s v="PLASTY COMERCIAL DE PLASTICOS LTDA"/>
    <n v="7526.95"/>
    <x v="1"/>
    <x v="3"/>
  </r>
  <r>
    <x v="32"/>
    <s v="AGOSTO"/>
    <s v="CLEAN"/>
    <s v="PLASTY COMERCIAL DE PLASTICOS LTDA"/>
    <n v="25756.63"/>
    <x v="1"/>
    <x v="3"/>
  </r>
  <r>
    <x v="11"/>
    <s v="JULHO"/>
    <s v="CABREUVA"/>
    <s v="IRMÃOS BOA-ANTECIPAÇÃO"/>
    <n v="908006.92"/>
    <x v="1"/>
    <x v="3"/>
  </r>
  <r>
    <x v="8"/>
    <s v="JULHO"/>
    <s v="HSERV CABREUVA"/>
    <s v="PAPEL E CIA"/>
    <n v="-232.71"/>
    <x v="0"/>
    <x v="43"/>
  </r>
  <r>
    <x v="8"/>
    <s v="JULHO"/>
    <s v="HENRIQUE JEAN"/>
    <s v="MARCIO FERREIRA TOLLER SILVA- 0012057-42.2022.5.15.0097-FELIPE ANGELO DE OLIVEIRA PARCELA 3/3"/>
    <n v="-2333"/>
    <x v="0"/>
    <x v="34"/>
  </r>
  <r>
    <x v="8"/>
    <s v="JULHO"/>
    <s v="HENRIQUE JEAN"/>
    <s v="SANTOS SEPULVEDA SOCIEDADE - PROC 0010895-75.2023.5.15.009 AMANDA BRITO SANTOS PARCELA 3/17"/>
    <n v="-1000"/>
    <x v="0"/>
    <x v="34"/>
  </r>
  <r>
    <x v="11"/>
    <s v="JULHO"/>
    <s v="HENRIQUE JEAN"/>
    <s v="SAMANTHA PATRICIA MACHADO DE GOUVEIA -PROC  nº 0010287-43.2024.5.15.0097-SHEILA PASSALINE FERRAZ- PARCELA 2/4"/>
    <n v="-1000"/>
    <x v="0"/>
    <x v="34"/>
  </r>
  <r>
    <x v="25"/>
    <s v="JULHO"/>
    <s v="HSERV TERCEIRIZADOS"/>
    <s v="LOTUS CENTRAL DE DISTRIBUICAO DE HIGIENICOS LTDA NF 138143-MERCADORIA PARA REVENDAS"/>
    <n v="-1800.31"/>
    <x v="0"/>
    <x v="4"/>
  </r>
  <r>
    <x v="25"/>
    <s v="JULHO"/>
    <s v="HSERV TECNOLOGIA"/>
    <s v="ALEX APARECIDO DE MORAIS"/>
    <n v="-141"/>
    <x v="0"/>
    <x v="7"/>
  </r>
  <r>
    <x v="24"/>
    <s v="JULHO"/>
    <s v="VITOR DUARTE"/>
    <s v="EDIMARA GISELE SILVA JOANI-VALE TRANSPORTE AGOSTO"/>
    <n v="-260"/>
    <x v="0"/>
    <x v="7"/>
  </r>
  <r>
    <x v="24"/>
    <s v="JULHO"/>
    <s v="VITOR DUARTE"/>
    <s v="KEMELLY THAIS TERTULIANO DE OLIVEIRA-VALE TRANSPORTE AGOSTO"/>
    <n v="-250"/>
    <x v="0"/>
    <x v="7"/>
  </r>
  <r>
    <x v="24"/>
    <s v="JULHO"/>
    <s v="VITOR DUARTE"/>
    <s v="ROSANGELA DA SILVA-VALE TRANSPORTE AGOSTO"/>
    <n v="-180"/>
    <x v="0"/>
    <x v="7"/>
  </r>
  <r>
    <x v="24"/>
    <s v="JULHO"/>
    <s v="VITOR DUARTE"/>
    <s v="TATIANE CRISTINA BARBOSA-VALE TRANSPORTE AGOSTO AVENIDA"/>
    <n v="-240"/>
    <x v="0"/>
    <x v="7"/>
  </r>
  <r>
    <x v="24"/>
    <s v="JULHO"/>
    <s v="VITOR DUARTE"/>
    <s v="MARIA INES CHAGAS-VALE TRANSPORTE AGOSTO"/>
    <n v="-180"/>
    <x v="0"/>
    <x v="7"/>
  </r>
  <r>
    <x v="24"/>
    <s v="JULHO"/>
    <s v="VITOR DUARTE"/>
    <s v="ELUSA ROSALVA DA ROCHA PEREIRA-VALE TRANSPORTE R$14,40 POR DIA  ASSIS"/>
    <n v="-316.8"/>
    <x v="0"/>
    <x v="7"/>
  </r>
  <r>
    <x v="24"/>
    <s v="JULHO"/>
    <s v="VITOR DUARTE"/>
    <s v="JULIANA TOMAZ FERREIRA-VALE TRANSPORTE AGOSTO"/>
    <n v="-264"/>
    <x v="0"/>
    <x v="7"/>
  </r>
  <r>
    <x v="24"/>
    <s v="JULHO"/>
    <s v="VITOR DUARTE"/>
    <s v="THAYANE TERTULIANO DOMINGOS DA SILVA-VALE TRANSPORTE AGOSTO"/>
    <n v="-180"/>
    <x v="0"/>
    <x v="7"/>
  </r>
  <r>
    <x v="24"/>
    <s v="JULHO"/>
    <s v="VITOR DUARTE"/>
    <s v="JULIANA SANTANA CARAVANTE MENDES-VALE TRANSPORTE AGOSTO"/>
    <n v="-190"/>
    <x v="0"/>
    <x v="7"/>
  </r>
  <r>
    <x v="24"/>
    <s v="JULHO"/>
    <s v="VITOR DUARTE"/>
    <s v="TATIANI LOPES-VALE TRANSPORTE DE AGOSTO  R$16,00 POR DIA"/>
    <n v="-250"/>
    <x v="0"/>
    <x v="7"/>
  </r>
  <r>
    <x v="24"/>
    <s v="JULHO"/>
    <s v="VITOR DUARTE"/>
    <s v="NATALINA SILVA NIZIO-AVENIDA VALE TRANSPORTE AGOSTO"/>
    <n v="-152.32"/>
    <x v="0"/>
    <x v="7"/>
  </r>
  <r>
    <x v="25"/>
    <s v="JULHO"/>
    <s v="HSERV CABREUVA"/>
    <s v="BRADESCO AUTO/RE COMPANHIA DE SEGUROS"/>
    <n v="-178.79"/>
    <x v="0"/>
    <x v="22"/>
  </r>
  <r>
    <x v="25"/>
    <s v="JULHO"/>
    <s v="HSERV CLEAN"/>
    <s v="SOFT WORKS EPI CALCADOS LTDA"/>
    <n v="-535.99999700000001"/>
    <x v="0"/>
    <x v="44"/>
  </r>
  <r>
    <x v="25"/>
    <s v="JULHO"/>
    <s v="HSERV REPRESENTACOES"/>
    <s v="JURANDIR LUCAS BEZERRA"/>
    <n v="-1659.89"/>
    <x v="0"/>
    <x v="6"/>
  </r>
  <r>
    <x v="25"/>
    <s v="JULHO"/>
    <s v="HSERV COMBINADOS"/>
    <s v="MARIA LUCIA SOUSA SANTOS"/>
    <n v="-2131.3000000000002"/>
    <x v="0"/>
    <x v="6"/>
  </r>
  <r>
    <x v="25"/>
    <s v="JULHO"/>
    <s v="HSERV CABREUVA"/>
    <s v="EGLE SIQUEIRA SOCIEDADE INDIVIDUAL-PROC 1001012-96.2023.5.02.0211 SAMUEL DE SOUZA CAMARA - PARCELA 4/4"/>
    <n v="-6298.6"/>
    <x v="0"/>
    <x v="34"/>
  </r>
  <r>
    <x v="11"/>
    <s v="JULHO"/>
    <s v="HSERV CABREUVA"/>
    <s v="ZAMBONI, SOUSA, CARVALHO &amp; MARIANO --PROC 0012075-66.2022.5.15.0096 -CLAUDIA ARAUJO DOS SANTOS-PARCELA 2/6"/>
    <n v="-10000"/>
    <x v="0"/>
    <x v="34"/>
  </r>
  <r>
    <x v="5"/>
    <s v="JULHO"/>
    <s v="HSERV COMBINADOS "/>
    <s v="CRISTIANA DOS SANTOS -COBRINDO AFASTAMENTO  REGIVANIA PEREIRA DA SILVA  RANCHARIA LOJA 12"/>
    <n v="-1700"/>
    <x v="0"/>
    <x v="13"/>
  </r>
  <r>
    <x v="5"/>
    <s v="JULHO"/>
    <s v="HSERV COMBINADOS "/>
    <s v="PATRICIA MARTON ZANINI DAMASCO-COBRINDO AFASTAMENTO  GISLAINE FERNANDA DA SILVA BARBOSA DRACENA LOJA 44"/>
    <n v="-1000"/>
    <x v="0"/>
    <x v="13"/>
  </r>
  <r>
    <x v="5"/>
    <s v="JULHO"/>
    <s v="HSERV COMBINADOS "/>
    <s v="LIVIA MARIA TAVARES-COBRINDO FÉRIA DIVA CORREA PADILHA DINIZ SANTA CRUZ - LOJA 26"/>
    <n v="-600"/>
    <x v="0"/>
    <x v="13"/>
  </r>
  <r>
    <x v="5"/>
    <s v="JULHO"/>
    <s v="HSERV COMBINADOS "/>
    <s v="EDILMA SILVA SANTOS-COBRINDO FÉRIAS DIVA CORREA PADILHA DINIZ-SANTA CRUZ - LOJA 26"/>
    <n v="-900"/>
    <x v="0"/>
    <x v="13"/>
  </r>
  <r>
    <x v="5"/>
    <s v="JULHO"/>
    <s v="HSERV COMBINADOS "/>
    <s v="FABIULA AP. CAIRES MASCALHUSK- COBRINDO FÉRIAS ADRIANA SOARES DE LIMA TARUMA LOJA 33 "/>
    <n v="-900"/>
    <x v="0"/>
    <x v="13"/>
  </r>
  <r>
    <x v="5"/>
    <s v="JULHO"/>
    <s v="HSERV COMBINADOS "/>
    <s v="ERIKA DE PAULA SERAFIM -COBRINDO FÉRIAS  FATIMA APARECIDA RIBEIRO CANDIDO MOTA CD"/>
    <n v="-1000"/>
    <x v="0"/>
    <x v="13"/>
  </r>
  <r>
    <x v="37"/>
    <s v="JULHO"/>
    <s v="HSERV COMBINADOS "/>
    <s v="GLEYCE JAQUELINE DOS REIS OLIVEIRA -REFORMA MERCADO-APOIO EXTRA ASSIS - LOJA 13 PREMIUM"/>
    <n v="-1020"/>
    <x v="0"/>
    <x v="13"/>
  </r>
  <r>
    <x v="5"/>
    <s v="JULHO"/>
    <s v="VITOR DUARTE"/>
    <s v="_x0009_ENCARGOS DESCOBERTO CC"/>
    <n v="-159.4"/>
    <x v="0"/>
    <x v="45"/>
  </r>
  <r>
    <x v="5"/>
    <s v="JULHO"/>
    <s v="VITOR DUARTE"/>
    <s v="RESOLVE ALIMENTACAO LTDA"/>
    <n v="-708.24"/>
    <x v="0"/>
    <x v="2"/>
  </r>
  <r>
    <x v="8"/>
    <s v="JULHO"/>
    <s v="HENRIQUE JEAN"/>
    <s v="CREDIFIT SOCIEDADE DE CREDITO DIRETO S.A."/>
    <n v="-295.72000000000003"/>
    <x v="0"/>
    <x v="46"/>
  </r>
  <r>
    <x v="8"/>
    <s v="JULHO"/>
    <s v="HSERV CLEAN"/>
    <s v="CREDIFIT SOCIEDADE DE CREDITO DIRETO S.A."/>
    <n v="-215.21"/>
    <x v="0"/>
    <x v="46"/>
  </r>
  <r>
    <x v="8"/>
    <s v="JULHO"/>
    <s v="HSERV COMBINADOS"/>
    <s v="CREDIFIT SOCIEDADE DE CREDITO DIRETO S.A."/>
    <n v="-364.95"/>
    <x v="0"/>
    <x v="46"/>
  </r>
  <r>
    <x v="8"/>
    <s v="JULHO"/>
    <s v="HSERV LIMPEZA"/>
    <s v="CREDIFIT SOCIEDADE DE CREDITO DIRETO S.A."/>
    <n v="-395.23"/>
    <x v="0"/>
    <x v="46"/>
  </r>
  <r>
    <x v="8"/>
    <s v="JULHO"/>
    <s v="HSERV REPRESENTACOES"/>
    <s v="CREDIFIT SOCIEDADE DE CREDITO DIRETO S.A."/>
    <n v="-376.91"/>
    <x v="0"/>
    <x v="46"/>
  </r>
  <r>
    <x v="8"/>
    <s v="JULHO"/>
    <s v="VITOR DUARTE"/>
    <s v="CREDIFIT SOCIEDADE DE CREDITO DIRETO S.A."/>
    <n v="-360.09"/>
    <x v="0"/>
    <x v="46"/>
  </r>
  <r>
    <x v="5"/>
    <s v="JULHO"/>
    <s v="HSERV COMBINADOS"/>
    <s v="ADRIANA APARECIDA DA SILVA"/>
    <n v="-448"/>
    <x v="0"/>
    <x v="7"/>
  </r>
  <r>
    <x v="5"/>
    <s v="JULHO"/>
    <s v="HSERV COMBINADOS"/>
    <s v="ILAIDE JOSE RODRIGUES"/>
    <n v="-177"/>
    <x v="0"/>
    <x v="7"/>
  </r>
  <r>
    <x v="5"/>
    <s v="JULHO"/>
    <s v="HSERV COMBINADOS"/>
    <s v="RODRIGO CESAR DOS SANTOS"/>
    <n v="-412.5"/>
    <x v="0"/>
    <x v="7"/>
  </r>
  <r>
    <x v="5"/>
    <s v="JULHO"/>
    <s v="HSERV COMBINADOS"/>
    <s v="MARIA DE JESUS SANTOS"/>
    <n v="-278"/>
    <x v="0"/>
    <x v="7"/>
  </r>
  <r>
    <x v="5"/>
    <s v="JULHO"/>
    <s v="HSERV CABREUVA"/>
    <s v="CRISTIANI COSIM DE OLIVEIRA VILELA"/>
    <n v="-1000"/>
    <x v="0"/>
    <x v="34"/>
  </r>
  <r>
    <x v="11"/>
    <s v="JULHO"/>
    <s v="HSERV CABREUVA"/>
    <s v="ZAMBONI, SOUSA, CARVALHO &amp; MARIANO-PROC 0012594-41.2022.5.15.0096 -CLAUDIA ARAUJO DOS SANTOS-PARCELA 2/2"/>
    <n v="-2644"/>
    <x v="0"/>
    <x v="34"/>
  </r>
  <r>
    <x v="9"/>
    <s v="JULHO"/>
    <s v="HSERV CABREUVA"/>
    <s v="MARCIO FERREIRA TOLLER SILVA-  PROC 1001220-97.2024.5.02.0291-NORTON DO NASCIMENTO GONÇALVES BUENO-PARCELA 4/4"/>
    <n v="-960"/>
    <x v="0"/>
    <x v="34"/>
  </r>
  <r>
    <x v="15"/>
    <s v="JULHO"/>
    <s v="HSERV CABREUVA"/>
    <s v="ALINE CAMOLEZ SOARES ISCARO-PROC: 0012233-68.2024.5.15.0188 - GISLAINE CRISTINA FERNANDES PEREIRA PARCELA 5/5"/>
    <n v="-2000"/>
    <x v="0"/>
    <x v="34"/>
  </r>
  <r>
    <x v="10"/>
    <s v="JULHO"/>
    <s v="VITOR DUARTE"/>
    <s v="L. A. DE SOUZA - EQUIPAMENTOS DE SEGURANCA LTDA"/>
    <n v="-192"/>
    <x v="0"/>
    <x v="44"/>
  </r>
  <r>
    <x v="13"/>
    <s v="JULHO"/>
    <s v="HSERV CLEAN"/>
    <s v="SPARTAN DO BRASIL PRODUTOS QUIMICOS LTDA NF 254.458 PARCELA 2/3"/>
    <n v="-1709.15"/>
    <x v="0"/>
    <x v="4"/>
  </r>
  <r>
    <x v="10"/>
    <s v="JULHO"/>
    <s v="HSERV CLEAN"/>
    <s v="SPARTAN DO BRASIL PRODUTOS QUIMICOS LTDA NF 254.458 PARCELA 3/3"/>
    <n v="-1709.15"/>
    <x v="0"/>
    <x v="4"/>
  </r>
  <r>
    <x v="10"/>
    <s v="JULHO"/>
    <s v="HSERV TERCEIRIZADOS"/>
    <s v="LOTUS CENTRAL DE DISTRIBUICAO DE HIGIENICOS LTDA- NF 138.143"/>
    <n v="-1800.33"/>
    <x v="0"/>
    <x v="4"/>
  </r>
  <r>
    <x v="10"/>
    <s v="JULHO"/>
    <s v="HSERV CABREUVA"/>
    <s v="SAMANTHA PATRICIA MACHADO DE GOUVEIA- PROC 0011413-05.2022.5.15.0096-ANDERSON RAIMUNDO DUARTE -PARCELA 2/2"/>
    <n v="-1551.29"/>
    <x v="0"/>
    <x v="34"/>
  </r>
  <r>
    <x v="25"/>
    <s v="JULHO"/>
    <s v="HSERV CABREUVA"/>
    <s v="DALMAZO SOCIEDADE INDIVIDUAL-PROC 0011504-24.2024.5.15.0097 -ANDRE DE ARAUJO LEITE FILHO PARCELA 1/3"/>
    <n v="-1000"/>
    <x v="0"/>
    <x v="34"/>
  </r>
  <r>
    <x v="25"/>
    <s v="JULHO"/>
    <s v="HSERV CABREUVA"/>
    <s v="LETICIA FERNANDA DO NASCIMENTO - PROC - 0012166-65.2023.5.15.0018- JADISON SOUZA FONTES PARCELA 4/5"/>
    <n v="-501.54"/>
    <x v="0"/>
    <x v="34"/>
  </r>
  <r>
    <x v="25"/>
    <s v="JULHO"/>
    <s v="HSERV CLEAN"/>
    <s v="ANA PAULA HERKES MARTINS-  PROC 0011455-60.2023.5.15.0018-MARIA DE JESUS MARQUES GINO FERREIRA PARCELA 4/7"/>
    <n v="-2500"/>
    <x v="0"/>
    <x v="34"/>
  </r>
  <r>
    <x v="11"/>
    <s v="JULHO"/>
    <s v="HSERV REPRESENTACOES"/>
    <s v="OKUYAMA &amp; ALVES SOCIEDADE DE ADVOGADOS- PROC 0012465-42.2023.5.15.0018-PROC GENILDA MARIA DA SILVA PARCELA 3/8"/>
    <n v="-2000"/>
    <x v="0"/>
    <x v="34"/>
  </r>
  <r>
    <x v="8"/>
    <s v="JULHO"/>
    <s v="HSERV TERCEIRIZADOS"/>
    <s v="LOTUS CENTRAL DE DISTRIBUICAO DE HIGIENICOS LTDA"/>
    <n v="-1925"/>
    <x v="0"/>
    <x v="4"/>
  </r>
  <r>
    <x v="8"/>
    <s v="JULHO"/>
    <s v="HSERV CLEAN"/>
    <s v="SPARTAN DO BRASIL PRODUTOS QUIMICOS LTDA"/>
    <n v="-1709.15"/>
    <x v="0"/>
    <x v="4"/>
  </r>
  <r>
    <x v="37"/>
    <s v="JULHO"/>
    <s v="HSERV REPRESENTACOES"/>
    <s v="OKUYAMA &amp; ALVES SOCIEDADE DE ADVOGADOS- - 0012457-65.2023.5.15.0018 JESSICA BARROS DOS SANTOS "/>
    <n v="-2000"/>
    <x v="0"/>
    <x v="34"/>
  </r>
  <r>
    <x v="25"/>
    <s v="JULHO"/>
    <s v="VITOR DUARTE"/>
    <s v="VALERIA GEOVANNA DOS SANTOS-- PROC 1001103-06.2024.5.02.0292 -ELIENE ALVES LISBOA PARCELA 3/12"/>
    <n v="-1916.67"/>
    <x v="0"/>
    <x v="34"/>
  </r>
  <r>
    <x v="25"/>
    <s v="JULHO"/>
    <s v="HSERV CABREUVA"/>
    <s v="MARIA APARECIDA ALVES DE MELO ATSum 0010327-82.2025.5.15.0002 RECLAMANTE: CRISTIANE DE SOUSA PARCELA 2/3"/>
    <n v="-2200"/>
    <x v="0"/>
    <x v="34"/>
  </r>
  <r>
    <x v="25"/>
    <s v="JULHO"/>
    <s v="HSERV CABREUVA"/>
    <s v="ARAUJO E RIOS ADVOGADOS ASSOCIADOS PRoc 0010784-37.2023.5.15.0018 -: FABIO LUIZ ALVES -PARCELA 2/7"/>
    <n v="-3836.54"/>
    <x v="0"/>
    <x v="34"/>
  </r>
  <r>
    <x v="25"/>
    <s v="JULHO"/>
    <s v="HSERV CABREUVA"/>
    <s v="TIAGO JOSE DE FREITAS OLIVEIRA-Proc 0012190-87.2022.5.15.0096 Reclamante: KASSIA VITAL FERREIRA PARCELA 2/10"/>
    <n v="-3200"/>
    <x v="0"/>
    <x v="34"/>
  </r>
  <r>
    <x v="25"/>
    <s v="JULHO"/>
    <s v="HSERV CABREUVA"/>
    <s v="LUCAS LEONARDO MARQUES DE OLIVEIRA-PROC 1000130-70.2024.5.02.0221-GILVAN ANTONIO DOS SANTOS SILVA  PARCELA 3/12"/>
    <n v="-2000"/>
    <x v="0"/>
    <x v="34"/>
  </r>
  <r>
    <x v="25"/>
    <s v="JULHO"/>
    <s v="VITOR DUARTE"/>
    <s v="IVAN MARQUES DOS SANTOS Proc  0010898-64.2022.5.15.0097 AUTOR: FRANCISCA NEUDA FRANCALINO DE SOUZA PARCELA 2/9"/>
    <n v="-2872.37"/>
    <x v="0"/>
    <x v="34"/>
  </r>
  <r>
    <x v="25"/>
    <s v="JULHO"/>
    <s v="HSERV CABREUVA"/>
    <s v="PATRICIA LOMBARDI PROC 1002854-81.2023.5.02.0221 TANIA MARIANO DOS SANTOS- PARCELA 2/6"/>
    <n v="-2500"/>
    <x v="0"/>
    <x v="34"/>
  </r>
  <r>
    <x v="25"/>
    <s v="JULHO"/>
    <s v="HSERV LIMPEZA"/>
    <s v="JUAN PHILIPY STEPHANO AMARO SOCIEDADE IPROC 0011148-23.2024.5.15.0002- ANTONIA MILENA SOARES DE SOUZA PARCELA 1/10"/>
    <n v="-1000"/>
    <x v="0"/>
    <x v="34"/>
  </r>
  <r>
    <x v="25"/>
    <s v="JULHO"/>
    <s v="VITOR DUARTE"/>
    <s v="VITOR DUARTE- Proc 0011845-30.2023.5.15.0018 RECLAMANTE: ALINE MARTINS DE ASSIS RECLAMADO"/>
    <n v="-10.64"/>
    <x v="0"/>
    <x v="34"/>
  </r>
  <r>
    <x v="25"/>
    <s v="JULHO"/>
    <s v="VITOR DUARTE"/>
    <s v="ALTEVYR SILVA GONCALVES -PROC-nº 0010321-03.2025.5.15.0026  IZILDA APARECIDA SABINO PARCELA 1/5"/>
    <n v="-880"/>
    <x v="0"/>
    <x v="34"/>
  </r>
  <r>
    <x v="33"/>
    <s v="AGOSTO"/>
    <s v="VITOR DUARTE"/>
    <s v="ALTEVYR SILVA GONCALVES -PROC-nº 0010321-03.2025.5.15.0026  IZILDA APARECIDA SABINO PARCELA 2/5"/>
    <n v="-880"/>
    <x v="0"/>
    <x v="34"/>
  </r>
  <r>
    <x v="28"/>
    <s v="SETEMBRO"/>
    <s v="VITOR DUARTE"/>
    <s v="ALTEVYR SILVA GONCALVES -PROC-nº 0010321-03.2025.5.15.0026  IZILDA APARECIDA SABINO PARCELA 3/5"/>
    <n v="-880"/>
    <x v="0"/>
    <x v="34"/>
  </r>
  <r>
    <x v="38"/>
    <s v="OUTUBRO"/>
    <s v="VITOR DUARTE"/>
    <s v="ALTEVYR SILVA GONCALVES -PROC-nº 0010321-03.2025.5.15.0026  IZILDA APARECIDA SABINO PARCELA 4/5"/>
    <n v="-880"/>
    <x v="0"/>
    <x v="34"/>
  </r>
  <r>
    <x v="30"/>
    <s v="NOVEMBRO"/>
    <s v="VITOR DUARTE"/>
    <s v="ALTEVYR SILVA GONCALVES -PROC-nº 0010321-03.2025.5.15.0026  IZILDA APARECIDA SABINO PARCELA 5/5"/>
    <n v="-880"/>
    <x v="0"/>
    <x v="34"/>
  </r>
  <r>
    <x v="25"/>
    <s v="JULHO"/>
    <s v="VITOR DUARTE"/>
    <s v="LUAN VIEIRA BARRETO - PROC 0012216-57.2024.5.15.0018-ANGELO JOSE ARANTES -PARCELA 3/10"/>
    <n v="-1400"/>
    <x v="0"/>
    <x v="34"/>
  </r>
  <r>
    <x v="1"/>
    <s v="JULHO"/>
    <s v="VITOR DUARTE"/>
    <s v="TADIM NEVES SOCIEDADE INDIVIDUAL DE ADVOCACIA"/>
    <n v="-1848.63"/>
    <x v="0"/>
    <x v="34"/>
  </r>
  <r>
    <x v="0"/>
    <s v="JULHO"/>
    <s v="VITOR DUARTE"/>
    <s v="IFOOD.COM AGENCIA DE RESTAURANTES ONLINE S.A.-VALE ALIMENTAÇÃO  AVENIDA SANDRA PATRICIA MARTON"/>
    <n v="-560.52"/>
    <x v="0"/>
    <x v="2"/>
  </r>
  <r>
    <x v="0"/>
    <s v="JULHO"/>
    <s v="VITOR DUARTE"/>
    <s v="IFOOD.COM AGENCIA DE RESTAURANTES ONLINE S.A.-VALE COMBUSTIVEL RICARDO VAIZ TERMINAR O MÊS"/>
    <n v="-107.69"/>
    <x v="0"/>
    <x v="26"/>
  </r>
  <r>
    <x v="0"/>
    <s v="JULHO"/>
    <s v="VITOR DUARTE"/>
    <s v="MATUSALEM NOGUEIRA-VALE TRANSPORTE DO DIA 23/07 AO DIA 03/08 R$12,80 POR DIA  LOJA 17"/>
    <n v="-123"/>
    <x v="0"/>
    <x v="26"/>
  </r>
  <r>
    <x v="0"/>
    <s v="JULHO"/>
    <s v="HSERV COMBINADOS"/>
    <s v="RONALDO SILVA MARQUES-VALE TRANSPORTE DO DIA 23/07 AO DIA 03/08 R$11,80 POR DIA  LOJA 12"/>
    <n v="-118"/>
    <x v="0"/>
    <x v="7"/>
  </r>
  <r>
    <x v="0"/>
    <s v="JULHO"/>
    <s v="VITOR DUARTE"/>
    <s v="KATIA HELENA DA SILVA-VALE TRANSPORTE DO DIA 23/07 AO DIA 03/08 R$12,40 POR DIA  VALINHOS"/>
    <n v="-124"/>
    <x v="0"/>
    <x v="7"/>
  </r>
  <r>
    <x v="0"/>
    <s v="JULHO"/>
    <s v="HSERV TERCEIRIZADOS"/>
    <s v="CRISTIANA DOS SANTOS COBRINDO AFASTAMENTO REGIVANIA PEREIRA DA SILVA RANCHARIA LOJA 12"/>
    <n v="-500"/>
    <x v="0"/>
    <x v="13"/>
  </r>
  <r>
    <x v="0"/>
    <s v="JULHO"/>
    <s v="HSERV TERCEIRIZADOS"/>
    <s v="PATRICIA MARTON ZANINI DAMASCENO COBRINDO AFASTAMENTO GISLAINE FERNANDA DA SILVA BARBOSA DRACENA LOJA 44"/>
    <n v="-290"/>
    <x v="0"/>
    <x v="13"/>
  </r>
  <r>
    <x v="0"/>
    <s v="JULHO"/>
    <s v="HSERV TERCEIRIZADOS"/>
    <s v="HIABÁ DE OLIVEIRA COBRINDO FÉRIAS DA PATRICIA XAVIER  MARTINOPOLIS - LOJA 38"/>
    <n v="-700"/>
    <x v="0"/>
    <x v="13"/>
  </r>
  <r>
    <x v="0"/>
    <s v="JULHO"/>
    <s v="HSERV TERCEIRIZADOS"/>
    <s v="ANDRESSA DA SILVA CASSALHO COBRINDO FÉRIAS MISLENE LANZA ECHAPORÃ - LOJA 08 "/>
    <n v="-450"/>
    <x v="0"/>
    <x v="13"/>
  </r>
  <r>
    <x v="0"/>
    <s v="JULHO"/>
    <s v="HSERV TERCEIRIZADOS"/>
    <s v="RITA CARNEIRO  COBRINDO FÉRIAS MISLENE LANZA ECHAPORÃ - LOJA 08 "/>
    <n v="-900"/>
    <x v="0"/>
    <x v="13"/>
  </r>
  <r>
    <x v="0"/>
    <s v="JULHO"/>
    <s v="HSERV TERCEIRIZADOS"/>
    <s v="GLEYCE JAQUELINE DOS REIS OLIVEIRA  COBRINDO AFASTAMENTO BRUNA MAIARA DA SILVA TEODORO ASSIS - LOJA 20 MAX "/>
    <n v="-500"/>
    <x v="0"/>
    <x v="13"/>
  </r>
  <r>
    <x v="0"/>
    <s v="JULHO"/>
    <s v="HSERV TERCEIRIZADOS"/>
    <s v="IZABEL APARECIDA BARBOSA -COBRINDO AFASTAMENTO DA ALESSANDRA MOREIRA LEITE  LENÇOIS - LOJA 34"/>
    <n v="-340"/>
    <x v="0"/>
    <x v="13"/>
  </r>
  <r>
    <x v="16"/>
    <s v="JULHO"/>
    <s v="HSERV TERCEIRIZADOS"/>
    <s v="SELMA VIEIRA DOS SANTOS VALE TRANSPORTE PARA COBERTURA DA LOJA 06-  PERIODO MANHÃ DIA 25/07/2025"/>
    <n v="-12.3"/>
    <x v="0"/>
    <x v="7"/>
  </r>
  <r>
    <x v="16"/>
    <s v="JULHO"/>
    <s v="HSERV TERCEIRIZADOS"/>
    <s v="ADENILZA MENDONÇA  VALE TRANSPORTE COBERTURA LOJA 14-VILA ARENS PERIODO TARDE DIA 24/07/2025"/>
    <n v="-12.3"/>
    <x v="0"/>
    <x v="7"/>
  </r>
  <r>
    <x v="16"/>
    <s v="JULHO"/>
    <s v="HSERV TERCEIRIZADOS"/>
    <s v="MOVIDA PARTICIPACOES S A VENCIDO 12/06/2025 FATURA -06834107- PLACA TJL4F14/10"/>
    <n v="-187.42"/>
    <x v="0"/>
    <x v="29"/>
  </r>
  <r>
    <x v="16"/>
    <s v="JULHO"/>
    <s v="HSERV TERCEIRIZADOS"/>
    <s v="MOVIDA PARTICIPACOES S A VENCIDO 13/06/2025-FATURA 06770206-LOCAÇÃO PLACAS:TJL4F14 E QMY1E00"/>
    <n v="-4375.75"/>
    <x v="0"/>
    <x v="29"/>
  </r>
  <r>
    <x v="9"/>
    <s v="JULHO"/>
    <s v="HSERV TERCEIRIZADOS"/>
    <s v="MOVIDA PARTICIPACOES S A VENCIDO 17/06/2025- FATURA 6830253-CONTRATO 25884412/03/000-PLACA: SHU-1C88"/>
    <n v="-4831.93"/>
    <x v="0"/>
    <x v="29"/>
  </r>
  <r>
    <x v="16"/>
    <s v="JULHO"/>
    <s v="HSERV TERCEIRIZADOS"/>
    <s v="MOVIDA PARTICIPACOES S A VENCIDO 29/05/2025 -FATURA 06770134-MULTA - PLACAS: TJL4F14 E QMY1E00"/>
    <n v="-468.58"/>
    <x v="0"/>
    <x v="29"/>
  </r>
  <r>
    <x v="16"/>
    <s v="JULHO"/>
    <s v="HSERV TERCEIRIZADOS"/>
    <s v="MOVIDA PARTICIPACOES S A VENCIDO 28/06/2025-06902382- MULTA E/OU INFR.TRÂNSITO-PLACA : TJL4F14"/>
    <n v="-1408.66"/>
    <x v="0"/>
    <x v="29"/>
  </r>
  <r>
    <x v="12"/>
    <s v="JULHO"/>
    <s v="HSERV TERCEIRIZADOS"/>
    <s v="MOVIDA PARTICIPACOES S.A.- FATURA 6962199 -CONTRATO -25884412 -PLACA: SHU1C88"/>
    <n v="-130.16"/>
    <x v="0"/>
    <x v="29"/>
  </r>
  <r>
    <x v="10"/>
    <s v="JULHO"/>
    <s v="HSERV COMBINADOS"/>
    <s v="MARIA ROSEANE DA SILVA"/>
    <n v="-250.4"/>
    <x v="0"/>
    <x v="7"/>
  </r>
  <r>
    <x v="10"/>
    <s v="JULHO"/>
    <s v="HSERV COMBINADOS"/>
    <s v="FLAVIA KELI DE OLIVEIRA FELIX"/>
    <n v="-319.8"/>
    <x v="0"/>
    <x v="7"/>
  </r>
  <r>
    <x v="13"/>
    <s v="JULHO"/>
    <s v="HSERV COMBINADOS"/>
    <s v="EZEQUIEL RODRIGUES DOS SANTOS"/>
    <n v="-153.4"/>
    <x v="0"/>
    <x v="7"/>
  </r>
  <r>
    <x v="13"/>
    <s v="JULHO"/>
    <s v="HSERV COMBINADOS"/>
    <s v="MARIA SOCORRO DA SILVA PEREIRA"/>
    <n v="-110"/>
    <x v="0"/>
    <x v="7"/>
  </r>
  <r>
    <x v="13"/>
    <s v="JULHO"/>
    <s v="HSERV COMBINADOS"/>
    <s v="ALTAMIRO LOPES SIQUEIRA"/>
    <n v="-159.9"/>
    <x v="0"/>
    <x v="7"/>
  </r>
  <r>
    <x v="13"/>
    <s v="JULHO"/>
    <s v="H SERV CLEAN "/>
    <s v="GISELE RODRIGUES- CAIXINHA"/>
    <n v="-1500"/>
    <x v="0"/>
    <x v="1"/>
  </r>
  <r>
    <x v="13"/>
    <s v="JULHO"/>
    <s v="HSERV COMBINADOS"/>
    <s v="TAXA DE DESARQUIVAMENTO - PROCESSO 1012583-14.2021.8.26.0309"/>
    <n v="-44.87"/>
    <x v="0"/>
    <x v="47"/>
  </r>
  <r>
    <x v="14"/>
    <s v="JULHO"/>
    <s v="HSERV COMBINADOS"/>
    <s v="JOSÉ SANTOS DE PAULA- JARDINEIRO PALAZZO VENEZA- "/>
    <n v="-150"/>
    <x v="0"/>
    <x v="13"/>
  </r>
  <r>
    <x v="24"/>
    <s v="JULHO"/>
    <s v="HSERV CABREUVA"/>
    <s v="GABRIEL DO NASCIMENTO NEVES"/>
    <n v="-310.5"/>
    <x v="0"/>
    <x v="7"/>
  </r>
  <r>
    <x v="24"/>
    <s v="JULHO"/>
    <s v="HSERV COMBINADOS"/>
    <s v="ADRIANA SIMONE MARINHO GOULART-VALE TRANSPORTE DE AGOSTO"/>
    <n v="-210"/>
    <x v="0"/>
    <x v="7"/>
  </r>
  <r>
    <x v="24"/>
    <s v="JULHO"/>
    <s v="HSERV COMBINADOS"/>
    <s v="MARIA SOCORRO DA SILVA PEREIRA-VALE TRANSPORTE DO DIA 01/08 AO DIA 15/08 R$10,00 POR DIA"/>
    <n v="-110"/>
    <x v="0"/>
    <x v="7"/>
  </r>
  <r>
    <x v="24"/>
    <s v="JULHO"/>
    <s v="HSERV COMBINADOS"/>
    <s v="SIMONE PAIXAO VAIZ-VALE TRANSPORTE DE AGOSTO R$14,50 POR DIA"/>
    <n v="-319"/>
    <x v="0"/>
    <x v="7"/>
  </r>
  <r>
    <x v="24"/>
    <s v="JULHO"/>
    <s v="HSERV COMBINADOS"/>
    <s v="TAMIRES DA SILVA CAPUCHINHO-VTE AGOSTO DESCONTANDO OS DIAS 15/07,16/07,17/07 E 18/07e 28/07  QUE TRABALHOU HOMEOFICCE"/>
    <n v="-219.2"/>
    <x v="0"/>
    <x v="7"/>
  </r>
  <r>
    <x v="24"/>
    <s v="JULHO"/>
    <s v="VITOR DUARTE"/>
    <s v="GISELE RODRIGUES DOS SANTOS-VALE TRANSPORTE DE AGOSTO"/>
    <n v="-575.4"/>
    <x v="0"/>
    <x v="7"/>
  </r>
  <r>
    <x v="24"/>
    <s v="JULHO"/>
    <s v="VITOR DUARTE"/>
    <s v="QUEILA JESUS BERNARDES DE OLIVEIRA-VALE TRANSPORTE DO DIA 01/08 AO DIA 15/08 R$10,00"/>
    <n v="-100"/>
    <x v="0"/>
    <x v="7"/>
  </r>
  <r>
    <x v="24"/>
    <s v="JULHO"/>
    <s v="VITOR DUARTE"/>
    <s v="JAIR APARECIDO RE -AJUDA DE CUSTO DO DIA 01/08 AO DIA 15/08"/>
    <n v="-275"/>
    <x v="0"/>
    <x v="7"/>
  </r>
  <r>
    <x v="24"/>
    <s v="JULHO"/>
    <s v="VITOR DUARTE"/>
    <s v="JHONY WALLACE GOMES DE OLIVEIRA-VALE TRANSPORTE DO DIA 01/08 AO DIA 15/08 R$10,00 POR DIA"/>
    <n v="-110"/>
    <x v="0"/>
    <x v="7"/>
  </r>
  <r>
    <x v="24"/>
    <s v="JULHO"/>
    <s v="HSERV COMBINADOS"/>
    <s v="ANDERSON NASCIMENTO SANTOS"/>
    <n v="-304"/>
    <x v="0"/>
    <x v="7"/>
  </r>
  <r>
    <x v="24"/>
    <s v="JULHO"/>
    <s v="HSERV COMBINADOS"/>
    <s v="PALOMA CARVALHO PINHEIRO"/>
    <n v="-192"/>
    <x v="0"/>
    <x v="7"/>
  </r>
  <r>
    <x v="24"/>
    <s v="JULHO"/>
    <s v="HSERV COMBINADOS"/>
    <s v="WAGNER BIONDO"/>
    <n v="-150.4"/>
    <x v="0"/>
    <x v="7"/>
  </r>
  <r>
    <x v="24"/>
    <s v="JULHO"/>
    <s v="HSERV TERCEIRIZADOS"/>
    <s v="ESTER CARDOZO DE LIMA"/>
    <n v="-110"/>
    <x v="0"/>
    <x v="7"/>
  </r>
  <r>
    <x v="24"/>
    <s v="JULHO"/>
    <s v="HSERV TERCEIRIZADOS"/>
    <s v="MARISA DE SOUSA SILVA"/>
    <n v="-231"/>
    <x v="0"/>
    <x v="7"/>
  </r>
  <r>
    <x v="24"/>
    <s v="JULHO"/>
    <s v="VITOR DUARTE"/>
    <s v="GABRIEL GATTI DA SILVA"/>
    <n v="-236.8"/>
    <x v="0"/>
    <x v="7"/>
  </r>
  <r>
    <x v="24"/>
    <s v="JULHO"/>
    <s v="VITOR DUARTE"/>
    <s v="LUCAS VITOR NUNES"/>
    <n v="-196.8"/>
    <x v="0"/>
    <x v="7"/>
  </r>
  <r>
    <x v="24"/>
    <s v="JULHO"/>
    <s v="HSERV COMBINADOS"/>
    <s v="MARIA DE JESUS SANTOS"/>
    <n v="-203.7"/>
    <x v="0"/>
    <x v="7"/>
  </r>
  <r>
    <x v="10"/>
    <s v="JULHO"/>
    <s v="HSERV TECNOLOGIA"/>
    <s v="GRRF MATHEUS SANT ANNA"/>
    <n v="-319.27"/>
    <x v="0"/>
    <x v="6"/>
  </r>
  <r>
    <x v="10"/>
    <s v="JULHO"/>
    <s v="HSERV CABREUVA"/>
    <s v="GP REFEIÇÕES- MARMITAS PESSOAL UPA"/>
    <n v="-1302"/>
    <x v="0"/>
    <x v="2"/>
  </r>
  <r>
    <x v="10"/>
    <s v="JULHO"/>
    <s v="HSERV CABREUVA"/>
    <s v="SUFEX COMERCIO -JALECOS-COMPRA DE 150 UNIDADES"/>
    <n v="-2350"/>
    <x v="0"/>
    <x v="44"/>
  </r>
  <r>
    <x v="10"/>
    <s v="JULHO"/>
    <s v="HSERV CABREUVA"/>
    <s v="SUFEX COMERCIO -CALÇAS ASG- COMPRA DE 100 CALÇAS ASG "/>
    <n v="-3200"/>
    <x v="0"/>
    <x v="44"/>
  </r>
  <r>
    <x v="10"/>
    <s v="JULHO"/>
    <s v="HSERV TERCEIRIZADOS"/>
    <s v="ARIANE VITORIA SOUSA SANTOS -FT UPA CABREUVA"/>
    <n v="-600"/>
    <x v="0"/>
    <x v="13"/>
  </r>
  <r>
    <x v="10"/>
    <s v="JULHO"/>
    <s v="HSERV TERCEIRIZADOS"/>
    <s v="CELI MARIA DOS SANTOS DA SILVA- FT UPA CABREUVA"/>
    <n v="-800"/>
    <x v="0"/>
    <x v="13"/>
  </r>
  <r>
    <x v="10"/>
    <s v="JULHO"/>
    <s v="HSERV TERCEIRIZADOS"/>
    <s v="DIOGO HENRIQUE BARBOSA BERNARDINO- FT UPA CABREUVA"/>
    <n v="-200"/>
    <x v="0"/>
    <x v="13"/>
  </r>
  <r>
    <x v="10"/>
    <s v="JULHO"/>
    <s v="HSERV TERCEIRIZADOS"/>
    <s v="ISTERFANY MATIAS PORTO - FT UPA CABREUVA"/>
    <n v="-1250"/>
    <x v="0"/>
    <x v="13"/>
  </r>
  <r>
    <x v="10"/>
    <s v="JULHO"/>
    <s v="HSERV TERCEIRIZADOS"/>
    <s v="VALERIA CRISTINA RAIEL- FT UPA CABREUVA"/>
    <n v="-1400"/>
    <x v="0"/>
    <x v="13"/>
  </r>
  <r>
    <x v="10"/>
    <s v="JULHO"/>
    <s v="HSERV COMBINADOS"/>
    <s v="DEPOSITO GAS E AGUA CABREUVA-AGUA GALÕES DE AGUA  PARA BASE 1 SEMESTRE"/>
    <n v="-840"/>
    <x v="0"/>
    <x v="28"/>
  </r>
  <r>
    <x v="10"/>
    <s v="JULHO"/>
    <s v="HENRIQUE JEAN"/>
    <s v="EMPORIO MEGA 100 COMERCIO DE ALIMENTOS S.A. NF 982.497"/>
    <n v="-2247.35"/>
    <x v="0"/>
    <x v="24"/>
  </r>
  <r>
    <x v="14"/>
    <s v="JULHO"/>
    <s v="HSERV CABREUVA"/>
    <s v="LM SUPER TROCA DE OLEO NF 1.020"/>
    <n v="-220"/>
    <x v="0"/>
    <x v="5"/>
  </r>
  <r>
    <x v="14"/>
    <s v="JULHO"/>
    <s v="HSERV TERCEIRIZADOS"/>
    <s v="LOTUS CENTRAL DE DISTRIBUICAO DE HIGIENICOS LTDA-NF 143.048 "/>
    <n v="-1292.570109"/>
    <x v="0"/>
    <x v="4"/>
  </r>
  <r>
    <x v="14"/>
    <s v="JULHO"/>
    <s v="HSERV CABREUVA"/>
    <s v="NOVITA VEST CONFECCOES LTDA-SETTE UNIFORMES NF 6.111"/>
    <n v="-3619.3394859999999"/>
    <x v="0"/>
    <x v="44"/>
  </r>
  <r>
    <x v="14"/>
    <s v="JULHO"/>
    <s v="HSERV TERCEIRIZADOS"/>
    <s v="LOTUS CENTRAL DE DISTRIBUICAO DE HIGIENICOS LTDA- NF 135.334"/>
    <n v="-1718.37"/>
    <x v="0"/>
    <x v="4"/>
  </r>
  <r>
    <x v="14"/>
    <s v="JULHO"/>
    <s v="HSERV CLEAN"/>
    <s v="RSC COM. MAT.P/ CONSTRUCAO LTDA. NF 106.601"/>
    <n v="-235.4"/>
    <x v="0"/>
    <x v="5"/>
  </r>
  <r>
    <x v="14"/>
    <s v="JULHO"/>
    <s v="HSERV COMBINADOS"/>
    <s v="ALCIDES PEREIRA DE SOUZA"/>
    <n v="-330"/>
    <x v="0"/>
    <x v="7"/>
  </r>
  <r>
    <x v="14"/>
    <s v="JULHO"/>
    <s v="HSERV COMBINADOS"/>
    <s v="JOSELITA DA SILVA"/>
    <n v="-100"/>
    <x v="0"/>
    <x v="7"/>
  </r>
  <r>
    <x v="14"/>
    <s v="JULHO"/>
    <s v="HSERV COMBINADOS"/>
    <s v="SANDRA RIBEIRO DA SILVA"/>
    <n v="-205"/>
    <x v="0"/>
    <x v="7"/>
  </r>
  <r>
    <x v="14"/>
    <s v="JULHO"/>
    <s v="HSERV COMBINADOS"/>
    <s v="ORVANDA MARIA VITALINO FIGUEROA"/>
    <n v="-128"/>
    <x v="0"/>
    <x v="7"/>
  </r>
  <r>
    <x v="14"/>
    <s v="JULHO"/>
    <s v="HSERV COMBINADOS"/>
    <s v="ROSEMEIRE VIEIRA BEZERRA"/>
    <n v="-123"/>
    <x v="0"/>
    <x v="7"/>
  </r>
  <r>
    <x v="14"/>
    <s v="JULHO"/>
    <s v="HENRIQUE JEAN"/>
    <s v="BRASIL MEDICINA E SAUDE PREVENTIVA ORGANIZACAO- ABRIL "/>
    <n v="-1729.66"/>
    <x v="0"/>
    <x v="14"/>
  </r>
  <r>
    <x v="14"/>
    <s v="JULHO"/>
    <s v="HSERV CABREUVA"/>
    <s v="BRASIL MEDICINA E SAUDE PREVENTIVA ORGANIZACAO- ABRIL "/>
    <n v="-1061.3800000000001"/>
    <x v="0"/>
    <x v="14"/>
  </r>
  <r>
    <x v="14"/>
    <s v="JULHO"/>
    <s v="HSERV CLEAN"/>
    <s v="BRASIL MEDICINA E SAUDE PREVENTIVA ORGANIZACAO- ABRIL "/>
    <n v="-786.92"/>
    <x v="0"/>
    <x v="14"/>
  </r>
  <r>
    <x v="14"/>
    <s v="JULHO"/>
    <s v="HSERV COMBINADOS"/>
    <s v="BRASIL MEDICINA E SAUDE PREVENTIVA ORGANIZACAO- ABRIL "/>
    <n v="-2319.3200000000002"/>
    <x v="0"/>
    <x v="14"/>
  </r>
  <r>
    <x v="14"/>
    <s v="JULHO"/>
    <s v="HSERV LIMPEZA"/>
    <s v="BRASIL MEDICINA E SAUDE PREVENTIVA ORGANIZACAO- ABRIL "/>
    <n v="-791.16"/>
    <x v="0"/>
    <x v="14"/>
  </r>
  <r>
    <x v="14"/>
    <s v="JULHO"/>
    <s v="HSERV REPRESENTACOES"/>
    <s v="BRASIL MEDICINA E SAUDE PREVENTIVA ORGANIZACAO- ABRIL "/>
    <n v="-590.19000000000005"/>
    <x v="0"/>
    <x v="14"/>
  </r>
  <r>
    <x v="14"/>
    <s v="JULHO"/>
    <s v="HSERV TECNOLOGIA"/>
    <s v="BRASIL MEDICINA E SAUDE PREVENTIVA ORGANIZACAO- ABRIL "/>
    <n v="-157.38"/>
    <x v="0"/>
    <x v="14"/>
  </r>
  <r>
    <x v="14"/>
    <s v="JULHO"/>
    <s v="HSERV TERCEIRIZADOS"/>
    <s v="BRASIL MEDICINA E SAUDE PREVENTIVA ORGANIZACAO- ABRIL "/>
    <n v="-629.54"/>
    <x v="0"/>
    <x v="14"/>
  </r>
  <r>
    <x v="14"/>
    <s v="JULHO"/>
    <s v="HENRIQUE JEAN"/>
    <s v="EMPORIO MEGA 100 COMERCIO DE ALIMENTOS S.A."/>
    <n v="-3177.3"/>
    <x v="0"/>
    <x v="24"/>
  </r>
  <r>
    <x v="10"/>
    <s v="JULHO"/>
    <s v="HSERV CABREUVA"/>
    <s v="EMPORIO MEGA 100 COMERCIO DE ALIMENTOS S.A. NF 982.488"/>
    <n v="-3022.31"/>
    <x v="0"/>
    <x v="24"/>
  </r>
  <r>
    <x v="14"/>
    <s v="JULHO"/>
    <s v="HSERV CABREUVA"/>
    <s v="EMPORIO MEGA 100 COMERCIO DE ALIMENTOS S.A."/>
    <n v="-2247.36"/>
    <x v="0"/>
    <x v="24"/>
  </r>
  <r>
    <x v="14"/>
    <s v="JULHO"/>
    <s v="HSERV CLEAN"/>
    <s v="EMPORIO MEGA 100 COMERCIO DE ALIMENTOS S.A."/>
    <n v="-3409.78"/>
    <x v="0"/>
    <x v="24"/>
  </r>
  <r>
    <x v="14"/>
    <s v="JULHO"/>
    <s v="HSERV CLEAN"/>
    <s v="EMPORIO MEGA 100 COMERCIO DE ALIMENTOS S.A."/>
    <n v="-1239.92"/>
    <x v="0"/>
    <x v="24"/>
  </r>
  <r>
    <x v="10"/>
    <s v="JULHO"/>
    <s v="HSERV CLEAN"/>
    <s v="EMPORIO MEGA 100 COMERCIO DE ALIMENTOS S.A. NF982.489"/>
    <n v="-774.95"/>
    <x v="0"/>
    <x v="24"/>
  </r>
  <r>
    <x v="10"/>
    <s v="JULHO"/>
    <s v="HSERV CLEAN"/>
    <s v="EMPORIO MEGA 100 COMERCIO DE ALIMENTOS S.A. NF 982.496"/>
    <n v="-3487.27"/>
    <x v="0"/>
    <x v="24"/>
  </r>
  <r>
    <x v="10"/>
    <s v="JULHO"/>
    <s v="HSERV COMBINADOS"/>
    <s v="EMPORIO MEGA 100 COMERCIO DE ALIMENTOS S.A. NF 982.492"/>
    <n v="-3177.29"/>
    <x v="0"/>
    <x v="24"/>
  </r>
  <r>
    <x v="14"/>
    <s v="JULHO"/>
    <s v="HSERV COMBINADOS"/>
    <s v="EMPORIO MEGA 100 COMERCIO DE ALIMENTOS S.A."/>
    <n v="-3332.28"/>
    <x v="0"/>
    <x v="24"/>
  </r>
  <r>
    <x v="14"/>
    <s v="JULHO"/>
    <s v="HSERV LIMPEZA"/>
    <s v="EMPORIO MEGA 100 COMERCIO DE ALIMENTOS S.A."/>
    <n v="-929.94"/>
    <x v="0"/>
    <x v="24"/>
  </r>
  <r>
    <x v="10"/>
    <s v="JULHO"/>
    <s v="HSERV LIMPEZA"/>
    <s v="EMPORIO MEGA 100 COMERCIO DE ALIMENTOS S.A. NF 982.495"/>
    <n v="-852.45"/>
    <x v="0"/>
    <x v="24"/>
  </r>
  <r>
    <x v="10"/>
    <s v="JULHO"/>
    <s v="HSERV REPRESENTACOES"/>
    <s v="EMPORIO MEGA 100 COMERCIO DE ALIMENTOS S.A. NF 982.490"/>
    <n v="-619.96"/>
    <x v="0"/>
    <x v="24"/>
  </r>
  <r>
    <x v="14"/>
    <s v="JULHO"/>
    <s v="HSERV REPRESENTACOES"/>
    <s v="EMPORIO MEGA 100 COMERCIO DE ALIMENTOS S.A."/>
    <n v="-929.94"/>
    <x v="0"/>
    <x v="24"/>
  </r>
  <r>
    <x v="14"/>
    <s v="JULHO"/>
    <s v="HSERV TECNOLOGIA"/>
    <s v="EMPORIO MEGA 100 COMERCIO DE ALIMENTOS S.A."/>
    <n v="-232.48"/>
    <x v="0"/>
    <x v="24"/>
  </r>
  <r>
    <x v="10"/>
    <s v="JULHO"/>
    <s v="HSERV TECNOLOGIA"/>
    <s v="EMPORIO MEGA 100 COMERCIO DE ALIMENTOS S.A. NF 982.494"/>
    <n v="-232.49"/>
    <x v="0"/>
    <x v="24"/>
  </r>
  <r>
    <x v="14"/>
    <s v="JULHO"/>
    <s v="HSERV TERCEIRIZADOS"/>
    <s v="EMPORIO MEGA 100 COMERCIO DE ALIMENTOS S.A."/>
    <n v="-1084.93"/>
    <x v="0"/>
    <x v="24"/>
  </r>
  <r>
    <x v="10"/>
    <s v="JULHO"/>
    <s v="HSERV TERCEIRIZADOS"/>
    <s v="EMPORIO MEGA 100 COMERCIO DE ALIMENTOS S.A. NF 982.493"/>
    <n v="-464.97"/>
    <x v="0"/>
    <x v="24"/>
  </r>
  <r>
    <x v="14"/>
    <s v="JULHO"/>
    <s v="VITOR DUARTE"/>
    <s v="EMPORIO MEGA 100 COMERCIO DE ALIMENTOS S.A."/>
    <n v="-154.99"/>
    <x v="0"/>
    <x v="24"/>
  </r>
  <r>
    <x v="14"/>
    <s v="JULHO"/>
    <s v="HSERV TERCEIRIZADOS"/>
    <s v="NATHALIA THAIS- FT FALTANTE BELL ART"/>
    <n v="-2021.12"/>
    <x v="0"/>
    <x v="13"/>
  </r>
  <r>
    <x v="14"/>
    <s v="JULHO"/>
    <s v="HENRIQUE JEAN"/>
    <s v="GUIA DE PAGAMENTO DO PROCESSO DA QUEBEC CATALOGOS - PROCESSO 0000704-93.2025.8.26.0080"/>
    <n v="-2073.1799999999998"/>
    <x v="0"/>
    <x v="47"/>
  </r>
  <r>
    <x v="10"/>
    <s v="JULHO"/>
    <s v="VITOR DUARTE"/>
    <s v="EMPORIO MEGA 100 COMERCIO DE ALIMENTOS S.A. NF 982.491"/>
    <n v="-619.96"/>
    <x v="0"/>
    <x v="24"/>
  </r>
  <r>
    <x v="22"/>
    <s v="JULHO"/>
    <s v="HSERV CLEAN"/>
    <s v="J.E. COMERCIO E SOLUCOES LTDA NF 10.734"/>
    <n v="-1840.8"/>
    <x v="0"/>
    <x v="4"/>
  </r>
  <r>
    <x v="22"/>
    <s v="JULHO"/>
    <s v="HSERV CLEAN"/>
    <s v="SPARTAN DO BRASIL PRODUTOS QUIMICOS LTDA - NF 256.344"/>
    <n v="-10505.31"/>
    <x v="0"/>
    <x v="4"/>
  </r>
  <r>
    <x v="22"/>
    <s v="JULHO"/>
    <s v="HSERV TERCEIRIZADOS"/>
    <s v="FMD FUNDO DE INVESTIMENTO EM DIREITOS CREDITORIOS NF 1.356"/>
    <n v="-1117.53"/>
    <x v="0"/>
    <x v="4"/>
  </r>
  <r>
    <x v="22"/>
    <s v="JULHO"/>
    <s v="VITOR DUARTE"/>
    <s v="L. A. DE SOUZA - EQUIPAMENTOS DE SEGURANCA LTDA- NF"/>
    <n v="-180"/>
    <x v="0"/>
    <x v="44"/>
  </r>
  <r>
    <x v="23"/>
    <s v="AGOSTO"/>
    <s v="HSERV COMBINADOS "/>
    <s v="JAIR RÉ-COMISSÃO AGOSTO"/>
    <n v="-1000.43"/>
    <x v="0"/>
    <x v="17"/>
  </r>
  <r>
    <x v="18"/>
    <s v="SETEMBRO"/>
    <s v="HSERV COMBINADOS "/>
    <s v="JAIR RÉ- REEMBOLSO DE KM VISITA A PREFEITURA"/>
    <n v="-15"/>
    <x v="0"/>
    <x v="27"/>
  </r>
  <r>
    <x v="39"/>
    <s v="AGOSTO"/>
    <s v="HSERV COMBINADOS "/>
    <s v="FATIMA ANJO LUCIO - COMISSÃO "/>
    <n v="-235.25"/>
    <x v="0"/>
    <x v="17"/>
  </r>
  <r>
    <x v="40"/>
    <s v="SETEMBRO"/>
    <s v="VITOR DUARTE"/>
    <s v="LUPE LOCACAO E COMERCIO DE EQUIPAMENTOS ELETRONICOS E SERVICO- LOCAÇÃO NOTEBOOK ELISANGELA APARECIDA VITOR"/>
    <n v="-430.22"/>
    <x v="0"/>
    <x v="48"/>
  </r>
  <r>
    <x v="41"/>
    <s v="OUTUBRO"/>
    <s v="VITOR DUARTE"/>
    <s v="LUPE LOCACAO E COMERCIO DE EQUIPAMENTOS ELETRONICOS E SERVIC"/>
    <n v="-430.22"/>
    <x v="0"/>
    <x v="48"/>
  </r>
  <r>
    <x v="42"/>
    <s v="NOVEMBRO"/>
    <s v="VITOR DUARTE"/>
    <s v="LUPE LOCACAO E COMERCIO DE EQUIPAMENTOS ELETRONICOS E SERVIC"/>
    <n v="-430.22"/>
    <x v="0"/>
    <x v="48"/>
  </r>
  <r>
    <x v="43"/>
    <s v="DEZEMBRO"/>
    <s v="VITOR DUARTE"/>
    <s v="LUPE LOCACAO E COMERCIO DE EQUIPAMENTOS ELETRONICOS E SERVIC"/>
    <n v="-430.22"/>
    <x v="0"/>
    <x v="48"/>
  </r>
  <r>
    <x v="22"/>
    <s v="JULHO"/>
    <s v="VITOR DUARTE"/>
    <s v="LUPE LOCACAO E COMERCIO DE EQUIPAMENTOS ELETRONICOS E SERVIC"/>
    <n v="-430.22"/>
    <x v="0"/>
    <x v="48"/>
  </r>
  <r>
    <x v="22"/>
    <s v="JULHO"/>
    <s v="VITOR DUARTE"/>
    <s v="JONESO EMPREENDIMENTOS E ADMINISTRACAO LTDA"/>
    <n v="-440"/>
    <x v="0"/>
    <x v="15"/>
  </r>
  <r>
    <x v="11"/>
    <s v="JULHO"/>
    <s v="HSERV CABREUVA"/>
    <s v="FABIANO SAMPAIO DAVILA- PROCESSO 0011969-47.2022.5.15.0018CLAUDINEIA SANTOS DA SILVA -PARCELA 8/9"/>
    <n v="-3500"/>
    <x v="0"/>
    <x v="34"/>
  </r>
  <r>
    <x v="11"/>
    <s v="JULHO"/>
    <s v="HSERV TERCEIRIZADOS"/>
    <s v="WIG COMERCIO DE BATERIAS COMPONENTES LTDA-BATERIA EXCELL FORCE TRACIONARIA EXT150 EXT150"/>
    <n v="-1330"/>
    <x v="0"/>
    <x v="5"/>
  </r>
  <r>
    <x v="11"/>
    <s v="JULHO"/>
    <s v="HSERV COMBINADOS"/>
    <s v="INELTEC TECNOLOGIAS LTDA - EPP- COMPRA DE IBUTTONS"/>
    <n v="-430.4"/>
    <x v="0"/>
    <x v="21"/>
  </r>
  <r>
    <x v="11"/>
    <s v="JULHO"/>
    <s v="HENRIQUE JEAN"/>
    <s v="GRRF GRACE KELLY CUSTODIO AURELIANO"/>
    <n v="-119.8"/>
    <x v="0"/>
    <x v="6"/>
  </r>
  <r>
    <x v="11"/>
    <s v="JULHO"/>
    <s v="HSERV COMBINADOS"/>
    <s v="GRRF FAGNER LOPES DA SILVA"/>
    <n v="-183.91"/>
    <x v="0"/>
    <x v="6"/>
  </r>
  <r>
    <x v="11"/>
    <s v="JULHO"/>
    <s v="HSERV TECNOLOGIA"/>
    <s v="GRRF MANOEL ALVES DE ANDRADE"/>
    <n v="-190.27"/>
    <x v="0"/>
    <x v="6"/>
  </r>
  <r>
    <x v="11"/>
    <s v="JULHO"/>
    <s v="HSERV TECNOLOGIA"/>
    <s v="GRRF MATHEUS SANT ANNA"/>
    <n v="-898.96"/>
    <x v="0"/>
    <x v="6"/>
  </r>
  <r>
    <x v="10"/>
    <s v="JULHO"/>
    <s v="HSERV CABREUVA "/>
    <s v="MARIELE DE LIMA CANDIDO- RESSARCIMENTO DE MERCADORIA QUE O CONTROLADOR PAULO SERGIO (PALAZO VENEZA) FORNECEU AO MORADOR ERRADO"/>
    <n v="-127.27"/>
    <x v="0"/>
    <x v="49"/>
  </r>
  <r>
    <x v="11"/>
    <s v="JULHO"/>
    <s v="HSERV CLEAN"/>
    <s v="FEMACON CONSTRUCOES LTDA-CAMACON- MATERIAS PARA CALÇADA DA LOJA CLEAN"/>
    <n v="-1035.44"/>
    <x v="0"/>
    <x v="5"/>
  </r>
  <r>
    <x v="12"/>
    <s v="JULHO"/>
    <s v="HSERV TERCEIRIZADOS"/>
    <s v="FMD FUNDO DE INVESTIMENTO EM DIREITOS CREDITORIOS-STAR CLEAN"/>
    <n v="-1146.52"/>
    <x v="0"/>
    <x v="4"/>
  </r>
  <r>
    <x v="2"/>
    <s v="JULHO"/>
    <s v="HSERV TERCEIRIZADOS"/>
    <s v="FMD FUNDO DE INVESTIMENTO EM DIREITOS CREDITORIOS-STAR CLEAN"/>
    <n v="-1146.51"/>
    <x v="0"/>
    <x v="4"/>
  </r>
  <r>
    <x v="7"/>
    <s v="JULHO"/>
    <s v="HSERV TERCEIRIZADOS"/>
    <s v="FMD FUNDO DE INVESTIMENTO EM DIREITOS CREDITORIOS-STAR CLEAN NF 1356"/>
    <n v="-1146.51"/>
    <x v="0"/>
    <x v="4"/>
  </r>
  <r>
    <x v="3"/>
    <s v="JULHO"/>
    <s v="HSERV REPRESENTACOES"/>
    <s v="ASOMETRA ENGENHARIA VENCIDO 20/05/2025"/>
    <n v="-710.99"/>
    <x v="0"/>
    <x v="30"/>
  </r>
  <r>
    <x v="3"/>
    <s v="JULHO"/>
    <s v="HSERV LIMPEZA"/>
    <s v="ASOMETRA ENGENHARIA VENCIDO 20/05/2025"/>
    <n v="-408.28"/>
    <x v="0"/>
    <x v="30"/>
  </r>
  <r>
    <x v="3"/>
    <s v="JULHO"/>
    <s v="HSERV TERCERIZADOS"/>
    <s v="ASOMETRA ENGENHARIA VENCIDO 20/05/2025"/>
    <n v="-408.28"/>
    <x v="0"/>
    <x v="30"/>
  </r>
  <r>
    <x v="3"/>
    <s v="JULHO"/>
    <s v="HSERV TECNOLOGIA"/>
    <s v="ASOMETRA ENGENHARIA VENCIDO 20/05/2025"/>
    <n v="-408.28"/>
    <x v="0"/>
    <x v="30"/>
  </r>
  <r>
    <x v="3"/>
    <s v="JULHO"/>
    <s v="HSERV CLEAN"/>
    <s v="ASOMETRA ENGENHARIA VENCIDO 20/05/2025"/>
    <n v="-243.84"/>
    <x v="0"/>
    <x v="30"/>
  </r>
  <r>
    <x v="3"/>
    <s v="JULHO"/>
    <s v="HENRIQUE DUARTE "/>
    <s v="ASOMETRA ENGENHARIA VENCIDO 20/05/2025"/>
    <n v="-1224.42"/>
    <x v="0"/>
    <x v="30"/>
  </r>
  <r>
    <x v="8"/>
    <s v="JULHO"/>
    <s v="HSERV COMBINADOS"/>
    <s v="VIVIAN APARECIDA MENDES"/>
    <n v="-55"/>
    <x v="0"/>
    <x v="7"/>
  </r>
  <r>
    <x v="8"/>
    <s v="JULHO"/>
    <s v="HSERV COMBINADOS"/>
    <s v="ALTAMIRO LOPES SIQUEIRA"/>
    <n v="-55"/>
    <x v="0"/>
    <x v="7"/>
  </r>
  <r>
    <x v="8"/>
    <s v="JULHO"/>
    <s v="HSERV COMBINADOS"/>
    <s v="DAIANA INDIANARA DE PAULA SILVA"/>
    <n v="-224.2"/>
    <x v="0"/>
    <x v="7"/>
  </r>
  <r>
    <x v="8"/>
    <s v="JULHO"/>
    <s v="HSERV REPRESENTACOES"/>
    <s v="CELSO DE JESUS DANTAS"/>
    <n v="-110"/>
    <x v="0"/>
    <x v="7"/>
  </r>
  <r>
    <x v="8"/>
    <s v="JULHO"/>
    <s v="VITOR DUARTE"/>
    <s v="ANA CLAUDIA DE FIGUEIREDO"/>
    <n v="-180"/>
    <x v="0"/>
    <x v="7"/>
  </r>
  <r>
    <x v="8"/>
    <s v="JULHO"/>
    <s v="HSERV TECNOLOGIA"/>
    <s v="LUZIA DE CARVALHO"/>
    <n v="-171.85"/>
    <x v="0"/>
    <x v="6"/>
  </r>
  <r>
    <x v="3"/>
    <s v="JULHO"/>
    <s v="HERV COMBINADOS"/>
    <s v="ASOMETRA ENGENHARIA VENCIDO 20/05/2025"/>
    <n v="-1063.23"/>
    <x v="0"/>
    <x v="30"/>
  </r>
  <r>
    <x v="3"/>
    <s v="JULHO"/>
    <s v="VITOR DUARTE"/>
    <s v="ASOMETRA ENGENHARIA VENCIDO 20/05/2025"/>
    <n v="-41.59"/>
    <x v="0"/>
    <x v="30"/>
  </r>
  <r>
    <x v="3"/>
    <s v="JULHO"/>
    <s v="HENRIQUE JEAN"/>
    <s v="GRACE KELLY CUSTODIO AURELIANO"/>
    <n v="-200"/>
    <x v="0"/>
    <x v="7"/>
  </r>
  <r>
    <x v="3"/>
    <s v="JULHO"/>
    <s v="HSERV COMBINADOS"/>
    <s v="LINDIMAR FERREIRA DOS SANTOS"/>
    <n v="-177"/>
    <x v="0"/>
    <x v="7"/>
  </r>
  <r>
    <x v="3"/>
    <s v="JULHO"/>
    <s v="HSERV COMBINADOS"/>
    <s v="FABIO NOGUEIRA DA SILVA LOPES"/>
    <n v="-253"/>
    <x v="0"/>
    <x v="7"/>
  </r>
  <r>
    <x v="3"/>
    <s v="JULHO"/>
    <s v="HSERV COMBINADOS"/>
    <s v="LINDENALVA FARIAS RIBEIRO"/>
    <n v="-165"/>
    <x v="0"/>
    <x v="7"/>
  </r>
  <r>
    <x v="3"/>
    <s v="JULHO"/>
    <s v="HSERV COMBINADOS"/>
    <s v="RONALDO SILVA MARQUES"/>
    <n v="-177"/>
    <x v="0"/>
    <x v="7"/>
  </r>
  <r>
    <x v="3"/>
    <s v="JULHO"/>
    <s v="HSERV TECNOLOGIA"/>
    <s v="ROSANGELA FRANCO"/>
    <n v="-240"/>
    <x v="0"/>
    <x v="7"/>
  </r>
  <r>
    <x v="3"/>
    <s v="JULHO"/>
    <s v="VITOR DUARTE"/>
    <s v="IFOOD.COM AGENCIA DE RESTAURANTES ONLINE S.A."/>
    <n v="-130"/>
    <x v="0"/>
    <x v="26"/>
  </r>
  <r>
    <x v="3"/>
    <s v="JULHO"/>
    <s v="HSERV COMBINADOS"/>
    <s v="DIOGO HENRIQUE BARBOSA BERNARDINO-L  2 DIAS DE FT DESSE COLABORADOR NO UPA"/>
    <n v="-200"/>
    <x v="0"/>
    <x v="13"/>
  </r>
  <r>
    <x v="4"/>
    <s v="JULHO"/>
    <s v="HSERV CLEAN"/>
    <s v="SOFT WORKS EPI CALCADOS LTDA- VENCIDO 30/06/2025"/>
    <n v="-1593.18"/>
    <x v="0"/>
    <x v="44"/>
  </r>
  <r>
    <x v="3"/>
    <s v="JULHO"/>
    <s v="VITOR DUARTE"/>
    <s v="L. A. DE SOUZA - EQUIPAMENTOS DE SEGURANCA LTDA"/>
    <n v="-60"/>
    <x v="0"/>
    <x v="44"/>
  </r>
  <r>
    <x v="3"/>
    <s v="JULHO"/>
    <s v="HSERV TERCERIZADOS"/>
    <s v="Antônio Cesar caffe benatti-FT FISCAIS DOM OLIVIO SOROCABA "/>
    <n v="-360"/>
    <x v="0"/>
    <x v="13"/>
  </r>
  <r>
    <x v="3"/>
    <s v="JULHO"/>
    <s v="HSERV TERCERIZADOS"/>
    <s v="Welllington da Silva Araujoi-FT FISCAIS DOM OLIVIO SOROCABA "/>
    <n v="-440"/>
    <x v="0"/>
    <x v="13"/>
  </r>
  <r>
    <x v="3"/>
    <s v="JULHO"/>
    <s v="HSERV TERCERIZADOS"/>
    <s v="Sidnei Silveira Rodrigues  -FT FISCAIS DOM OLIVIO SOROCABA "/>
    <n v="-360"/>
    <x v="0"/>
    <x v="13"/>
  </r>
  <r>
    <x v="3"/>
    <s v="JULHO"/>
    <s v="HSERV TERCERIZADOS"/>
    <s v="Ezequiel Rodrigues dos Santos  -FT FISCAIS DOM OLIVIO SOROCABA "/>
    <n v="-120"/>
    <x v="0"/>
    <x v="13"/>
  </r>
  <r>
    <x v="3"/>
    <s v="JULHO"/>
    <s v="HSERV TERCERIZADOS"/>
    <s v="Alexs Sandro lagos da Silva  -FT FISCAIS DOM OLIVIO SOROCABA "/>
    <n v="-360"/>
    <x v="0"/>
    <x v="13"/>
  </r>
  <r>
    <x v="11"/>
    <s v="JULHO"/>
    <s v="HSERV TERCEIRIZADOS"/>
    <s v="WIG COMERCIO DE BATERIAS COMPONENTES LTDA"/>
    <n v="-1330"/>
    <x v="0"/>
    <x v="5"/>
  </r>
  <r>
    <x v="1"/>
    <s v="JULHO"/>
    <s v="HSERV CLEAN"/>
    <s v="BOM FALCAO LOGISTICA E TRANSPORTE LTDA"/>
    <n v="-94.65"/>
    <x v="0"/>
    <x v="50"/>
  </r>
  <r>
    <x v="1"/>
    <s v="JULHO"/>
    <s v="HSERV CLEAN"/>
    <s v="JOSE JONAS DE ARAUJO SILVA- PROCESSO 0010137-76.2022.5.15.0018- MANOEL VICENTE  HONORARIOS"/>
    <n v="-6069.71"/>
    <x v="0"/>
    <x v="34"/>
  </r>
  <r>
    <x v="1"/>
    <s v="JULHO"/>
    <s v="HSERV CLEAN"/>
    <s v="JOSE JONAS DE ARAUJO SILVA- PROCESSO 0010137-76.2022.5.15.0018- MANOEL VICENTE  PARCELA 1/8"/>
    <n v="-3968.99"/>
    <x v="0"/>
    <x v="34"/>
  </r>
  <r>
    <x v="1"/>
    <s v="JULHO"/>
    <s v="HSERV COMBINADOS"/>
    <s v="DANILO ENDRIGO GARAVELO"/>
    <n v="-82.93"/>
    <x v="0"/>
    <x v="6"/>
  </r>
  <r>
    <x v="4"/>
    <s v="JULHO"/>
    <s v="HSERV CLEAN"/>
    <s v="SPARTAN DO BRASIL PRODUTOS QUIMICOS LTDA-VENCIMENTO 01/07/2025"/>
    <n v="-3266.04"/>
    <x v="0"/>
    <x v="4"/>
  </r>
  <r>
    <x v="37"/>
    <s v="JULHO"/>
    <s v="HSERV CLEAN"/>
    <s v="SPARTAN DO BRASIL PRODUTOS QUIMICOS LTDA NF 253783 PARC 3/3"/>
    <n v="-3255.2"/>
    <x v="0"/>
    <x v="4"/>
  </r>
  <r>
    <x v="37"/>
    <s v="JULHO"/>
    <s v="VITOR DUARTE"/>
    <s v="L. A. DE SOUZA - EQUIPAMENTOS DE SEGURANCA LTDA NF 11620 - SAPATO ASG AVENIDA- OSSIRES"/>
    <n v="-90"/>
    <x v="0"/>
    <x v="44"/>
  </r>
  <r>
    <x v="37"/>
    <s v="JULHO"/>
    <s v="HSERV LIMPEZA"/>
    <s v="GRRF JESSICA NATALIA APARECIDA TEODORO"/>
    <n v="-105.31"/>
    <x v="0"/>
    <x v="6"/>
  </r>
  <r>
    <x v="37"/>
    <s v="JULHO"/>
    <s v="HSERV TERCEIRIZADOS"/>
    <s v="GRRF VALMIR DOS SANTOS"/>
    <n v="-252.74"/>
    <x v="0"/>
    <x v="6"/>
  </r>
  <r>
    <x v="37"/>
    <s v="JULHO"/>
    <s v="HSERV COMBINADOS"/>
    <s v="ANDRADE FREITAS SOCIEDADE DE ADVOGADOS"/>
    <n v="-5600"/>
    <x v="0"/>
    <x v="34"/>
  </r>
  <r>
    <x v="37"/>
    <s v="JULHO"/>
    <s v="HSERV TERCEIRIZADOS"/>
    <s v="PAROLAR DIST DE UTENSILIOS DOMESTICOS LTDA- NF 210.137"/>
    <n v="-352.25"/>
    <x v="0"/>
    <x v="4"/>
  </r>
  <r>
    <x v="12"/>
    <s v="JULHO"/>
    <s v="HSERV CABREUVA"/>
    <s v="NOVITA VEST CONFECCOES LTDA-SETTE UNIFORMES "/>
    <n v="-2003.3397440000001"/>
    <x v="0"/>
    <x v="44"/>
  </r>
  <r>
    <x v="12"/>
    <s v="JULHO"/>
    <s v="HSERV CLEAN"/>
    <s v="J.E. COMERCIO E SOLUCOES LTDA"/>
    <n v="-955.7"/>
    <x v="0"/>
    <x v="4"/>
  </r>
  <r>
    <x v="12"/>
    <s v="JULHO"/>
    <s v="HSERV CLEAN"/>
    <s v="J.E. COMERCIO E SOLUCOES LTDA"/>
    <n v="-372.75"/>
    <x v="0"/>
    <x v="4"/>
  </r>
  <r>
    <x v="37"/>
    <s v="JULHO"/>
    <s v="HSERV COMBINADOS "/>
    <s v="LOCALIZA- AGMTZ 2561625-VENCIDA 03/07/2025  MULTA DE TRANSITO"/>
    <n v="-238.27"/>
    <x v="0"/>
    <x v="29"/>
  </r>
  <r>
    <x v="37"/>
    <s v="JULHO"/>
    <s v="HSERV COMBINADOS "/>
    <s v="LOCALIZA- AGMTZ 2561603-VENCIDA 03/07/2025 MULTA DE TRANSITO"/>
    <n v="-238.27"/>
    <x v="0"/>
    <x v="29"/>
  </r>
  <r>
    <x v="37"/>
    <s v="JULHO"/>
    <s v="HSERV COMBINADOS "/>
    <s v="LOCALIZA- AGMTZ 2561586-VENCIDA 03/07/2025 MULTA DE TRANSITO"/>
    <n v="-238.27"/>
    <x v="0"/>
    <x v="29"/>
  </r>
  <r>
    <x v="37"/>
    <s v="JULHO"/>
    <s v="HSERV COMBINADOS "/>
    <s v="LOCALIZA- AGMTZ 2561576-VENCIDA 03/07/2025 MULTA DE TRANSITO"/>
    <n v="-238.27"/>
    <x v="0"/>
    <x v="29"/>
  </r>
  <r>
    <x v="37"/>
    <s v="JULHO"/>
    <s v="HSERV COMBINADOS "/>
    <s v="LOCALIZA -AFMTZ 2350662-VENCIDA 30/05/2025 QUILÔMETROS EXCEDENTES"/>
    <n v="-327.58999999999997"/>
    <x v="0"/>
    <x v="29"/>
  </r>
  <r>
    <x v="37"/>
    <s v="JULHO"/>
    <s v="HSERV COMBINADOS "/>
    <s v="LOCALIZA- AGMTZ 2454658-VENCIDA 02/05/2025-PREFIXAÇÃO DE DANOS - AVARIAS"/>
    <n v="-492.61"/>
    <x v="0"/>
    <x v="29"/>
  </r>
  <r>
    <x v="37"/>
    <s v="JULHO"/>
    <s v="HSERV COMBINADOS "/>
    <s v="LOCALIZA-AGMTZ 2454656 VENCIDA 02/05/2025-REEMBOLSO DE CUSTOS REF. PNEUS EXCEDENTES / ATIVIDADES CORRELATAS"/>
    <n v="-635.09"/>
    <x v="0"/>
    <x v="29"/>
  </r>
  <r>
    <x v="37"/>
    <s v="JULHO"/>
    <s v="VITOR DUARTE"/>
    <s v="LOCALIZA AFMTZ 2356665  VENCIDA 30/05/2025 KM EXCEDENTE"/>
    <n v="-752.69"/>
    <x v="0"/>
    <x v="29"/>
  </r>
  <r>
    <x v="37"/>
    <s v="JULHO"/>
    <s v="VITOR DUARTE"/>
    <s v="LOCALIZA AFMTZ 2357800 -VENCIDA 30/05/2025 LOCAÇÃO 3 VTR "/>
    <n v="-6481.7"/>
    <x v="0"/>
    <x v="29"/>
  </r>
  <r>
    <x v="2"/>
    <s v="JULHO"/>
    <s v="VITOR DUARTE"/>
    <s v="54.055.078 MATHEUS PEIXOTO DE OLIVEIRA-VENCIDO 30/06/2025"/>
    <n v="-2000"/>
    <x v="0"/>
    <x v="40"/>
  </r>
  <r>
    <x v="2"/>
    <s v="JULHO"/>
    <s v="HSERV COMBINADOS  ND "/>
    <s v="ADEMIR- IMPRESSÃO E IMPRESSORA VENCIDO 30/06/2025"/>
    <n v="-150"/>
    <x v="0"/>
    <x v="40"/>
  </r>
  <r>
    <x v="44"/>
    <s v="SETEMBRO"/>
    <s v="VITOR DUARTE"/>
    <s v="IRMÃOS BOAS -ASSIDUIDADE"/>
    <n v="29400"/>
    <x v="1"/>
    <x v="23"/>
  </r>
  <r>
    <x v="44"/>
    <s v="SETEMBRO"/>
    <s v="VITOR DUARTE"/>
    <s v="IRMÃOS BOAS "/>
    <n v="6759.38"/>
    <x v="1"/>
    <x v="3"/>
  </r>
  <r>
    <x v="27"/>
    <s v="SETEMBRO"/>
    <s v="HSERV TERCERIZADOS"/>
    <s v="PREFEITURA M DE CABR"/>
    <n v="15077.75"/>
    <x v="1"/>
    <x v="3"/>
  </r>
  <r>
    <x v="28"/>
    <s v="SETEMBRO"/>
    <s v="HSERV TERCERIZADOS"/>
    <s v="PREFEITURA M DE CABR"/>
    <n v="15077.75"/>
    <x v="1"/>
    <x v="3"/>
  </r>
  <r>
    <x v="38"/>
    <s v="OUTUBRO"/>
    <s v="HSERV TERCERIZADOS"/>
    <s v="PREFEITURA M DE CABR"/>
    <n v="15077.75"/>
    <x v="1"/>
    <x v="3"/>
  </r>
  <r>
    <x v="30"/>
    <s v="NOVEMBRO"/>
    <s v="HSERV TERCERIZADOS"/>
    <s v="PREFEITURA M DE CABR"/>
    <n v="15077.75"/>
    <x v="1"/>
    <x v="3"/>
  </r>
  <r>
    <x v="31"/>
    <s v="DEZEMBRO"/>
    <s v="HSERV TERCERIZADOS"/>
    <s v="PREFEITURA M DE CABR"/>
    <n v="15077.75"/>
    <x v="1"/>
    <x v="3"/>
  </r>
  <r>
    <x v="15"/>
    <s v="JULHO"/>
    <s v="HSERV TERCERIZADOS"/>
    <s v="INSTITUTO LOJAS RENNE "/>
    <n v="579.54999999999995"/>
    <x v="1"/>
    <x v="3"/>
  </r>
  <r>
    <x v="15"/>
    <s v="JULHO"/>
    <s v="HSERV TERCERIZADOS"/>
    <s v="PREFEITURA M DE CABR"/>
    <n v="15077.75"/>
    <x v="1"/>
    <x v="3"/>
  </r>
  <r>
    <x v="5"/>
    <s v="JULHO"/>
    <s v="HSERV TERCERIZADOS"/>
    <s v="PREFEITURA M DE CABR"/>
    <n v="15077.75"/>
    <x v="1"/>
    <x v="3"/>
  </r>
  <r>
    <x v="37"/>
    <s v="JULHO"/>
    <s v="HSERV CABREUVA"/>
    <s v="VALERIA BARBOSA LEITE"/>
    <n v="-257"/>
    <x v="0"/>
    <x v="7"/>
  </r>
  <r>
    <x v="37"/>
    <s v="JULHO"/>
    <s v="HSERV COMBINADOS"/>
    <s v="ANA CLAUDIA XAVIER DA SILVEIRA BATISTA"/>
    <n v="-195"/>
    <x v="0"/>
    <x v="7"/>
  </r>
  <r>
    <x v="37"/>
    <s v="JULHO"/>
    <s v="VITOR DUARTE"/>
    <s v="DANIELE VIEIRA DA SILVA"/>
    <n v="-160"/>
    <x v="0"/>
    <x v="7"/>
  </r>
  <r>
    <x v="37"/>
    <s v="JULHO"/>
    <s v="VITOR DUARTE"/>
    <s v="MAIKON CEZARIO DOS SANTOS COPINO"/>
    <n v="-684"/>
    <x v="0"/>
    <x v="7"/>
  </r>
  <r>
    <x v="37"/>
    <s v="JULHO"/>
    <s v="HSERV TERCEIRIZADOS"/>
    <s v="SAMARA DE JESUS VITOR 08/07- VT "/>
    <n v="-32.4"/>
    <x v="0"/>
    <x v="7"/>
  </r>
  <r>
    <x v="37"/>
    <s v="JULHO"/>
    <s v="HSERV TERCEIRIZADOS"/>
    <s v="vALCILENE DOS SANTOS 08/07- VT PARA COBRIR A LOJ 22- ASG-"/>
    <n v="-12"/>
    <x v="0"/>
    <x v="7"/>
  </r>
  <r>
    <x v="37"/>
    <s v="JULHO"/>
    <s v="HENRIQUE JEAN"/>
    <s v="SINDPRESTEM-VENCIDO 30/06/2025"/>
    <n v="-630.08000000000004"/>
    <x v="0"/>
    <x v="14"/>
  </r>
  <r>
    <x v="37"/>
    <s v="JULHO"/>
    <s v="HENRIQUE JEAN"/>
    <s v="CELIO ROBERTO"/>
    <n v="-5000"/>
    <x v="0"/>
    <x v="10"/>
  </r>
  <r>
    <x v="37"/>
    <s v="JULHO"/>
    <s v="HSERV TERCEIRIZADOS"/>
    <s v="LOTUS CENTRAL DE DISTRIBUICAO DE HIGIENICOS LTDA- NF  111185 PARC 3/3"/>
    <n v="-900.68"/>
    <x v="0"/>
    <x v="4"/>
  </r>
  <r>
    <x v="12"/>
    <s v="JULHO"/>
    <s v="HSERV COMBINADOS"/>
    <s v="THIAGO ALMEIDA- COMISSÃO DE PRODUTOS"/>
    <n v="-325.02999999999997"/>
    <x v="0"/>
    <x v="46"/>
  </r>
  <r>
    <x v="12"/>
    <s v="JULHO"/>
    <s v="HSERV REPRESENTACOES"/>
    <s v="ILMA FERREIRA DE SOUZA"/>
    <n v="-2785.73"/>
    <x v="0"/>
    <x v="6"/>
  </r>
  <r>
    <x v="12"/>
    <s v="JULHO"/>
    <s v="HSERV COMBINADOS"/>
    <s v="FATIMA APARECIDA DOS ANJOS LUCIO-COMPLEMENTO DE SALARIOS"/>
    <n v="-1000"/>
    <x v="0"/>
    <x v="11"/>
  </r>
  <r>
    <x v="12"/>
    <s v="JULHO"/>
    <s v="HSERV TERCEIRIZADOS"/>
    <s v="PAROLAR DIST DE UTENSILIOS DOMESTICOS LTDA"/>
    <n v="-352.25"/>
    <x v="0"/>
    <x v="4"/>
  </r>
  <r>
    <x v="7"/>
    <s v="JULHO"/>
    <s v="HSERV TERCEIRIZADOS"/>
    <s v="GLOVAN CABREUVA ALUGUEL DE EQUIPAMENTOS LTDA"/>
    <n v="-40.86"/>
    <x v="0"/>
    <x v="5"/>
  </r>
  <r>
    <x v="4"/>
    <s v="JULHO"/>
    <s v="HSERV COMBINADOS"/>
    <s v="_x0009_EVERTON DOMINGOS LUIZ - ANTEDCIPAÇÃO DE SALARIOS- COLABORADOR SOLICITOU PARA COMPRA DE GAS "/>
    <n v="-150"/>
    <x v="0"/>
    <x v="11"/>
  </r>
  <r>
    <x v="4"/>
    <s v="JULHO"/>
    <s v="VITOR DUARTE"/>
    <s v="NEXTI DESENVOLVIMENTO DE SISTEMAS S.A. VENCIDO 30/06/2025"/>
    <n v="-2651.79"/>
    <x v="0"/>
    <x v="21"/>
  </r>
  <r>
    <x v="4"/>
    <s v="JULHO"/>
    <s v="VITOR DUARTE"/>
    <s v="NEXTI DESENVOLVIMENTO DE SISTEMAS S.A. VENCIDO 30/06/2025"/>
    <n v="-1668.9"/>
    <x v="0"/>
    <x v="21"/>
  </r>
  <r>
    <x v="12"/>
    <s v="JULHO"/>
    <s v="HSERV CABREUVA"/>
    <s v="SIMPLES NACIONAL-PARCELAMENTO VENCIDO 30/06/2025"/>
    <n v="-32600.85"/>
    <x v="0"/>
    <x v="32"/>
  </r>
  <r>
    <x v="12"/>
    <s v="JULHO"/>
    <s v="VITOR DUARTE"/>
    <s v="GUIA DE PARCELAMENTO INSS VITOR JULHO A NOV 2024- VENCIMENTO 30/06/2025"/>
    <n v="-6479.07"/>
    <x v="0"/>
    <x v="32"/>
  </r>
  <r>
    <x v="12"/>
    <s v="JULHO"/>
    <s v="HSERV CLEAN"/>
    <s v="_x0009_DA REC FED DARF C211000 GUIA DE PARELAMENTO DE DIVIDA ATIVA HSERV CLEAN-  VENCIMENTO 30/06/2025"/>
    <n v="-547.91999999999996"/>
    <x v="0"/>
    <x v="32"/>
  </r>
  <r>
    <x v="12"/>
    <s v="JULHO"/>
    <s v="HENRIQUE JEAN"/>
    <s v="PARCELAMENTO SIMPLICADO- HSERV CLEAN DEBITO PREVIDENCIARIO  VENCIMENTO 30/06/2025"/>
    <n v="-527.71"/>
    <x v="0"/>
    <x v="32"/>
  </r>
  <r>
    <x v="12"/>
    <s v="JULHO"/>
    <s v="HSERV COMBINADOS"/>
    <s v="PARCELAMENTO SIMPLICADO- HSERV COMBINADOS  DEBITO PREVIDENCIARIO - VENCIMENTO 30/06/2025"/>
    <n v="-511.22"/>
    <x v="0"/>
    <x v="32"/>
  </r>
  <r>
    <x v="12"/>
    <s v="JULHO"/>
    <s v="VITOR DUARTE"/>
    <s v="PARCELAMENTO SIMPLICADO- VITOR DUARTE  DEBITO PREVIDENCIARIO - VENCIMENTO 30/06/2025"/>
    <n v="-4331.1099999999997"/>
    <x v="0"/>
    <x v="32"/>
  </r>
  <r>
    <x v="12"/>
    <s v="JULHO"/>
    <s v="HSERV REPRESENTAÇÃO "/>
    <s v="PARCELAMENTO SIMPLICADO- HSERV REPRESENTAÇÃO  DEBITO PREVIDENCIARIO  - VENCIMENTO 30/06/2025"/>
    <n v="-521.20000000000005"/>
    <x v="0"/>
    <x v="32"/>
  </r>
  <r>
    <x v="12"/>
    <s v="JULHO"/>
    <s v="HSERV LIMPEZA"/>
    <s v="PARCELAMENTO SIMPLICADO- HSERV LIMPEZA - DEBITO PREVIDENCIARIO  - VENCIMENTO 30/06/2025"/>
    <n v="-525.48"/>
    <x v="0"/>
    <x v="32"/>
  </r>
  <r>
    <x v="8"/>
    <s v="JULHO"/>
    <s v="HSERV TERCEIRIZADOS"/>
    <s v="GISELE RODRIGUES- CAIXINHA"/>
    <n v="-1500"/>
    <x v="0"/>
    <x v="1"/>
  </r>
  <r>
    <x v="8"/>
    <s v="JULHO"/>
    <s v="HSERV CMBINAODS"/>
    <s v="SINDITERCERIZADOSASSOCIADA- CICERA MARIA VENCIMENTO 10/07/2025"/>
    <n v="-30"/>
    <x v="0"/>
    <x v="14"/>
  </r>
  <r>
    <x v="8"/>
    <s v="JULHO"/>
    <s v="HSERV TERCEIRIZADOS"/>
    <s v="VINICIUS JOSE EUGENIO - ME"/>
    <n v="-33"/>
    <x v="0"/>
    <x v="50"/>
  </r>
  <r>
    <x v="7"/>
    <s v="JULHO"/>
    <s v="VITOR DUARTE"/>
    <s v="EMPORIO MEGA 100 COMERCIO DE ALIMENTOS S.A.-CESTA NATALINA - VENCIMENTO 30/06/2025"/>
    <n v="-1408.84"/>
    <x v="0"/>
    <x v="51"/>
  </r>
  <r>
    <x v="7"/>
    <s v="JULHO"/>
    <s v="VITOR DUARTE"/>
    <s v="EMPORIO MEGA 100 COMERCIO DE ALIMENTOS S.A.-CESTA NATALINA - VENCIMENTO 30/06/2025"/>
    <n v="-3312.86"/>
    <x v="0"/>
    <x v="51"/>
  </r>
  <r>
    <x v="7"/>
    <s v="JULHO"/>
    <s v="HSERV COMBINADOS"/>
    <s v="DAVID DA SILVA PORFIRIO-DEVOÇÃO DE DESCONTO DE FALTA INDEVIDO NA FOLHA 06/2025"/>
    <n v="-336.85"/>
    <x v="0"/>
    <x v="11"/>
  </r>
  <r>
    <x v="7"/>
    <s v="JULHO"/>
    <s v="HSERV COMBINADOS"/>
    <s v="KARINA APARECIDA DE BRITO DOS SANTOS"/>
    <n v="-165"/>
    <x v="0"/>
    <x v="7"/>
  </r>
  <r>
    <x v="7"/>
    <s v="JULHO"/>
    <s v="HSERV COMBINADOS"/>
    <s v="ELAINE BARBOSA DE SOUSA"/>
    <n v="-178"/>
    <x v="0"/>
    <x v="7"/>
  </r>
  <r>
    <x v="7"/>
    <s v="JULHO"/>
    <s v="HSERV CABREUVA"/>
    <s v="ASOMETRA ENGENHARIA DE SEGURANCA E MEDICINA DO TRABALHO LTDA"/>
    <n v="-238.27"/>
    <x v="0"/>
    <x v="30"/>
  </r>
  <r>
    <x v="7"/>
    <s v="JULHO"/>
    <s v="HENRIQUE JEAN"/>
    <s v="LEONARDO ANTONIO DO CARMO JUNIOR-.FGTS EM ATRASO 10/2023"/>
    <n v="-259.25"/>
    <x v="0"/>
    <x v="32"/>
  </r>
  <r>
    <x v="7"/>
    <s v="JULHO"/>
    <s v="HENRIQUE JEAN"/>
    <s v="LEONARDO ANTONIO DO CARMO JUNIOR-.FGTS EM ATRASO 02/2023"/>
    <n v="-132.47"/>
    <x v="0"/>
    <x v="32"/>
  </r>
  <r>
    <x v="7"/>
    <s v="JULHO"/>
    <s v="HENRIQUE JEAN"/>
    <s v="LEONARDO ANTONIO DO CARMO JUNIOR-.FGTS EM ATRASO 07/2023"/>
    <n v="-234.94"/>
    <x v="0"/>
    <x v="32"/>
  </r>
  <r>
    <x v="7"/>
    <s v="JULHO"/>
    <s v="HENRIQUE JEAN"/>
    <s v="LEONARDO ANTONIO DO CARMO JUNIOR-.FGTS EM ATRASO 09/2023"/>
    <n v="-265.04000000000002"/>
    <x v="0"/>
    <x v="32"/>
  </r>
  <r>
    <x v="7"/>
    <s v="JULHO"/>
    <s v="HENRIQUE JEAN"/>
    <s v="LEONARDO ANTONIO DO CARMO JUNIOR-.FGTS EM ATRASO 04/2023"/>
    <n v="-236.39"/>
    <x v="0"/>
    <x v="32"/>
  </r>
  <r>
    <x v="7"/>
    <s v="JULHO"/>
    <s v="HENRIQUE JEAN"/>
    <s v="LEONARDO ANTONIO DO CARMO JUNIOR-.FGTS EM ATRASO 03/2023"/>
    <n v="-179.49"/>
    <x v="0"/>
    <x v="32"/>
  </r>
  <r>
    <x v="7"/>
    <s v="JULHO"/>
    <s v="HENRIQUE JEAN"/>
    <s v="LEONARDO ANTONIO DO CARMO JUNIOR-.FGTS EM ATRASO 08/2023"/>
    <n v="-275.81"/>
    <x v="0"/>
    <x v="32"/>
  </r>
  <r>
    <x v="7"/>
    <s v="JULHO"/>
    <s v="HENRIQUE JEAN"/>
    <s v="LEONARDO ANTONIO DO CARMO JUNIOR-.FGTS EM ATRASO 11/2023"/>
    <n v="-348.05"/>
    <x v="0"/>
    <x v="32"/>
  </r>
  <r>
    <x v="7"/>
    <s v="JULHO"/>
    <s v="HENRIQUE JEAN"/>
    <s v="LEONARDO ANTONIO DO CARMO JUNIOR-.FGTS EM ATRASO 12/2023"/>
    <n v="-338.6"/>
    <x v="0"/>
    <x v="32"/>
  </r>
  <r>
    <x v="7"/>
    <s v="JULHO"/>
    <s v="VITOR DUARTE"/>
    <s v="LOCALIZA FLEET S.A.-AGMTZ-2577162"/>
    <n v="-120"/>
    <x v="0"/>
    <x v="29"/>
  </r>
  <r>
    <x v="7"/>
    <s v="JULHO"/>
    <s v="VITOR DUARTE"/>
    <s v="LOCALIZA FLEET S.A.- FATURA  AGMTZ-2577180- MULTA DE TRANSITO "/>
    <n v="-233.26"/>
    <x v="0"/>
    <x v="29"/>
  </r>
  <r>
    <x v="7"/>
    <s v="JULHO"/>
    <s v="VITOR DUARTE"/>
    <s v="LOCALIZA FLEET S.A. FATIRA AGMTZ-2577199-MULTA DE TRANSITO"/>
    <n v="-233.26"/>
    <x v="0"/>
    <x v="29"/>
  </r>
  <r>
    <x v="2"/>
    <s v="JULHO"/>
    <s v="HSERV TERCEIRIZADOS"/>
    <s v="MOVIDA PARTICIPACOES S.A."/>
    <n v="-293.45999999999998"/>
    <x v="0"/>
    <x v="29"/>
  </r>
  <r>
    <x v="2"/>
    <s v="JULHO"/>
    <s v="HSERV CABREUVA"/>
    <s v="LM SUPER TROCA DE OLEO"/>
    <n v="-180"/>
    <x v="0"/>
    <x v="5"/>
  </r>
  <r>
    <x v="2"/>
    <s v="JULHO"/>
    <s v="HENRIQUE JEAN"/>
    <s v="DAIANI SILVA RODRIGUES"/>
    <n v="-1673.53"/>
    <x v="0"/>
    <x v="6"/>
  </r>
  <r>
    <x v="2"/>
    <s v="JULHO"/>
    <s v="HSERV TERCEIRIZADOS"/>
    <s v="VALMIR DOS SANTOS"/>
    <n v="-3012.37"/>
    <x v="0"/>
    <x v="6"/>
  </r>
  <r>
    <x v="2"/>
    <s v="JULHO"/>
    <s v="HSERV LIMPEZA"/>
    <s v="JESSICA NATALIA APARECIDA TEODORO"/>
    <n v="-1442.11"/>
    <x v="0"/>
    <x v="6"/>
  </r>
  <r>
    <x v="2"/>
    <s v="JULHO"/>
    <s v="HSERV TECNOLOGIA"/>
    <s v="LUZIA DE CARVALHO"/>
    <n v="-2146.87"/>
    <x v="0"/>
    <x v="6"/>
  </r>
  <r>
    <x v="2"/>
    <s v="JULHO"/>
    <s v="HSERV COMBINADOS"/>
    <s v="MARIA DE JESUS SANTOS"/>
    <n v="-194.6"/>
    <x v="0"/>
    <x v="7"/>
  </r>
  <r>
    <x v="2"/>
    <s v="JULHO"/>
    <s v="HSERV TECNOLOGIA"/>
    <s v="ALEX APARECIDO DE MORAES"/>
    <n v="-225.6"/>
    <x v="0"/>
    <x v="7"/>
  </r>
  <r>
    <x v="2"/>
    <s v="JULHO"/>
    <s v="HSERV COMBINADOS"/>
    <s v="WAGNER BIONDO"/>
    <n v="-225.6"/>
    <x v="0"/>
    <x v="7"/>
  </r>
  <r>
    <x v="2"/>
    <s v="JULHO"/>
    <s v="HSERV COMBINADOS"/>
    <s v="KELLY LOPES DA SILVA"/>
    <n v="-267"/>
    <x v="0"/>
    <x v="7"/>
  </r>
  <r>
    <x v="2"/>
    <s v="JULHO"/>
    <s v="VITOR DUARTE"/>
    <s v="IFOOD.COM AGENCIA DE RESTAURANTES ONLINE S.A."/>
    <n v="-225.6"/>
    <x v="0"/>
    <x v="26"/>
  </r>
  <r>
    <x v="2"/>
    <s v="JULHO"/>
    <s v="HSERV CLEAN"/>
    <s v="LARAH MELYSSA ALVES DE SOUSA  NO VALOR DE R$ 921,71 A DAIANE CRISTINA ANDRADE - BELLART"/>
    <n v="-368.68"/>
    <x v="0"/>
    <x v="11"/>
  </r>
  <r>
    <x v="2"/>
    <s v="JULHO"/>
    <s v="HSERV COMBINADOS"/>
    <s v="TAMIRES DA SILVA CAPUCHINHO"/>
    <n v="-3675"/>
    <x v="0"/>
    <x v="38"/>
  </r>
  <r>
    <x v="2"/>
    <s v="JULHO"/>
    <s v="HSERV CABREUVA"/>
    <s v="BANCO SAFRA S A"/>
    <n v="-6441.1"/>
    <x v="0"/>
    <x v="12"/>
  </r>
  <r>
    <x v="2"/>
    <s v="JULHO"/>
    <s v="HSERV CABREUVA"/>
    <s v="PAPEL E CIA"/>
    <n v="-1163.28"/>
    <x v="0"/>
    <x v="43"/>
  </r>
  <r>
    <x v="2"/>
    <s v="JULHO"/>
    <s v="HSERV CABREUVA"/>
    <s v="PAPEL E CIA"/>
    <n v="-196.43"/>
    <x v="0"/>
    <x v="43"/>
  </r>
  <r>
    <x v="2"/>
    <s v="JULHO"/>
    <s v="HSERV CLEAN"/>
    <s v="J.E. COMERCIO E SOLUCOES LTDA"/>
    <n v="-845.1"/>
    <x v="0"/>
    <x v="4"/>
  </r>
  <r>
    <x v="2"/>
    <s v="JULHO"/>
    <s v="HSERV CLEAN"/>
    <s v="J.E. COMERCIO E SOLUCOES LTDA"/>
    <n v="-3534.54"/>
    <x v="0"/>
    <x v="4"/>
  </r>
  <r>
    <x v="1"/>
    <s v="JULHO"/>
    <s v="HSERV LIMPEZA"/>
    <s v="HIGOR HENRIQUE SANTOS"/>
    <n v="-62.28"/>
    <x v="0"/>
    <x v="2"/>
  </r>
  <r>
    <x v="1"/>
    <s v="JULHO"/>
    <s v="HSERV REPRESENTACOES"/>
    <s v="YAIKEL MARTINEZ LEON"/>
    <n v="-62.28"/>
    <x v="0"/>
    <x v="2"/>
  </r>
  <r>
    <x v="1"/>
    <s v="JULHO"/>
    <s v="HSERV TERCEIRIZADOS"/>
    <s v="RAFAEL MOREIRA ANDRELINO"/>
    <n v="-62.28"/>
    <x v="0"/>
    <x v="2"/>
  </r>
  <r>
    <x v="1"/>
    <s v="JULHO"/>
    <s v="HSERV CLEAN"/>
    <s v="FRANCINI MARQUES DA SILVA"/>
    <n v="-207.6"/>
    <x v="0"/>
    <x v="2"/>
  </r>
  <r>
    <x v="1"/>
    <s v="JULHO"/>
    <s v="HSERV CLEAN"/>
    <s v="MARIA JOSE CONCEICAO DA SILVA"/>
    <n v="-40"/>
    <x v="0"/>
    <x v="7"/>
  </r>
  <r>
    <x v="1"/>
    <s v="JULHO"/>
    <s v="HSERV LIMPEZA"/>
    <s v="HIGOR HENRIQUE SANTOS"/>
    <n v="-100"/>
    <x v="0"/>
    <x v="7"/>
  </r>
  <r>
    <x v="1"/>
    <s v="JULHO"/>
    <s v="HSERV REPRESENTACOES"/>
    <s v="MARIA JOSE DA SILVA SANTOS"/>
    <n v="-110"/>
    <x v="0"/>
    <x v="7"/>
  </r>
  <r>
    <x v="1"/>
    <s v="JULHO"/>
    <s v="HSERV TECNOLOGIA"/>
    <s v="MATHEUS SANT ANNA"/>
    <n v="-30"/>
    <x v="0"/>
    <x v="7"/>
  </r>
  <r>
    <x v="1"/>
    <s v="JULHO"/>
    <s v="HSERV COMBINADOS"/>
    <s v="JENIFFER ADRIELE SANTOS SERGIO"/>
    <n v="-40"/>
    <x v="0"/>
    <x v="13"/>
  </r>
  <r>
    <x v="4"/>
    <s v="JULHO"/>
    <s v="HSERV TERCEIRIZADOS"/>
    <s v="LOTUS CENTRAL DE DISTRIBUICAO DE HIGIENICOS LTDA- NF  111185 -PARCELA 2/3 VENCIMENTO 01/07/2025"/>
    <n v="-902.17"/>
    <x v="0"/>
    <x v="4"/>
  </r>
  <r>
    <x v="6"/>
    <s v="JULHO"/>
    <s v="HENRIQUE JEAN"/>
    <s v="GRACE KELLY CUSTODIO AURELIANO"/>
    <n v="-272.20999999999998"/>
    <x v="0"/>
    <x v="6"/>
  </r>
  <r>
    <x v="6"/>
    <s v="JULHO"/>
    <s v="HSERV COMBINADOS"/>
    <s v="FAGNER LOPES DA SILVA"/>
    <n v="-403.6"/>
    <x v="0"/>
    <x v="6"/>
  </r>
  <r>
    <x v="6"/>
    <s v="JULHO"/>
    <s v="HSERV TECNOLOGIA"/>
    <s v="MANOEL ALVES DE ANDRADE"/>
    <n v="-135.99"/>
    <x v="0"/>
    <x v="6"/>
  </r>
  <r>
    <x v="6"/>
    <s v="JULHO"/>
    <s v="HSERV CLEAN"/>
    <s v="SOFT WORKS EPI CALCADOS LTDA"/>
    <n v="-1723"/>
    <x v="0"/>
    <x v="44"/>
  </r>
  <r>
    <x v="15"/>
    <s v="JULHO"/>
    <s v="HSERV TERCEIRIZADOS"/>
    <s v="LOTUS CENTRAL DE DISTRIBUICAO DE HIGIENICOS LTDA-NF 143048"/>
    <n v="-1292.549945"/>
    <x v="0"/>
    <x v="4"/>
  </r>
  <r>
    <x v="15"/>
    <s v="JULHO"/>
    <s v="VITOR DUARTE"/>
    <s v="ALTOLIM COMERCIAL ASSIS EIRELI - NF 40326"/>
    <n v="-110.4"/>
    <x v="0"/>
    <x v="4"/>
  </r>
  <r>
    <x v="35"/>
    <s v="JULHO"/>
    <s v="HENRIQUE JEAN"/>
    <s v="DARE- HENRIQUE JEAN- PNº do protocolo: SPP2530984205"/>
    <n v="-211.01"/>
    <x v="0"/>
    <x v="32"/>
  </r>
  <r>
    <x v="35"/>
    <s v="JULHO"/>
    <s v="HSERV TERCEIRIZADOS"/>
    <s v="RFP MATERIAIS PARA CONSTRUCAO LTDA NF 3600"/>
    <n v="-318.43"/>
    <x v="0"/>
    <x v="5"/>
  </r>
  <r>
    <x v="35"/>
    <s v="JULHO"/>
    <s v="HSERV COMBINADOS"/>
    <s v="MARIA DA CONCEICAO DE BARROS LOGERIO-VT 1 DIA - DEVIDO RECARGA NÃO TER ENTRADO"/>
    <n v="-12.3"/>
    <x v="0"/>
    <x v="7"/>
  </r>
  <r>
    <x v="35"/>
    <s v="JULHO"/>
    <s v="VITOR DUARTE"/>
    <s v="PRIMETEC TECNOLOGIA LTDA"/>
    <n v="-535.1"/>
    <x v="0"/>
    <x v="21"/>
  </r>
  <r>
    <x v="15"/>
    <s v="JULHO"/>
    <s v="HSERV CLEAN"/>
    <s v="GILBERTO SILVA SANTOS-VALE TRANSPORTE DO DIA 28/07 AO DIA 07/08 R$10,00 POR DIA  JARDINEIRO ADMISSÃO"/>
    <n v="-90"/>
    <x v="0"/>
    <x v="7"/>
  </r>
  <r>
    <x v="15"/>
    <s v="JULHO"/>
    <s v="HSERV REPRESENTACOES"/>
    <s v="LAURINDA MARIA SANTOS NEVES-VALE TRANSPORTE DO DIA 28/07 AO DIA 07/08 R$10,00 POR DIA ADMISSÃO VETTOR"/>
    <n v="-90"/>
    <x v="0"/>
    <x v="7"/>
  </r>
  <r>
    <x v="15"/>
    <s v="JULHO"/>
    <s v="HSERV TERCEIRIZADOS"/>
    <s v="FABIA REGIANE AMARO CABRAL-vale transporte do dia 28/07 ao dia 07/08 R$10,00 POR DIA  ADMISSÃO RAI"/>
    <n v="-90"/>
    <x v="0"/>
    <x v="7"/>
  </r>
  <r>
    <x v="15"/>
    <s v="JULHO"/>
    <s v="HSERV CLEAN"/>
    <s v="SOFT WORKS EPI CALCADOS LTDA NF  216358"/>
    <n v="-1591.2"/>
    <x v="0"/>
    <x v="44"/>
  </r>
  <r>
    <x v="32"/>
    <s v="AGOSTO"/>
    <s v="HSERV CABREUVA"/>
    <s v="ELEKTRO SALA 16"/>
    <n v="-282.38"/>
    <x v="0"/>
    <x v="0"/>
  </r>
  <r>
    <x v="32"/>
    <s v="AGOSTO"/>
    <s v="HSERV CABREUVA"/>
    <s v="ELEKTRO SALA 17"/>
    <n v="-254.71"/>
    <x v="0"/>
    <x v="0"/>
  </r>
  <r>
    <x v="32"/>
    <s v="AGOSTO"/>
    <s v="HSERV CABREUVA"/>
    <s v="ELEKTRO SALA 18"/>
    <n v="-123.23"/>
    <x v="0"/>
    <x v="0"/>
  </r>
  <r>
    <x v="32"/>
    <s v="AGOSTO"/>
    <s v="HSERV CABREUVA"/>
    <s v="ELEKTRO LOJA CLEAN"/>
    <n v="-177.95"/>
    <x v="0"/>
    <x v="0"/>
  </r>
  <r>
    <x v="32"/>
    <s v="AGOSTO"/>
    <s v="VITOR DUARTE"/>
    <s v="VIVA FOOD R E LTDA"/>
    <n v="-17235"/>
    <x v="0"/>
    <x v="2"/>
  </r>
  <r>
    <x v="32"/>
    <s v="AGOSTO"/>
    <s v="HSERV CLEAN"/>
    <s v="SPARTAN DO BRASIL PRODUTOS QUIMICOS LTDA NF 256344"/>
    <n v="-10505.32"/>
    <x v="0"/>
    <x v="4"/>
  </r>
  <r>
    <x v="32"/>
    <s v="AGOSTO"/>
    <s v="HSERV TERCEIRIZADOS"/>
    <s v="MOVIDA PARTICIPACOES S.A.- FATURA 07116307 -MULTA PLACA TJL4F14"/>
    <n v="-312.38"/>
    <x v="0"/>
    <x v="29"/>
  </r>
  <r>
    <x v="32"/>
    <s v="AGOSTO"/>
    <s v="HSERV COMBINADOS"/>
    <s v="LOCALIZA FLEET S.-VENCIMENTO 01/08"/>
    <n v="-233.26"/>
    <x v="0"/>
    <x v="29"/>
  </r>
  <r>
    <x v="32"/>
    <s v="AGOSTO"/>
    <s v="HSERV COMBINADOS"/>
    <s v="LOCALIZA FLEET S.-VENCIMENTO 01/08- FATURA AGMTZ-2605527-PLACA RVF1A42"/>
    <n v="-2668.69"/>
    <x v="0"/>
    <x v="29"/>
  </r>
  <r>
    <x v="32"/>
    <s v="AGOSTO"/>
    <s v="HSERV TERCEIRIZADOS"/>
    <s v="STAR CLEAN PRO INDUSTRIA E COMERCIO NF 10927"/>
    <n v="-1117.53"/>
    <x v="0"/>
    <x v="4"/>
  </r>
  <r>
    <x v="32"/>
    <s v="AGOSTO"/>
    <s v="VITOR DUARTE"/>
    <s v="ALTOLIM COMERCIAL ASSIS EIRELI - NF 40442"/>
    <n v="-68.709999999999994"/>
    <x v="0"/>
    <x v="4"/>
  </r>
  <r>
    <x v="45"/>
    <s v="AGOSTO"/>
    <s v="HSERV CABREUVA"/>
    <s v="BANCO ITAUCARD S.A.- "/>
    <n v="-3809.98"/>
    <x v="0"/>
    <x v="8"/>
  </r>
  <r>
    <x v="45"/>
    <s v="AGOSTO"/>
    <s v="HSERV CLEAN"/>
    <s v="J.E. COMERCIO E SOLUCOES LTDA"/>
    <n v="-270"/>
    <x v="0"/>
    <x v="4"/>
  </r>
  <r>
    <x v="45"/>
    <s v="AGOSTO"/>
    <s v="HSERV TERCEIRIZADOS"/>
    <s v="LOTUS CENTRAL DE DISTRIBUICAO DE HIGIENICOS LTDA- NF 155019"/>
    <n v="-800.37"/>
    <x v="0"/>
    <x v="4"/>
  </r>
  <r>
    <x v="45"/>
    <s v="AGOSTO"/>
    <s v="HSERV TERCEIRIZADOS"/>
    <s v="LOTUS CENTRAL DE DISTRIBUICAO DE HIGIENICOS LTDA - NF 143048"/>
    <n v="-1292.55"/>
    <x v="0"/>
    <x v="4"/>
  </r>
  <r>
    <x v="45"/>
    <s v="AGOSTO"/>
    <s v="HSERV COMBINADOS"/>
    <s v="WILSON ZANON-VALE TRANSPORTE DE AGOSTO  R$10,80 POR DIA  CAMPINAS"/>
    <n v="-151.19999999999999"/>
    <x v="0"/>
    <x v="7"/>
  </r>
  <r>
    <x v="45"/>
    <s v="AGOSTO"/>
    <s v="HSERV COMBINADOS"/>
    <s v="ANDRE VICENTE TAVARES-VALE TRANSPORTE DE AGOSTO  R$12,80 POR DIA  CAMPINAS"/>
    <n v="-179.2"/>
    <x v="0"/>
    <x v="7"/>
  </r>
  <r>
    <x v="45"/>
    <s v="AGOSTO"/>
    <s v="HSERV COMBINADOS"/>
    <s v="ORVANDA MARIA VITALINO FIGUEROA-VALE TRANSPORTE DO DIA 04/08 AO DIA  20/08 LOJA 16 R$12,,80 POR DIA"/>
    <n v="-192"/>
    <x v="0"/>
    <x v="7"/>
  </r>
  <r>
    <x v="45"/>
    <s v="AGOSTO"/>
    <s v="HSERV REPRESENTACOES"/>
    <s v="JOSELITA DA SILVA-vale transporte do dia 04/08 ao dia 13/08 vettor admissão dia 01/08"/>
    <n v="-80"/>
    <x v="0"/>
    <x v="7"/>
  </r>
  <r>
    <x v="45"/>
    <s v="AGOSTO"/>
    <s v="HENRIQUE JEAN"/>
    <s v="IOF"/>
    <n v="-1.42"/>
    <x v="0"/>
    <x v="45"/>
  </r>
  <r>
    <x v="46"/>
    <s v="AGOSTO"/>
    <s v="HSERV TERCERIZADOS"/>
    <s v="TAR PLANO ADAPT 3 05/24"/>
    <n v="-134.97999999999999"/>
    <x v="0"/>
    <x v="9"/>
  </r>
  <r>
    <x v="46"/>
    <s v="AGOSTO"/>
    <s v="HSERV LIMPEZA"/>
    <s v="TAR PLANO ADAPT 3 05/24"/>
    <n v="-389"/>
    <x v="0"/>
    <x v="9"/>
  </r>
  <r>
    <x v="46"/>
    <s v="AGOSTO"/>
    <s v="HSERV REPRESENTAÇÃO"/>
    <s v="TAR PLANO ADAPT 3 05/24"/>
    <n v="-159"/>
    <x v="0"/>
    <x v="9"/>
  </r>
  <r>
    <x v="36"/>
    <s v="AGOSTO"/>
    <s v="HENRIQUE JEAN"/>
    <s v="IOF "/>
    <n v="-1.42"/>
    <x v="0"/>
    <x v="45"/>
  </r>
  <r>
    <x v="47"/>
    <s v="AGOSTO"/>
    <s v="HSERV TERCEIRIZADOS"/>
    <s v="LOTUS CENTRAL DE DISTRIBUICAO DE HIGIENICOS LTDA NF 138.143"/>
    <n v="-1800.31"/>
    <x v="0"/>
    <x v="4"/>
  </r>
  <r>
    <x v="47"/>
    <s v="AGOSTO"/>
    <s v="HSERV LIMPEZA"/>
    <s v="WELLINGTON OLIVEIRA BORIAN DA CRUZ"/>
    <n v="-323"/>
    <x v="0"/>
    <x v="7"/>
  </r>
  <r>
    <x v="36"/>
    <s v="AGOSTO"/>
    <s v="HSERV TERCERIZADOS"/>
    <s v="CRISTIANA DOS SANTOS  -COBRINDO AFASTAMENTO DA REGIVANIA PEREIRA DA SILVA -RANCHARIA LOJA 12"/>
    <n v="-1200"/>
    <x v="0"/>
    <x v="13"/>
  </r>
  <r>
    <x v="36"/>
    <s v="AGOSTO"/>
    <s v="HSERV TERCERIZADOS"/>
    <s v="HIABÁ DE OLIVEIRA COBRINDO FÉRIAS DA PATRICIA XAVIER-MARTINOPOLIS - LOJA 38"/>
    <n v="-1000"/>
    <x v="0"/>
    <x v="13"/>
  </r>
  <r>
    <x v="36"/>
    <s v="AGOSTO"/>
    <s v="HSERV TERCERIZADOS"/>
    <s v="VANESSA PEREIRA AMBROSIO-COBRINDO FÉRIAS DA JOICE CARREIRO ORTIZ-LOJA CANDIDO MOTA LOJA 11"/>
    <n v="-1700"/>
    <x v="0"/>
    <x v="13"/>
  </r>
  <r>
    <x v="36"/>
    <s v="AGOSTO"/>
    <s v="HSERV TERCERIZADOS"/>
    <s v="GLEYCE JAQUELINE DOS REIS OLIVEIRA  -COBRINDO AFASTAMENTO DA BRUNA MAIARA DA SILVA TEODORO-ASSIS - LOJA 20 MAX "/>
    <n v="-1053"/>
    <x v="0"/>
    <x v="13"/>
  </r>
  <r>
    <x v="36"/>
    <s v="AGOSTO"/>
    <s v="HSERV TERCERIZADOS"/>
    <s v="ERIKA DE PAULA SERAFIM  -APOIO EXTRA REFORMA -REFORMA DA LOJA CONFORME CONTRATO-C.MOTA LOJA 11"/>
    <n v="-900"/>
    <x v="0"/>
    <x v="13"/>
  </r>
  <r>
    <x v="36"/>
    <s v="AGOSTO"/>
    <s v="HSERV TERCERIZADOS"/>
    <s v="ANAY VICTORIA DIAS NEIRA - APOIO EXTRA REFORMA -REFORMA DA LOJA CONFORME  CONTRATO-C.MOTA LOJA 09"/>
    <n v="-900"/>
    <x v="0"/>
    <x v="13"/>
  </r>
  <r>
    <x v="36"/>
    <s v="AGOSTO"/>
    <s v="HENRIQUE JEAN"/>
    <s v="CONDOMINIO NEX ONE CONSOLAÇÃO BELAS ARTES- ROBOTTON"/>
    <n v="-700.05"/>
    <x v="0"/>
    <x v="10"/>
  </r>
  <r>
    <x v="47"/>
    <s v="AGOSTO"/>
    <s v="HSERV CABREUVA"/>
    <s v="SALARIO CLT, PENSÃO ALIMENTICIA, BONUS-"/>
    <n v="-471317.52"/>
    <x v="0"/>
    <x v="11"/>
  </r>
  <r>
    <x v="47"/>
    <s v="AGOSTO"/>
    <s v="HSERV CABREUVA"/>
    <s v="ESTER CARDOZO DE LIMA "/>
    <n v="-500"/>
    <x v="0"/>
    <x v="11"/>
  </r>
  <r>
    <x v="47"/>
    <s v="AGOSTO"/>
    <s v="HENRIQUE JEAN"/>
    <s v="PATRICIA MARTON"/>
    <n v="-444.35"/>
    <x v="0"/>
    <x v="6"/>
  </r>
  <r>
    <x v="47"/>
    <s v="AGOSTO"/>
    <s v="HSERV CABREUVA"/>
    <s v="SALARIOS MEI  "/>
    <n v="-1900.72"/>
    <x v="0"/>
    <x v="11"/>
  </r>
  <r>
    <x v="48"/>
    <s v="AGOSTO"/>
    <s v="HSERV CLEAN"/>
    <s v="EMPRESTIMO HSERV CLEAN BRADESCO -PARCELA MENSAL- VENCIDO 14/08/2025"/>
    <n v="-5872.92"/>
    <x v="0"/>
    <x v="12"/>
  </r>
  <r>
    <x v="36"/>
    <s v="AGOSTO"/>
    <s v="HSERV COMBINADOS "/>
    <s v="FT ASSIS E REGIÃO-REDE AVENIDA"/>
    <n v="-5600"/>
    <x v="0"/>
    <x v="13"/>
  </r>
  <r>
    <x v="49"/>
    <s v="AGOSTO"/>
    <s v="HSERV CLEAN"/>
    <s v="SPARTAN DO BRASIL PRODUTOS QUIMICOS LTDA NF 256.344"/>
    <n v="-10505.35"/>
    <x v="0"/>
    <x v="4"/>
  </r>
  <r>
    <x v="49"/>
    <s v="AGOSTO"/>
    <s v="HSERV TERCEIRIZADOS"/>
    <s v="STAR CLEAN PRO INDUSTRIA E COMERCIO DE EQUIPAMENTOS DE LIMPEZA- NF 10927-PRODUTOS PARA REVENDA"/>
    <n v="-1117.52"/>
    <x v="0"/>
    <x v="4"/>
  </r>
  <r>
    <x v="49"/>
    <s v="AGOSTO"/>
    <s v="VITOR DUARTE"/>
    <s v="VIVA FOOD R E LTDA"/>
    <n v="-17235"/>
    <x v="0"/>
    <x v="2"/>
  </r>
  <r>
    <x v="50"/>
    <s v="AGOSTO"/>
    <s v="HSERV TECNOLOGIA"/>
    <s v="PAPEL E CIA NF 20.362"/>
    <n v="-394.62"/>
    <x v="0"/>
    <x v="43"/>
  </r>
  <r>
    <x v="50"/>
    <s v="AGOSTO"/>
    <s v="HENRIQUE JEAN"/>
    <s v="BRASIL MEDICINA E SAUDE PREVENTIVA ORGANIZACAO, GESTAO E CON"/>
    <n v="-494.62"/>
    <x v="0"/>
    <x v="14"/>
  </r>
  <r>
    <x v="50"/>
    <s v="AGOSTO"/>
    <s v="HSERV CABREUVA"/>
    <s v="BRASIL MEDICINA E SAUDE PREVENTIVA ORGANIZACAO, GESTAO E CON"/>
    <n v="-883.25"/>
    <x v="0"/>
    <x v="14"/>
  </r>
  <r>
    <x v="50"/>
    <s v="AGOSTO"/>
    <s v="HSERV CLEAN"/>
    <s v="BRASIL MEDICINA E SAUDE PREVENTIVA ORGANIZACAO, GESTAO E CON"/>
    <n v="-847.92"/>
    <x v="0"/>
    <x v="14"/>
  </r>
  <r>
    <x v="50"/>
    <s v="AGOSTO"/>
    <s v="HSERV COMBINADOS"/>
    <s v="BRASIL MEDICINA E SAUDE PREVENTIVA ORGANIZACAO, GESTAO E CON"/>
    <n v="-1872.49"/>
    <x v="0"/>
    <x v="14"/>
  </r>
  <r>
    <x v="50"/>
    <s v="AGOSTO"/>
    <s v="HSERV LIMPEZA"/>
    <s v="BRASIL MEDICINA E SAUDE PREVENTIVA ORGANIZACAO, GESTAO E CON"/>
    <n v="-600.61"/>
    <x v="0"/>
    <x v="14"/>
  </r>
  <r>
    <x v="50"/>
    <s v="AGOSTO"/>
    <s v="HSERV REPRESENTACOES"/>
    <s v="BRASIL MEDICINA E SAUDE PREVENTIVA ORGANIZACAO, GESTAO E CON"/>
    <n v="-671.27"/>
    <x v="0"/>
    <x v="14"/>
  </r>
  <r>
    <x v="50"/>
    <s v="AGOSTO"/>
    <s v="HSERV TECNOLOGIA"/>
    <s v="BRASIL MEDICINA E SAUDE PREVENTIVA ORGANIZACAO, GESTAO E CON"/>
    <n v="-1236.55"/>
    <x v="0"/>
    <x v="14"/>
  </r>
  <r>
    <x v="50"/>
    <s v="AGOSTO"/>
    <s v="HSERV TERCEIRIZADOS"/>
    <s v="BRASIL MEDICINA E SAUDE PREVENTIVA ORGANIZACAO, GESTAO E CON"/>
    <n v="-812.59"/>
    <x v="0"/>
    <x v="14"/>
  </r>
  <r>
    <x v="50"/>
    <s v="AGOSTO"/>
    <s v="VITOR DUARTE"/>
    <s v="BRASIL MEDICINA E SAUDE PREVENTIVA ORGANIZACAO, GESTAO E CON"/>
    <n v="-1059.9000000000001"/>
    <x v="0"/>
    <x v="14"/>
  </r>
  <r>
    <x v="50"/>
    <s v="AGOSTO"/>
    <s v="HSERV CABREUVA"/>
    <s v="SERGIO LUIZ BERTOLO"/>
    <n v="-325.11"/>
    <x v="0"/>
    <x v="15"/>
  </r>
  <r>
    <x v="50"/>
    <s v="AGOSTO"/>
    <s v="VITOR DUARTE"/>
    <s v="TAIRA SAITO LOPES -MARCASA-SEGURANÇA VEPAKUM"/>
    <n v="-10500"/>
    <x v="0"/>
    <x v="16"/>
  </r>
  <r>
    <x v="39"/>
    <s v="AGOSTO"/>
    <s v="HSERV COMBINADOS "/>
    <s v="JHONNY WALACE"/>
    <n v="-170.5"/>
    <x v="0"/>
    <x v="17"/>
  </r>
  <r>
    <x v="51"/>
    <s v="AGOSTO"/>
    <s v="HENRIQUE JEAN"/>
    <s v="PROLABORE CRISTIANE"/>
    <n v="-1000"/>
    <x v="0"/>
    <x v="18"/>
  </r>
  <r>
    <x v="51"/>
    <s v="AGOSTO"/>
    <s v="HENRIQUE JEAN"/>
    <s v="PROLABORE  GUTHIERRI"/>
    <n v="-1000"/>
    <x v="0"/>
    <x v="18"/>
  </r>
  <r>
    <x v="50"/>
    <s v="AGOSTO"/>
    <s v="HENRIQUE JEAN"/>
    <s v="PROLABORE SOCIOS MARIA JOSE"/>
    <n v="-1000"/>
    <x v="0"/>
    <x v="18"/>
  </r>
  <r>
    <x v="50"/>
    <s v="AGOSTO"/>
    <s v="HENRIQUE JEAN"/>
    <s v="CARTÃO VITOR"/>
    <n v="-9000"/>
    <x v="0"/>
    <x v="18"/>
  </r>
  <r>
    <x v="50"/>
    <s v="AGOSTO"/>
    <s v="HSERV CLEAN"/>
    <s v="INTERMEDICA"/>
    <n v="-9146.82"/>
    <x v="0"/>
    <x v="19"/>
  </r>
  <r>
    <x v="50"/>
    <s v="AGOSTO"/>
    <s v="HSERV CABREUVA"/>
    <s v="AUTO POSTO JARDIM DAS HORTENCIA NF 908"/>
    <n v="-4812.22"/>
    <x v="0"/>
    <x v="20"/>
  </r>
  <r>
    <x v="50"/>
    <s v="AGOSTO"/>
    <s v="HENRIQUE JEAN ND"/>
    <s v="FIT ADM (VIDA NOVA) 43-02"/>
    <n v="-441.64"/>
    <x v="0"/>
    <x v="10"/>
  </r>
  <r>
    <x v="50"/>
    <s v="AGOSTO"/>
    <s v="VITOR  DUARTE"/>
    <s v="RONDAWEB CONEXOES LTDA"/>
    <n v="-250.27"/>
    <x v="0"/>
    <x v="21"/>
  </r>
  <r>
    <x v="27"/>
    <s v="SETEMBRO"/>
    <s v="VITOR DUARTE"/>
    <s v="CRISTIANA APARECIDA PEREIRA LIMA"/>
    <n v="-252"/>
    <x v="0"/>
    <x v="7"/>
  </r>
  <r>
    <x v="27"/>
    <s v="SETEMBRO"/>
    <s v="VITOR DUARTE"/>
    <s v="SUELEN DOS REIS FOSTINO FELIX"/>
    <n v="-252"/>
    <x v="0"/>
    <x v="7"/>
  </r>
  <r>
    <x v="27"/>
    <s v="SETEMBRO"/>
    <s v="VITOR DUARTE"/>
    <s v="JOAO CAETANO GUEDES"/>
    <n v="-252"/>
    <x v="0"/>
    <x v="7"/>
  </r>
  <r>
    <x v="27"/>
    <s v="SETEMBRO"/>
    <s v="HSERV COMBINADOS"/>
    <s v="REBECCA ELONICE"/>
    <n v="-123"/>
    <x v="0"/>
    <x v="7"/>
  </r>
  <r>
    <x v="27"/>
    <s v="SETEMBRO"/>
    <s v="HSERV TERCEIRIZADOS"/>
    <s v="RAFAEL DA SILVA RIBEIRO"/>
    <n v="-70"/>
    <x v="0"/>
    <x v="7"/>
  </r>
  <r>
    <x v="27"/>
    <s v="SETEMBRO"/>
    <s v="HSERV TERCEIRIZADOS"/>
    <s v="JOSIMARA LINO DOS SANTOS"/>
    <n v="-70"/>
    <x v="0"/>
    <x v="7"/>
  </r>
  <r>
    <x v="27"/>
    <s v="SETEMBRO"/>
    <s v="HSERV TERCEIRIZADOS"/>
    <s v="SARA ALMEIDA LOPES"/>
    <n v="-70"/>
    <x v="0"/>
    <x v="7"/>
  </r>
  <r>
    <x v="27"/>
    <s v="SETEMBRO"/>
    <s v="HSERV TERCEIRIZADOS"/>
    <s v="KEDLEI PATRICK FERREIRA"/>
    <n v="-70"/>
    <x v="0"/>
    <x v="7"/>
  </r>
  <r>
    <x v="27"/>
    <s v="SETEMBRO"/>
    <s v="HSERV TERCEIRIZADOS"/>
    <s v="MOVIDA PARTICIPACOES S.A. 18/08/2025"/>
    <n v="-489.2"/>
    <x v="0"/>
    <x v="29"/>
  </r>
  <r>
    <x v="27"/>
    <s v="SETEMBRO"/>
    <s v="HSERV TERCEIRIZADOS"/>
    <s v="MOVIDA PARTICIPACOES S.A. 18/08/2025"/>
    <n v="-2599.85"/>
    <x v="0"/>
    <x v="29"/>
  </r>
  <r>
    <x v="17"/>
    <s v="AGOSTO"/>
    <s v="VITOR DUARTE"/>
    <s v="LOCALIZA FLEET S.A.-VENCIMENTO 10/08/2025"/>
    <n v="-238.69"/>
    <x v="0"/>
    <x v="29"/>
  </r>
  <r>
    <x v="17"/>
    <s v="AGOSTO"/>
    <s v="VITOR DUARTE"/>
    <s v="LOCALIZA FLEET S.A.-VENCIMENTO 10/08/2025"/>
    <n v="-132.15"/>
    <x v="0"/>
    <x v="29"/>
  </r>
  <r>
    <x v="17"/>
    <s v="AGOSTO"/>
    <s v="VITOR DUARTE"/>
    <s v="LOCALIZA FLEET S.A.-VENCIMENTO 10/08/2025"/>
    <n v="-345.31"/>
    <x v="0"/>
    <x v="29"/>
  </r>
  <r>
    <x v="17"/>
    <s v="AGOSTO"/>
    <s v="VITOR DUARTE"/>
    <s v="LOCALIZA FLEET S.A.-VENCIMENTO 10/08/2025"/>
    <n v="-265.85000000000002"/>
    <x v="0"/>
    <x v="29"/>
  </r>
  <r>
    <x v="17"/>
    <s v="AGOSTO"/>
    <s v="VITOR DUARTE"/>
    <s v="LOCALIZA FLEET S.A.-VENCIMENTO 10/08/2025"/>
    <n v="-132.15"/>
    <x v="0"/>
    <x v="29"/>
  </r>
  <r>
    <x v="50"/>
    <s v="AGOSTO"/>
    <s v="VITOR DUARTE"/>
    <s v="ALTOLIM COMERCIAL ASSIS EIRELI - NF 40.577"/>
    <n v="-61.41"/>
    <x v="0"/>
    <x v="4"/>
  </r>
  <r>
    <x v="50"/>
    <s v="AGOSTO"/>
    <s v="HSERV CLEAN"/>
    <s v="J.E. COMERCIO E SOLUCOES LTDA NF 10.991"/>
    <n v="-1538"/>
    <x v="0"/>
    <x v="4"/>
  </r>
  <r>
    <x v="50"/>
    <s v="AGOSTO"/>
    <s v="HSERV TERCEIRIZADOS"/>
    <s v="LOTUS CENTRAL DE DISTRIBUICAO DE HIGIENICOS LTDA NF161.290"/>
    <n v="-1168.2"/>
    <x v="0"/>
    <x v="4"/>
  </r>
  <r>
    <x v="50"/>
    <s v="AGOSTO"/>
    <s v="HSERV CABREUVA"/>
    <s v="FERNANDO APARECIDO DOS SANTOS Proc 0013031-54.2024.5.15.0018 RECLAMANTE: MANOEL ROBERTO DE SOUSA -PARCELA 1/17"/>
    <n v="-2500"/>
    <x v="0"/>
    <x v="34"/>
  </r>
  <r>
    <x v="50"/>
    <s v="AGOSTO"/>
    <s v="VITOR DUARTE"/>
    <s v="JURANDIR BAVOSO JUNIOR-Proc 0010814-86.2024.5.15.0002 RECLAMANTE: JUAN ERICK REIS DOS SANTOS PARCELA 1/12"/>
    <n v="-2500"/>
    <x v="0"/>
    <x v="34"/>
  </r>
  <r>
    <x v="50"/>
    <s v="AGOSTO"/>
    <s v="HSERV CLEAN"/>
    <s v="RSC COM. MAT.P/ CONSTRUCAO LTDA. NF 107.078"/>
    <n v="-46.64"/>
    <x v="0"/>
    <x v="5"/>
  </r>
  <r>
    <x v="9"/>
    <s v="JULHO"/>
    <s v="HSERV TERCEIRIZADOS"/>
    <s v="MOVIDA PARTICIPACOES S A-VENCIMENTO 05/07/2025 FATURA 6908514-CONTRATO  25884412-PLACA: TJG6B82"/>
    <n v="-133.02000000000001"/>
    <x v="0"/>
    <x v="29"/>
  </r>
  <r>
    <x v="24"/>
    <s v="JULHO"/>
    <s v="HSERV TERCEIRIZADOS"/>
    <s v="OTAVIO AUGUSTO FERREIRA "/>
    <n v="-5000"/>
    <x v="0"/>
    <x v="33"/>
  </r>
  <r>
    <x v="24"/>
    <s v="JULHO"/>
    <s v="HSERV TERCEIRIZADOS"/>
    <s v="MOVIDA PARTICIPACOES S A-VENCIMENTO 07/07/2025- FATURA 6915357 - CONTRATO -PLACA PLACA: STQ-7B01"/>
    <n v="-826.19"/>
    <x v="0"/>
    <x v="29"/>
  </r>
  <r>
    <x v="9"/>
    <s v="JULHO"/>
    <s v="HSERV TERCEIRIZADOS"/>
    <s v="MOVIDA PARTICIPACOES S A-VENCIMENTO 02/07/2025 FATURA 6897892- CONTRATO 25884412-PLACA: TJG6B82"/>
    <n v="-133.15"/>
    <x v="0"/>
    <x v="29"/>
  </r>
  <r>
    <x v="9"/>
    <s v="JULHO"/>
    <s v="VITOR DUARTE"/>
    <s v="DARE VITOR DUARTE- GUIA PARA ALTERAÇÃO SOCIETARIA "/>
    <n v="-211.01"/>
    <x v="0"/>
    <x v="32"/>
  </r>
  <r>
    <x v="52"/>
    <s v="AGOSTO"/>
    <s v="HSERV TERCEIRIZADOS"/>
    <s v="MOVIDA PARTICIPACOES S.A. VENCIMENTO 29/07/2025-PLACA SVQ7D60- PERIODO DE LOCAÇÃO 03/08 Á 03/07 CARRO HENRIQUE JEAN"/>
    <n v="-2628.37"/>
    <x v="0"/>
    <x v="29"/>
  </r>
  <r>
    <x v="52"/>
    <s v="AGOSTO"/>
    <s v="HSERV TERCEIRIZADOS"/>
    <s v="MOVIDA PARTICIPACOES S.A. VENCIMENTO 07/07/2025- PLACA: STQ7B01-PERIODO DE LOCAÇÃO 09/06 Á 13/06- CARRO OPERAÇAO"/>
    <n v="-826.19"/>
    <x v="0"/>
    <x v="29"/>
  </r>
  <r>
    <x v="26"/>
    <s v="AGOSTO"/>
    <s v="HSERV TERCEIRIZADOS"/>
    <s v="MOVIDA PARTICIPACOES S.A. VENCIMENTO 15/07/2025-PLACA TJGB82-PERIODO DE LOCAÇÃO 22/05 Á 21/06- CARRO DA OPERAÇÃO -FATURA  06913500 "/>
    <n v="-4875.8500000000004"/>
    <x v="0"/>
    <x v="29"/>
  </r>
  <r>
    <x v="52"/>
    <s v="AGOSTO"/>
    <s v="HSERV TERCEIRIZADOS"/>
    <s v="MOVIDA PARTICIPACOES S.A. VENCIMENTO 16/07/2025-PLACA QMYE00 (COORDENAÇÃO) E TJL4F14 (VITOR)-PERIODO DE LOCAÇÃO 31/05 Á 30/06"/>
    <n v="-4375.75"/>
    <x v="0"/>
    <x v="29"/>
  </r>
  <r>
    <x v="52"/>
    <s v="AGOSTO"/>
    <s v="HSERV TERCEIRIZADOS"/>
    <s v="MOVIDA PARTICIPACOES S.A. VENCIMENTO 19/07/2025- PLACA TJGB82-PERIODO DE LOCAÇÃO 22/06 Á 27/06- CARRO DA OPERAÇÃO "/>
    <n v="-1504.25"/>
    <x v="0"/>
    <x v="29"/>
  </r>
  <r>
    <x v="48"/>
    <s v="AGOSTO"/>
    <s v="HSERV TERCEIRIZADOS"/>
    <s v="LOTUS CENTRAL DE DISTRIBUICAO DE HIGIENICOS LTDA VENCIMENTO 14/08 - NF 167.899"/>
    <n v="-3209.14"/>
    <x v="0"/>
    <x v="4"/>
  </r>
  <r>
    <x v="17"/>
    <s v="AGOSTO"/>
    <s v="HSERV CLEAN"/>
    <s v="HM MAQ COMERCIO E ASSISTENCIA TECNICA INDUSTRIAL-VENCIMENTO 14/08 NF 7.544"/>
    <n v="-849.17"/>
    <x v="0"/>
    <x v="5"/>
  </r>
  <r>
    <x v="53"/>
    <s v="AGOSTO"/>
    <s v="HSERV COMBINADOS"/>
    <s v="EDNA JOSE DE SOUZA COSTA-VALE TRANSPORTE DO DIA 14/08 AO DIA 31/08 R$16,80 POR DIA  LOJA 0"/>
    <n v="-252"/>
    <x v="0"/>
    <x v="7"/>
  </r>
  <r>
    <x v="53"/>
    <s v="AGOSTO"/>
    <s v="HSERV COMBINADOS"/>
    <s v="LINDIMAR FERREIRA DOS SANTOS-VALE TRANSPORTE DO DIA 14/08 AO DIA 31/08 R$11,80 POR DIA  SOLICITADO PELA ELISANGELA"/>
    <n v="-177"/>
    <x v="0"/>
    <x v="7"/>
  </r>
  <r>
    <x v="53"/>
    <s v="AGOSTO"/>
    <s v="HSERV COMBINADOS"/>
    <s v="TAXA DE DESARQUIVAMENTO -PROCESSO SOFISA "/>
    <n v="-44.87"/>
    <x v="0"/>
    <x v="47"/>
  </r>
  <r>
    <x v="53"/>
    <s v="AGOSTO"/>
    <s v="HSERV COMBINADOS"/>
    <s v="OSSIRES DONNANGELO-SUPERVISOR AVENIDA- CAIXINHA OSSIRES"/>
    <n v="-1500"/>
    <x v="0"/>
    <x v="1"/>
  </r>
  <r>
    <x v="53"/>
    <s v="AGOSTO"/>
    <s v="HENRIQUE JEAN"/>
    <s v="ANDREIA SOARES DE LIMA DA SILVA"/>
    <n v="-1118.22"/>
    <x v="0"/>
    <x v="6"/>
  </r>
  <r>
    <x v="53"/>
    <s v="AGOSTO"/>
    <s v="HSERV COMBINADOS"/>
    <s v="GRRF RONALDO SILVA MARQUES"/>
    <n v="-179.46"/>
    <x v="0"/>
    <x v="6"/>
  </r>
  <r>
    <x v="54"/>
    <s v="AGOSTO"/>
    <s v="TERCERIZADOS"/>
    <s v="LIMITE"/>
    <n v="15535.08"/>
    <x v="1"/>
    <x v="52"/>
  </r>
  <r>
    <x v="54"/>
    <s v="AGOSTO"/>
    <s v="HSERV CLEAN"/>
    <s v="SAFRA"/>
    <n v="-2161"/>
    <x v="0"/>
    <x v="12"/>
  </r>
  <r>
    <x v="54"/>
    <s v="AGOSTO"/>
    <s v="HSERV CABREUVA"/>
    <s v="SALARIOS MEI"/>
    <n v="-79740.91"/>
    <x v="0"/>
    <x v="11"/>
  </r>
  <r>
    <x v="54"/>
    <s v="AGOSTO"/>
    <s v="HSERV CLEAN"/>
    <s v="DAIANE CRISTINA ANDRADE-DEVOLUÇÃO DESCONTO INDEVIDO FOLHA 04/2025"/>
    <n v="-363.81"/>
    <x v="0"/>
    <x v="11"/>
  </r>
  <r>
    <x v="54"/>
    <s v="AGOSTO"/>
    <s v="VITOR DUARTE"/>
    <s v="IFOOD.COM AGENCIA DE RESTAURANTES ONLINE S.A. -ASSIDUIDADE REDE BOA"/>
    <n v="-20700"/>
    <x v="0"/>
    <x v="23"/>
  </r>
  <r>
    <x v="54"/>
    <s v="AGOSTO"/>
    <s v="VITOR DUARTE"/>
    <s v="IFOOD.COM AGENCIA DE RESTAURANTES ONLINE S.A. -ASSIDUIDADE RICOY"/>
    <n v="-900"/>
    <x v="0"/>
    <x v="23"/>
  </r>
  <r>
    <x v="54"/>
    <s v="AGOSTO"/>
    <s v="VITOR DUARTE"/>
    <s v="IFOOD.COM AGENCIA DE RESTAURANTES ONLINE S.A.-ASSIDUIDADE EMPRESAS"/>
    <n v="-14400"/>
    <x v="0"/>
    <x v="23"/>
  </r>
  <r>
    <x v="54"/>
    <s v="AGOSTO"/>
    <s v="VITOR DUARTE"/>
    <s v="IFOOD.COM AGENCIA DE RESTAURANTES ONLINE S.A.-ASSIDUIDADE REDE AVENIDA"/>
    <n v="-3912"/>
    <x v="0"/>
    <x v="23"/>
  </r>
  <r>
    <x v="55"/>
    <s v="AGOSTO"/>
    <s v="HSERV COMBINADOS"/>
    <s v="TAMIRES DA SILVA CAPUCHINHO"/>
    <n v="-435.96"/>
    <x v="0"/>
    <x v="2"/>
  </r>
  <r>
    <x v="55"/>
    <s v="AGOSTO"/>
    <s v="VITOR DUARTE"/>
    <s v="PABLO ITHALO SANTOS GUANDELINI"/>
    <n v="-435.96"/>
    <x v="0"/>
    <x v="2"/>
  </r>
  <r>
    <x v="55"/>
    <s v="AGOSTO"/>
    <s v="VITOR DUARTE"/>
    <s v="CAIXA CARTOES PRE-PAGOS S.A.-VALE ALIMENTAÇÃO "/>
    <n v="-24329.72"/>
    <x v="0"/>
    <x v="2"/>
  </r>
  <r>
    <x v="55"/>
    <s v="AGOSTO"/>
    <s v="VITOR DUARTE"/>
    <s v="IFOOD.COM AGENCIA DE RESTAURANTES ONLINE S.A."/>
    <n v="-61582.28"/>
    <x v="0"/>
    <x v="2"/>
  </r>
  <r>
    <x v="55"/>
    <s v="AGOSTO"/>
    <s v="VITOR DUARTE"/>
    <s v="FABIOLA FARIAS FELIX"/>
    <n v="-435.96"/>
    <x v="0"/>
    <x v="2"/>
  </r>
  <r>
    <x v="55"/>
    <s v="AGOSTO"/>
    <s v="VITOR DUARTE"/>
    <s v="GISELE RODRIGUES DOS SANTOS"/>
    <n v="-415.2"/>
    <x v="0"/>
    <x v="2"/>
  </r>
  <r>
    <x v="55"/>
    <s v="AGOSTO"/>
    <s v="VITOR DUARTE"/>
    <s v="JHONY WALLACE GOMES DE OLIVEIRA"/>
    <n v="-435.96"/>
    <x v="0"/>
    <x v="2"/>
  </r>
  <r>
    <x v="55"/>
    <s v="AGOSTO"/>
    <s v="VITOR DUARTE"/>
    <s v="QUEILA JESUS BERNARDES DE OLIVEIRA"/>
    <n v="-394.44"/>
    <x v="0"/>
    <x v="2"/>
  </r>
  <r>
    <x v="54"/>
    <s v="AGOSTO"/>
    <s v="HSERV CABREUVA"/>
    <s v="GABRIEL DO NASCIMENTO NEVES"/>
    <n v="-310.5"/>
    <x v="0"/>
    <x v="7"/>
  </r>
  <r>
    <x v="54"/>
    <s v="AGOSTO"/>
    <s v="HSERV COMBINADOS"/>
    <s v="ILAIDE JOSE RODRIGUES"/>
    <n v="-70.8"/>
    <x v="0"/>
    <x v="7"/>
  </r>
  <r>
    <x v="54"/>
    <s v="AGOSTO"/>
    <s v="HSERV COMBINADOS"/>
    <s v="TAMIRES DA SILVA CAPUCHINHO"/>
    <n v="-219.2"/>
    <x v="0"/>
    <x v="7"/>
  </r>
  <r>
    <x v="54"/>
    <s v="AGOSTO"/>
    <s v="HSERV COMBINADOS"/>
    <s v="MARIA SOCORRO DA SILVA PEREIRA"/>
    <n v="-100"/>
    <x v="0"/>
    <x v="7"/>
  </r>
  <r>
    <x v="54"/>
    <s v="AGOSTO"/>
    <s v="HSERV REPRESENTACOES"/>
    <s v="ELAINE BARBOSA DE SOUSA"/>
    <n v="-445"/>
    <x v="0"/>
    <x v="7"/>
  </r>
  <r>
    <x v="54"/>
    <s v="AGOSTO"/>
    <s v="HSERV REPRESENTACOES"/>
    <s v="JOSELITA DA SILVA"/>
    <n v="-110"/>
    <x v="0"/>
    <x v="7"/>
  </r>
  <r>
    <x v="54"/>
    <s v="AGOSTO"/>
    <s v="HSERV TERCEIRIZADOS"/>
    <s v="ESTER CARDOZO DE LIMA"/>
    <n v="-100"/>
    <x v="0"/>
    <x v="7"/>
  </r>
  <r>
    <x v="54"/>
    <s v="AGOSTO"/>
    <s v="HSERV TERCEIRIZADOS"/>
    <s v="MARISA DE SOUSA SILVA"/>
    <n v="-226.8"/>
    <x v="0"/>
    <x v="7"/>
  </r>
  <r>
    <x v="54"/>
    <s v="AGOSTO"/>
    <s v="VITOR DUARTE"/>
    <s v="JAIR APARECIDO RE"/>
    <n v="-275"/>
    <x v="0"/>
    <x v="7"/>
  </r>
  <r>
    <x v="54"/>
    <s v="AGOSTO"/>
    <s v="VITOR DUARTE"/>
    <s v="JHONY WALLACE GOMES DE OLIVEIRA"/>
    <n v="-100"/>
    <x v="0"/>
    <x v="7"/>
  </r>
  <r>
    <x v="54"/>
    <s v="AGOSTO"/>
    <s v="VITOR DUARTE"/>
    <s v="FABIOLA FARIAS FELIX"/>
    <n v="-300"/>
    <x v="0"/>
    <x v="7"/>
  </r>
  <r>
    <x v="54"/>
    <s v="AGOSTO"/>
    <s v="VITOR DUARTE"/>
    <s v="PAMELA GREICE MARINHO ROCHA"/>
    <n v="-249.9"/>
    <x v="0"/>
    <x v="7"/>
  </r>
  <r>
    <x v="54"/>
    <s v="AGOSTO"/>
    <s v="VITOR DUARTE"/>
    <s v="QUEILA JESUS BERNARDES DE OLIVEIRA"/>
    <n v="-90"/>
    <x v="0"/>
    <x v="7"/>
  </r>
  <r>
    <x v="54"/>
    <s v="AGOSTO"/>
    <s v="VITOR DUARTE"/>
    <s v="PABLO ITHALO SANTOS GUANDELINI"/>
    <n v="-210"/>
    <x v="0"/>
    <x v="7"/>
  </r>
  <r>
    <x v="54"/>
    <s v="AGOSTO"/>
    <s v="VITOR DUARTE"/>
    <s v="BOLETO OTAVIO"/>
    <n v="-20565.28"/>
    <x v="0"/>
    <x v="18"/>
  </r>
  <r>
    <x v="55"/>
    <s v="AGOSTO"/>
    <s v="VITOR DUARTE"/>
    <s v="FABIOLA FARIAS FELIX"/>
    <n v="-144.86000000000001"/>
    <x v="0"/>
    <x v="24"/>
  </r>
  <r>
    <x v="48"/>
    <s v="AGOSTO"/>
    <s v="HSERV COMBINADOS "/>
    <s v="ESTER CARDOZO-SALARIOS"/>
    <n v="-1375"/>
    <x v="0"/>
    <x v="11"/>
  </r>
  <r>
    <x v="48"/>
    <s v="AGOSTO"/>
    <s v="HSERV  COMBINADOS "/>
    <s v="PAMELA ROCHA MARINHO-SALARIOS"/>
    <n v="-2281.6999999999998"/>
    <x v="0"/>
    <x v="11"/>
  </r>
  <r>
    <x v="54"/>
    <s v="AGOSTO"/>
    <s v="HSERV CABREUVA"/>
    <s v="SEM PARAR"/>
    <n v="-5629.06"/>
    <x v="0"/>
    <x v="20"/>
  </r>
  <r>
    <x v="48"/>
    <s v="AGOSTO"/>
    <s v="VITOR DUARTE"/>
    <s v="CARTAO DE CRÉDITO- VITOR-VENCIMENTO 15/08/2025"/>
    <n v="-10108.51"/>
    <x v="0"/>
    <x v="25"/>
  </r>
  <r>
    <x v="48"/>
    <s v="AGOSTO"/>
    <s v="HENRIQUE JEAN"/>
    <s v="CARTÃO DE CREDITO VENCIMENTO 15/08/2025"/>
    <n v="-2225.21"/>
    <x v="0"/>
    <x v="25"/>
  </r>
  <r>
    <x v="48"/>
    <s v="AGOSTO"/>
    <s v="HSERV COMBINADOS"/>
    <s v="CARTÃO DE CREDITO VENCIMENTO 15/08/2025"/>
    <n v="-1248.99"/>
    <x v="0"/>
    <x v="25"/>
  </r>
  <r>
    <x v="54"/>
    <s v="AGOSTO"/>
    <s v="HSERV CABREUVA"/>
    <s v="SICOOB HSERV CABREUVA NEGOCIAÇÃO CHEQUE ESPECIAL "/>
    <n v="-2012.45"/>
    <x v="0"/>
    <x v="12"/>
  </r>
  <r>
    <x v="54"/>
    <s v="AGOSTO"/>
    <s v="HSERV CABREUVA"/>
    <s v="TARIFA MAX EMPRESARIAL"/>
    <n v="-177.05"/>
    <x v="0"/>
    <x v="9"/>
  </r>
  <r>
    <x v="48"/>
    <s v="AGOSTO"/>
    <s v="HSERV CLEAN"/>
    <s v="TARIFA MAX EMPRESARIAL"/>
    <n v="-177.05"/>
    <x v="0"/>
    <x v="9"/>
  </r>
  <r>
    <x v="54"/>
    <s v="AGOSTO"/>
    <s v="HSERV COMBINADOS "/>
    <s v="TARIFA MAX EMPRESARIAL"/>
    <n v="-177.05"/>
    <x v="0"/>
    <x v="9"/>
  </r>
  <r>
    <x v="54"/>
    <s v="AGOSTO"/>
    <s v="HSERV COMBINADOS ND"/>
    <s v="TARIFA MAX EMPRESARIAL"/>
    <n v="-177.05"/>
    <x v="0"/>
    <x v="9"/>
  </r>
  <r>
    <x v="54"/>
    <s v="AGOSTO"/>
    <s v="HENRIQUE JEAN"/>
    <s v="TARIFA MAX EMPRESARIAL"/>
    <n v="-177.05"/>
    <x v="0"/>
    <x v="9"/>
  </r>
  <r>
    <x v="54"/>
    <s v="AGOSTO"/>
    <s v="HENRIQUE JEAN ND"/>
    <s v="TARIFA MAX EMPRESARIAL"/>
    <n v="-177.05"/>
    <x v="0"/>
    <x v="9"/>
  </r>
  <r>
    <x v="54"/>
    <s v="AGOSTO"/>
    <s v="VITOR DUARTE"/>
    <s v="TARIFA MAX EMPRESARIAL"/>
    <n v="-177.05"/>
    <x v="0"/>
    <x v="9"/>
  </r>
  <r>
    <x v="54"/>
    <s v="AGOSTO"/>
    <s v="VITOR DUARTE ND"/>
    <s v="TARIFA MAX EMPRESARIAL"/>
    <n v="-177.05"/>
    <x v="0"/>
    <x v="9"/>
  </r>
  <r>
    <x v="54"/>
    <s v="AGOSTO"/>
    <s v="HSERV TERCERIZADOS"/>
    <s v="TARIFA MAX EMPRESARIAL"/>
    <n v="-177.05"/>
    <x v="0"/>
    <x v="9"/>
  </r>
  <r>
    <x v="54"/>
    <s v="AGOSTO"/>
    <s v="HSERV TERCERIZADOS ND"/>
    <s v="TARIFA MAX EMPRESARIAL"/>
    <n v="-177.05"/>
    <x v="0"/>
    <x v="9"/>
  </r>
  <r>
    <x v="54"/>
    <s v="AGOSTO"/>
    <s v="HSERV LIMPEZA"/>
    <s v="TARIFA MAX EMPRESARIAL"/>
    <n v="-177.05"/>
    <x v="0"/>
    <x v="9"/>
  </r>
  <r>
    <x v="54"/>
    <s v="AGOSTO"/>
    <s v="HSERV LIMPEZA ND"/>
    <s v="TARIFA MAX EMPRESARIAL"/>
    <n v="-177.05"/>
    <x v="0"/>
    <x v="9"/>
  </r>
  <r>
    <x v="54"/>
    <s v="AGOSTO"/>
    <s v="HSERV TECNOLOGIA"/>
    <s v="TARIFA MAX EMPRESARIAL"/>
    <n v="-177.05"/>
    <x v="0"/>
    <x v="9"/>
  </r>
  <r>
    <x v="54"/>
    <s v="AGOSTO"/>
    <s v="HSERV REPRESENTAÇÃO"/>
    <s v="TARIFA MAX EMPRESARIAL"/>
    <n v="-177.05"/>
    <x v="0"/>
    <x v="9"/>
  </r>
  <r>
    <x v="55"/>
    <s v="AGOSTO"/>
    <s v="HENRIQUE JEAN ND"/>
    <s v="CELIO ROBERTO"/>
    <n v="-768.72"/>
    <x v="0"/>
    <x v="10"/>
  </r>
  <r>
    <x v="54"/>
    <s v="AGOSTO"/>
    <s v="VITOR DUARTE"/>
    <s v="IFOOD.COM AGENCIA DE RESTAURANTES ONLINE S.A. -VALE COMBUSTIVEL-2 QUINZENA DE AGOSTO"/>
    <n v="-7131.5"/>
    <x v="0"/>
    <x v="26"/>
  </r>
  <r>
    <x v="48"/>
    <s v="AGOSTO"/>
    <s v="HSERV COMBINADOS"/>
    <s v="DEPOSITO GAS E AGUA CABREUVA- GALÕES DE AGUA  ESCRITORIO"/>
    <n v="-75"/>
    <x v="0"/>
    <x v="28"/>
  </r>
  <r>
    <x v="48"/>
    <s v="AGOSTO"/>
    <s v="VITOR DUARTE"/>
    <s v="ALTOLIM COMERCIAL ASSIS EIRELI  NF 40.720"/>
    <n v="-57.81"/>
    <x v="0"/>
    <x v="4"/>
  </r>
  <r>
    <x v="48"/>
    <s v="AGOSTO"/>
    <s v="HSERV CABREUVA"/>
    <s v="SABESP SALA 16"/>
    <n v="-138.56"/>
    <x v="0"/>
    <x v="28"/>
  </r>
  <r>
    <x v="48"/>
    <s v="AGOSTO"/>
    <s v="HSERV CABREUVA"/>
    <s v="SABESP SALA 17"/>
    <n v="-138.56"/>
    <x v="0"/>
    <x v="28"/>
  </r>
  <r>
    <x v="48"/>
    <s v="AGOSTO"/>
    <s v="HSERV CABREUVA"/>
    <s v="SABESP SALA 18"/>
    <n v="-138.56"/>
    <x v="0"/>
    <x v="28"/>
  </r>
  <r>
    <x v="48"/>
    <s v="AGOSTO"/>
    <s v="HSERV CABREUVA"/>
    <s v="SABESP CLEAN"/>
    <n v="-138.56"/>
    <x v="0"/>
    <x v="28"/>
  </r>
  <r>
    <x v="55"/>
    <s v="AGOSTO"/>
    <s v="HSERV TECNOLOGIA"/>
    <s v="OMIEXPERIENCE LTDA."/>
    <n v="-261.68"/>
    <x v="0"/>
    <x v="21"/>
  </r>
  <r>
    <x v="55"/>
    <s v="AGOSTO"/>
    <s v="HSERV REPRESENTACOES"/>
    <s v="OMIEXPERIENCE LTDA."/>
    <n v="-300"/>
    <x v="0"/>
    <x v="21"/>
  </r>
  <r>
    <x v="55"/>
    <s v="AGOSTO"/>
    <s v="HSERV CABREUVA "/>
    <s v="OMIEXPERIENCE LTDA."/>
    <n v="-300"/>
    <x v="0"/>
    <x v="21"/>
  </r>
  <r>
    <x v="55"/>
    <s v="AGOSTO"/>
    <s v="HSERV  COMBINADOS"/>
    <s v="OMIEXPERIENCE LTDA."/>
    <n v="-300"/>
    <x v="0"/>
    <x v="21"/>
  </r>
  <r>
    <x v="55"/>
    <s v="AGOSTO"/>
    <s v="HENRIQUE JEAN DUARTE "/>
    <s v="OMIEXPERIENCE LTDA."/>
    <n v="-294.32"/>
    <x v="0"/>
    <x v="21"/>
  </r>
  <r>
    <x v="55"/>
    <s v="AGOSTO"/>
    <s v="HSERV TERCEIRIZADOS"/>
    <s v="OMIEXPERIENCE LTDA."/>
    <n v="-300"/>
    <x v="0"/>
    <x v="21"/>
  </r>
  <r>
    <x v="55"/>
    <s v="AGOSTO"/>
    <s v="HSERV  LIMPEZA "/>
    <s v="OMIEXPERIENCE LTDA."/>
    <n v="-300"/>
    <x v="0"/>
    <x v="21"/>
  </r>
  <r>
    <x v="54"/>
    <s v="AGOSTO"/>
    <s v="VITOR  DUARTE "/>
    <s v="OMIEXPERIENCE LTDA."/>
    <n v="-350"/>
    <x v="0"/>
    <x v="21"/>
  </r>
  <r>
    <x v="55"/>
    <s v="AGOSTO"/>
    <s v="HSER CLEAN"/>
    <s v="OMIEXPERIENCE LTDA."/>
    <n v="-373.51"/>
    <x v="0"/>
    <x v="21"/>
  </r>
  <r>
    <x v="27"/>
    <s v="SETEMBRO"/>
    <s v="VITOR DUARTE"/>
    <s v="LOCALIZA - VENCIDA 30/07/2025"/>
    <n v="-6274.7"/>
    <x v="0"/>
    <x v="29"/>
  </r>
  <r>
    <x v="27"/>
    <s v="SETEMBRO"/>
    <s v="VITOR DUARTE"/>
    <s v="LOCALIZA - VENCIDA 30/07/2025"/>
    <n v="-1959.76"/>
    <x v="0"/>
    <x v="29"/>
  </r>
  <r>
    <x v="27"/>
    <s v="SETEMBRO"/>
    <s v="HSERV COMBINADOS "/>
    <s v="LOCALIZA - VENCIDA 30/07/2025"/>
    <n v="-4169.6000000000004"/>
    <x v="0"/>
    <x v="29"/>
  </r>
  <r>
    <x v="54"/>
    <s v="AGOSTO"/>
    <s v="VITOR DUARTE"/>
    <s v="VIVA FOOD R E LTDA"/>
    <n v="-17235"/>
    <x v="0"/>
    <x v="2"/>
  </r>
  <r>
    <x v="52"/>
    <s v="AGOSTO"/>
    <s v="HSERV REPRESENTACOES"/>
    <s v="ASOMETRA ENGENHARIA DE SEGURANÇA- VENCIMENTO 20/07/205"/>
    <n v="-581.89"/>
    <x v="0"/>
    <x v="30"/>
  </r>
  <r>
    <x v="52"/>
    <s v="AGOSTO"/>
    <s v="HSERV LIMPEZA "/>
    <s v="ASOMETRA ENGENHARIA DE SEGURANÇA- VENCIMENTO 20/07/205"/>
    <n v="-429.35"/>
    <x v="0"/>
    <x v="30"/>
  </r>
  <r>
    <x v="52"/>
    <s v="AGOSTO"/>
    <s v="HSERV TERCEIRIZADOS"/>
    <s v="ASOMETRA ENGENHARIA DE SEGURANÇA- VENCIMENTO 20/07/205"/>
    <n v="-463.25"/>
    <x v="0"/>
    <x v="30"/>
  </r>
  <r>
    <x v="52"/>
    <s v="AGOSTO"/>
    <s v="HSERV TECNOLOGIA"/>
    <s v="ASOMETRA ENGENHARIA DE SEGURANÇA- VENCIMENTO 20/07/205"/>
    <n v="-463.25"/>
    <x v="0"/>
    <x v="30"/>
  </r>
  <r>
    <x v="52"/>
    <s v="AGOSTO"/>
    <s v="H SERV CLEAN"/>
    <s v="ASOMETRA ENGENHARIA DE SEGURANÇA- VENCIMENTO 20/07/205"/>
    <n v="-202.29"/>
    <x v="0"/>
    <x v="30"/>
  </r>
  <r>
    <x v="52"/>
    <s v="AGOSTO"/>
    <s v="HENRIQUE JEAN "/>
    <s v="ASOMETRA ENGENHARIA DE SEGURANÇA- VENCIMENTO 20/07/205"/>
    <n v="-128.94"/>
    <x v="0"/>
    <x v="30"/>
  </r>
  <r>
    <x v="52"/>
    <s v="AGOSTO"/>
    <s v="HSERV CABREUVA"/>
    <s v="ASOMETRA ENGENHARIA DE SEGURANÇA- VENCIMENTO 20/07/205"/>
    <n v="-193.41"/>
    <x v="0"/>
    <x v="30"/>
  </r>
  <r>
    <x v="52"/>
    <s v="AGOSTO"/>
    <s v="HSERV  COMBINADOS "/>
    <s v="ASOMETRA ENGENHARIA DE SEGURANÇA- VENCIMENTO 20/07/205"/>
    <n v="-517.41"/>
    <x v="0"/>
    <x v="30"/>
  </r>
  <r>
    <x v="52"/>
    <s v="AGOSTO"/>
    <s v="VITOR  DUARTE"/>
    <s v="ASOMETRA ENGENHARIA DE SEGURANÇA- VENCIMENTO 20/07/205"/>
    <n v="-780.72"/>
    <x v="0"/>
    <x v="30"/>
  </r>
  <r>
    <x v="23"/>
    <s v="AGOSTO"/>
    <s v="HSERV TERCEIRIZADOS"/>
    <s v="LOTUS CENTRAL DE DISTRIBUICAO DE HIGIENICOS LTDA NF 189.843"/>
    <n v="-2592.66"/>
    <x v="0"/>
    <x v="4"/>
  </r>
  <r>
    <x v="23"/>
    <s v="AGOSTO"/>
    <s v="HSERV TERCEIRIZADOS"/>
    <s v="LOTUS CENTRAL DE DISTRIBUICAO DE HIGIENICOS LTDA NF 179.434"/>
    <n v="-809.45"/>
    <x v="0"/>
    <x v="4"/>
  </r>
  <r>
    <x v="56"/>
    <s v="AGOSTO"/>
    <s v="HSERV CABREUVA"/>
    <s v="BRADESCO "/>
    <n v="-35714.57"/>
    <x v="0"/>
    <x v="12"/>
  </r>
  <r>
    <x v="55"/>
    <s v="AGOSTO"/>
    <s v="HSERV REPRESENTACOES"/>
    <s v="ALEF MARTINS DE LIMA"/>
    <n v="-3224.16"/>
    <x v="0"/>
    <x v="6"/>
  </r>
  <r>
    <x v="48"/>
    <s v="AGOSTO"/>
    <s v="HSERV REPRESENTACOES"/>
    <s v="GRRF ALEF MARTINS DE LIMA"/>
    <n v="-4187"/>
    <x v="0"/>
    <x v="6"/>
  </r>
  <r>
    <x v="57"/>
    <s v="AGOSTO"/>
    <s v="VITOR DUARTE"/>
    <s v="VIVA FOOD PARCELA 1/3 - REAJUSTE REATROATIVO"/>
    <n v="-1752.88"/>
    <x v="0"/>
    <x v="2"/>
  </r>
  <r>
    <x v="58"/>
    <s v="SETEMBRO"/>
    <s v="VITOR DUARTE"/>
    <s v="VIVA FOOD PARCELA 1/3 - REAJUSTE REATROATIVO"/>
    <n v="-1752.88"/>
    <x v="0"/>
    <x v="2"/>
  </r>
  <r>
    <x v="44"/>
    <s v="SETEMBRO"/>
    <s v="VITOR DUARTE"/>
    <s v="VIVA FOOD PARCELA 1/3 - REAJUSTE REATROATIVO NF 3.039"/>
    <n v="-1752.88"/>
    <x v="0"/>
    <x v="2"/>
  </r>
  <r>
    <x v="48"/>
    <s v="AGOSTO"/>
    <s v="HSERV TERCEIRIZADOS"/>
    <s v="LOTUS CENTRAL DE DISTRIBUICAO DE HIGIENICOS LTDA  NF 179.434"/>
    <n v="-809.46"/>
    <x v="0"/>
    <x v="4"/>
  </r>
  <r>
    <x v="33"/>
    <s v="AGOSTO"/>
    <s v="HSERV CABREUVA"/>
    <s v="NOVITA VEST CONFECCOES LTDA- VENCIMENTO 13/08/2025-PRORROGADO PARA O DIA 29/08"/>
    <n v="-2045"/>
    <x v="0"/>
    <x v="44"/>
  </r>
  <r>
    <x v="33"/>
    <s v="AGOSTO"/>
    <s v="HSERV CABREUVA"/>
    <s v="NOVITA VEST CONFECCOES LTDA- VENCIMENTO 19/08/2025-PRORROGADO PARA O DIA 29/08"/>
    <n v="-3619.3394859999999"/>
    <x v="0"/>
    <x v="44"/>
  </r>
  <r>
    <x v="48"/>
    <s v="AGOSTO"/>
    <s v="HENRIQUE JEAN"/>
    <s v="SINDICATO DOS EMPREGADOS E TRABALHADORES - VENCIMENTO 10/07/2025"/>
    <n v="-522.91999999999996"/>
    <x v="0"/>
    <x v="14"/>
  </r>
  <r>
    <x v="48"/>
    <s v="AGOSTO"/>
    <s v="HSERV CABREUVA"/>
    <s v="SINDICATO DOS EMPREGADOS E TRABALHADORES - VENCIMENTO 10/07/2025"/>
    <n v="-840.87"/>
    <x v="0"/>
    <x v="14"/>
  </r>
  <r>
    <x v="48"/>
    <s v="AGOSTO"/>
    <s v="HSERV CLEAN"/>
    <s v="SINDICATO DOS EMPREGADOS E TRABALHADORES - VENCIMENTO 10/07/2025"/>
    <n v="-863.94"/>
    <x v="0"/>
    <x v="14"/>
  </r>
  <r>
    <x v="48"/>
    <s v="AGOSTO"/>
    <s v="HSERV COMBINADOS"/>
    <s v="SINDICATO DOS EMPREGADOS E TRABALHADORES - VENCIMENTO 10/07/2025"/>
    <n v="-2843.19"/>
    <x v="0"/>
    <x v="14"/>
  </r>
  <r>
    <x v="48"/>
    <s v="AGOSTO"/>
    <s v="HSERV LIMPEZA"/>
    <s v="SINDICATO DOS EMPREGADOS E TRABALHADORES - VENCIMENTO 10/07/2025"/>
    <n v="-875.77"/>
    <x v="0"/>
    <x v="14"/>
  </r>
  <r>
    <x v="48"/>
    <s v="AGOSTO"/>
    <s v="HSERV REPRESENTACOES"/>
    <s v="SINDICATO DOS EMPREGADOS E TRABALHADORES - VENCIMENTO 10/07/2025"/>
    <n v="-648.41999999999996"/>
    <x v="0"/>
    <x v="14"/>
  </r>
  <r>
    <x v="48"/>
    <s v="AGOSTO"/>
    <s v="HSERV TECNOLOGIA"/>
    <s v="SINDICATO DOS EMPREGADOS E TRABALHADORES - VENCIMENTO 10/07/2025"/>
    <n v="-2362.3000000000002"/>
    <x v="0"/>
    <x v="14"/>
  </r>
  <r>
    <x v="48"/>
    <s v="AGOSTO"/>
    <s v="HSERV TERCEIRIZADOS"/>
    <s v="SINDICATO DOS EMPREGADOS E TRABALHADORES - VENCIMENTO 10/07/2025"/>
    <n v="-852.9"/>
    <x v="0"/>
    <x v="14"/>
  </r>
  <r>
    <x v="48"/>
    <s v="AGOSTO"/>
    <s v="VITOR DUARTE"/>
    <s v="SINDICATO DOS EMPREGADOS E TRABALHADORES - VENCIMENTO 10/07/2025"/>
    <n v="-721.22"/>
    <x v="0"/>
    <x v="14"/>
  </r>
  <r>
    <x v="55"/>
    <s v="AGOSTO"/>
    <s v="VITOR DUARTE"/>
    <s v="GABRIEL GATTI DA SILVA"/>
    <n v="-110.45"/>
    <x v="0"/>
    <x v="6"/>
  </r>
  <r>
    <x v="59"/>
    <s v="AGOSTO"/>
    <s v="VITOR DUARTE"/>
    <s v="JONESO EMPREENDIMENTOS-VECIMENTO 17/08/2025-PRORROGADO SEM JUROS"/>
    <n v="-5460"/>
    <x v="0"/>
    <x v="15"/>
  </r>
  <r>
    <x v="33"/>
    <s v="AGOSTO"/>
    <s v="HSERV CABREUVA"/>
    <s v="NOVITA VEST CONFECCOES LTDA- VENCIMENTO 18/08/2025-PRORROGADO PARA O DIA 29/08"/>
    <n v="-2003.33"/>
    <x v="0"/>
    <x v="44"/>
  </r>
  <r>
    <x v="55"/>
    <s v="AGOSTO"/>
    <s v="VITOR DUARTE"/>
    <s v="L. A. DE SOUZA - EQUIPAMENTOS DE SEGURANCA LTDA NF 11.793"/>
    <n v="-318"/>
    <x v="0"/>
    <x v="44"/>
  </r>
  <r>
    <x v="55"/>
    <s v="AGOSTO"/>
    <s v="HSERV REPRESENTACOES"/>
    <s v="JOSE SANTOS DE PAULA"/>
    <n v="-100"/>
    <x v="0"/>
    <x v="7"/>
  </r>
  <r>
    <x v="55"/>
    <s v="AGOSTO"/>
    <s v="HSERV COMBINADOS"/>
    <s v="FLAVIA KELI DE OLIVEIRA FELIX-VALE TRANSPORTE DO DIA 01/08 AO DIA 17/08 R$12,30 POR DIA  RT"/>
    <n v="-184.5"/>
    <x v="0"/>
    <x v="7"/>
  </r>
  <r>
    <x v="48"/>
    <s v="AGOSTO"/>
    <s v="HSERV COMBINADOS "/>
    <s v="SOFISA ACORDO- PROCESSO EXECUÇÃO PARCELA 19/24"/>
    <n v="-5072.57"/>
    <x v="0"/>
    <x v="12"/>
  </r>
  <r>
    <x v="59"/>
    <s v="AGOSTO"/>
    <s v="HENRIQUE JEAN"/>
    <s v="IF SAO PAULO SERVICOS DE APOIO A MICRO E PEQUENA EMPRESA LTD"/>
    <n v="-1689.3"/>
    <x v="0"/>
    <x v="31"/>
  </r>
  <r>
    <x v="59"/>
    <s v="AGOSTO"/>
    <s v="HSERV CABREUVA"/>
    <s v="IF SAO PAULO SERVICOS DE APOIO A MICRO E PEQUENA EMPRESA LTD"/>
    <n v="-1689.3"/>
    <x v="0"/>
    <x v="31"/>
  </r>
  <r>
    <x v="59"/>
    <s v="AGOSTO"/>
    <s v="HSERV CLEAN"/>
    <s v="IF SAO PAULO SERVICOS DE APOIO A MICRO E PEQUENA EMPRESA LTD"/>
    <n v="-1689.3"/>
    <x v="0"/>
    <x v="31"/>
  </r>
  <r>
    <x v="59"/>
    <s v="AGOSTO"/>
    <s v="HSERV COMBINADOS"/>
    <s v="IF SAO PAULO SERVICOS DE APOIO A MICRO E PEQUENA EMPRESA LTD"/>
    <n v="-1689.3"/>
    <x v="0"/>
    <x v="31"/>
  </r>
  <r>
    <x v="59"/>
    <s v="AGOSTO"/>
    <s v="HSERV LIMPEZA"/>
    <s v="IF SAO PAULO SERVICOS DE APOIO A MICRO E PEQUENA EMPRESA LTD"/>
    <n v="-1689.3"/>
    <x v="0"/>
    <x v="31"/>
  </r>
  <r>
    <x v="59"/>
    <s v="AGOSTO"/>
    <s v="HSERV REPRESENTACOES"/>
    <s v="IF SAO PAULO SERVICOS DE APOIO A MICRO E PEQUENA EMPRESA LTD"/>
    <n v="-1689.3"/>
    <x v="0"/>
    <x v="31"/>
  </r>
  <r>
    <x v="59"/>
    <s v="AGOSTO"/>
    <s v="HSERV TECNOLOGIA"/>
    <s v="IF SAO PAULO SERVICOS DE APOIO A MICRO E PEQUENA EMPRESA LTD"/>
    <n v="-1689.3"/>
    <x v="0"/>
    <x v="31"/>
  </r>
  <r>
    <x v="59"/>
    <s v="AGOSTO"/>
    <s v="HSERV TERCEIRIZADOS"/>
    <s v="IF SAO PAULO SERVICOS DE APOIO A MICRO E PEQUENA EMPRESA LTD"/>
    <n v="-1689.3"/>
    <x v="0"/>
    <x v="31"/>
  </r>
  <r>
    <x v="59"/>
    <s v="AGOSTO"/>
    <s v="VITOR DUARTE"/>
    <s v="IF SAO PAULO SERVICOS DE APOIO A MICRO E PEQUENA EMPRESA LTD"/>
    <n v="-2346.25"/>
    <x v="0"/>
    <x v="31"/>
  </r>
  <r>
    <x v="59"/>
    <s v="AGOSTO"/>
    <s v="VITOR DUARTE"/>
    <s v="ANJO AZUL ALARMES"/>
    <n v="-1046.6400000000001"/>
    <x v="0"/>
    <x v="21"/>
  </r>
  <r>
    <x v="59"/>
    <s v="AGOSTO"/>
    <s v="HSERV CABREUVA"/>
    <s v="MAXIWEB INTERNET PROVIDER LTDA"/>
    <n v="-39.799999999999997"/>
    <x v="0"/>
    <x v="21"/>
  </r>
  <r>
    <x v="59"/>
    <s v="AGOSTO"/>
    <s v="HSERV CLEAN"/>
    <s v="SIMPLES NACIONAL MENSAL -07.20.25217.7070891-0 "/>
    <n v="-4544.8500000000004"/>
    <x v="0"/>
    <x v="32"/>
  </r>
  <r>
    <x v="59"/>
    <s v="AGOSTO"/>
    <s v="HSERV COMBINADOS"/>
    <s v="SIMPLES NACIONAL MENSAL -07.20.25217.7214735-5"/>
    <n v="-1122.06"/>
    <x v="0"/>
    <x v="32"/>
  </r>
  <r>
    <x v="59"/>
    <s v="AGOSTO"/>
    <s v="HENRIQUE JEAN "/>
    <s v="SIMPLES NACIONAL MENSAL  07.20.25217.7160108-7"/>
    <n v="-1375.8"/>
    <x v="0"/>
    <x v="32"/>
  </r>
  <r>
    <x v="59"/>
    <s v="AGOSTO"/>
    <s v="HSERV TECNOLOGIA"/>
    <s v="SIMPLES NACIONAL MENSAL -07.20.25217.7804266-0"/>
    <n v="-1418.32"/>
    <x v="0"/>
    <x v="32"/>
  </r>
  <r>
    <x v="59"/>
    <s v="AGOSTO"/>
    <s v="HSERV LIMPEZA"/>
    <s v="SIMPLES NACIONAL MENSAL -07.20.25217.7740556-5"/>
    <n v="-4591.54"/>
    <x v="0"/>
    <x v="32"/>
  </r>
  <r>
    <x v="59"/>
    <s v="AGOSTO"/>
    <s v="HSERV REPRESENTAÇÃO"/>
    <s v="SIMPLES NACIONAL MENSAL -07.20.25217.7286546-0"/>
    <n v="-4774.17"/>
    <x v="0"/>
    <x v="32"/>
  </r>
  <r>
    <x v="59"/>
    <s v="AGOSTO"/>
    <s v="HSERV TERCERIZADOS"/>
    <s v="SIMPLES NACIONAL MENSAL -07.20.25217.7618506-5"/>
    <n v="-1309.9000000000001"/>
    <x v="0"/>
    <x v="32"/>
  </r>
  <r>
    <x v="59"/>
    <s v="AGOSTO"/>
    <s v="VITOR DUARTE"/>
    <s v="DARF ISS TOMADOS- NF -- VALDECI BERTOZZI DA SILVA - Serviço: 03.05- 44.505.123/0001-50 -"/>
    <n v="-29.5"/>
    <x v="0"/>
    <x v="32"/>
  </r>
  <r>
    <x v="59"/>
    <s v="AGOSTO"/>
    <s v="VITOR DUARTE"/>
    <s v="DARF ISS MENSAL- EMPRESA HSERV LTDA"/>
    <n v="-14264.18"/>
    <x v="0"/>
    <x v="32"/>
  </r>
  <r>
    <x v="39"/>
    <s v="AGOSTO"/>
    <s v="HSERV CABREUVA"/>
    <s v="DARF UNIFICADA DE IMPOSTO; COFINS,PIS - HSERV CABREUVA"/>
    <n v="-1773.62"/>
    <x v="0"/>
    <x v="32"/>
  </r>
  <r>
    <x v="59"/>
    <s v="AGOSTO"/>
    <s v="HENRIQUE JEAN"/>
    <s v="FGTS MENSAL HENRIQUE JEAN DUARTE LTDA"/>
    <n v="-12296.18"/>
    <x v="0"/>
    <x v="32"/>
  </r>
  <r>
    <x v="59"/>
    <s v="AGOSTO"/>
    <s v="HSERV CABREUVA"/>
    <s v="FGTS MENSAL HSERV CABREUVA"/>
    <n v="-4941.3100000000004"/>
    <x v="0"/>
    <x v="32"/>
  </r>
  <r>
    <x v="59"/>
    <s v="AGOSTO"/>
    <s v="HSERV CLEAN"/>
    <s v="FGTS MENSAL HSERV CLEAN "/>
    <n v="-5133.79"/>
    <x v="0"/>
    <x v="32"/>
  </r>
  <r>
    <x v="59"/>
    <s v="AGOSTO"/>
    <s v="HSERV COMBINADOS"/>
    <s v="FGTS MENSAL HSERV COMBINADOS "/>
    <n v="-9118.24"/>
    <x v="0"/>
    <x v="32"/>
  </r>
  <r>
    <x v="59"/>
    <s v="AGOSTO"/>
    <s v="HSERV LIMPEZA"/>
    <s v="FGTS MENSAL HSERV LIMPEZA "/>
    <n v="-5275.51"/>
    <x v="0"/>
    <x v="32"/>
  </r>
  <r>
    <x v="59"/>
    <s v="AGOSTO"/>
    <s v="HSERV REPRESENTACOES"/>
    <s v="FGTS MENSAL HSERV  REPRESENTACOES "/>
    <n v="-2899.38"/>
    <x v="0"/>
    <x v="32"/>
  </r>
  <r>
    <x v="59"/>
    <s v="AGOSTO"/>
    <s v="HSERV TECNOLOGIA"/>
    <s v="FGTS MENSAL HSERV TECNOLOGIA "/>
    <n v="-8629.2099999999991"/>
    <x v="0"/>
    <x v="32"/>
  </r>
  <r>
    <x v="59"/>
    <s v="AGOSTO"/>
    <s v="HSERV TERCEIRIZADOS"/>
    <s v="FGTS MENSAL HSERV TERCEIRIZADOS"/>
    <n v="-3577.26"/>
    <x v="0"/>
    <x v="32"/>
  </r>
  <r>
    <x v="59"/>
    <s v="AGOSTO"/>
    <s v="VITOR DUARTE"/>
    <s v="FGTS MENSAL VITOR DUARTE"/>
    <n v="-3017.28"/>
    <x v="0"/>
    <x v="32"/>
  </r>
  <r>
    <x v="59"/>
    <s v="AGOSTO"/>
    <s v="HENRIQUE JEAN"/>
    <s v="DARF INSS MENSAL HENRIQUE JEAN DUARTE LTDA"/>
    <n v="-9496.35"/>
    <x v="0"/>
    <x v="32"/>
  </r>
  <r>
    <x v="59"/>
    <s v="AGOSTO"/>
    <s v="HSERV CABREUVA"/>
    <s v="DARF INSS MENSAL HSERV CABREUVA"/>
    <n v="-10971.43"/>
    <x v="0"/>
    <x v="32"/>
  </r>
  <r>
    <x v="59"/>
    <s v="AGOSTO"/>
    <s v="HSERV CLEAN"/>
    <s v="DARF INSS MENSAL HSERV CLEAN"/>
    <n v="-3579.94"/>
    <x v="0"/>
    <x v="32"/>
  </r>
  <r>
    <x v="59"/>
    <s v="AGOSTO"/>
    <s v="HSERV COMBINADOS"/>
    <s v="DARF INSS HSERV COMBINADOS "/>
    <n v="-6549.14"/>
    <x v="0"/>
    <x v="32"/>
  </r>
  <r>
    <x v="59"/>
    <s v="AGOSTO"/>
    <s v="HSERV LIMPEZA"/>
    <s v="DARF INSS MENSAL HSERV LIMPEZA "/>
    <n v="-2091.98"/>
    <x v="0"/>
    <x v="32"/>
  </r>
  <r>
    <x v="59"/>
    <s v="AGOSTO"/>
    <s v="HSERV REPRESENTACOES"/>
    <s v="DARF INSS MENSAL HSERV REPRESENTACOES"/>
    <n v="-24.94"/>
    <x v="0"/>
    <x v="32"/>
  </r>
  <r>
    <x v="59"/>
    <s v="AGOSTO"/>
    <s v="HSERV TECNOLOGIA"/>
    <s v="DARF INSS MENSAL HSERV TECNOLOGIA "/>
    <n v="-7620.64"/>
    <x v="0"/>
    <x v="32"/>
  </r>
  <r>
    <x v="59"/>
    <s v="AGOSTO"/>
    <s v="HSERV TERCEIRIZADOS"/>
    <s v="DARF INSS MENSAL HSERV TERCEIRIZADOS"/>
    <n v="-1818.31"/>
    <x v="0"/>
    <x v="32"/>
  </r>
  <r>
    <x v="59"/>
    <s v="AGOSTO"/>
    <s v="VITOR DUARTE"/>
    <s v="DARF INSS MENSAL VITOR AUGUSTO DUARTE"/>
    <n v="-13894.59"/>
    <x v="0"/>
    <x v="32"/>
  </r>
  <r>
    <x v="59"/>
    <s v="AGOSTO"/>
    <s v="HSERV CABREUVA"/>
    <s v="FT 1 QUINZENA  DE JULHO -PACOTES  DE AGOSTO"/>
    <n v="-62065.88"/>
    <x v="0"/>
    <x v="13"/>
  </r>
  <r>
    <x v="59"/>
    <s v="AGOSTO"/>
    <s v="HSERV CABREUVA"/>
    <s v="CAIXA CARTOES PRE-PAGOS S.A."/>
    <n v="-11383.86"/>
    <x v="0"/>
    <x v="7"/>
  </r>
  <r>
    <x v="59"/>
    <s v="AGOSTO"/>
    <s v="HSERV CLEAN"/>
    <s v="CAIXA CARTOES PRE-PAGOS S.A."/>
    <n v="-1904.57"/>
    <x v="0"/>
    <x v="7"/>
  </r>
  <r>
    <x v="59"/>
    <s v="AGOSTO"/>
    <s v="HSERV LIMPEZA"/>
    <s v="CAIXA CARTOES PRE-PAGOS S.A."/>
    <n v="-620.04999999999995"/>
    <x v="0"/>
    <x v="7"/>
  </r>
  <r>
    <x v="59"/>
    <s v="AGOSTO"/>
    <s v="HSERV REPRESENTACOES"/>
    <s v="CAIXA CARTOES PRE-PAGOS S.A."/>
    <n v="-993.74"/>
    <x v="0"/>
    <x v="7"/>
  </r>
  <r>
    <x v="59"/>
    <s v="AGOSTO"/>
    <s v="HSERV TECNOLOGIA"/>
    <s v="CAIXA CARTOES PRE-PAGOS S.A."/>
    <n v="-2385.4499999999998"/>
    <x v="0"/>
    <x v="7"/>
  </r>
  <r>
    <x v="59"/>
    <s v="AGOSTO"/>
    <s v="HSERV TERCEIRIZADOS"/>
    <s v="CAIXA CARTOES PRE-PAGOS S.A."/>
    <n v="-1548.2"/>
    <x v="0"/>
    <x v="7"/>
  </r>
  <r>
    <x v="59"/>
    <s v="AGOSTO"/>
    <s v="VITOR DUARTE"/>
    <s v="CAIXA CARTOES PRE-PAGOS S.A."/>
    <n v="-23731.68"/>
    <x v="0"/>
    <x v="7"/>
  </r>
  <r>
    <x v="52"/>
    <s v="AGOSTO"/>
    <s v="HSERV TERCERIZADOS"/>
    <s v="FT ASSIS E REGIÃO-REDE AVENIDA"/>
    <n v="-5890"/>
    <x v="0"/>
    <x v="13"/>
  </r>
  <r>
    <x v="59"/>
    <s v="AGOSTO"/>
    <s v="HSERV COMBINADOS"/>
    <s v="MAC LUCER -MAITA (MENSAL) - -RESIDENCIAL MAITÁ APTO 073 (contrato-170"/>
    <n v="-2982.25"/>
    <x v="0"/>
    <x v="33"/>
  </r>
  <r>
    <x v="17"/>
    <s v="AGOSTO"/>
    <s v="HSERV TERCEIRIZADOS"/>
    <s v="ESCOBRAS INDUSTRIA E COMERCIO DE MAQUINAS LTDA"/>
    <n v="-1400"/>
    <x v="0"/>
    <x v="4"/>
  </r>
  <r>
    <x v="17"/>
    <s v="AGOSTO"/>
    <s v="VITOR DUARTE"/>
    <s v="RESOLVE ALIMENTACAO LTDA"/>
    <n v="-635.17999999999995"/>
    <x v="0"/>
    <x v="39"/>
  </r>
  <r>
    <x v="17"/>
    <s v="AGOSTO"/>
    <s v="HSERV CLEAN"/>
    <s v="SPARTAN DO BRASIL PRODUTOS QUIMICOS LTDA"/>
    <n v="-9520.2999999999993"/>
    <x v="0"/>
    <x v="4"/>
  </r>
  <r>
    <x v="59"/>
    <s v="AGOSTO"/>
    <s v="HENRIQUE JEAN"/>
    <s v="JONATHAN DINIZ WESFAL-PROC 1001448-72.2024.5.02.0291 AUTOR: LUCIANA APARECIDA MARQUES DA SILVA  PARCELA 1/10"/>
    <n v="-1240"/>
    <x v="0"/>
    <x v="34"/>
  </r>
  <r>
    <x v="59"/>
    <s v="AGOSTO"/>
    <s v="VITOR DUARTE"/>
    <s v="ARGENTON E QUEIROZ ADVOGADOS ASSOCIADOS-Proc 0012026-51.2024.5.15.0097-SIMONE DA SILVA CORREIA- PARCELA 3/6"/>
    <n v="-268.92"/>
    <x v="0"/>
    <x v="34"/>
  </r>
  <r>
    <x v="18"/>
    <s v="SETEMBRO"/>
    <s v="HENRIQUE JEAN"/>
    <s v="JONATHAN DINIZ WESFAL 0-PROC 1001448-72.2024.5.02.0291 AUTOR: LUCIANA APARECIDA MARQUES DA SILVA -PARCELA  1/10"/>
    <n v="-1240"/>
    <x v="0"/>
    <x v="34"/>
  </r>
  <r>
    <x v="18"/>
    <s v="SETEMBRO"/>
    <s v="VITOR DUARTE"/>
    <s v="ARGENTON E QUEIROZ ADVOGADOS ASSOCIADOS-Proc 0012026-51.2024.5.15.0097-SIMONE DA SILVA CORREIA- PARCELA 4/6"/>
    <n v="-268.92"/>
    <x v="0"/>
    <x v="34"/>
  </r>
  <r>
    <x v="19"/>
    <s v="OUTUBRO"/>
    <s v="VITOR DUARTE"/>
    <s v="ARGENTON E QUEIROZ ADVOGADOS ASSOCIADOS-Proc 0012026-51.2024.5.15.0097-SIMONE DA SILVA CORREIA- PARCELA 5/6"/>
    <n v="-268.92"/>
    <x v="0"/>
    <x v="34"/>
  </r>
  <r>
    <x v="20"/>
    <s v="NOVEMBRO"/>
    <s v="VITOR DUARTE"/>
    <s v="ARGENTON E QUEIROZ ADVOGADOS ASSOCIADOS-Proc 0012026-51.2024.5.15.0097-SIMONE DA SILVA CORREIA- PARCELA 6/6"/>
    <n v="-268.92"/>
    <x v="0"/>
    <x v="34"/>
  </r>
  <r>
    <x v="52"/>
    <s v="AGOSTO"/>
    <s v="HSERV TERCERIZADOS"/>
    <s v="CRISTIANA DOS SANTOS  COBRINDO AFASTAMENTO REGIVANIA PEREIRA DA SILVA RANCHARIA LOJA 12 "/>
    <n v="-500"/>
    <x v="0"/>
    <x v="13"/>
  </r>
  <r>
    <x v="52"/>
    <s v="AGOSTO"/>
    <s v="HSERV TERCERIZADOS"/>
    <s v="CAMILA FERREIRA DA SILVA  COBRINDO FÉRIAS MAURA VILELE VIANA  OURINHOS - LOJA 25"/>
    <n v="-500"/>
    <x v="0"/>
    <x v="13"/>
  </r>
  <r>
    <x v="52"/>
    <s v="AGOSTO"/>
    <s v="HSERV TERCERIZADOS"/>
    <s v="AMANDA SILVA DE SOUZA COBRINDO FÉRIAS NILDA FERREIRA SOBRINHO PRES. VENCESLAU - LOJA 41"/>
    <n v="-700"/>
    <x v="0"/>
    <x v="13"/>
  </r>
  <r>
    <x v="52"/>
    <s v="AGOSTO"/>
    <s v="HSERV TERCERIZADOS"/>
    <s v="GLEYCE JAQUELINE DOS REIS OLIVEIRA COBRINDO AFASTAMENTO BRUNA MAIARA DA SILVA ASSIS - LOJA 20 MAX "/>
    <n v="-390"/>
    <x v="0"/>
    <x v="13"/>
  </r>
  <r>
    <x v="52"/>
    <s v="AGOSTO"/>
    <s v="HSERV TERCERIZADOS"/>
    <s v="JANAINA APARECIDA LOPES COBRINDO AFASTAMENTO DIVA CORREIA PADILHA SANTA CRUZ - LOJA-26 "/>
    <n v="-900"/>
    <x v="0"/>
    <x v="13"/>
  </r>
  <r>
    <x v="52"/>
    <s v="AGOSTO"/>
    <s v="VITOR DUARTE"/>
    <s v="CLARO S/A-LINHAS TELEFONICAS"/>
    <n v="-1560.68"/>
    <x v="0"/>
    <x v="35"/>
  </r>
  <r>
    <x v="59"/>
    <s v="AGOSTO"/>
    <s v="HENRIQUE JEAN"/>
    <s v="VERA LUCIA FELIX DE OLIVEIRA"/>
    <n v="-8.51"/>
    <x v="0"/>
    <x v="6"/>
  </r>
  <r>
    <x v="59"/>
    <s v="AGOSTO"/>
    <s v="HSERV TERCEIRIZADOS"/>
    <s v="SAMUEL ALEXANDER NARANJO RODRIGUEZ"/>
    <n v="-2013.06"/>
    <x v="0"/>
    <x v="6"/>
  </r>
  <r>
    <x v="17"/>
    <s v="AGOSTO"/>
    <s v="HENRIQUE JEAN ND"/>
    <s v="IMOVEL NEX ONE "/>
    <n v="-8937.32"/>
    <x v="0"/>
    <x v="10"/>
  </r>
  <r>
    <x v="52"/>
    <s v="AGOSTO"/>
    <s v="HSERV LIMPEZA"/>
    <s v="RONALDO DE OLIVEIRA HOLANDA"/>
    <n v="-5103.17"/>
    <x v="0"/>
    <x v="6"/>
  </r>
  <r>
    <x v="52"/>
    <s v="AGOSTO"/>
    <s v="HSERV LIMPEZA"/>
    <s v="GRRF RONALDO DE OLIVEIRA HOLANDA"/>
    <n v="-5625.82"/>
    <x v="0"/>
    <x v="6"/>
  </r>
  <r>
    <x v="52"/>
    <s v="AGOSTO"/>
    <s v="HSERV COMBINADOS"/>
    <s v="DAVID DA SILVA PORFIRIO"/>
    <n v="-90.73"/>
    <x v="0"/>
    <x v="6"/>
  </r>
  <r>
    <x v="52"/>
    <s v="AGOSTO"/>
    <s v="HSERV COMBINADOS"/>
    <s v="DAVID DA SILVA PORFIRIO"/>
    <n v="-1534.14"/>
    <x v="0"/>
    <x v="6"/>
  </r>
  <r>
    <x v="52"/>
    <s v="AGOSTO"/>
    <s v="HSERV COMBINADOS"/>
    <s v="MARIA SELMA DE JESUS SOUZA"/>
    <n v="-1110.55"/>
    <x v="0"/>
    <x v="6"/>
  </r>
  <r>
    <x v="52"/>
    <s v="AGOSTO"/>
    <s v="VITOR DUARTE"/>
    <s v="RODRIGO CESAR DOS SANTOS"/>
    <n v="-638.36"/>
    <x v="0"/>
    <x v="6"/>
  </r>
  <r>
    <x v="52"/>
    <s v="AGOSTO"/>
    <s v="VITOR DUARTE"/>
    <s v="GRRF RODRIGO CESAR DOS SANTOS"/>
    <n v="-73.13"/>
    <x v="0"/>
    <x v="6"/>
  </r>
  <r>
    <x v="52"/>
    <s v="AGOSTO"/>
    <s v="VITOR DUARTE"/>
    <s v="VIVA FOOD R E LTDA"/>
    <n v="-17235"/>
    <x v="0"/>
    <x v="2"/>
  </r>
  <r>
    <x v="39"/>
    <s v="AGOSTO"/>
    <s v="HSERV CLEAN"/>
    <s v="AUTO POSTO JARDIM DAS HORTENCIAS"/>
    <n v="-5003.51"/>
    <x v="0"/>
    <x v="20"/>
  </r>
  <r>
    <x v="39"/>
    <s v="AGOSTO"/>
    <s v="VITOR DUARTE"/>
    <s v="GADE CORPORATIVA"/>
    <n v="-772.12"/>
    <x v="0"/>
    <x v="21"/>
  </r>
  <r>
    <x v="39"/>
    <s v="AGOSTO"/>
    <s v="HSERV CABREUVA"/>
    <s v="OPEN IT GROUP- ESCRITORIO"/>
    <n v="-154.9"/>
    <x v="0"/>
    <x v="36"/>
  </r>
  <r>
    <x v="39"/>
    <s v="AGOSTO"/>
    <s v="HSERV CABREUVA"/>
    <s v="OPEN IT GROUP-LOJA CLEAN "/>
    <n v="-139.9"/>
    <x v="0"/>
    <x v="36"/>
  </r>
  <r>
    <x v="39"/>
    <s v="AGOSTO"/>
    <s v="HSERV CLEAN"/>
    <s v="J.E. COMERCIO E SOLUCOES LTDA NF 11.280"/>
    <n v="-1380.6"/>
    <x v="0"/>
    <x v="4"/>
  </r>
  <r>
    <x v="39"/>
    <s v="AGOSTO"/>
    <s v="HSERV CLEAN"/>
    <s v="J.E. COMERCIO E SOLUCOES LTDA NF 11.279"/>
    <n v="-2669.2"/>
    <x v="0"/>
    <x v="4"/>
  </r>
  <r>
    <x v="39"/>
    <s v="AGOSTO"/>
    <s v="HSERV TERCEIRIZADOS"/>
    <s v="FLORA DISTRIB PROD DE HIGIENE E LIMPEZA LTDA NF 1.063.702"/>
    <n v="-578.04"/>
    <x v="0"/>
    <x v="4"/>
  </r>
  <r>
    <x v="39"/>
    <s v="AGOSTO"/>
    <s v="HSERV COMBINADOS"/>
    <s v="MAC LUCER - VINEA (MENSAL)   PARCELA 13- VINEA -Apto 004 (contrato-95)"/>
    <n v="-1942.68"/>
    <x v="0"/>
    <x v="33"/>
  </r>
  <r>
    <x v="52"/>
    <s v="AGOSTO"/>
    <s v="HSERV COMBINADOS"/>
    <s v="SONIA REGINA DA SILVA SOUZA"/>
    <n v="-100"/>
    <x v="0"/>
    <x v="7"/>
  </r>
  <r>
    <x v="52"/>
    <s v="AGOSTO"/>
    <s v="VITOR DUARTE"/>
    <s v="IFOOD.COM AGENCIA DE RESTAURANTES ONLINE S.A."/>
    <n v="-99.04"/>
    <x v="0"/>
    <x v="26"/>
  </r>
  <r>
    <x v="52"/>
    <s v="AGOSTO"/>
    <s v="VITOR DUARTE"/>
    <s v="ROSALINA CRISTIANE JUSTINO"/>
    <n v="-307.5"/>
    <x v="0"/>
    <x v="26"/>
  </r>
  <r>
    <x v="33"/>
    <s v="AGOSTO"/>
    <s v="VITOR DUARTE"/>
    <s v="CHEQUES DR DUARTE"/>
    <n v="-19960"/>
    <x v="0"/>
    <x v="18"/>
  </r>
  <r>
    <x v="33"/>
    <s v="AGOSTO"/>
    <s v="HSERV COMBINADOS "/>
    <s v="GABRIEL DOS SANTOS NOVÃESCLOUD-TELEFONIA"/>
    <n v="-500"/>
    <x v="0"/>
    <x v="21"/>
  </r>
  <r>
    <x v="44"/>
    <s v="SETEMBRO"/>
    <s v="HENRIQUE JEAN ND"/>
    <s v="CELIO ROBERTO"/>
    <n v="-5000"/>
    <x v="0"/>
    <x v="10"/>
  </r>
  <r>
    <x v="33"/>
    <s v="AGOSTO"/>
    <s v="VITOR DUARTE"/>
    <s v="NEXTI DESENVOLVIMENTO DE SISTEMAS S.A."/>
    <n v="-2530.4299999999998"/>
    <x v="0"/>
    <x v="21"/>
  </r>
  <r>
    <x v="33"/>
    <s v="AGOSTO"/>
    <s v="VITOR DUARTE"/>
    <s v="NEXTI DESENVOLVIMENTO DE SISTEMAS S.A."/>
    <n v="-1339.5"/>
    <x v="0"/>
    <x v="21"/>
  </r>
  <r>
    <x v="46"/>
    <s v="AGOSTO"/>
    <s v="VITOR DUARTE"/>
    <s v="ALTOLIM COMERCIAL ASSIS EIRELI - ME NF 40.501"/>
    <n v="-110.34"/>
    <x v="0"/>
    <x v="4"/>
  </r>
  <r>
    <x v="46"/>
    <s v="AGOSTO"/>
    <s v="HSERV CLEAN"/>
    <s v="CREDIFIT SOCIEDADE DE CREDITO DIRETO S.A."/>
    <n v="-215.21"/>
    <x v="0"/>
    <x v="46"/>
  </r>
  <r>
    <x v="46"/>
    <s v="AGOSTO"/>
    <s v="HSERV REPRESENTACOES"/>
    <s v="CREDIFIT SOCIEDADE DE CREDITO DIRETO S.A."/>
    <n v="-376.91"/>
    <x v="0"/>
    <x v="46"/>
  </r>
  <r>
    <x v="46"/>
    <s v="AGOSTO"/>
    <s v="VITOR DUARTE"/>
    <s v="CREDIFIT SOCIEDADE DE CREDITO DIRETO S.A."/>
    <n v="-360.09"/>
    <x v="0"/>
    <x v="46"/>
  </r>
  <r>
    <x v="47"/>
    <s v="AGOSTO"/>
    <s v="HENRIQUE JEAN"/>
    <s v="SIND DAS EMP DE PREST DE SER T C A M O T T NO E DE SP- NEGOCIAL SINDEPRESTEN"/>
    <n v="-99.77"/>
    <x v="0"/>
    <x v="14"/>
  </r>
  <r>
    <x v="46"/>
    <s v="AGOSTO"/>
    <s v="HENRIQUE JEAN"/>
    <s v="ILAIDE JOSE RODRIGUES-VALE TRANSPORTE DO DIA 01/08 ao dia 14/08  R$11,80  POR DIA"/>
    <n v="-141.6"/>
    <x v="0"/>
    <x v="7"/>
  </r>
  <r>
    <x v="46"/>
    <s v="AGOSTO"/>
    <s v="HSERV COMBINADOS"/>
    <s v="MARINALDA ALMEIDA PEREIRA-vale transporte do dia 05/08 ao dia 23/08"/>
    <n v="-188.8"/>
    <x v="0"/>
    <x v="7"/>
  </r>
  <r>
    <x v="46"/>
    <s v="AGOSTO"/>
    <s v="VITOR DUARTE"/>
    <s v="ANA CLAUDIA DE FIGUEIREDO-VALE TRANSPORTE AGOSTO"/>
    <n v="-200"/>
    <x v="0"/>
    <x v="7"/>
  </r>
  <r>
    <x v="46"/>
    <s v="AGOSTO"/>
    <s v="VITOR DUARTE"/>
    <s v="ELIANE ULITZKA DOS SANTOS-VALE TRANSPORTE DO DIA 01/08 ao dia 17/08 R$22,80 POR DIA  REGISTRADA DA LOJA 12"/>
    <n v="-342"/>
    <x v="0"/>
    <x v="7"/>
  </r>
  <r>
    <x v="46"/>
    <s v="AGOSTO"/>
    <s v="VITOR DUARTE"/>
    <s v="KATIA HELENA DA SILVA-VALE TRANSPORTE DO DIA 05/08 AO DIA 21/08 R$12,40 POR DIA  VALINHOS"/>
    <n v="-186"/>
    <x v="0"/>
    <x v="7"/>
  </r>
  <r>
    <x v="46"/>
    <s v="AGOSTO"/>
    <s v="VITOR DUARTE"/>
    <s v="LUCINEIA CANDIDA GONCALVES-VALE TRANSPORTE AGOSTO AVENIDA"/>
    <n v="-200"/>
    <x v="0"/>
    <x v="7"/>
  </r>
  <r>
    <x v="46"/>
    <s v="AGOSTO"/>
    <s v="VITOR DUARTE"/>
    <s v="MARIA DAS DORES DA CONCEICAO-VALE TRANSPORTE DE AGOSTO"/>
    <n v="-200"/>
    <x v="0"/>
    <x v="7"/>
  </r>
  <r>
    <x v="46"/>
    <s v="AGOSTO"/>
    <s v="VITOR DUARTE"/>
    <s v="GISELE RODRIGUES - CAIXINHA OPERACIONAL E RECRUTAMENTO"/>
    <n v="-1500"/>
    <x v="0"/>
    <x v="1"/>
  </r>
  <r>
    <x v="46"/>
    <s v="AGOSTO"/>
    <s v="HSERV TERCERIZADOS"/>
    <s v="KEILANE MACEDO DE OLIVEIRA- VT EMERGÊNCIA COBERTURA DA LOJA 01"/>
    <n v="-20"/>
    <x v="0"/>
    <x v="7"/>
  </r>
  <r>
    <x v="46"/>
    <s v="AGOSTO"/>
    <s v="HSERV TERCERIZADOS"/>
    <s v="NATALIA BRITO LIMA VT EMERGÊNCIA COBERTURA LOJA 22"/>
    <n v="-20"/>
    <x v="0"/>
    <x v="7"/>
  </r>
  <r>
    <x v="46"/>
    <s v="AGOSTO"/>
    <s v="HSERV TERCERIZADOS"/>
    <s v="VALDENICE LIMA DE OLIVEIRA- VT EMERGÊNCIA COBERTURA LOJA 11 "/>
    <n v="-6.5"/>
    <x v="0"/>
    <x v="7"/>
  </r>
  <r>
    <x v="46"/>
    <s v="AGOSTO"/>
    <s v="HSERV TERCERIZADOS"/>
    <s v="KATIA CRISTINA DE ALMEIDA - VT 4 DIAS LOJA 15 ( DIA 04/08 A 07/08)"/>
    <n v="-120.4"/>
    <x v="0"/>
    <x v="7"/>
  </r>
  <r>
    <x v="46"/>
    <s v="AGOSTO"/>
    <s v="VITOR DUARTE"/>
    <s v="CLAUDIO DEL DUCA"/>
    <n v="-12500"/>
    <x v="0"/>
    <x v="11"/>
  </r>
  <r>
    <x v="33"/>
    <s v="AGOSTO"/>
    <s v=" HSERV CABREUVA"/>
    <s v="VALE TRANSPORTE BASE"/>
    <n v="-4968.66"/>
    <x v="0"/>
    <x v="7"/>
  </r>
  <r>
    <x v="33"/>
    <s v="AGOSTO"/>
    <s v="VITOR DUARTE"/>
    <s v="CHEQUES DR DUARTE"/>
    <n v="-10997.46"/>
    <x v="0"/>
    <x v="18"/>
  </r>
  <r>
    <x v="33"/>
    <s v="AGOSTO"/>
    <s v="HSERV CABREUVA"/>
    <s v="SIMPLES NACIONAL-PARCELAMENTO"/>
    <n v="-29341.02"/>
    <x v="0"/>
    <x v="32"/>
  </r>
  <r>
    <x v="33"/>
    <s v="AGOSTO"/>
    <s v="VITOR DUARTE"/>
    <s v="IFOOD.COM AGENCIA DE RESTAURANTES ONLINE S.A.-COLABORADORES VALINHO"/>
    <n v="-1057.5999999999999"/>
    <x v="0"/>
    <x v="26"/>
  </r>
  <r>
    <x v="33"/>
    <s v="AGOSTO"/>
    <s v="VITOR DUARTE"/>
    <s v="IFOOD.COM AGENCIA DE RESTAURANTES ONLINE S.A. VALE COMBUSTIVEL 1º QUINZENA DE SETEMBRO"/>
    <n v="-7610.5"/>
    <x v="0"/>
    <x v="26"/>
  </r>
  <r>
    <x v="33"/>
    <s v="AGOSTO"/>
    <s v="VITOR DUARTE"/>
    <s v="54.055.078 MATHEUS PEIXOTO DE OLIVEIRA"/>
    <n v="-1500"/>
    <x v="0"/>
    <x v="40"/>
  </r>
  <r>
    <x v="44"/>
    <s v="SETEMBRO"/>
    <s v="VITOR DUARTE"/>
    <s v="ADEMIR- IMPRESSÃO E IMPRESSORA"/>
    <n v="-100"/>
    <x v="0"/>
    <x v="40"/>
  </r>
  <r>
    <x v="60"/>
    <s v="SETEMBRO"/>
    <s v="HSERV COMBINADOS "/>
    <s v="PAMELA ROCHA MARINHO -REEMBOLSOS DE DESPESAS"/>
    <n v="-111.89"/>
    <x v="0"/>
    <x v="27"/>
  </r>
  <r>
    <x v="44"/>
    <s v="SETEMBRO"/>
    <s v="HSERV COMBINADOS "/>
    <s v="FABIOLA FELIX- REEMBOLSO DE VT COLABORADORES  DIANA ALVES (ASG loja 01), -DESLOCAMENTO PARA JUNDIAI"/>
    <n v="-16.399999999999999"/>
    <x v="0"/>
    <x v="27"/>
  </r>
  <r>
    <x v="44"/>
    <s v="SETEMBRO"/>
    <s v="HSERV COMBINADOS "/>
    <s v="ANDERSON-CONSERTO DO PNEU VIATURA ARGOS"/>
    <n v="-130"/>
    <x v="0"/>
    <x v="27"/>
  </r>
  <r>
    <x v="34"/>
    <s v="SETEMBRO"/>
    <s v="VITOR DUARTE"/>
    <s v="DEVOLUÇÃO APORTE VITOR -APORTE 16/12 "/>
    <n v="-56900"/>
    <x v="0"/>
    <x v="33"/>
  </r>
  <r>
    <x v="33"/>
    <s v="AGOSTO"/>
    <s v="HENRIQUE JEAN"/>
    <s v="JANAINE DOS SANTOS SILVA"/>
    <n v="-2210.4699999999998"/>
    <x v="0"/>
    <x v="38"/>
  </r>
  <r>
    <x v="33"/>
    <s v="AGOSTO"/>
    <s v="HENRIQUE JEAN"/>
    <s v="ANA PAULA DOS SANTOS"/>
    <n v="-2222.06"/>
    <x v="0"/>
    <x v="38"/>
  </r>
  <r>
    <x v="33"/>
    <s v="AGOSTO"/>
    <s v="HENRIQUE JEAN"/>
    <s v="ANA CLAUDIA DE FIGUEIREDO"/>
    <n v="-2187.31"/>
    <x v="0"/>
    <x v="38"/>
  </r>
  <r>
    <x v="33"/>
    <s v="AGOSTO"/>
    <s v="HENRIQUE JEAN"/>
    <s v="DAYANE CRISTINA SILVA SOUZA"/>
    <n v="-2175.75"/>
    <x v="0"/>
    <x v="38"/>
  </r>
  <r>
    <x v="33"/>
    <s v="AGOSTO"/>
    <s v="HSERV CABREUVA"/>
    <s v="PATRICIA CRISTINA HAHNE"/>
    <n v="-1891.45"/>
    <x v="0"/>
    <x v="38"/>
  </r>
  <r>
    <x v="33"/>
    <s v="AGOSTO"/>
    <s v="HSERV CABREUVA"/>
    <s v="RITA DE CASSIA GOMES DE OLIVEIRA HERRERA"/>
    <n v="-2548.5700000000002"/>
    <x v="0"/>
    <x v="38"/>
  </r>
  <r>
    <x v="33"/>
    <s v="AGOSTO"/>
    <s v="HSERV CABREUVA"/>
    <s v="MARISA GEREMIAS"/>
    <n v="-1745.15"/>
    <x v="0"/>
    <x v="38"/>
  </r>
  <r>
    <x v="33"/>
    <s v="AGOSTO"/>
    <s v="HSERV COMBINADOS"/>
    <s v="WELLINGTON DE SOUZA FONCECA"/>
    <n v="-2367.39"/>
    <x v="0"/>
    <x v="38"/>
  </r>
  <r>
    <x v="33"/>
    <s v="AGOSTO"/>
    <s v="HSERV COMBINADOS"/>
    <s v="ANTONIO PLACIDO NETO"/>
    <n v="-2931.59"/>
    <x v="0"/>
    <x v="38"/>
  </r>
  <r>
    <x v="33"/>
    <s v="AGOSTO"/>
    <s v="HSERV TECNOLOGIA"/>
    <s v="KELI CRISTINA SAMPAIO DE FARIA"/>
    <n v="-2229.48"/>
    <x v="0"/>
    <x v="38"/>
  </r>
  <r>
    <x v="33"/>
    <s v="AGOSTO"/>
    <s v="HSERV TECNOLOGIA"/>
    <s v="SIMONE DE FATIMA OLIVEIRA"/>
    <n v="-3398.37"/>
    <x v="0"/>
    <x v="38"/>
  </r>
  <r>
    <x v="33"/>
    <s v="AGOSTO"/>
    <s v="HSERV TECNOLOGIA"/>
    <s v="ANDREA FARIAS RIBEIRO PEREIRA"/>
    <n v="-2245.13"/>
    <x v="0"/>
    <x v="38"/>
  </r>
  <r>
    <x v="33"/>
    <s v="AGOSTO"/>
    <s v="HSERV TECNOLOGIA"/>
    <s v="KAUE HENRIQUE DA SILVA OLIVEIRA"/>
    <n v="-2796.76"/>
    <x v="0"/>
    <x v="38"/>
  </r>
  <r>
    <x v="33"/>
    <s v="AGOSTO"/>
    <s v="HSERV TERCEIRIZADOS"/>
    <s v="LOTUS CENTRAL DE DISTRIBUICAO DE HIGIENICOS LTDA"/>
    <n v="-2592.66"/>
    <x v="0"/>
    <x v="38"/>
  </r>
  <r>
    <x v="33"/>
    <s v="AGOSTO"/>
    <s v="HSERV TERCEIRIZADOS"/>
    <s v="MARISA DE SOUSA SILVA"/>
    <n v="-2156.87"/>
    <x v="0"/>
    <x v="38"/>
  </r>
  <r>
    <x v="33"/>
    <s v="AGOSTO"/>
    <s v="HSERV TECNOLOGIA"/>
    <s v="LUCIANO FERREIRA DOS SANTOS"/>
    <n v="-2565.6"/>
    <x v="0"/>
    <x v="38"/>
  </r>
  <r>
    <x v="33"/>
    <s v="AGOSTO"/>
    <s v="VITOR DUARTE"/>
    <s v="MAQUISSUEL DE SOUZA FREITAS"/>
    <n v="-6000"/>
    <x v="0"/>
    <x v="38"/>
  </r>
  <r>
    <x v="33"/>
    <s v="AGOSTO"/>
    <s v="VITOR DUARTE"/>
    <s v="GUIA DE PARCELAMENTO INSS VITOR  JULHO A NOV 2024"/>
    <n v="-6555.73"/>
    <x v="0"/>
    <x v="32"/>
  </r>
  <r>
    <x v="33"/>
    <s v="AGOSTO"/>
    <s v="VITOR DUARTE"/>
    <s v="PARCELAMENTO SIMPLICADO- VITOR DUARTE  DEBITO PREVIDENCIARIO - VENCIMENTO 30/08/2025-GPS NOVEMBRO,DEZEMBRO E JANEIRO 2025"/>
    <n v="-4331.1099999999997"/>
    <x v="0"/>
    <x v="32"/>
  </r>
  <r>
    <x v="58"/>
    <s v="SETEMBRO"/>
    <s v="HSERV CLEAN"/>
    <s v="GUIA DE IMPOSTO VEPAKUM RETROATIVO 2024"/>
    <n v="-4000"/>
    <x v="0"/>
    <x v="32"/>
  </r>
  <r>
    <x v="33"/>
    <s v="AGOSTO"/>
    <s v="HENRIQUE JEAN"/>
    <s v="PARCELAMENTO SIMPLICADO- HENRIQUE JEAN DEBITO PREVIDENCIARIO  VENCIMENTO 30/08/2025"/>
    <n v="-534.32000000000005"/>
    <x v="0"/>
    <x v="32"/>
  </r>
  <r>
    <x v="33"/>
    <s v="AGOSTO"/>
    <s v="HSERV COMBINADOS"/>
    <s v="PARCELAMENTO SIMPLICADO- HSERV COMBINADOS  DEBITO PREVIDENCIARIO - VENCIMENTO 30/08/2025"/>
    <n v="-517.63"/>
    <x v="0"/>
    <x v="32"/>
  </r>
  <r>
    <x v="33"/>
    <s v="AGOSTO"/>
    <s v="HSERV REPRESENTAÇÃO "/>
    <s v="PARCELAMENTO SIMPLICADO- HSERV REPRESENTAÇÃO  DEBITO PREVIDENCIARIO  - VENCIMENTO 30/08/2025"/>
    <n v="-527.76"/>
    <x v="0"/>
    <x v="32"/>
  </r>
  <r>
    <x v="33"/>
    <s v="AGOSTO"/>
    <s v="HSERV LIMPEZA"/>
    <s v="PARCELAMENTO SIMPLICADO- HSERV LIMPEZA - DEBITO PREVIDENCIARIO  - VENCIMENTO 30/06/2025"/>
    <n v="-532.07000000000005"/>
    <x v="0"/>
    <x v="32"/>
  </r>
  <r>
    <x v="33"/>
    <s v="AGOSTO"/>
    <s v="HSERV CLEAN"/>
    <s v="PARCELAMENTO SIMPLICADO- HSERV CLEAN - DEBITO PREVIDENCIARIO  - VENCIMENTO 30/06/2025"/>
    <n v="-554.52"/>
    <x v="0"/>
    <x v="32"/>
  </r>
  <r>
    <x v="33"/>
    <s v="AGOSTO"/>
    <s v="HSERV CLEAN"/>
    <s v="PARCELA CREDITO PESSOAL CONTR 016721926 PARC"/>
    <n v="-1719.53"/>
    <x v="0"/>
    <x v="25"/>
  </r>
  <r>
    <x v="33"/>
    <s v="AGOSTO"/>
    <s v="HSERV CABREUVA"/>
    <s v="PARCELA CREDITO PESSOAL CONTR 016721926 PARC"/>
    <n v="-1392.65"/>
    <x v="0"/>
    <x v="25"/>
  </r>
  <r>
    <x v="50"/>
    <s v="AGOSTO"/>
    <s v="VITOR DUARTE"/>
    <s v="DIANA MARCIA DE CAMARGO BARBOSA-VALE TRANSPORTE DO DIA 12/08 AO DIA 22/08 R$12,30"/>
    <n v="-184.5"/>
    <x v="0"/>
    <x v="7"/>
  </r>
  <r>
    <x v="50"/>
    <s v="AGOSTO"/>
    <s v="VITOR DUARTE"/>
    <s v="KELLDRIE TALINE SILVA-VALE TRANSPORTE DO DIA 12/08 AO DIA 22/08 R$31,30 POR DIA LOJA 13"/>
    <n v="-313"/>
    <x v="0"/>
    <x v="7"/>
  </r>
  <r>
    <x v="50"/>
    <s v="AGOSTO"/>
    <s v="VITOR DUARTE"/>
    <s v="MILIANE TALITA DA SILVA ALVES-VALE TRANSPORTE DO DIA 12/08 AO DIA 22/08 R$7,40 POR DIA  VALINHOS"/>
    <n v="-74"/>
    <x v="0"/>
    <x v="7"/>
  </r>
  <r>
    <x v="50"/>
    <s v="AGOSTO"/>
    <s v="VITOR DUARTE"/>
    <s v="SANDRA BORGES-VALE TRANSPORTE DO DIA 12/08 AO DIA 22/08 R$19,00 POR DIA  DOM OLIVIO ADMISSAO"/>
    <n v="-190"/>
    <x v="0"/>
    <x v="7"/>
  </r>
  <r>
    <x v="50"/>
    <s v="AGOSTO"/>
    <s v="HENRIQUE JEAN"/>
    <s v="SIND DAS EMP DE PREST DE SER T C A M O T T NO E DE SP-TAXA NEGICOAL SINDICATO - 08/2025"/>
    <n v="-90"/>
    <x v="0"/>
    <x v="14"/>
  </r>
  <r>
    <x v="50"/>
    <s v="AGOSTO"/>
    <s v="HSERV COMBINADOS"/>
    <s v="KACIA SILVANIA DANTAS GOMES-DIFERENÇA DE BONUS"/>
    <n v="-341.24"/>
    <x v="0"/>
    <x v="53"/>
  </r>
  <r>
    <x v="50"/>
    <s v="AGOSTO"/>
    <s v="HSERV LIMPEZA"/>
    <s v="JOSE CLAUDINO MESSIAS FILHO-DIFERENÇA DE BONUS DE RONDA - FOLHA 07/2025"/>
    <n v="-195.38"/>
    <x v="0"/>
    <x v="53"/>
  </r>
  <r>
    <x v="50"/>
    <s v="AGOSTO"/>
    <s v="HSERV TERCEIRIZADOS"/>
    <s v="FRANCIELLY XAVIER DA SILVA"/>
    <n v="-489.49"/>
    <x v="0"/>
    <x v="54"/>
  </r>
  <r>
    <x v="50"/>
    <s v="AGOSTO"/>
    <s v="VITOR DUARTE"/>
    <s v="VIVIAN APARECIDA MENDES"/>
    <n v="-89.28"/>
    <x v="0"/>
    <x v="6"/>
  </r>
  <r>
    <x v="50"/>
    <s v="AGOSTO"/>
    <s v="HSERV COMBINADOS "/>
    <s v="FT 2 QUINZENA DE JULHO"/>
    <n v="-30918.3"/>
    <x v="0"/>
    <x v="13"/>
  </r>
  <r>
    <x v="24"/>
    <s v="JULHO"/>
    <s v="TECNOLOGIA"/>
    <s v="INTERBRILHO HIGIENE E LIMPEZA LTDA"/>
    <n v="23638.67"/>
    <x v="1"/>
    <x v="3"/>
  </r>
  <r>
    <x v="24"/>
    <s v="JULHO"/>
    <s v="LIMPEZA"/>
    <s v="EDMAR APARECIDO MARTINEZ"/>
    <n v="18532.8"/>
    <x v="1"/>
    <x v="3"/>
  </r>
  <r>
    <x v="24"/>
    <s v="JULHO"/>
    <s v="LIMPEZA"/>
    <s v="EDMAR APARECIDO MARTINEZ"/>
    <n v="799.2"/>
    <x v="1"/>
    <x v="3"/>
  </r>
  <r>
    <x v="24"/>
    <s v="JULHO"/>
    <s v="LIMPEZA"/>
    <s v="EDMAR APARECIDO MARTINEZ"/>
    <n v="1200"/>
    <x v="1"/>
    <x v="3"/>
  </r>
  <r>
    <x v="24"/>
    <s v="JULHO"/>
    <s v="HSERV CLEAN"/>
    <s v="RICARO IMPORTACAO INDUSTRIA E COMERCIO DE EMBALAGENS E INSUM"/>
    <n v="11675.22"/>
    <x v="1"/>
    <x v="3"/>
  </r>
  <r>
    <x v="24"/>
    <s v="JULHO"/>
    <s v="REPRESENTAÇÃO"/>
    <s v="TTB INDUSTRIA E COMERCIO DE PRODUTOS METALICOS"/>
    <n v="300"/>
    <x v="1"/>
    <x v="3"/>
  </r>
  <r>
    <x v="24"/>
    <s v="JULHO"/>
    <s v="COMBINADOS"/>
    <s v="TECNIPLAS EQUIPAMENTOS EM COMPOSITOS EIR"/>
    <n v="22451.91"/>
    <x v="1"/>
    <x v="3"/>
  </r>
  <r>
    <x v="24"/>
    <s v="JULHO"/>
    <s v="REPRESENTAÇÃO"/>
    <s v="VETTOR TORRES DE RESFRIAMENTO LTDA"/>
    <n v="196"/>
    <x v="1"/>
    <x v="3"/>
  </r>
  <r>
    <x v="24"/>
    <s v="JULHO"/>
    <s v="REPRESENTAÇÃO"/>
    <s v="VETTOR PECAS E TUBOS INDUSTRIA E COMERCIO LTDA."/>
    <n v="21852.37"/>
    <x v="1"/>
    <x v="3"/>
  </r>
  <r>
    <x v="24"/>
    <s v="JULHO"/>
    <s v="REPRESENTAÇÃO"/>
    <s v="VETTOR PECAS E TUBOS INDUSTRIA E COMERCIO LTDA."/>
    <n v="4983"/>
    <x v="1"/>
    <x v="3"/>
  </r>
  <r>
    <x v="24"/>
    <s v="JULHO"/>
    <s v="REPRESENTAÇÃO"/>
    <s v="VETTOR TORRES DE RESFRIAMENTO LTDA"/>
    <n v="23943.3"/>
    <x v="1"/>
    <x v="3"/>
  </r>
  <r>
    <x v="24"/>
    <s v="JULHO"/>
    <s v="REPRESENTAÇÃO"/>
    <s v="VETTOR TORRES DE RESFRIAMENTO LTDA"/>
    <n v="14482.07"/>
    <x v="1"/>
    <x v="3"/>
  </r>
  <r>
    <x v="27"/>
    <s v="SETEMBRO"/>
    <s v="HSERV TERCERIZADOS"/>
    <s v="RAI INDUSTRIAL"/>
    <n v="4935"/>
    <x v="1"/>
    <x v="3"/>
  </r>
  <r>
    <x v="61"/>
    <s v="OUTUBRO"/>
    <s v="HSERV TERCERIZADOS"/>
    <s v="RAI INDUSTRIAL"/>
    <n v="4935"/>
    <x v="1"/>
    <x v="3"/>
  </r>
  <r>
    <x v="62"/>
    <s v="NOVEMBRO"/>
    <s v="HSERV TERCERIZADOS"/>
    <s v="RAI INDUSTRIAL"/>
    <n v="4935"/>
    <x v="1"/>
    <x v="3"/>
  </r>
  <r>
    <x v="63"/>
    <s v="DEZEMBRO"/>
    <s v="HSERV TERCERIZADOS"/>
    <s v="RAI INDUSTRIAL"/>
    <n v="4935"/>
    <x v="1"/>
    <x v="3"/>
  </r>
  <r>
    <x v="50"/>
    <s v="AGOSTO"/>
    <s v="CABREUVA"/>
    <s v="TED 422.0115.KYN C V A L"/>
    <n v="40542.71"/>
    <x v="1"/>
    <x v="3"/>
  </r>
  <r>
    <x v="51"/>
    <s v="AGOSTO"/>
    <s v="CABREUVA"/>
    <s v="CONDOMINIO PALAZZO VENEZA"/>
    <n v="300"/>
    <x v="1"/>
    <x v="23"/>
  </r>
  <r>
    <x v="51"/>
    <s v="AGOSTO"/>
    <s v="CABREUVA"/>
    <s v="CONDOMINIO PALAZZO VENEZA"/>
    <n v="5062.8"/>
    <x v="1"/>
    <x v="3"/>
  </r>
  <r>
    <x v="51"/>
    <s v="AGOSTO"/>
    <s v="REPRESENTAÇÃO"/>
    <s v="TTB INDUSTRIA E COMERCIO DE PRODUTOS MET"/>
    <n v="603.26"/>
    <x v="1"/>
    <x v="3"/>
  </r>
  <r>
    <x v="51"/>
    <s v="AGOSTO"/>
    <s v="REPRESENTAÇÃO"/>
    <s v="TTB INDUSTRIA E COMERCIO DE PRODUTOS MET"/>
    <n v="1106.1400000000001"/>
    <x v="1"/>
    <x v="3"/>
  </r>
  <r>
    <x v="51"/>
    <s v="AGOSTO"/>
    <s v="REPRESENTAÇÃO"/>
    <s v="TTB INDUSTRIA E COMERCIO DE PRODUTOS MET"/>
    <n v="9631"/>
    <x v="1"/>
    <x v="3"/>
  </r>
  <r>
    <x v="51"/>
    <s v="AGOSTO"/>
    <s v="VITOR"/>
    <s v="DEPOSITO SANTA CATARINA LTDA"/>
    <n v="257.81"/>
    <x v="1"/>
    <x v="3"/>
  </r>
  <r>
    <x v="51"/>
    <s v="AGOSTO"/>
    <s v="VITOR"/>
    <s v="GIFEL"/>
    <n v="680.03"/>
    <x v="1"/>
    <x v="3"/>
  </r>
  <r>
    <x v="51"/>
    <s v="AGOSTO"/>
    <s v="CLEAN"/>
    <s v="RICARO"/>
    <n v="24988.71"/>
    <x v="1"/>
    <x v="3"/>
  </r>
  <r>
    <x v="51"/>
    <s v="AGOSTO"/>
    <s v="CLEAN"/>
    <s v="RICARO"/>
    <n v="2284.4499999999998"/>
    <x v="1"/>
    <x v="3"/>
  </r>
  <r>
    <x v="51"/>
    <s v="AGOSTO"/>
    <s v="CLEAN"/>
    <s v="RICARO"/>
    <n v="16834.330000000002"/>
    <x v="1"/>
    <x v="3"/>
  </r>
  <r>
    <x v="51"/>
    <s v="AGOSTO"/>
    <s v="CLEAN"/>
    <s v="RICARO"/>
    <n v="268.13"/>
    <x v="1"/>
    <x v="3"/>
  </r>
  <r>
    <x v="51"/>
    <s v="AGOSTO"/>
    <s v="CLEAN"/>
    <s v="RICARO"/>
    <n v="12459.61"/>
    <x v="1"/>
    <x v="3"/>
  </r>
  <r>
    <x v="54"/>
    <s v="AGOSTO"/>
    <s v="HSERV LIMPEZA"/>
    <s v="NEW PARK TENIS"/>
    <n v="42921.04"/>
    <x v="1"/>
    <x v="3"/>
  </r>
  <r>
    <x v="64"/>
    <s v="SETEMBRO"/>
    <s v="HSERV LIMPEZA"/>
    <s v="NEW PARK TENIS"/>
    <n v="42921.04"/>
    <x v="1"/>
    <x v="3"/>
  </r>
  <r>
    <x v="65"/>
    <s v="OUTUBRO"/>
    <s v="HSERV LIMPEZA"/>
    <s v="NEW PARK TENIS"/>
    <n v="42921.04"/>
    <x v="1"/>
    <x v="3"/>
  </r>
  <r>
    <x v="66"/>
    <s v="NOVEMBRO"/>
    <s v="HSERV LIMPEZA"/>
    <s v="NEW PARK TENIS"/>
    <n v="42921.04"/>
    <x v="1"/>
    <x v="3"/>
  </r>
  <r>
    <x v="67"/>
    <s v="DEZEMBRO"/>
    <s v="HSERV LIMPEZA"/>
    <s v="NEW PARK TENIS"/>
    <n v="42921.04"/>
    <x v="1"/>
    <x v="3"/>
  </r>
  <r>
    <x v="68"/>
    <s v="AGOSTO"/>
    <s v="LIMPEZA"/>
    <s v="INTERBRILHO HIGIENE E LIMPEZA LTDA"/>
    <n v="900"/>
    <x v="1"/>
    <x v="23"/>
  </r>
  <r>
    <x v="68"/>
    <s v="AGOSTO"/>
    <s v="LIMPEZA"/>
    <s v="IMPROVEMENT FIT ACADEMIA LTDA"/>
    <n v="7850"/>
    <x v="1"/>
    <x v="3"/>
  </r>
  <r>
    <x v="46"/>
    <s v="AGOSTO"/>
    <s v="VITOR DUARTE"/>
    <s v="AVENIDA "/>
    <n v="345280"/>
    <x v="1"/>
    <x v="3"/>
  </r>
  <r>
    <x v="56"/>
    <s v="AGOSTO"/>
    <s v="HSERV CLEAN"/>
    <s v="J.E. COMERCIO E SOLUCOES LTDA"/>
    <n v="-3135.73"/>
    <x v="0"/>
    <x v="4"/>
  </r>
  <r>
    <x v="56"/>
    <s v="AGOSTO"/>
    <s v="HSERV TERCEIRIZADOS"/>
    <s v="STAR CLEAN PRO INDUSTRIA E COMERCIO DE EQUIPAMENTOS - NF 11.270"/>
    <n v="-1270.08"/>
    <x v="0"/>
    <x v="4"/>
  </r>
  <r>
    <x v="56"/>
    <s v="AGOSTO"/>
    <s v="HSERV COMBINADOS"/>
    <s v="ROSANGELA MARIA CALO"/>
    <n v="-295"/>
    <x v="0"/>
    <x v="55"/>
  </r>
  <r>
    <x v="56"/>
    <s v="AGOSTO"/>
    <s v="HSERV REPRESENTACOES"/>
    <s v="MARIA JOSE DA SILVA SANTOS"/>
    <n v="-100"/>
    <x v="0"/>
    <x v="55"/>
  </r>
  <r>
    <x v="56"/>
    <s v="AGOSTO"/>
    <s v="VITOR DUARTE"/>
    <s v="SONIA REGINA DA SILVA SOUZA"/>
    <n v="-100"/>
    <x v="0"/>
    <x v="55"/>
  </r>
  <r>
    <x v="56"/>
    <s v="AGOSTO"/>
    <s v="VITOR DUARTE"/>
    <s v="MICHELLE SILVA DE JESUS"/>
    <n v="-140"/>
    <x v="0"/>
    <x v="55"/>
  </r>
  <r>
    <x v="56"/>
    <s v="AGOSTO"/>
    <s v="VITOR DUARTE"/>
    <s v="IFOOD.COM AGENCIA DE RESTAURANTES ONLINE S.A.-ALIMENTAÇÃO COLABORADORES UPA"/>
    <n v="-477.48"/>
    <x v="0"/>
    <x v="39"/>
  </r>
  <r>
    <x v="56"/>
    <s v="AGOSTO"/>
    <s v="VITOR DUARTE"/>
    <s v="IFOOD.COM AGENCIA -VALE ALIMENTAÇÃO DE AGOSTO  ADMISSÃO DIA 22/08 SONIA REGINA NA LOJA 05"/>
    <n v="-186.84"/>
    <x v="0"/>
    <x v="26"/>
  </r>
  <r>
    <x v="26"/>
    <s v="AGOSTO"/>
    <s v="HSERV TERCEIRIZADOS"/>
    <s v="ELIZANGELA APARECIDA VITOR- ALIMENTAÇÃO LAVAÇÃO SP -PLURIX"/>
    <n v="-100"/>
    <x v="0"/>
    <x v="39"/>
  </r>
  <r>
    <x v="26"/>
    <s v="AGOSTO"/>
    <s v="HSERV TERCEIRIZADOS"/>
    <s v="ELIZANGELA APARECIDA VITOR-  ALIMENTAÇÃO (JANTAR) DO DIA 24/08 Á 01/09"/>
    <n v="-103.8"/>
    <x v="0"/>
    <x v="39"/>
  </r>
  <r>
    <x v="26"/>
    <s v="AGOSTO"/>
    <s v="HSERV TERCEIRIZADOS"/>
    <s v="ELIZANGELA APARECIDA VITOR- REEMBOLSO DE PEDAGIO"/>
    <n v="-193.9"/>
    <x v="0"/>
    <x v="56"/>
  </r>
  <r>
    <x v="26"/>
    <s v="AGOSTO"/>
    <s v="HSERV TERCEIRIZADOS"/>
    <s v="ROGERIO APARECIDA DE MOREIRA A- UBER QUE LEVOU FLAVIA KELLI DA POUSADA ATE A LOJA DO BOA EM PEDREIRA"/>
    <n v="-100"/>
    <x v="0"/>
    <x v="39"/>
  </r>
  <r>
    <x v="56"/>
    <s v="AGOSTO"/>
    <s v="HSERV TERCEIRIZADOS"/>
    <s v="LOTUS CENTRAL DE DISTRIBUICAO DE HIGIENICOS LTDA NF 173.719"/>
    <n v="-1514.4703030000001"/>
    <x v="0"/>
    <x v="4"/>
  </r>
  <r>
    <x v="54"/>
    <s v="AGOSTO"/>
    <s v="TERCEIRIZADOS"/>
    <s v="BELLART"/>
    <n v="4960.8"/>
    <x v="1"/>
    <x v="3"/>
  </r>
  <r>
    <x v="54"/>
    <s v="AGOSTO"/>
    <s v="TERCEIRIZADOS"/>
    <s v="BELLART"/>
    <n v="900"/>
    <x v="1"/>
    <x v="3"/>
  </r>
  <r>
    <x v="54"/>
    <s v="AGOSTO"/>
    <s v="TERCEIRIZADOS"/>
    <s v="BELLART"/>
    <n v="17956.39"/>
    <x v="1"/>
    <x v="3"/>
  </r>
  <r>
    <x v="48"/>
    <s v="AGOSTO"/>
    <s v="LIMPEZA"/>
    <s v="MIPAL INDUSTRIA DE EVAPORADORES LTDA"/>
    <n v="4717.4399999999996"/>
    <x v="1"/>
    <x v="3"/>
  </r>
  <r>
    <x v="48"/>
    <s v="AGOSTO"/>
    <s v="LIMPEZA"/>
    <s v="MIPAL INDUSTRIA DE EVAPORADORES LTDA"/>
    <n v="9938.39"/>
    <x v="1"/>
    <x v="3"/>
  </r>
  <r>
    <x v="48"/>
    <s v="AGOSTO"/>
    <s v="LIMPEZA"/>
    <s v="MIPAL INDUSTRIA DE EVAPORADORES LTDA"/>
    <n v="22139.98"/>
    <x v="1"/>
    <x v="3"/>
  </r>
  <r>
    <x v="69"/>
    <s v="SETEMBRO"/>
    <s v="CLEAN"/>
    <s v="SANTA CASA DE MISERICORDIA DE CABREUVA"/>
    <n v="22930"/>
    <x v="1"/>
    <x v="3"/>
  </r>
  <r>
    <x v="65"/>
    <s v="OUTUBRO"/>
    <s v="CLEAN"/>
    <s v="SANTA CASA DE MISERICORDIA DE CABREUVA"/>
    <n v="22930"/>
    <x v="1"/>
    <x v="3"/>
  </r>
  <r>
    <x v="66"/>
    <s v="NOVEMBRO"/>
    <s v="CLEAN"/>
    <s v="SANTA CASA DE MISERICORDIA DE CABREUVA"/>
    <n v="22930"/>
    <x v="1"/>
    <x v="3"/>
  </r>
  <r>
    <x v="67"/>
    <s v="DEZEMBRO"/>
    <s v="CLEAN"/>
    <s v="SANTA CASA DE MISERICORDIA DE CABREUVA"/>
    <n v="22930"/>
    <x v="1"/>
    <x v="3"/>
  </r>
  <r>
    <x v="51"/>
    <s v="AGOSTO"/>
    <s v="REPRESENTAÇÃO"/>
    <s v="VETTOR PECAS"/>
    <n v="1200"/>
    <x v="1"/>
    <x v="3"/>
  </r>
  <r>
    <x v="51"/>
    <s v="AGOSTO"/>
    <s v="REPRESENTAÇÃO"/>
    <s v="VETTOR TORRES DE RESFRIAMENTO LTDA"/>
    <n v="1500"/>
    <x v="1"/>
    <x v="3"/>
  </r>
  <r>
    <x v="51"/>
    <s v="AGOSTO"/>
    <s v="LIMPEZA"/>
    <s v="NEW PARK TENIS"/>
    <n v="600"/>
    <x v="1"/>
    <x v="23"/>
  </r>
  <r>
    <x v="51"/>
    <s v="AGOSTO"/>
    <s v="CLEAN"/>
    <s v="SANTA CASA DE MISERICORDIA DE CABREUVA"/>
    <n v="1565.33"/>
    <x v="1"/>
    <x v="3"/>
  </r>
  <r>
    <x v="51"/>
    <s v="AGOSTO"/>
    <s v="CLEAN"/>
    <s v="SANTA CASA DE MISERICORDIA DE CABREUVA"/>
    <n v="22930"/>
    <x v="1"/>
    <x v="3"/>
  </r>
  <r>
    <x v="33"/>
    <s v="AGOSTO"/>
    <s v="CLEAN"/>
    <s v="PLASTY COMERCIAL DE PLASTICOS LTDA"/>
    <n v="1500"/>
    <x v="1"/>
    <x v="3"/>
  </r>
  <r>
    <x v="33"/>
    <s v="AGOSTO"/>
    <s v="CLEAN"/>
    <s v="PLASTY COMERCIAL DE PLASTICOS LTDA"/>
    <n v="2373.31"/>
    <x v="1"/>
    <x v="3"/>
  </r>
  <r>
    <x v="33"/>
    <s v="AGOSTO"/>
    <s v="CLEAN"/>
    <s v="PLASTY COMERCIAL DE PLASTICOS LTDA"/>
    <n v="5823.82"/>
    <x v="1"/>
    <x v="3"/>
  </r>
  <r>
    <x v="33"/>
    <s v="AGOSTO"/>
    <s v="CLEAN"/>
    <s v="PLASTY COMERCIAL DE PLASTICOS LTDA"/>
    <n v="7526.95"/>
    <x v="1"/>
    <x v="3"/>
  </r>
  <r>
    <x v="33"/>
    <s v="AGOSTO"/>
    <s v="CLEAN"/>
    <s v="PLASTY COMERCIAL DE PLASTICOS LTDA"/>
    <n v="25756.63"/>
    <x v="1"/>
    <x v="3"/>
  </r>
  <r>
    <x v="33"/>
    <s v="AGOSTO"/>
    <s v="CLEAN"/>
    <s v="ITW DO BRASIL"/>
    <n v="1073"/>
    <x v="1"/>
    <x v="3"/>
  </r>
  <r>
    <x v="27"/>
    <s v="SETEMBRO"/>
    <s v="CLEAN"/>
    <s v="RIOS DAS PEDRAS"/>
    <n v="7440"/>
    <x v="1"/>
    <x v="3"/>
  </r>
  <r>
    <x v="28"/>
    <s v="SETEMBRO"/>
    <s v="HSERV COMBINADOS"/>
    <s v="RIOS DAS PEDRAS"/>
    <n v="7440"/>
    <x v="1"/>
    <x v="3"/>
  </r>
  <r>
    <x v="38"/>
    <s v="OUTUBRO"/>
    <s v="HSERV COMBINADOS"/>
    <s v="RIOS DAS PEDRAS"/>
    <n v="7440"/>
    <x v="1"/>
    <x v="3"/>
  </r>
  <r>
    <x v="30"/>
    <s v="NOVEMBRO"/>
    <s v="HSERV COMBINADOS"/>
    <s v="RIOS DAS PEDRAS"/>
    <n v="7440"/>
    <x v="1"/>
    <x v="3"/>
  </r>
  <r>
    <x v="31"/>
    <s v="DEZEMBRO"/>
    <s v="HSERV COMBINADOS"/>
    <s v="RIOS DAS PEDRAS"/>
    <n v="7440"/>
    <x v="1"/>
    <x v="3"/>
  </r>
  <r>
    <x v="48"/>
    <s v="AGOSTO"/>
    <s v="CABREUVA"/>
    <s v="BOA"/>
    <n v="688060.88"/>
    <x v="1"/>
    <x v="3"/>
  </r>
  <r>
    <x v="26"/>
    <s v="AGOSTO"/>
    <s v="CABREUVA"/>
    <s v="BOA R$ 856.612,19 -- FALTAVA R$ 162.068,9"/>
    <n v="135668.9"/>
    <x v="1"/>
    <x v="3"/>
  </r>
  <r>
    <x v="39"/>
    <s v="AGOSTO"/>
    <s v="HSERV TERCEIRIZADOS"/>
    <s v="COBERTURA DE LIMITE-HSERV TERCERIZADOS ND"/>
    <n v="-1993.55"/>
    <x v="0"/>
    <x v="52"/>
  </r>
  <r>
    <x v="39"/>
    <s v="AGOSTO"/>
    <s v="HSERV CABREUVA"/>
    <s v="BORELA ADVOGADOS ASSOCIADOS-Proc 0010084-90.2025.5.15.0018 AUTOR: VANESSA ALESSANDRA NUNES DA COSTA-PARCELA 1/2"/>
    <n v="-2000"/>
    <x v="0"/>
    <x v="34"/>
  </r>
  <r>
    <x v="39"/>
    <s v="AGOSTO"/>
    <s v="HSERV CABREUVA"/>
    <s v="PEDRO LEOPOLDO BRUNELLI JUNIOR -Processo n. 0011252-29.2021.5.15.0096  AUTOR: DANILO MIGUEL DA SILVA  -PARCEL A 3/4"/>
    <n v="-2688.37"/>
    <x v="0"/>
    <x v="34"/>
  </r>
  <r>
    <x v="22"/>
    <s v="JULHO"/>
    <s v="HENRIQUE JEAN"/>
    <s v="VERA LUCIA FELIX DE OLIVEIRA"/>
    <n v="-87.32"/>
    <x v="0"/>
    <x v="6"/>
  </r>
  <r>
    <x v="22"/>
    <s v="JULHO"/>
    <s v="HENRIQUE JEAN"/>
    <s v="VERA LUCIA FELIX DE OLIVEIRA"/>
    <n v="-166.65"/>
    <x v="0"/>
    <x v="6"/>
  </r>
  <r>
    <x v="22"/>
    <s v="JULHO"/>
    <s v="VITOR DUARTE"/>
    <s v="VANDERLEI APARECIDO SOARES DOS SANTOS"/>
    <n v="-169.78"/>
    <x v="0"/>
    <x v="6"/>
  </r>
  <r>
    <x v="9"/>
    <s v="JULHO"/>
    <s v="HENRIQUE JEAN"/>
    <s v="CEF MATRIZ--EMPRESTIMO HENRIQUE IEAN VENCIDO "/>
    <n v="-6371.92"/>
    <x v="0"/>
    <x v="12"/>
  </r>
  <r>
    <x v="9"/>
    <s v="JULHO"/>
    <s v="HSERV COMBINADOS"/>
    <s v="CEF MATRIZ--EMPRESTIMO HSERV COMBINADOS VENCIDO "/>
    <n v="-6456.32"/>
    <x v="0"/>
    <x v="12"/>
  </r>
  <r>
    <x v="9"/>
    <s v="JULHO"/>
    <s v="HSERV COMBINADOS"/>
    <s v="DANIEL DE ARAUJO- FT REALIZADA DIA 18/07- "/>
    <n v="-120"/>
    <x v="0"/>
    <x v="13"/>
  </r>
  <r>
    <x v="70"/>
    <s v="AGOSTO"/>
    <s v="HENRIQUE JEAN"/>
    <s v="RESCISÃO"/>
    <n v="-20000"/>
    <x v="0"/>
    <x v="6"/>
  </r>
  <r>
    <x v="23"/>
    <s v="AGOSTO"/>
    <s v="HENRIQUE JEAN"/>
    <s v="CEF MATRIZ--EMPRESTIMO HENRIQUE IEAN VENCIDO EM JUNHO 2025"/>
    <n v="-6462.87"/>
    <x v="0"/>
    <x v="12"/>
  </r>
  <r>
    <x v="23"/>
    <s v="AGOSTO"/>
    <s v="HSERV COMBINADOS"/>
    <s v="CEF MATRIZ-EMPRESTIMO HSERV COMBINADOS VENCIDO EM JUNHO 2025"/>
    <n v="-6555.83"/>
    <x v="0"/>
    <x v="12"/>
  </r>
  <r>
    <x v="44"/>
    <s v="SETEMBRO"/>
    <s v="VITOR DUARTE"/>
    <s v="ALTOLIM COMERCIAL ASSIS EIRELI  NF 40.912"/>
    <n v="-136.43000599999999"/>
    <x v="0"/>
    <x v="44"/>
  </r>
  <r>
    <x v="26"/>
    <s v="AGOSTO"/>
    <s v="HSERV TERCEIRIZADOS"/>
    <s v="FABIA REGIANE AMARO CABRAL"/>
    <n v="-123.5"/>
    <x v="0"/>
    <x v="6"/>
  </r>
  <r>
    <x v="26"/>
    <s v="AGOSTO"/>
    <s v="VITOR DUARTE"/>
    <s v="SUELEN DOS REIS FOSTINO FELIX-VALE ALIMENTAÇÃO DO DIA 28/08 AO DIA 31/08  PEDREIRA"/>
    <n v="-83.04"/>
    <x v="0"/>
    <x v="39"/>
  </r>
  <r>
    <x v="26"/>
    <s v="AGOSTO"/>
    <s v="VITOR DUARTE"/>
    <s v="JOAO CAETANO GUEDES-VALE ALIMENTAÇÃO DO DIA 28/08 AO DIA 31/08  PEDREIRA"/>
    <n v="-83.04"/>
    <x v="0"/>
    <x v="39"/>
  </r>
  <r>
    <x v="26"/>
    <s v="AGOSTO"/>
    <s v="VITOR DUARTE"/>
    <s v="CRISTIANA APARECIDA PEREIRA LIMA-VALE ALIMENTAÇÃO DO DIA 28/08 AO DIA 31/08  PEDREIRA"/>
    <n v="-83.04"/>
    <x v="0"/>
    <x v="39"/>
  </r>
  <r>
    <x v="26"/>
    <s v="AGOSTO"/>
    <s v="VITOR DUARTE"/>
    <s v="IFOOD.COM AGENCIA DE RESTAURANTES ONLINE S.A.-VALE COMBUSTIVEL GEDSON"/>
    <n v="-210"/>
    <x v="0"/>
    <x v="26"/>
  </r>
  <r>
    <x v="26"/>
    <s v="AGOSTO"/>
    <s v="HSERV COMBINADOS"/>
    <s v="TALITA SEABRA VEIGA"/>
    <n v="-86.1"/>
    <x v="0"/>
    <x v="7"/>
  </r>
  <r>
    <x v="26"/>
    <s v="AGOSTO"/>
    <s v="HSERV COMBINADOS"/>
    <s v="EUNICE ALMEIDA DOS SANTOS"/>
    <n v="-151.19999999999999"/>
    <x v="0"/>
    <x v="7"/>
  </r>
  <r>
    <x v="26"/>
    <s v="AGOSTO"/>
    <s v="VITOR DUARTE"/>
    <s v="JOAO CAETANO GUEDES"/>
    <n v="-270"/>
    <x v="0"/>
    <x v="7"/>
  </r>
  <r>
    <x v="26"/>
    <s v="AGOSTO"/>
    <s v="VITOR DUARTE"/>
    <s v="CRISTIANA APARECIDA PEREIRA LIMA"/>
    <n v="-270"/>
    <x v="0"/>
    <x v="7"/>
  </r>
  <r>
    <x v="26"/>
    <s v="AGOSTO"/>
    <s v="VITOR DUARTE"/>
    <s v="SUELEN DOS REIS FOSTINO FELIX"/>
    <n v="-270"/>
    <x v="0"/>
    <x v="7"/>
  </r>
  <r>
    <x v="26"/>
    <s v="AGOSTO"/>
    <s v="HSERV COMBINADOS"/>
    <s v="HENRIQUE JEAN - PROLABORE"/>
    <n v="-2000"/>
    <x v="0"/>
    <x v="18"/>
  </r>
  <r>
    <x v="26"/>
    <s v="AGOSTO"/>
    <s v="HSERV COMBINADOS"/>
    <s v="NUCLEO- JC SOARES DE OLIVEIRA ESTAMPARIA-CAMISETAS PERSONALIZADAS ADMNISTRATIVO "/>
    <n v="-400"/>
    <x v="0"/>
    <x v="44"/>
  </r>
  <r>
    <x v="60"/>
    <s v="SETEMBRO"/>
    <s v="HSERV CABREUVA"/>
    <s v="SIEMACO-PRUDENTE SINDICATO AVENIDA, ASSIS E REGIÃO"/>
    <n v="-1905.5"/>
    <x v="0"/>
    <x v="14"/>
  </r>
  <r>
    <x v="33"/>
    <s v="AGOSTO"/>
    <s v="HSERV CLEAN"/>
    <s v="SOFT WORKS EPI CALCADOS LTDA- VENCIMENTO 13/08/2025-PRORROGADO SEM JUROS PARA O DIA 29/08"/>
    <n v="-1722.8"/>
    <x v="0"/>
    <x v="44"/>
  </r>
  <r>
    <x v="33"/>
    <s v="AGOSTO"/>
    <s v="HSERV CLEAN"/>
    <s v="SOFT WORKS EPI CALCADOS LTDA- NF 220.732"/>
    <n v="-536"/>
    <x v="0"/>
    <x v="44"/>
  </r>
  <r>
    <x v="54"/>
    <s v="AGOSTO"/>
    <s v="HSERV LCLEAN"/>
    <s v="EMPRESTIMO INTER"/>
    <n v="110000"/>
    <x v="1"/>
    <x v="12"/>
  </r>
  <r>
    <x v="17"/>
    <s v="AGOSTO"/>
    <s v="HSERV TERCEIRIZADOS"/>
    <s v="SAMUEL ALEXANDER NARANJO RODRIGUEZ"/>
    <n v="-115"/>
    <x v="0"/>
    <x v="6"/>
  </r>
  <r>
    <x v="17"/>
    <s v="AGOSTO"/>
    <s v="HSERV COMBINADOS"/>
    <s v="FABIO NOGUEIRA DA SILVA LOPES"/>
    <n v="-135.30000000000001"/>
    <x v="0"/>
    <x v="7"/>
  </r>
  <r>
    <x v="52"/>
    <s v="AGOSTO"/>
    <s v="HSERV COMBINADOS"/>
    <s v="SONIA REGINA DA SILVA SOUZA"/>
    <n v="-100"/>
    <x v="0"/>
    <x v="7"/>
  </r>
  <r>
    <x v="52"/>
    <s v="AGOSTO"/>
    <s v="HSERV COMBINADOS"/>
    <s v="ROSANGELA CAMPOS PERROUD"/>
    <n v="-135.30000000000001"/>
    <x v="0"/>
    <x v="7"/>
  </r>
  <r>
    <x v="52"/>
    <s v="AGOSTO"/>
    <s v="HSERV COMBINADOS"/>
    <s v="LUANA VITORIA MARQUES LIMA"/>
    <n v="-325"/>
    <x v="0"/>
    <x v="7"/>
  </r>
  <r>
    <x v="17"/>
    <s v="AGOSTO"/>
    <s v="HSERV COMBINADOS"/>
    <s v="SANDRA RIBEIRO DA SILVA"/>
    <n v="-205"/>
    <x v="0"/>
    <x v="7"/>
  </r>
  <r>
    <x v="17"/>
    <s v="AGOSTO"/>
    <s v="HSERV COMBINADOS"/>
    <s v="WAGNER BIONDO"/>
    <n v="-103.4"/>
    <x v="0"/>
    <x v="7"/>
  </r>
  <r>
    <x v="17"/>
    <s v="AGOSTO"/>
    <s v="HSERV COMBINADOS"/>
    <s v="PALOMA CARVALHO PINHEIRO"/>
    <n v="-132"/>
    <x v="0"/>
    <x v="7"/>
  </r>
  <r>
    <x v="17"/>
    <s v="AGOSTO"/>
    <s v="HSERV COMBINADOS"/>
    <s v="ALCIDES PEREIRA DE SOUZA"/>
    <n v="-233"/>
    <x v="0"/>
    <x v="7"/>
  </r>
  <r>
    <x v="17"/>
    <s v="AGOSTO"/>
    <s v="HSERV COMBINADOS"/>
    <s v="MARCIA VALERIA DA SILVA"/>
    <n v="-220"/>
    <x v="0"/>
    <x v="7"/>
  </r>
  <r>
    <x v="17"/>
    <s v="AGOSTO"/>
    <s v="HSERV COMBINADOS"/>
    <s v="MARIA LUCIA BENTO"/>
    <n v="-123"/>
    <x v="0"/>
    <x v="7"/>
  </r>
  <r>
    <x v="17"/>
    <s v="AGOSTO"/>
    <s v="VITOR DUARTE"/>
    <s v="JULIA LOURENCIO FRANCO"/>
    <n v="-274"/>
    <x v="0"/>
    <x v="7"/>
  </r>
  <r>
    <x v="17"/>
    <s v="AGOSTO"/>
    <s v="VITOR DUARTE"/>
    <s v="MILIANE TALITA DA SILVA ALVES"/>
    <n v="-51.8"/>
    <x v="0"/>
    <x v="7"/>
  </r>
  <r>
    <x v="17"/>
    <s v="AGOSTO"/>
    <s v="VITOR DUARTE"/>
    <s v="JULIA LOURENCIO FRANCO"/>
    <n v="-228.36"/>
    <x v="0"/>
    <x v="39"/>
  </r>
  <r>
    <x v="17"/>
    <s v="AGOSTO"/>
    <s v="VITOR DUARTE"/>
    <s v="IFOOD.COM AGENCIA DE RESTAURANTES ONLINE S.A."/>
    <n v="-604.55999999999995"/>
    <x v="0"/>
    <x v="39"/>
  </r>
  <r>
    <x v="52"/>
    <s v="AGOSTO"/>
    <s v="VITOR DUARTE"/>
    <s v="JOAO CAETANO GUEDES-VALE TRANSPORTE DO DIA 18/08 AO DIA 27/08 PEDREIRA R$10,00"/>
    <n v="-162"/>
    <x v="0"/>
    <x v="7"/>
  </r>
  <r>
    <x v="52"/>
    <s v="AGOSTO"/>
    <s v="VITOR DUARTE"/>
    <s v="SUELEN DOS REIS FOSTINO FELIX VALE TRANSPORTE DO DIA 18/08 AO DIA 27/08 PEDREIRA R$10,00"/>
    <n v="-162"/>
    <x v="0"/>
    <x v="7"/>
  </r>
  <r>
    <x v="52"/>
    <s v="AGOSTO"/>
    <s v="VITOR DUARTE"/>
    <s v="CRISTIANA APARECIDA PEREIRA LIMA-VALE TRANSPORTE DO DIA 18/08 AO DIA 27/08"/>
    <n v="-126"/>
    <x v="0"/>
    <x v="7"/>
  </r>
  <r>
    <x v="52"/>
    <s v="AGOSTO"/>
    <s v="VITOR DUARTE"/>
    <s v="JOAO CAETANO GUEDES -VALE T ALIMENTAÇÃO DO DIA 20/08 AO DIA 27/08 "/>
    <n v="-145.32"/>
    <x v="0"/>
    <x v="7"/>
  </r>
  <r>
    <x v="52"/>
    <s v="AGOSTO"/>
    <s v="VITOR DUARTE"/>
    <s v="SUELEN DOS REIS FOSTINO FELIX-VALE ALIMENTAÇÃO DO DIA 18/08 AO DIA 27/08 "/>
    <n v="-145.32"/>
    <x v="0"/>
    <x v="39"/>
  </r>
  <r>
    <x v="52"/>
    <s v="AGOSTO"/>
    <s v="VITOR DUARTE"/>
    <s v="CRISTIANA APARECIDA PEREIRA LIMA-VALE  ALIEMNTAÇAO DO DIA 18/08 AO DIA 27/08"/>
    <n v="-145.32"/>
    <x v="0"/>
    <x v="39"/>
  </r>
  <r>
    <x v="52"/>
    <s v="AGOSTO"/>
    <s v="HSERV TERCERIZADOS"/>
    <s v="KELLY LOPES DA SILVA - FTS FALTANTE RICOY PERIODO DO DIA 03/7 A 16/07"/>
    <n v="-824.16"/>
    <x v="0"/>
    <x v="13"/>
  </r>
  <r>
    <x v="52"/>
    <s v="AGOSTO"/>
    <s v="HENRIQUE JEAN"/>
    <s v="LUCINEIA CANDIDA GONCALVES-ADIANTAMENTO SALARIAL"/>
    <n v="-900"/>
    <x v="0"/>
    <x v="11"/>
  </r>
  <r>
    <x v="39"/>
    <s v="AGOSTO"/>
    <s v="HENRIQUE JEAN"/>
    <s v="TARIFA MANUTENCAO CONTA- BANCO CAIXA"/>
    <n v="-69"/>
    <x v="0"/>
    <x v="57"/>
  </r>
  <r>
    <x v="39"/>
    <s v="AGOSTO"/>
    <s v="HSERV COMBINADOS"/>
    <s v="SONIA MARIA MALZONI M 22/08"/>
    <n v="8400"/>
    <x v="1"/>
    <x v="3"/>
  </r>
  <r>
    <x v="23"/>
    <s v="AGOSTO"/>
    <s v="HSERV COMBINADOS"/>
    <s v="MARIA DE JESUS SANTOS"/>
    <n v="-174.6"/>
    <x v="0"/>
    <x v="7"/>
  </r>
  <r>
    <x v="23"/>
    <s v="AGOSTO"/>
    <s v="HSERV TERCEIRIZADOS"/>
    <s v="JOSIMARA LINO DOS SANTOS"/>
    <n v="-100"/>
    <x v="0"/>
    <x v="7"/>
  </r>
  <r>
    <x v="23"/>
    <s v="AGOSTO"/>
    <s v="HSERV TERCEIRIZADOS"/>
    <s v="RODNEI APARECIDO PACCINI DE LIMA"/>
    <n v="-100"/>
    <x v="0"/>
    <x v="7"/>
  </r>
  <r>
    <x v="23"/>
    <s v="AGOSTO"/>
    <s v="HSERV TERCEIRIZADOS"/>
    <s v="SARA ALMEIDA LOPES"/>
    <n v="-100"/>
    <x v="0"/>
    <x v="7"/>
  </r>
  <r>
    <x v="23"/>
    <s v="AGOSTO"/>
    <s v="HSERV TERCEIRIZADOS"/>
    <s v="RAFAEL DA SILVA RIBEIRO"/>
    <n v="-100"/>
    <x v="0"/>
    <x v="7"/>
  </r>
  <r>
    <x v="23"/>
    <s v="AGOSTO"/>
    <s v="HSERV TERCEIRIZADOS"/>
    <s v="LUAN HENRIQUE COSTA RIBEIRO"/>
    <n v="-100"/>
    <x v="0"/>
    <x v="7"/>
  </r>
  <r>
    <x v="23"/>
    <s v="AGOSTO"/>
    <s v="HSERV TERCEIRIZADOS"/>
    <s v="KEDLEI PATRICK FERREIRA"/>
    <n v="-100"/>
    <x v="0"/>
    <x v="7"/>
  </r>
  <r>
    <x v="23"/>
    <s v="AGOSTO"/>
    <s v="VITOR DUARTE"/>
    <s v="TABATHA TUANY TAVARES"/>
    <n v="-61.5"/>
    <x v="0"/>
    <x v="7"/>
  </r>
  <r>
    <x v="23"/>
    <s v="AGOSTO"/>
    <s v="VITOR DUARTE"/>
    <s v="MAIKON CEZARIO DOS SANTOS COPINO"/>
    <n v="-162"/>
    <x v="0"/>
    <x v="7"/>
  </r>
  <r>
    <x v="34"/>
    <s v="SETEMBRO"/>
    <s v="HSERV CLEAN"/>
    <s v="DEVOLUÇÃO EMPRESTIMO INTER- RETIRADA DE R$ 110.000,00 DIA 15/08 E R$ 10.000,00 DIA 05/09"/>
    <n v="-120000"/>
    <x v="0"/>
    <x v="12"/>
  </r>
  <r>
    <x v="33"/>
    <s v="AGOSTO"/>
    <s v="HSERV COMBINADOS"/>
    <s v="THIAGO ALMEIDA SANTANA-VALE ALIMENTAÇÃO DO DIA  20/08 e 29/08  SOLICITADO PELA PAMELA VIA EMAIL"/>
    <n v="-41.52"/>
    <x v="0"/>
    <x v="2"/>
  </r>
  <r>
    <x v="33"/>
    <s v="AGOSTO"/>
    <s v="VITOR DUARTE"/>
    <s v="VIVA FOOD R E LTDA"/>
    <n v="-17235"/>
    <x v="0"/>
    <x v="2"/>
  </r>
  <r>
    <x v="48"/>
    <s v="AGOSTO"/>
    <s v="HSERV TERCEIRIZADOS"/>
    <s v="LOTUS CENTRAL DE DISTRIBUICAO DE HIGIENICOS LTDA NF169.062-VENCIMENTO 15/08/2025"/>
    <n v="-368.7"/>
    <x v="0"/>
    <x v="4"/>
  </r>
  <r>
    <x v="54"/>
    <s v="AGOSTO"/>
    <s v="VITOR DUARTE"/>
    <s v="GABRIEL GATTI DA SILVA"/>
    <n v="-1091.77"/>
    <x v="0"/>
    <x v="6"/>
  </r>
  <r>
    <x v="54"/>
    <s v="AGOSTO"/>
    <s v="HSERV CLEAN"/>
    <s v="BRAN ENGENHARIA LTDA-0217/2025 CLCB (Certificado de licença do Corpo de Bombeiro) 021/2025 Equipamentos-LOJA CLEAN"/>
    <n v="-700"/>
    <x v="0"/>
    <x v="58"/>
  </r>
  <r>
    <x v="54"/>
    <s v="AGOSTO"/>
    <s v="HSERV TERCEIRIZADOS"/>
    <s v="JOSELITA DA SILVA:    FT FALTANTES"/>
    <n v="-860"/>
    <x v="0"/>
    <x v="13"/>
  </r>
  <r>
    <x v="54"/>
    <s v="AGOSTO"/>
    <s v="HSERV TERCEIRIZADOS"/>
    <s v="MARIA ROSEANE- FT FALTANTES"/>
    <n v="-1648.48"/>
    <x v="0"/>
    <x v="13"/>
  </r>
  <r>
    <x v="48"/>
    <s v="AGOSTO"/>
    <s v="HSERV CLEAN"/>
    <s v="J.E. COMERCIO E SOLUCOES LTDA- NF 11.132 VENCIMENTO 15/08/2025-PRORROGADO"/>
    <n v="-1382.3"/>
    <x v="0"/>
    <x v="4"/>
  </r>
  <r>
    <x v="54"/>
    <s v="AGOSTO"/>
    <s v="HSERV CABREUVA"/>
    <s v="CUSTAS FINAIS -Proc 0011413-05.2022.5.15.0096 RECLAMANTE: ANDERSON RAIMUNDO DUARTE"/>
    <n v="-163.12"/>
    <x v="0"/>
    <x v="34"/>
  </r>
  <r>
    <x v="54"/>
    <s v="AGOSTO"/>
    <s v="HSERV CABREUVA"/>
    <s v="Wellington Abreu de Jesus-Vale-Refeição e Vale transporte  R$ 20,76/dia × 4 dias"/>
    <n v="-177.04"/>
    <x v="0"/>
    <x v="59"/>
  </r>
  <r>
    <x v="54"/>
    <s v="AGOSTO"/>
    <s v="HSERV CABREUVA"/>
    <s v="FABIANO SAMPAIO DAVILA- PROCESSO 0011969-47.2022.5.15.0018CLAUDINEIA SANTOS DA SILVA -PARCELA 9/9"/>
    <n v="-3500"/>
    <x v="0"/>
    <x v="34"/>
  </r>
  <r>
    <x v="54"/>
    <s v="AGOSTO"/>
    <s v="HENRIQUE JEAN"/>
    <s v="SAMANTHA PATRICIA MACHADO DE GOUVEIA -PROC  nº 0010287-43.2024.5.15.0097-SHEILA PASSALINE FERRAZ- PARCELA 3/4"/>
    <n v="-1000"/>
    <x v="0"/>
    <x v="34"/>
  </r>
  <r>
    <x v="71"/>
    <s v="NOVEMBRO"/>
    <s v="HSERV COMBINADOS"/>
    <s v="ANDRADE FREITAS SOCIEDADE DE ADVOGADOS-Proc 0012259-82.2024.5.15.0021 ESTEVAO GOMES DE SOUZA PARCELA 5/5"/>
    <n v="-5600"/>
    <x v="0"/>
    <x v="34"/>
  </r>
  <r>
    <x v="72"/>
    <s v="OUTUBRO"/>
    <s v="HSERV COMBINADOS"/>
    <s v="ANDRADE FREITAS SOCIEDADE DE ADVOGADOS-Proc 0012259-82.2024.5.15.0021 ESTEVAO GOMES DE SOUZA PARCELA 4/5"/>
    <n v="-5600"/>
    <x v="0"/>
    <x v="34"/>
  </r>
  <r>
    <x v="57"/>
    <s v="SETEMBRO"/>
    <s v="HSERV COMBINADOS"/>
    <s v="ANDRADE FREITAS SOCIEDADE DE ADVOGADOS-Proc 0012259-82.2024.5.15.0021 ESTEVAO GOMES DE SOUZA PARCELA 3/5"/>
    <n v="-5600"/>
    <x v="0"/>
    <x v="34"/>
  </r>
  <r>
    <x v="49"/>
    <s v="AGOSTO"/>
    <s v="VITOR DUARTE"/>
    <s v="VIVIAN APARECIDA MENDES"/>
    <n v="-155.27000000000001"/>
    <x v="0"/>
    <x v="6"/>
  </r>
  <r>
    <x v="49"/>
    <s v="AGOSTO"/>
    <s v="HSERV REPRESENTACOES"/>
    <s v="GRRF JURANDIR LUCAS BEZERRA"/>
    <n v="-166.39"/>
    <x v="0"/>
    <x v="6"/>
  </r>
  <r>
    <x v="49"/>
    <s v="AGOSTO"/>
    <s v="HSERV CLEAN"/>
    <s v="GILBERTO SILVA SANTOS"/>
    <n v="-90"/>
    <x v="0"/>
    <x v="7"/>
  </r>
  <r>
    <x v="49"/>
    <s v="AGOSTO"/>
    <s v="HSERV COMBINADOS"/>
    <s v="MARIA DE JESUS SANTOS"/>
    <n v="-291"/>
    <x v="0"/>
    <x v="7"/>
  </r>
  <r>
    <x v="49"/>
    <s v="AGOSTO"/>
    <s v="HSERV COMBINADOS"/>
    <s v="MARIA ISABELE CELESTE DUARTE"/>
    <n v="-177"/>
    <x v="0"/>
    <x v="7"/>
  </r>
  <r>
    <x v="49"/>
    <s v="AGOSTO"/>
    <s v="HSERV REPRESENTACOES"/>
    <s v="LAURINDA MARIA SANTOS NEVES"/>
    <n v="-90"/>
    <x v="0"/>
    <x v="7"/>
  </r>
  <r>
    <x v="49"/>
    <s v="AGOSTO"/>
    <s v="VITOR DUARTE"/>
    <s v="TABATHA TUANY TAVARES"/>
    <n v="-123"/>
    <x v="0"/>
    <x v="7"/>
  </r>
  <r>
    <x v="49"/>
    <s v="AGOSTO"/>
    <s v="VITOR DUARTE"/>
    <s v="DAIANA INDIANARA DE PAULA SILVA"/>
    <n v="-224.2"/>
    <x v="0"/>
    <x v="7"/>
  </r>
  <r>
    <x v="49"/>
    <s v="AGOSTO"/>
    <s v="VITOR DUARTE"/>
    <s v="CARLOS WASHINGTON DE ALMEIDA"/>
    <n v="-100"/>
    <x v="0"/>
    <x v="7"/>
  </r>
  <r>
    <x v="49"/>
    <s v="AGOSTO"/>
    <s v="VITOR DUARTE"/>
    <s v="FABIANA DE LIMA VIEIRA"/>
    <n v="-123"/>
    <x v="0"/>
    <x v="7"/>
  </r>
  <r>
    <x v="49"/>
    <s v="AGOSTO"/>
    <s v="VITOR DUARTE"/>
    <s v="MAIKON CEZARIO DOS SANTOS COPINO"/>
    <n v="-486"/>
    <x v="0"/>
    <x v="7"/>
  </r>
  <r>
    <x v="49"/>
    <s v="AGOSTO"/>
    <s v="HSERV COMBINADOS"/>
    <s v="ANDRADE FREITAS SOCIEDADE DE ADVOGADOS-Proc 0012259-82.2024.5.15.0021 ESTEVAO GOMES DE SOUZA PARCELA 2/5"/>
    <n v="-5600"/>
    <x v="0"/>
    <x v="34"/>
  </r>
  <r>
    <x v="49"/>
    <s v="AGOSTO"/>
    <s v="HENRIQUE JEAN"/>
    <s v="SANTOS SEPULVEDA SOCIEDADE INDIVIDUAL DE ADVOCACIA- - PROC 0010895-75.2023.5.15.009-AMANDA BRITO SANTOS PARCELA 4/16"/>
    <n v="-1000"/>
    <x v="0"/>
    <x v="34"/>
  </r>
  <r>
    <x v="36"/>
    <s v="AGOSTO"/>
    <s v="VITOR DUARTE"/>
    <s v="L. A. DE SOUZA - EQUIPAMENTOS DE SEGURANCA LTDA- NF 11.747- SAPATOS ASG E LUVAS"/>
    <n v="-1000"/>
    <x v="0"/>
    <x v="44"/>
  </r>
  <r>
    <x v="36"/>
    <s v="AGOSTO"/>
    <s v="HENRIQUE JEAN"/>
    <s v="ANA LUCIA CORREIA DA SILVA-VALE TRANSPORTE DA AVENIDA  R$4,00 POR DIA"/>
    <n v="-84"/>
    <x v="0"/>
    <x v="7"/>
  </r>
  <r>
    <x v="36"/>
    <s v="AGOSTO"/>
    <s v="HSERV COMBINADOS"/>
    <s v="RODRIGO CESAR DOS SANTOS-VALE TRANSPORTE DO DIA 08/08 ao dia 18/08  28,80  POR DIA"/>
    <n v="-288"/>
    <x v="0"/>
    <x v="7"/>
  </r>
  <r>
    <x v="36"/>
    <s v="AGOSTO"/>
    <s v="HSERV COMBINADOS"/>
    <s v="EZEQUIEL RODRIGUES DOS SANTOS-vale transporte do dia 08/08 ao dia 30/08 R$11,80 por dia"/>
    <n v="-224.2"/>
    <x v="0"/>
    <x v="7"/>
  </r>
  <r>
    <x v="36"/>
    <s v="AGOSTO"/>
    <s v="HSERV COMBINADOS"/>
    <s v="CAMILA FERREIRA DA SILVA-VALE TRANSPORTE DE AGOSTO AVENIDA  COBRINDO FÉRIAS DA MAURA VILELA PINTO"/>
    <n v="-200"/>
    <x v="0"/>
    <x v="7"/>
  </r>
  <r>
    <x v="36"/>
    <s v="AGOSTO"/>
    <s v="HSERV COMBINADOS"/>
    <s v="GUSTAVO HENRIQUE DOS SANTOS-vale transporte fiscal de sorocaba do dia 08/08 AO DIA 30/08  R$23,60 por dia  escala 4x1"/>
    <n v="-472"/>
    <x v="0"/>
    <x v="7"/>
  </r>
  <r>
    <x v="36"/>
    <s v="AGOSTO"/>
    <s v="HSERV COMBINADOS"/>
    <s v="NATALIA DA SILVA-VALE TRANSPORTE DO DIA 07/08 AO DIA 23/08 R$11,80 POR DIA  LOJA 24  PACOTE"/>
    <n v="-177"/>
    <x v="0"/>
    <x v="7"/>
  </r>
  <r>
    <x v="36"/>
    <s v="AGOSTO"/>
    <s v="VITOR DUARTE"/>
    <s v="THAYANE TERTULIANO DOMINGOS DA SILVA DIFERENÇA VT AGOSTO -REDE AVENIDA"/>
    <n v="-70"/>
    <x v="0"/>
    <x v="7"/>
  </r>
  <r>
    <x v="36"/>
    <s v="AGOSTO"/>
    <s v="HSERV COMBINADOS"/>
    <s v="EUNICE ALMEIDA DOS SANTOS-vale transporte do dia 07/08 até o dia 23/08 R$16,80 por dia"/>
    <n v="-252"/>
    <x v="0"/>
    <x v="7"/>
  </r>
  <r>
    <x v="36"/>
    <s v="AGOSTO"/>
    <s v="VITOR DUARTE"/>
    <s v="RESOLVE ALIMENTACAO LTDA NF 12186"/>
    <n v="-708.24"/>
    <x v="0"/>
    <x v="39"/>
  </r>
  <r>
    <x v="36"/>
    <s v="AGOSTO"/>
    <s v="HSERV COMBINADOS"/>
    <s v=" SONIA MARIA MALZONI"/>
    <n v="8400"/>
    <x v="1"/>
    <x v="3"/>
  </r>
  <r>
    <x v="36"/>
    <s v="AGOSTO"/>
    <s v="HSERV COMBINADOS"/>
    <s v="RAI INGREDIENTES INDUSTRIAL S/A"/>
    <n v="4935"/>
    <x v="1"/>
    <x v="3"/>
  </r>
  <r>
    <x v="36"/>
    <s v="AGOSTO"/>
    <s v="HSERV CABREUVA"/>
    <s v="CRISTIANI COSIM DE OLIVEIRA VILELA-Proc 0011289-67.2024.5.15.0026 AUTOR: ELAINE JAQUES LOURENCONI PARCELA2/3"/>
    <n v="-1000"/>
    <x v="0"/>
    <x v="34"/>
  </r>
  <r>
    <x v="33"/>
    <s v="AGOSTO"/>
    <s v="VITOR DUARTE"/>
    <s v="LUPE LOCACAO E COMERCIO DE EQUIPAMENTOS"/>
    <n v="-430.22"/>
    <x v="0"/>
    <x v="48"/>
  </r>
  <r>
    <x v="60"/>
    <s v="SETEMBRO"/>
    <s v="HSERV CABREUVA"/>
    <s v="CSLL TRIMESTRAL HSERV CABREUVA"/>
    <n v="-4636.07"/>
    <x v="0"/>
    <x v="32"/>
  </r>
  <r>
    <x v="60"/>
    <s v="SETEMBRO"/>
    <s v="HSERV CABREUVA"/>
    <s v="IRPJ TRIMESTRAL HSERV CABREUVA"/>
    <n v="-8011.38"/>
    <x v="0"/>
    <x v="32"/>
  </r>
  <r>
    <x v="33"/>
    <s v="AGOSTO"/>
    <s v="HSERV CABREUVA"/>
    <s v="ELAINE BARBOSA DE SOUSA"/>
    <n v="-342.67"/>
    <x v="0"/>
    <x v="6"/>
  </r>
  <r>
    <x v="33"/>
    <s v="AGOSTO"/>
    <s v="HSERV COMBINADOS"/>
    <s v="ROSANGELA APARECIDA FURQUIM DA CRUZ"/>
    <n v="-601.13"/>
    <x v="0"/>
    <x v="6"/>
  </r>
  <r>
    <x v="33"/>
    <s v="AGOSTO"/>
    <s v="HSERV REPRESENTACOES"/>
    <s v="MARCOS PAULO DE ANDRADE AMERICO"/>
    <n v="-414.95"/>
    <x v="0"/>
    <x v="6"/>
  </r>
  <r>
    <x v="33"/>
    <s v="AGOSTO"/>
    <s v="VITOR DUARTE"/>
    <s v="DEBORA GOMES DOS SANTOS"/>
    <n v="-43.33"/>
    <x v="0"/>
    <x v="6"/>
  </r>
  <r>
    <x v="33"/>
    <s v="AGOSTO"/>
    <s v="HENRIQUE JEAN"/>
    <s v="RECOLHIMENTO FGTS EM ATRASO-JONATHAN CANDIDO BATISTA 10.2023"/>
    <n v="-185.63"/>
    <x v="0"/>
    <x v="32"/>
  </r>
  <r>
    <x v="33"/>
    <s v="AGOSTO"/>
    <s v="HENRIQUE JEAN"/>
    <s v="RECOLHIMENTO FGTS EM ATRASO-JONATHAN CANDIDO BATISTA 11.2023"/>
    <n v="-184.71"/>
    <x v="0"/>
    <x v="32"/>
  </r>
  <r>
    <x v="33"/>
    <s v="AGOSTO"/>
    <s v="HENRIQUE JEAN"/>
    <s v="RECOLHIMENTO FGTS EM ATRASO-JONATHAN CANDIDO BATISTA 03.2023"/>
    <n v="-193.05"/>
    <x v="0"/>
    <x v="32"/>
  </r>
  <r>
    <x v="33"/>
    <s v="AGOSTO"/>
    <s v="HENRIQUE JEAN"/>
    <s v="RECOLHIMENTO FGTS EM ATRASO-JONATHAN CANDIDO BATISTA 04.2023"/>
    <n v="-192.11"/>
    <x v="0"/>
    <x v="32"/>
  </r>
  <r>
    <x v="33"/>
    <s v="AGOSTO"/>
    <s v="HENRIQUE JEAN"/>
    <s v="RECOLHIMENTO FGTS EM ATRASO-JONATHAN CANDIDO BATISTA 07.2023"/>
    <n v="-188.76"/>
    <x v="0"/>
    <x v="32"/>
  </r>
  <r>
    <x v="33"/>
    <s v="AGOSTO"/>
    <s v="HENRIQUE JEAN"/>
    <s v="RECOLHIMENTO FGTS EM ATRASO-JONATHAN CANDIDO BATISTA 12.2023"/>
    <n v="-183.82"/>
    <x v="0"/>
    <x v="32"/>
  </r>
  <r>
    <x v="33"/>
    <s v="AGOSTO"/>
    <s v="HENRIQUE JEAN"/>
    <s v="RECOLHIMENTO FGTS EM ATRASO-JONATHAN CANDIDO BATISTA 02.2023"/>
    <n v="-194.29"/>
    <x v="0"/>
    <x v="32"/>
  </r>
  <r>
    <x v="33"/>
    <s v="AGOSTO"/>
    <s v="HENRIQUE JEAN"/>
    <s v="RECOLHIMENTO FGTS EM ATRASO -JONATHAN CANDIDO BATISTA 08.2023"/>
    <n v="-187.58"/>
    <x v="0"/>
    <x v="32"/>
  </r>
  <r>
    <x v="33"/>
    <s v="AGOSTO"/>
    <s v="HENRIQUE JEAN"/>
    <s v="RECOLHIMENTO FGTS EM ATRASO-JONATHAN CANDIDO BATISTA 01.2023"/>
    <n v="-195.25"/>
    <x v="0"/>
    <x v="32"/>
  </r>
  <r>
    <x v="33"/>
    <s v="AGOSTO"/>
    <s v="HENRIQUE JEAN"/>
    <s v="RECOLHIMENTO FGTS EM ATRASO-JONATHAN CANDIDO BATISTA 09.2023"/>
    <n v="-186.59"/>
    <x v="0"/>
    <x v="32"/>
  </r>
  <r>
    <x v="33"/>
    <s v="AGOSTO"/>
    <s v="HENRIQUE JEAN"/>
    <s v="VITOR SANTANA FGTS EM ATRASO 09/20245 E 13° 2024"/>
    <n v="-258.83999999999997"/>
    <x v="0"/>
    <x v="32"/>
  </r>
  <r>
    <x v="33"/>
    <s v="AGOSTO"/>
    <s v="HSERV CABREUVA"/>
    <s v="MARIA APARECIDA ALVES DE MELO ATSum 0010327-82.2025.5.15.0002 RECLAMANTE: CRISTIANE DE SOUSA PARCELA 3/3"/>
    <n v="-2200"/>
    <x v="0"/>
    <x v="34"/>
  </r>
  <r>
    <x v="33"/>
    <s v="AGOSTO"/>
    <s v="HSERV CABREUVA"/>
    <s v="DALMAZO SOCIEDADE INDIVIDUAL-PROC 0011504-24.2024.5.15.0097 -ANDRE DE ARAUJO LEITE FILHO PARCELA 2/3"/>
    <n v="-1000"/>
    <x v="0"/>
    <x v="34"/>
  </r>
  <r>
    <x v="33"/>
    <s v="AGOSTO"/>
    <s v="HSERV CABREUVA"/>
    <s v="ARAUJO E RIOS ADVOGADOS ASSOCIADOS PRoc 0010784-37.2023.5.15.0018 -: FABIO LUIZ ALVES -PARCELA 3/7"/>
    <n v="-3836.54"/>
    <x v="0"/>
    <x v="34"/>
  </r>
  <r>
    <x v="33"/>
    <s v="AGOSTO"/>
    <s v="HSERV CABREUVA"/>
    <s v="TIAGO JOSE DE FREITAS OLIVEIRA-Proc 0012190-87.2022.5.15.0096 Reclamante: KASSIA VITAL FERREIRA PARCELA 3/10"/>
    <n v="-3200"/>
    <x v="0"/>
    <x v="34"/>
  </r>
  <r>
    <x v="33"/>
    <s v="AGOSTO"/>
    <s v="HSERV LIMPEZA"/>
    <s v="JUAN PHILIPY STEPHANO AMARO SOCIEDADE IPROC 0011148-23.2024.5.15.0002- ANTONIA MILENA SOARES DE SOUZA PARCELA 2/10"/>
    <n v="-1000"/>
    <x v="0"/>
    <x v="34"/>
  </r>
  <r>
    <x v="33"/>
    <s v="AGOSTO"/>
    <s v="VITOR DUARTE"/>
    <s v="IVAN MARQUES DOS SANTOS Proc  0010898-64.2022.5.15.0097 AUTOR: FRANCISCA NEUDA FRANCALINO DE SOUZA PARCELA 3/9"/>
    <n v="-2885.09"/>
    <x v="0"/>
    <x v="34"/>
  </r>
  <r>
    <x v="33"/>
    <s v="AGOSTO"/>
    <s v="HSERV CABREUVA"/>
    <s v="LUCAS LEONARDO MARQUES DE OLIVEIRA-PROC 1000130-70.2024.5.02.0221-GILVAN ANTONIO DOS SANTOS SILVA  PARCELA 4/12"/>
    <n v="-2000"/>
    <x v="0"/>
    <x v="34"/>
  </r>
  <r>
    <x v="33"/>
    <s v="AGOSTO"/>
    <s v="HSERV CABREUVA"/>
    <s v="LETICIA FERNANDA DO NASCIMENTO - PROC - 0012166-65.2023.5.15.0018- JADISON SOUZA FONTES PARCELA 5/5"/>
    <n v="-501.54"/>
    <x v="0"/>
    <x v="34"/>
  </r>
  <r>
    <x v="54"/>
    <s v="AGOSTO"/>
    <s v="HSERV CABREUVA"/>
    <s v="ZAMBONI, SOUSA, CARVALHO &amp; MARIANO --PROC 0012075-66.2022.5.15.0096 -CLAUDIA ARAUJO DOS SANTOS-PARCELA 3/6"/>
    <n v="-10000"/>
    <x v="0"/>
    <x v="34"/>
  </r>
  <r>
    <x v="33"/>
    <s v="AGOSTO"/>
    <s v="HSERV CLEAN"/>
    <s v="ANA PAULA HERKES MARTINS-  PROC 0011455-60.2023.5.15.0018-MARIA DE JESUS MARQUES GINO FERREIRA PARCELA 5/7"/>
    <n v="-2500"/>
    <x v="0"/>
    <x v="34"/>
  </r>
  <r>
    <x v="54"/>
    <s v="AGOSTO"/>
    <s v="HSERV REPRESENTACOES"/>
    <s v="OKUYAMA &amp; ALVES SOCIEDADE DE ADVOGADOS   PROC- 0012465-42.2023.5.15.0018 GENILDA MARIA DA SILVA CARRILHO PARCELA 4/8"/>
    <n v="-2000"/>
    <x v="0"/>
    <x v="34"/>
  </r>
  <r>
    <x v="49"/>
    <s v="AGOSTO"/>
    <s v="HSERV REPRESENTACOES"/>
    <s v="OKUYAMA &amp; ALVES SOCIEDADE DE ADVOGADOSS - PROC 0012457-65.2023.5.15.0018 -JESSICA BARROS DOS SANTO PARCELA 4/8"/>
    <n v="-2000"/>
    <x v="0"/>
    <x v="34"/>
  </r>
  <r>
    <x v="49"/>
    <s v="AGOSTO"/>
    <s v="HSERV TERCEIRIZADOS"/>
    <s v="ANDREIA APARECIDA BARBOSA- VALOR ADICIONAL DAS CANECAS PERSONALIZADAS"/>
    <n v="-100"/>
    <x v="0"/>
    <x v="60"/>
  </r>
  <r>
    <x v="49"/>
    <s v="AGOSTO"/>
    <s v="HSERV TERCEIRIZADOS"/>
    <s v="TUTTI SPORT VECCHI LTDA- VITOR SOLICITOU PAGAMENTO VIA WHATSAPP- DESCONTAR NO PROLABORE"/>
    <n v="-1500"/>
    <x v="0"/>
    <x v="18"/>
  </r>
  <r>
    <x v="49"/>
    <s v="AGOSTO"/>
    <s v="HSERV REPRESENTACOES"/>
    <s v="ELIZANGELA APARECIDA VITOR - ALIMENTAÇÃO, SUPERVISORA ESTARÁ PRESENCIALMENTE NOS PROXIMOS DIAS NA BASE "/>
    <n v="-20.76"/>
    <x v="0"/>
    <x v="2"/>
  </r>
  <r>
    <x v="33"/>
    <s v="AGOSTO"/>
    <s v="VITOR DUARTE"/>
    <s v="VALERIA GEOVANNA DOS SANTOS-- PROC 1001103-06.2024.5.02.0292 -ELIENE ALVES LISBOA PARCELA 4/12"/>
    <n v="-1916.67"/>
    <x v="0"/>
    <x v="34"/>
  </r>
  <r>
    <x v="32"/>
    <s v="AGOSTO"/>
    <s v="HSERV LIMPEZA"/>
    <s v="ELIANA DOS SANTOS"/>
    <n v="-2056.35"/>
    <x v="0"/>
    <x v="6"/>
  </r>
  <r>
    <x v="32"/>
    <s v="AGOSTO"/>
    <s v="HSERV LIMPEZA"/>
    <s v="GRRF ELIANA DOS SANTOS"/>
    <n v="-139.66"/>
    <x v="0"/>
    <x v="6"/>
  </r>
  <r>
    <x v="32"/>
    <s v="AGOSTO"/>
    <s v="HSERV TECNOLOGIA"/>
    <s v="GRRF ELENILZA PATRICIA ALMEIDA DUARTE"/>
    <n v="-313.87"/>
    <x v="0"/>
    <x v="6"/>
  </r>
  <r>
    <x v="32"/>
    <s v="AGOSTO"/>
    <s v="VITOR DUARTE"/>
    <s v="JULIO CESAR ALVES"/>
    <n v="-810.39"/>
    <x v="0"/>
    <x v="6"/>
  </r>
  <r>
    <x v="32"/>
    <s v="AGOSTO"/>
    <s v="HSERV COMBINADOS"/>
    <s v="EZEQUIEL RODRIGUES DOS SANTOS"/>
    <n v="-82.6"/>
    <x v="0"/>
    <x v="7"/>
  </r>
  <r>
    <x v="32"/>
    <s v="AGOSTO"/>
    <s v="HSERV COMBINADOS"/>
    <s v="FABIO NOGUEIRA DA SILVA LOPES"/>
    <n v="-184.5"/>
    <x v="0"/>
    <x v="7"/>
  </r>
  <r>
    <x v="32"/>
    <s v="AGOSTO"/>
    <s v="HSERV COMBINADOS"/>
    <s v="JOSE ERIVALDO CAVALCANTE DA SILVA"/>
    <n v="-430.5"/>
    <x v="0"/>
    <x v="7"/>
  </r>
  <r>
    <x v="32"/>
    <s v="AGOSTO"/>
    <s v="HSERV COMBINADOS"/>
    <s v="SANDRA RIBEIRO DA SILVA"/>
    <n v="-307.5"/>
    <x v="0"/>
    <x v="7"/>
  </r>
  <r>
    <x v="32"/>
    <s v="AGOSTO"/>
    <s v="HSERV COMBINADOS"/>
    <s v="ALCIDES PEREIRA DE SOUZA"/>
    <n v="-349.5"/>
    <x v="0"/>
    <x v="7"/>
  </r>
  <r>
    <x v="32"/>
    <s v="AGOSTO"/>
    <s v="HSERV COMBINADOS"/>
    <s v="EDNA JOSE DE SOUZA COSTA"/>
    <n v="-267"/>
    <x v="0"/>
    <x v="7"/>
  </r>
  <r>
    <x v="32"/>
    <s v="AGOSTO"/>
    <s v="HSERV COMBINADOS"/>
    <s v="FLAVIA KELI DE OLIVEIRA FELIX"/>
    <n v="-184.5"/>
    <x v="0"/>
    <x v="7"/>
  </r>
  <r>
    <x v="32"/>
    <s v="AGOSTO"/>
    <s v="VITOR DUARTE"/>
    <s v="DAIANA INDIANARA DE PAULA SILVA"/>
    <n v="-82.6"/>
    <x v="0"/>
    <x v="7"/>
  </r>
  <r>
    <x v="32"/>
    <s v="AGOSTO"/>
    <s v="VITOR DUARTE"/>
    <s v="FABIANA DE LIMA VIEIRA"/>
    <n v="-86.1"/>
    <x v="0"/>
    <x v="7"/>
  </r>
  <r>
    <x v="32"/>
    <s v="AGOSTO"/>
    <s v="VITOR DUARTE"/>
    <s v="TABATHA TUANY TAVARES"/>
    <n v="-86.1"/>
    <x v="0"/>
    <x v="7"/>
  </r>
  <r>
    <x v="32"/>
    <s v="AGOSTO"/>
    <s v="VITOR DUARTE"/>
    <s v="CARLOS WASHINGTON DE ALMEIDA"/>
    <n v="-80"/>
    <x v="0"/>
    <x v="7"/>
  </r>
  <r>
    <x v="32"/>
    <s v="AGOSTO"/>
    <s v="VITOR DUARTE"/>
    <s v="MICAEL LINS SOUZA"/>
    <n v="-77"/>
    <x v="0"/>
    <x v="7"/>
  </r>
  <r>
    <x v="32"/>
    <s v="AGOSTO"/>
    <s v="VITOR DUARTE"/>
    <s v="COSME FRANCA"/>
    <n v="-86.1"/>
    <x v="0"/>
    <x v="7"/>
  </r>
  <r>
    <x v="32"/>
    <s v="AGOSTO"/>
    <s v="HSERV CLEAN"/>
    <s v="JOSE JONAS DE ARAUJO SILVA-PROC 0010137-76.2022.5.15.0018 MANOEL VICENTE DA SILVA PARCELA 2/8"/>
    <n v="-3968.99"/>
    <x v="0"/>
    <x v="34"/>
  </r>
  <r>
    <x v="32"/>
    <s v="AGOSTO"/>
    <s v="VITOR DUARTE"/>
    <s v="TADIM NEVES SOCIEDADE INDIVIDUAL DE ADVOCACIA -PROC  - 0012114-44.2023.5.15.0188-ADILIO SANTOS SOUZA PARCELA 5/8"/>
    <n v="-1848.63"/>
    <x v="0"/>
    <x v="34"/>
  </r>
  <r>
    <x v="33"/>
    <s v="AGOSTO"/>
    <s v="HSERV CABREUVA"/>
    <s v="PATRICIA LOMBARDI-PROC 1002854-81.2023.5.02.0221 TANIA MARIANO DOS SANTOS PARCELA 3/6"/>
    <n v="-2500"/>
    <x v="0"/>
    <x v="34"/>
  </r>
  <r>
    <x v="28"/>
    <s v="SETEMBRO"/>
    <s v="HSERV CABREUVA"/>
    <s v="PATRICIA LOMBARDI-PROC 1002854-81.2023.5.02.0221 TANIA MARIANO DOS SANTOS PARCELA 4/6"/>
    <n v="-2500"/>
    <x v="0"/>
    <x v="34"/>
  </r>
  <r>
    <x v="38"/>
    <s v="OUTUBRO"/>
    <s v="HSERV CABREUVA"/>
    <s v="PATRICIA LOMBARDI-PROC 1002854-81.2023.5.02.0221 TANIA MARIANO DOS SANTOS PARCELA 5/6"/>
    <n v="-2500"/>
    <x v="0"/>
    <x v="34"/>
  </r>
  <r>
    <x v="30"/>
    <s v="NOVEMBRO"/>
    <s v="HSERV CABREUVA"/>
    <s v="PATRICIA LOMBARDI-PROC 1002854-81.2023.5.02.0221 TANIA MARIANO DOS SANTOS PARCELA 6/6"/>
    <n v="-2500"/>
    <x v="0"/>
    <x v="34"/>
  </r>
  <r>
    <x v="33"/>
    <s v="AGOSTO"/>
    <s v="HENRIQUE JEAN"/>
    <s v="PAULO CEZAR FERREIRA DOS SANTOS-PROC 0012427-44.2024.5.15.0002 - MARIA NAZARE DA SILVA PARCELA 1/10"/>
    <n v="-1500"/>
    <x v="0"/>
    <x v="34"/>
  </r>
  <r>
    <x v="33"/>
    <s v="AGOSTO"/>
    <s v="HENRIQUE JEAN"/>
    <s v="FABIANA DE SOUZA CULBERT SOCIEDADE INDIVIDUAL DE ADVOCACIA-PROC 0010360-81.2025.5.15.0096- PAULO EDVAN HAHNE  -PARCELA 1/6"/>
    <n v="-1000"/>
    <x v="0"/>
    <x v="34"/>
  </r>
  <r>
    <x v="33"/>
    <s v="AGOSTO"/>
    <s v="HSERV CABREUVA"/>
    <s v="FERNANDO APARECIDO DOS SANTOS-Proc 0013031-54.2024.5.15.0018  MANOEL ROBERTO DE SOUSA- PARCLEA 2/17"/>
    <n v="-2500"/>
    <x v="0"/>
    <x v="34"/>
  </r>
  <r>
    <x v="33"/>
    <s v="AGOSTO"/>
    <s v="HSERV CABREUVA"/>
    <s v="AUREA MOSCATINI- PROC 0012313-20.2024.5.15.0095 -GABRIEL BARBOSA DOS SANTOS -PARCELA 1/5"/>
    <n v="-1000"/>
    <x v="0"/>
    <x v="34"/>
  </r>
  <r>
    <x v="33"/>
    <s v="AGOSTO"/>
    <s v="HSERV CLEAN"/>
    <s v="SANTOS SEPULVEDA SOCIEDADE INDIVIDUAL DE ADVOCACIA-PRoc 0011475-02.2023.5.15.0002  ANA CAROLINA DOS SANTOS-PARCELA 1/10"/>
    <n v="-3800"/>
    <x v="0"/>
    <x v="34"/>
  </r>
  <r>
    <x v="33"/>
    <s v="AGOSTO"/>
    <s v="VITOR DUARTE"/>
    <s v="JURANDIR BAVOSO JUNIOR-Proc 0010814-86.2024.5.15.0002 RECLAMANTE: JUAN ERICK REIS DOS SANTOS  PARCELA 2/12"/>
    <n v="-2500"/>
    <x v="0"/>
    <x v="34"/>
  </r>
  <r>
    <x v="33"/>
    <s v="AGOSTO"/>
    <s v="VITOR DUARTE"/>
    <s v="LUAN VIEIRA BARRETO - PROC 0012216-57.2024.5.15.0018-ANGELO JOSE ARANTES -PARCELA 4/10"/>
    <n v="-1400"/>
    <x v="0"/>
    <x v="34"/>
  </r>
  <r>
    <x v="55"/>
    <s v="AGOSTO"/>
    <s v="VITOR DUARTE"/>
    <s v="VALDECI BERTOZZI DA SILVA- COMISSÃO -SANTA CASA PARCELA 1/2"/>
    <n v="-733.76"/>
    <x v="0"/>
    <x v="61"/>
  </r>
  <r>
    <x v="55"/>
    <s v="AGOSTO"/>
    <s v="HENRIQUE JEAN"/>
    <s v="GNB ADMINISTRACAO DE BENEFICIOS SOCIAIS LTDA-BENEFICIO SOCIAL- VENCIMENTO 10/07/2025"/>
    <n v="-303.24"/>
    <x v="0"/>
    <x v="14"/>
  </r>
  <r>
    <x v="55"/>
    <s v="AGOSTO"/>
    <s v="HSERV CABREUVA"/>
    <s v="GNB ADMINISTRACAO DE BENEFICIOS SOCIAIS LTDA-BENEFICIO SOCIAL- VENCIMENTO 10/07/2025"/>
    <n v="-383.04"/>
    <x v="0"/>
    <x v="14"/>
  </r>
  <r>
    <x v="55"/>
    <s v="AGOSTO"/>
    <s v="HSERV CLEAN"/>
    <s v="GNB ADMINISTRACAO DE BENEFICIOS SOCIAIS LTDA-BENEFICIO SOCIAL- VENCIMENTO 10/07/2025"/>
    <n v="-383.04"/>
    <x v="0"/>
    <x v="14"/>
  </r>
  <r>
    <x v="55"/>
    <s v="AGOSTO"/>
    <s v="HSERV COMBINADOS"/>
    <s v="GNB ADMINISTRACAO DE BENEFICIOS SOCIAIS LTDA-BENEFICIO SOCIAL- VENCIMENTO 10/07/2025"/>
    <n v="-941.64"/>
    <x v="0"/>
    <x v="14"/>
  </r>
  <r>
    <x v="55"/>
    <s v="AGOSTO"/>
    <s v="HSERV LIMPEZA"/>
    <s v="GNB ADMINISTRACAO DE BENEFICIOS SOCIAIS LTDA-BENEFICIO SOCIAL- VENCIMENTO 10/07/2025"/>
    <n v="-271.32"/>
    <x v="0"/>
    <x v="14"/>
  </r>
  <r>
    <x v="55"/>
    <s v="AGOSTO"/>
    <s v="HSERV REPRESENTACOES"/>
    <s v="GNB ADMINISTRACAO DE BENEFICIOS SOCIAIS LTDA-BENEFICIO SOCIAL- VENCIMENTO 10/07/2025"/>
    <n v="-287.27999999999997"/>
    <x v="0"/>
    <x v="14"/>
  </r>
  <r>
    <x v="55"/>
    <s v="AGOSTO"/>
    <s v="HSERV TECNOLOGIA"/>
    <s v="GNB ADMINISTRACAO DE BENEFICIOS SOCIAIS LTDA-BENEFICIO SOCIAL- VENCIMENTO 10/07/2025"/>
    <n v="-590.52"/>
    <x v="0"/>
    <x v="14"/>
  </r>
  <r>
    <x v="55"/>
    <s v="AGOSTO"/>
    <s v="HSERV TERCEIRIZADOS"/>
    <s v="GNB ADMINISTRACAO DE BENEFICIOS SOCIAIS LTDA-BENEFICIO SOCIAL- VENCIMENTO 10/07/2025"/>
    <n v="-351.12"/>
    <x v="0"/>
    <x v="14"/>
  </r>
  <r>
    <x v="55"/>
    <s v="AGOSTO"/>
    <s v="VITOR DUARTE"/>
    <s v="GNB ADMINISTRACAO DE BENEFICIOS SOCIAIS LTDA-BENEFICIO SOCIAL- VENCIMENTO 10/07/2025"/>
    <n v="-207.48"/>
    <x v="0"/>
    <x v="14"/>
  </r>
  <r>
    <x v="48"/>
    <s v="AGOSTO"/>
    <s v="VITOR DUARTE"/>
    <s v="BRADESCO SAUDE- DESCONTAR PROLABORE VITOR"/>
    <n v="-3625.95"/>
    <x v="0"/>
    <x v="18"/>
  </r>
  <r>
    <x v="48"/>
    <s v="AGOSTO"/>
    <s v="VITOR DUARTE"/>
    <s v="JHONNY WALACE- REEMBOLSO DE DESPESAS PEDREIRA-GASTOS COM PEDAGIO"/>
    <n v="-283.60000000000002"/>
    <x v="0"/>
    <x v="27"/>
  </r>
  <r>
    <x v="48"/>
    <s v="AGOSTO"/>
    <s v="HENRIQUE JEAN"/>
    <s v="EMPORIO MEGA 100 COMERCIO DE ALIMENTOS S.A.-NF 995.268 VENCIMENTO 18/08/2025"/>
    <n v="-2324.85"/>
    <x v="0"/>
    <x v="24"/>
  </r>
  <r>
    <x v="48"/>
    <s v="AGOSTO"/>
    <s v="HSERV CABREUVA"/>
    <s v="EMPORIO MEGA 100 COMERCIO DE ALIMENTOS S.A. NF 995.259 VENCIMENTO 18/08/2025"/>
    <n v="-2944.81"/>
    <x v="0"/>
    <x v="24"/>
  </r>
  <r>
    <x v="48"/>
    <s v="AGOSTO"/>
    <s v="HSERV CLEAN"/>
    <s v="EMPORIO MEGA 100 COMERCIO DE ALIMENTOS S.A.-NF 995.267 VENCIMENTO 18/08/2025"/>
    <n v="-2867.31"/>
    <x v="0"/>
    <x v="24"/>
  </r>
  <r>
    <x v="48"/>
    <s v="AGOSTO"/>
    <s v="HSERV CLEAN"/>
    <s v="EMPORIO MEGA 100 COMERCIO DE ALIMENTOS S.A.-NF 995.260VENCIMENT 18/08/2025"/>
    <n v="-852.44"/>
    <x v="0"/>
    <x v="24"/>
  </r>
  <r>
    <x v="48"/>
    <s v="AGOSTO"/>
    <s v="HSERV COMBINADOS"/>
    <s v="EMPORIO MEGA 100 COMERCIO DE ALIMENTOS S.A.-NF 995.263 VENCIMENTO 18/08/2025"/>
    <n v="-2789.82"/>
    <x v="0"/>
    <x v="24"/>
  </r>
  <r>
    <x v="48"/>
    <s v="AGOSTO"/>
    <s v="HSERV LIMPEZA"/>
    <s v="EMPORIO MEGA 100 COMERCIO DE ALIMENTOS S.A.-NF 995.266 VENCIMENTO 18/08/2025"/>
    <n v="-852.44"/>
    <x v="0"/>
    <x v="24"/>
  </r>
  <r>
    <x v="48"/>
    <s v="AGOSTO"/>
    <s v="HSERV REPRESENTACOES"/>
    <s v="EMPORIO MEGA 100 COMERCIO DE ALIMENTOS S.A.- NF  VENCIMENTO 18/08/2025"/>
    <n v="-619.96"/>
    <x v="0"/>
    <x v="24"/>
  </r>
  <r>
    <x v="48"/>
    <s v="AGOSTO"/>
    <s v="HSERV TECNOLOGIA"/>
    <s v="EMPORIO MEGA 100 COMERCIO DE ALIMENTOS S.A.-NF 995.265 VENCIMENTO 18/08/2025 "/>
    <n v="-154.99"/>
    <x v="0"/>
    <x v="24"/>
  </r>
  <r>
    <x v="48"/>
    <s v="AGOSTO"/>
    <s v="HSERV TERCEIRIZADOS"/>
    <s v="EMPORIO MEGA 100 COMERCIO DE ALIMENTOS S.A.-NF 995.264 VENCIMENTO 18/08/2025"/>
    <n v="-852.44"/>
    <x v="0"/>
    <x v="24"/>
  </r>
  <r>
    <x v="48"/>
    <s v="AGOSTO"/>
    <s v="VITOR DUARTE"/>
    <s v="EMPORIO MEGA 100 COMERCIO DE ALIMENTOS S.A.-NF 995.261 VENCIMENTO 18/08/2025"/>
    <n v="-77.489999999999995"/>
    <x v="0"/>
    <x v="24"/>
  </r>
  <r>
    <x v="48"/>
    <s v="AGOSTO"/>
    <s v="VITOR DUARTE"/>
    <s v="CANOPUS ADMNISTRADORA DE CONSORCIOS- EMPRESTIMO VITOR PESSOAL (VITOR SOLICITOU PAGAMENTO , DEVOLUÇÃO PROGRAMADA PARA 21/08-QUINTA FEIRA)"/>
    <n v="-36835.56"/>
    <x v="0"/>
    <x v="12"/>
  </r>
  <r>
    <x v="59"/>
    <s v="AGOSTO"/>
    <s v="VITOR DUARTE"/>
    <s v="FABIANA FERNANDA GUEDES DA SILVA-FOLHA MEI 07/2025 Período de prestação de serviço Início: 07/07/2025 Término: 05/08/2025"/>
    <n v="-2500"/>
    <x v="0"/>
    <x v="53"/>
  </r>
  <r>
    <x v="59"/>
    <s v="AGOSTO"/>
    <s v="HSERV COMBINADOS"/>
    <s v="DALI OSCAR MARRERO PIQUERO-vale transporte do dia 20/08 ao dia 31/08  R$7,50 por dia  loja 22 valinhos"/>
    <n v="-60"/>
    <x v="0"/>
    <x v="7"/>
  </r>
  <r>
    <x v="59"/>
    <s v="AGOSTO"/>
    <s v="HSERV COMBINADOS"/>
    <s v="LEIA ROSA DA SILVA-vale transporte do dia 20/08 ao dia 31/08 loja 14 a pedido da dona cicera  R$12,30 POR DIA"/>
    <n v="-123"/>
    <x v="0"/>
    <x v="7"/>
  </r>
  <r>
    <x v="59"/>
    <s v="AGOSTO"/>
    <s v="HSERV TECNOLOGIA"/>
    <s v="WELLINTON ABREU DE JESUS-VALE TRANSPORTE DO DIA 20/08 AO DIA 31/08 R$23,30 POR DIA  NOVO SUPERVISOR  ESCALA 4X2"/>
    <n v="-186.4"/>
    <x v="0"/>
    <x v="7"/>
  </r>
  <r>
    <x v="59"/>
    <s v="AGOSTO"/>
    <s v="HSERV TECNOLOGIA"/>
    <s v="WELLINTON ABREU DE JESUS-VALE ALIMENTAÇÃO PARA FINALIZAR O MÊS NOVO SUPERVISOR"/>
    <n v="-166.08"/>
    <x v="0"/>
    <x v="39"/>
  </r>
  <r>
    <x v="59"/>
    <s v="AGOSTO"/>
    <s v="HSERV TERCEIRIZADOS"/>
    <s v="LOTUS CENTRAL DE DISTRIBUICAO DE HIGIENICOS LTDA NF 173.719"/>
    <n v="-1514.4698490000001"/>
    <x v="0"/>
    <x v="7"/>
  </r>
  <r>
    <x v="59"/>
    <s v="AGOSTO"/>
    <s v="HENRIQUE JEAN"/>
    <s v="EMPORIO MEGA 100 COMERCIO DE ALIMENTOS S.A."/>
    <n v="-1239.92"/>
    <x v="0"/>
    <x v="24"/>
  </r>
  <r>
    <x v="59"/>
    <s v="AGOSTO"/>
    <s v="HSERV CABREUVA"/>
    <s v="EMPORIO MEGA 100 COMERCIO DE ALIMENTOS S.A."/>
    <n v="-1627.4"/>
    <x v="0"/>
    <x v="24"/>
  </r>
  <r>
    <x v="59"/>
    <s v="AGOSTO"/>
    <s v="HSERV CLEAN"/>
    <s v="EMPORIO MEGA 100 COMERCIO DE ALIMENTOS S.A."/>
    <n v="-1162.43"/>
    <x v="0"/>
    <x v="24"/>
  </r>
  <r>
    <x v="59"/>
    <s v="AGOSTO"/>
    <s v="HSERV CLEAN"/>
    <s v="EMPORIO MEGA 100 COMERCIO DE ALIMENTOS S.A."/>
    <n v="-3099.8"/>
    <x v="0"/>
    <x v="24"/>
  </r>
  <r>
    <x v="59"/>
    <s v="AGOSTO"/>
    <s v="HSERV COMBINADOS"/>
    <s v="EMPORIO MEGA 100 COMERCIO DE ALIMENTOS S.A."/>
    <n v="-3564.77"/>
    <x v="0"/>
    <x v="24"/>
  </r>
  <r>
    <x v="59"/>
    <s v="AGOSTO"/>
    <s v="HSERV LIMPEZA"/>
    <s v="EMPORIO MEGA 100 COMERCIO DE ALIMENTOS S.A."/>
    <n v="-929.94"/>
    <x v="0"/>
    <x v="24"/>
  </r>
  <r>
    <x v="59"/>
    <s v="AGOSTO"/>
    <s v="HSERV REPRESENTACOES"/>
    <s v="EMPORIO MEGA 100 COMERCIO DE ALIMENTOS S.A."/>
    <n v="-697.46"/>
    <x v="0"/>
    <x v="24"/>
  </r>
  <r>
    <x v="59"/>
    <s v="AGOSTO"/>
    <s v="HSERV TECNOLOGIA"/>
    <s v="EMPORIO MEGA 100 COMERCIO DE ALIMENTOS S.A."/>
    <n v="-2479.84"/>
    <x v="0"/>
    <x v="24"/>
  </r>
  <r>
    <x v="59"/>
    <s v="AGOSTO"/>
    <s v="HSERV TERCEIRIZADOS"/>
    <s v="EMPORIO MEGA 100 COMERCIO DE ALIMENTOS S.A."/>
    <n v="-1394.91"/>
    <x v="0"/>
    <x v="24"/>
  </r>
  <r>
    <x v="59"/>
    <s v="AGOSTO"/>
    <s v="VITOR DUARTE"/>
    <s v="EMPORIO MEGA 100 COMERCIO DE ALIMENTOS S.A."/>
    <n v="-619.96"/>
    <x v="0"/>
    <x v="24"/>
  </r>
  <r>
    <x v="51"/>
    <s v="AGOSTO"/>
    <s v="HENRIQUE JEAN"/>
    <s v="DEBORA CARVALHO DA SILVA-VALE TRANSPORTE DO DIA 12/08 AO DIA 30/08 R$19,00 POR DIA"/>
    <n v="-266"/>
    <x v="0"/>
    <x v="7"/>
  </r>
  <r>
    <x v="51"/>
    <s v="AGOSTO"/>
    <s v="HSERV CLEAN"/>
    <s v="MARIA JOSE CONCEICAO DA SILVA VALE TRANSPORTE DO DIA 12/08 AO DIA 31/08"/>
    <n v="-140"/>
    <x v="0"/>
    <x v="7"/>
  </r>
  <r>
    <x v="51"/>
    <s v="AGOSTO"/>
    <s v="VITOR DUARTE"/>
    <s v="VIVIAN APARECIDA MENDES-DEVOLUÇÃO DE FALTAS DESCONTADAS  - TRABALHOU OS DIAS 26/07 E 30/07"/>
    <n v="-114.48"/>
    <x v="0"/>
    <x v="6"/>
  </r>
  <r>
    <x v="51"/>
    <s v="AGOSTO"/>
    <s v="HSERV CLEAN"/>
    <s v="FEMACON CONSTRUCOES LTDA NF 11.707"/>
    <n v="-1035.44"/>
    <x v="0"/>
    <x v="5"/>
  </r>
  <r>
    <x v="59"/>
    <s v="AGOSTO"/>
    <s v="HSERV TERCEIRIZADOS"/>
    <s v="LOTUS CENTRAL DE DISTRIBUICAO DE HIGIENICOS LTDA- VENCIMENTO 13/08/2025-PRORROGADO PARA O DIA 20/08"/>
    <n v="-1514.4698490000001"/>
    <x v="0"/>
    <x v="4"/>
  </r>
  <r>
    <x v="59"/>
    <s v="AGOSTO"/>
    <s v="HSERV COMBINADOS"/>
    <s v="ELIZANGELA APARECIDA VITOR -JANTA DO DIA 19/08- SUPERVISORA ESTÁ NO BOA DE PEDREIRA JUNTO A COLABORADORA FLAVIA KELLY"/>
    <n v="-62"/>
    <x v="0"/>
    <x v="2"/>
  </r>
  <r>
    <x v="59"/>
    <s v="AGOSTO"/>
    <s v="HSERV COMBINADOS"/>
    <s v="ELIZANGELA APARECIDA VITOR -ALMOÇO DO DIA 20/08- SUPERVISORA ESTÁ NO BOA DE PEDREIRA "/>
    <n v="-26"/>
    <x v="0"/>
    <x v="2"/>
  </r>
  <r>
    <x v="59"/>
    <s v="AGOSTO"/>
    <s v="HSERV COMBINADOS"/>
    <s v="ELIZANGELA APARECIDA VITOR -JANTA DO DIA 20/08- SUPERVISORA ESTÁ NO BOA DE PEDREIRA JUNTO A COLABORADORA FLAVIA KELLY"/>
    <n v="-50"/>
    <x v="0"/>
    <x v="2"/>
  </r>
  <r>
    <x v="68"/>
    <s v="AGOSTO"/>
    <s v="HSERV TERCEIRIZADOS"/>
    <s v="GLOVAN CABREUVA ALUGUEL DE EQUIPAMENTOS LTDA- VENCIMENTO 13/08/2025 NF 6077"/>
    <n v="-115"/>
    <x v="0"/>
    <x v="5"/>
  </r>
  <r>
    <x v="68"/>
    <s v="AGOSTO"/>
    <s v="HSERV COMBINADOS"/>
    <s v="RONALDO SILVA MARQUES"/>
    <n v="-1094.46"/>
    <x v="0"/>
    <x v="6"/>
  </r>
  <r>
    <x v="68"/>
    <s v="AGOSTO"/>
    <s v="HSERV TECNOLOGIA"/>
    <s v="JONATHAN CANDIDO BATISTA"/>
    <n v="-1645.12"/>
    <x v="0"/>
    <x v="6"/>
  </r>
  <r>
    <x v="68"/>
    <s v="AGOSTO"/>
    <s v="HENRIQUE JEAN"/>
    <s v="ANDREIA SOARES DE LIMA DA SILVA"/>
    <n v="-5416.21"/>
    <x v="0"/>
    <x v="6"/>
  </r>
  <r>
    <x v="33"/>
    <s v="AGOSTO"/>
    <s v="VITOR DUARTE"/>
    <s v="ELIZANGELA APARECIDA VITOR- REEMBOLSO DE PEDAGIO"/>
    <n v="-31.81"/>
    <x v="0"/>
    <x v="27"/>
  </r>
  <r>
    <x v="33"/>
    <s v="AGOSTO"/>
    <s v="VITOR DUARTE"/>
    <s v="ELIZANGELA APARECIDA VITOR- REEMBOLSO DE PEDAGIO SP-PLURIX"/>
    <n v="-69.8"/>
    <x v="0"/>
    <x v="27"/>
  </r>
  <r>
    <x v="33"/>
    <s v="AGOSTO"/>
    <s v="VITOR DUARTE"/>
    <s v="ELIZANGELA APARECIDA VITOR- ALIMENTAÇÃO PEDREIRA"/>
    <n v="-204.16"/>
    <x v="0"/>
    <x v="27"/>
  </r>
  <r>
    <x v="33"/>
    <s v="AGOSTO"/>
    <s v="VITOR DUARTE"/>
    <s v="ELIZANGELA APARECIDA VITOR- JANTA DOA DIA 29/08 A 031/08"/>
    <n v="-62.28"/>
    <x v="0"/>
    <x v="27"/>
  </r>
  <r>
    <x v="33"/>
    <s v="AGOSTO"/>
    <s v="HENRIQUE JEAN"/>
    <s v="GUIA GRU - FELIPE ANGELO"/>
    <n v="-149.94999999999999"/>
    <x v="0"/>
    <x v="34"/>
  </r>
  <r>
    <x v="73"/>
    <s v="SETEMBRO"/>
    <s v="HSERV CLEAN"/>
    <s v="J.E. COMERCIO E SOLUCOES LTDA NF 11.491"/>
    <n v="-520"/>
    <x v="0"/>
    <x v="4"/>
  </r>
  <r>
    <x v="68"/>
    <s v="AGOSTO"/>
    <s v="HSERV CLEAN"/>
    <s v="NOVITA VEST CONFECCOES LTDA- JUROS PELA PRORROGAÇÃO DAS NFS  6322, 6103 e 6111"/>
    <n v="-286.75"/>
    <x v="0"/>
    <x v="44"/>
  </r>
  <r>
    <x v="44"/>
    <s v="SETEMBRO"/>
    <s v="HSERV CABREUVA"/>
    <s v="ELEKTRO SALA 16"/>
    <n v="-237.82"/>
    <x v="0"/>
    <x v="0"/>
  </r>
  <r>
    <x v="44"/>
    <s v="SETEMBRO"/>
    <s v="HSERV CABREUVA"/>
    <s v="ELEKTRO SALA 17"/>
    <n v="-216.58"/>
    <x v="0"/>
    <x v="0"/>
  </r>
  <r>
    <x v="44"/>
    <s v="SETEMBRO"/>
    <s v="HSERV CABREUVA"/>
    <s v="ELEKTRO LOJA CLEAN"/>
    <n v="-142.61000000000001"/>
    <x v="0"/>
    <x v="0"/>
  </r>
  <r>
    <x v="27"/>
    <s v="SETEMBRO"/>
    <s v="HSERV COMBINADOS "/>
    <s v="CAIXINHA OPERACIONAL - OSSIRES"/>
    <n v="-2000"/>
    <x v="0"/>
    <x v="1"/>
  </r>
  <r>
    <x v="74"/>
    <s v="SETEMBRO"/>
    <s v="HSERV COMBINADOS "/>
    <s v="GISELE RODRIGUES- CAIXINHA"/>
    <n v="-1500"/>
    <x v="0"/>
    <x v="1"/>
  </r>
  <r>
    <x v="75"/>
    <s v="SETEMBRO"/>
    <s v="HSERV CLEAN"/>
    <s v="INTER"/>
    <n v="10000"/>
    <x v="1"/>
    <x v="12"/>
  </r>
  <r>
    <x v="75"/>
    <s v="SETEMBRO"/>
    <s v="VITOR DUARTE"/>
    <s v="VIVA FOOD R E LTDA"/>
    <n v="-17235"/>
    <x v="0"/>
    <x v="2"/>
  </r>
  <r>
    <x v="73"/>
    <s v="SETEMBRO"/>
    <s v="HSERV TERCEIRIZADOS"/>
    <s v="LOTUS CENTRAL DE DISTRIBUICAO DE HIGIENICOS LTDA NF 189.843"/>
    <n v="-2592.66"/>
    <x v="0"/>
    <x v="4"/>
  </r>
  <r>
    <x v="73"/>
    <s v="SETEMBRO"/>
    <s v="HSERV TERCEIRIZADOS"/>
    <s v="LOTUS CENTRAL DE DISTRIBUICAO DE HIGIENICOS LTDA NF  179.434"/>
    <n v="-809.45"/>
    <x v="0"/>
    <x v="4"/>
  </r>
  <r>
    <x v="73"/>
    <s v="SETEMBRO"/>
    <s v="HENRIQUE JEAN"/>
    <s v="RECOLHIMENTO FGTS EM ATRASO _11/2022-JONATHAN CANDIDO BATISTA"/>
    <n v="-196.87"/>
    <x v="0"/>
    <x v="32"/>
  </r>
  <r>
    <x v="73"/>
    <s v="SETEMBRO"/>
    <s v="HENRIQUE JEAN"/>
    <s v="RECOLHIMENTO FGTS EM ATRASO _12/2022-JONATHAN CANDIDO BATISTA"/>
    <n v="-195.68"/>
    <x v="0"/>
    <x v="32"/>
  </r>
  <r>
    <x v="73"/>
    <s v="SETEMBRO"/>
    <s v="HSERV CLEAN"/>
    <s v="FRANCISCO PEREIRA DOS SANTOS"/>
    <n v="-307.5"/>
    <x v="0"/>
    <x v="7"/>
  </r>
  <r>
    <x v="73"/>
    <s v="SETEMBRO"/>
    <s v="HSERV REPRESENTACOES"/>
    <s v="JOSE SANTOS DE PAULA"/>
    <n v="-80"/>
    <x v="0"/>
    <x v="7"/>
  </r>
  <r>
    <x v="73"/>
    <s v="SETEMBRO"/>
    <s v="HSERV TERCEIRIZADOS ND"/>
    <s v="_x0009_ENCARGOS LIMITE DE CRED- HSERV TERCERIZADOS BRADESCO "/>
    <n v="-669.22"/>
    <x v="0"/>
    <x v="45"/>
  </r>
  <r>
    <x v="76"/>
    <s v="SETEMBRO"/>
    <s v="HSERV CLEAN"/>
    <s v="RSC COM. MAT.P/ CONSTRUCAO LTDA. NF 107.700"/>
    <n v="-210.65"/>
    <x v="0"/>
    <x v="5"/>
  </r>
  <r>
    <x v="76"/>
    <s v="SETEMBRO"/>
    <s v="HSERV COMBINADOS"/>
    <s v="TRANSURB TRANSPORTES URBANOS DE JUNDIAI LTDA"/>
    <n v="-225.3"/>
    <x v="0"/>
    <x v="7"/>
  </r>
  <r>
    <x v="76"/>
    <s v="SETEMBRO"/>
    <s v="HSERV COMBINADOS"/>
    <s v="FLAVIA KELI DE OLIVEIRA FELIX"/>
    <n v="-171.7"/>
    <x v="0"/>
    <x v="7"/>
  </r>
  <r>
    <x v="76"/>
    <s v="SETEMBRO"/>
    <s v="HSERV TECNOLOGIA"/>
    <s v="WELLINTON ABREU DE JESUS"/>
    <n v="-186.04"/>
    <x v="0"/>
    <x v="7"/>
  </r>
  <r>
    <x v="76"/>
    <s v="SETEMBRO"/>
    <s v="HSERV TERCEIRIZADOS"/>
    <s v="OZEIAS ROBERTO DA SILVEIRA"/>
    <n v="-140"/>
    <x v="0"/>
    <x v="7"/>
  </r>
  <r>
    <x v="76"/>
    <s v="SETEMBRO"/>
    <s v="HSERV CABREUVA"/>
    <s v="ALEXANDRA SILVA DE LIMA"/>
    <n v="-264"/>
    <x v="0"/>
    <x v="7"/>
  </r>
  <r>
    <x v="76"/>
    <s v="SETEMBRO"/>
    <s v="HSERV COMBINADOS"/>
    <s v="JHENNIFER KETREN LOPES FERREIRA"/>
    <n v="-86.1"/>
    <x v="0"/>
    <x v="7"/>
  </r>
  <r>
    <x v="76"/>
    <s v="SETEMBRO"/>
    <s v="HSERV COMBINADOS"/>
    <s v="ROSANGELA CAMPOS PERROUD"/>
    <n v="-86.1"/>
    <x v="0"/>
    <x v="7"/>
  </r>
  <r>
    <x v="76"/>
    <s v="SETEMBRO"/>
    <s v="HSERV LIMPEZA"/>
    <s v="DOUGLAS ALCANTARA FIGUEIREDO"/>
    <n v="-274"/>
    <x v="0"/>
    <x v="7"/>
  </r>
  <r>
    <x v="76"/>
    <s v="SETEMBRO"/>
    <s v="VITOR DUARTE"/>
    <s v="IFOOD.COM AGENCIA DE RESTAURANTES ONLINE S.A."/>
    <n v="-177"/>
    <x v="0"/>
    <x v="26"/>
  </r>
  <r>
    <x v="76"/>
    <s v="SETEMBRO"/>
    <s v="VITOR DUARTE"/>
    <s v="IFOOD.COM AGENCIA DE RESTAURANTES ONLINE S.A.BRUNA MAYARA - VA 22/08 AO DIA 31/08 R$20,76 - VOLTOU DE AFASTAMENTO"/>
    <n v="-145.32"/>
    <x v="0"/>
    <x v="39"/>
  </r>
  <r>
    <x v="76"/>
    <s v="SETEMBRO"/>
    <s v="HSERV CLEAN"/>
    <s v="J.E. COMERCIO E SOLUCOES LTDA NF 11.431"/>
    <n v="-3135.73"/>
    <x v="0"/>
    <x v="4"/>
  </r>
  <r>
    <x v="64"/>
    <s v="SETEMBRO"/>
    <s v="HSERV CLEAN"/>
    <s v="FELIPE ANGELO-GUIA DE GPS"/>
    <n v="-1000"/>
    <x v="0"/>
    <x v="4"/>
  </r>
  <r>
    <x v="74"/>
    <s v="SETEMBRO"/>
    <s v="HSERV CLEAN"/>
    <s v="_x0009_ENCARGOS DESCOBERTO CC"/>
    <n v="-342.12"/>
    <x v="0"/>
    <x v="45"/>
  </r>
  <r>
    <x v="74"/>
    <s v="SETEMBRO"/>
    <s v="HSERV CLEAN"/>
    <s v="_x0009_IOF S/ UTILIZACAO LIMITE"/>
    <n v="-78.150000000000006"/>
    <x v="0"/>
    <x v="45"/>
  </r>
  <r>
    <x v="74"/>
    <s v="SETEMBRO"/>
    <s v="HSERV CABREUVA"/>
    <s v="BANCO ITAUCARD S.A.- "/>
    <n v="-3809.98"/>
    <x v="0"/>
    <x v="8"/>
  </r>
  <r>
    <x v="74"/>
    <s v="SETEMBRO"/>
    <s v="HSERV COMBINADOS"/>
    <s v="TAR PLANO ADAPT 3 05/24"/>
    <n v="-389"/>
    <x v="0"/>
    <x v="9"/>
  </r>
  <r>
    <x v="74"/>
    <s v="SETEMBRO"/>
    <s v="HSERV TECNOLOGIA"/>
    <s v="TAR PLANO ADAPT 3 05/24"/>
    <n v="-389"/>
    <x v="0"/>
    <x v="9"/>
  </r>
  <r>
    <x v="74"/>
    <s v="SETEMBRO"/>
    <s v="HSERV LIMPEZA"/>
    <s v="TAR PLANO ADAPT 3 05/24"/>
    <n v="-389"/>
    <x v="0"/>
    <x v="9"/>
  </r>
  <r>
    <x v="74"/>
    <s v="SETEMBRO"/>
    <s v="HSERV COMBINADOS"/>
    <s v="ROSEMEIRE VIEIRA BEZERRA"/>
    <n v="-319.8"/>
    <x v="0"/>
    <x v="7"/>
  </r>
  <r>
    <x v="74"/>
    <s v="SETEMBRO"/>
    <s v="HSERV COMBINADOS"/>
    <s v="DENIS CARLOS DA ROCHA"/>
    <n v="-117.6"/>
    <x v="0"/>
    <x v="7"/>
  </r>
  <r>
    <x v="74"/>
    <s v="SETEMBRO"/>
    <s v="HSERV COMBINADOS"/>
    <s v="NATALIA DA SILVA"/>
    <n v="-177"/>
    <x v="0"/>
    <x v="7"/>
  </r>
  <r>
    <x v="74"/>
    <s v="SETEMBRO"/>
    <s v="HSERV REPRESENTACOES"/>
    <s v="ALEXANDRE DONIZETE DOS SANTOS ALVES"/>
    <n v="-140"/>
    <x v="0"/>
    <x v="7"/>
  </r>
  <r>
    <x v="74"/>
    <s v="SETEMBRO"/>
    <s v="HSERV TERCEIRIZADOS"/>
    <s v="MARIA HELENA - FT DIA 25/08 PEDREIRA- DESCONTADO R$ 69,00 DO DIA DE TRABALHO DELA "/>
    <n v="-131"/>
    <x v="0"/>
    <x v="13"/>
  </r>
  <r>
    <x v="74"/>
    <s v="SETEMBRO"/>
    <s v="HSERV CLEAN"/>
    <s v="SPARTAN DO BRASIL PRODUTOS QUIMICOS LTDA NF 258.675"/>
    <n v="-9520.32"/>
    <x v="0"/>
    <x v="4"/>
  </r>
  <r>
    <x v="75"/>
    <s v="SETEMBRO"/>
    <s v="HSERV CLEAN"/>
    <s v="CREDIFIT SOCIEDADE DE CREDITO DIRETO S.A."/>
    <n v="-215.21"/>
    <x v="0"/>
    <x v="46"/>
  </r>
  <r>
    <x v="75"/>
    <s v="SETEMBRO"/>
    <s v="HSERV REPRESENTACOES"/>
    <s v="CREDIFIT SOCIEDADE DE CREDITO DIRETO S.A."/>
    <n v="-376.91"/>
    <x v="0"/>
    <x v="46"/>
  </r>
  <r>
    <x v="57"/>
    <s v="AGOSTO"/>
    <s v="VITOR DUARTE"/>
    <s v="RESOLVE ALIMENTACAO LTDA"/>
    <n v="-643.76"/>
    <x v="0"/>
    <x v="2"/>
  </r>
  <r>
    <x v="57"/>
    <s v="SETEMBRO"/>
    <s v="HSERV COMBINADOS"/>
    <s v="ANDRADE FREITAS SOCIEDADE DE ADVOGADOS-Proc 0012259-82.2024.5.15.0021 AUTOR: ESTEVAO GOMES DE SOUZA   PARCELA 1/5"/>
    <n v="-5600"/>
    <x v="0"/>
    <x v="34"/>
  </r>
  <r>
    <x v="57"/>
    <s v="SETEMBRO"/>
    <s v="HSERV TERCEIRIZADOS"/>
    <s v="CAETANO BERNARDES NEUBAUER-Proc 0010591-77.2025.5.15.0074 RECLAMANTE: SIMONE FERREIRA DA SILVA PARCELA 1/6"/>
    <n v="-1000"/>
    <x v="0"/>
    <x v="34"/>
  </r>
  <r>
    <x v="57"/>
    <s v="SETEMBRO"/>
    <s v="VITOR DUARTE"/>
    <s v="SCOLA &amp; FALCAO SOCIEDADE DE ADVOGADAS-Processo: 0010503-86.2025.5.15.0026 -NAIR DONIZETE TEODORO DE ANDRADE  PARCELA 1/5"/>
    <n v="-1000"/>
    <x v="0"/>
    <x v="34"/>
  </r>
  <r>
    <x v="57"/>
    <s v="SETEMBRO"/>
    <s v="VITOR DUARTE"/>
    <s v="MAIKON CEZARIO DOS SANTOS COPINO"/>
    <n v="-318.8"/>
    <x v="0"/>
    <x v="6"/>
  </r>
  <r>
    <x v="57"/>
    <s v="SETEMBRO"/>
    <s v="VITOR DUARTE"/>
    <s v="JULIO CEZAR IGLESIAS DE LIMA"/>
    <n v="-1470"/>
    <x v="0"/>
    <x v="62"/>
  </r>
  <r>
    <x v="57"/>
    <s v="SETEMBRO"/>
    <s v="VITOR DUARTE"/>
    <s v="ALTOLIM COMERCIAL ASSIS EIRELI - ME"/>
    <n v="-59.34"/>
    <x v="0"/>
    <x v="44"/>
  </r>
  <r>
    <x v="57"/>
    <s v="SETEMBRO"/>
    <s v="HENRIQUE JEAN"/>
    <s v="CONDOMINIO NEX ONE CONSOLAÇÃO BELAS ARTES- ROBOTTON"/>
    <n v="-701.1"/>
    <x v="0"/>
    <x v="10"/>
  </r>
  <r>
    <x v="75"/>
    <s v="SETEMBRO"/>
    <s v="HSERV CABREUVA"/>
    <s v="SALARIO CLT, PENSÃO ALIMENTICIA, BONUS-"/>
    <n v="-461722.54"/>
    <x v="0"/>
    <x v="11"/>
  </r>
  <r>
    <x v="75"/>
    <s v="SETEMBRO"/>
    <s v="HSERV CABREUVA"/>
    <s v="ESTER CARDOZO DE LIMA "/>
    <n v="-500"/>
    <x v="0"/>
    <x v="11"/>
  </r>
  <r>
    <x v="75"/>
    <s v="SETEMBRO"/>
    <s v="HSERV CABREUVA"/>
    <s v="MARCOS ANTONIO COUTO DO NASCIMENTO"/>
    <n v="-1500"/>
    <x v="0"/>
    <x v="11"/>
  </r>
  <r>
    <x v="75"/>
    <s v="SETEMBRO"/>
    <s v="HSERV CABREUVA"/>
    <s v="MARIA SOCORRO DA SILVA PEREIRA"/>
    <n v="-1974.52"/>
    <x v="0"/>
    <x v="11"/>
  </r>
  <r>
    <x v="58"/>
    <s v="SETEMBRO"/>
    <s v="HSERV CLEAN"/>
    <s v="EMPRESTIMO HSERV CLEAN BRADESCO -PARCELA MENSAL"/>
    <n v="-5523.75"/>
    <x v="0"/>
    <x v="12"/>
  </r>
  <r>
    <x v="75"/>
    <s v="SETEMBRO"/>
    <s v="HSERV CLEAN"/>
    <s v="J.E. COMERCIO E SOLUCOES LTDA  NF 11.571"/>
    <n v="-480"/>
    <x v="0"/>
    <x v="4"/>
  </r>
  <r>
    <x v="75"/>
    <s v="SETEMBRO"/>
    <s v="HSERV CLEAN"/>
    <s v="J.E. COMERCIO E SOLUCOES LTDA NF 11.570"/>
    <n v="-531"/>
    <x v="0"/>
    <x v="4"/>
  </r>
  <r>
    <x v="75"/>
    <s v="SETEMBRO"/>
    <s v="VITOR DUARTE"/>
    <s v="L. A. DE SOUZA - EQUIPAMENTOS DE SEGURANCA LTDA"/>
    <n v="-304.5"/>
    <x v="0"/>
    <x v="44"/>
  </r>
  <r>
    <x v="57"/>
    <s v="SETEMBRO"/>
    <s v="HSERV COMBINADOS "/>
    <s v="FT ASSIS E REGIÃO- "/>
    <n v="-6740"/>
    <x v="0"/>
    <x v="13"/>
  </r>
  <r>
    <x v="27"/>
    <s v="SETEMBRO"/>
    <s v="VITOR DUARTE"/>
    <s v="VIVA FOOD R E LTDA"/>
    <n v="-17235"/>
    <x v="0"/>
    <x v="2"/>
  </r>
  <r>
    <x v="77"/>
    <s v="SETEMBRO"/>
    <s v="HSERV TECNOLOGIA"/>
    <s v="PAPEL E CIA"/>
    <n v="-434.35"/>
    <x v="0"/>
    <x v="43"/>
  </r>
  <r>
    <x v="58"/>
    <s v="SETEMBRO"/>
    <s v="HENRIQUE JEAN"/>
    <s v="BRASIL MEDICINA E SAUDE PREVENTIVA ORGANIZACAO, GESTAO E CON"/>
    <n v="-353.3"/>
    <x v="0"/>
    <x v="14"/>
  </r>
  <r>
    <x v="58"/>
    <s v="SETEMBRO"/>
    <s v="HSERV CABREUVA"/>
    <s v="BRASIL MEDICINA E SAUDE PREVENTIVA ORGANIZACAO, GESTAO E CON"/>
    <n v="-812.59"/>
    <x v="0"/>
    <x v="14"/>
  </r>
  <r>
    <x v="58"/>
    <s v="SETEMBRO"/>
    <s v="HSERV CLEAN"/>
    <s v="BRASIL MEDICINA E SAUDE PREVENTIVA ORGANIZACAO, GESTAO E CON"/>
    <n v="-847.92"/>
    <x v="0"/>
    <x v="14"/>
  </r>
  <r>
    <x v="58"/>
    <s v="SETEMBRO"/>
    <s v="HSERV COMBINADOS"/>
    <s v="BRASIL MEDICINA E SAUDE PREVENTIVA ORGANIZACAO, GESTAO E CON"/>
    <n v="-1766.5"/>
    <x v="0"/>
    <x v="14"/>
  </r>
  <r>
    <x v="58"/>
    <s v="SETEMBRO"/>
    <s v="HSERV LIMPEZA"/>
    <s v="BRASIL MEDICINA E SAUDE PREVENTIVA ORGANIZACAO, GESTAO E CON"/>
    <n v="-529.95000000000005"/>
    <x v="0"/>
    <x v="14"/>
  </r>
  <r>
    <x v="58"/>
    <s v="SETEMBRO"/>
    <s v="HSERV REPRESENTACOES"/>
    <s v="BRASIL MEDICINA E SAUDE PREVENTIVA ORGANIZACAO, GESTAO E CON"/>
    <n v="-812.59"/>
    <x v="0"/>
    <x v="14"/>
  </r>
  <r>
    <x v="58"/>
    <s v="SETEMBRO"/>
    <s v="HSERV TECNOLOGIA"/>
    <s v="BRASIL MEDICINA E SAUDE PREVENTIVA ORGANIZACAO, GESTAO E CON"/>
    <n v="-1589.85"/>
    <x v="0"/>
    <x v="14"/>
  </r>
  <r>
    <x v="58"/>
    <s v="SETEMBRO"/>
    <s v="HSERV TERCEIRIZADOS"/>
    <s v="BRASIL MEDICINA E SAUDE PREVENTIVA ORGANIZACAO, GESTAO E CON"/>
    <n v="-918.58"/>
    <x v="0"/>
    <x v="14"/>
  </r>
  <r>
    <x v="58"/>
    <s v="SETEMBRO"/>
    <s v="VITOR DUARTE"/>
    <s v="BRASIL MEDICINA E SAUDE PREVENTIVA ORGANIZACAO, GESTAO E CON"/>
    <n v="-989.24"/>
    <x v="0"/>
    <x v="14"/>
  </r>
  <r>
    <x v="77"/>
    <s v="SETEMBRO"/>
    <s v="HSERV CABREUVA"/>
    <s v="SERGIO LUIZ BERTOLO"/>
    <n v="-356.64"/>
    <x v="0"/>
    <x v="15"/>
  </r>
  <r>
    <x v="40"/>
    <s v="SETEMBRO"/>
    <s v="HSERV COMBINADOS "/>
    <s v="JAIR RÉ-COMISSÃO DE VENDAS DE SERVIÇOS "/>
    <n v="-1000"/>
    <x v="0"/>
    <x v="17"/>
  </r>
  <r>
    <x v="77"/>
    <s v="SETEMBRO"/>
    <s v="VITOR DUARTE"/>
    <s v="MARCASA-SEGURANÇA VEPAKUM"/>
    <n v="-10500"/>
    <x v="0"/>
    <x v="16"/>
  </r>
  <r>
    <x v="64"/>
    <s v="SETEMBRO"/>
    <s v="HSERV CLEAN"/>
    <s v="SOFT WORKS EPI CALCADOS LTDA"/>
    <n v="-833"/>
    <x v="0"/>
    <x v="44"/>
  </r>
  <r>
    <x v="64"/>
    <s v="SETEMBRO"/>
    <s v="HSERV COMBINADOS"/>
    <s v="WASHINGTON LUIZ DO NASCIMENTO SILVA-FT MOEMA 02/09"/>
    <n v="-100"/>
    <x v="0"/>
    <x v="53"/>
  </r>
  <r>
    <x v="64"/>
    <s v="SETEMBRO"/>
    <s v="HSERV COMBINADOS"/>
    <s v="LUANA RODRIGUES DOS REIS-FT MOEMA - 02,03,04 E 05/09"/>
    <n v="-400"/>
    <x v="0"/>
    <x v="53"/>
  </r>
  <r>
    <x v="64"/>
    <s v="SETEMBRO"/>
    <s v="HSERV TERCEIRIZADOS"/>
    <s v="FABRICIO DOS SANTOS FURQUIM-ADICONAL NOTURNO - 120 HORAS"/>
    <n v="-220.49"/>
    <x v="0"/>
    <x v="53"/>
  </r>
  <r>
    <x v="64"/>
    <s v="SETEMBRO"/>
    <s v="VITOR  DUARTE"/>
    <s v="RONDAWEB CONEXOES LTDA"/>
    <n v="-395.73"/>
    <x v="0"/>
    <x v="21"/>
  </r>
  <r>
    <x v="64"/>
    <s v="SETEMBRO"/>
    <s v="HSERV TERCEIRIZADOS"/>
    <s v="WIG COMERCIO DE BATERIAS COMPONENTES LTDA"/>
    <n v="-886.67"/>
    <x v="0"/>
    <x v="4"/>
  </r>
  <r>
    <x v="58"/>
    <s v="SETEMBRO"/>
    <s v="HSERV COMBINADOS "/>
    <s v="JHONNY WALACE"/>
    <n v="-980.34"/>
    <x v="0"/>
    <x v="17"/>
  </r>
  <r>
    <x v="77"/>
    <s v="SETEMBRO"/>
    <s v="HENRIQUE JEAN"/>
    <s v="PROLABORE SOCIOS CRISTIANE-MARIA JOSE, GUTHIERRI"/>
    <n v="-3000"/>
    <x v="0"/>
    <x v="18"/>
  </r>
  <r>
    <x v="77"/>
    <s v="SETEMBRO"/>
    <s v="HENRIQUE JEAN"/>
    <s v="CARTÃO VITOR"/>
    <n v="-3412.15"/>
    <x v="0"/>
    <x v="18"/>
  </r>
  <r>
    <x v="77"/>
    <s v="SETEMBRO"/>
    <s v="HSERV CLEAN"/>
    <s v="INTERMEDICA"/>
    <n v="-6536.85"/>
    <x v="0"/>
    <x v="19"/>
  </r>
  <r>
    <x v="77"/>
    <s v="SETEMBRO"/>
    <s v="HSERV CABREUVA"/>
    <s v="AUTO POSTO JARDIM DAS HORTENCI"/>
    <n v="-7479.07"/>
    <x v="0"/>
    <x v="20"/>
  </r>
  <r>
    <x v="77"/>
    <s v="SETEMBRO"/>
    <s v="HENRIQUE JEAN ND"/>
    <s v="FIT ADM (VIDA NOVA) 34-07"/>
    <n v="-442.04"/>
    <x v="0"/>
    <x v="10"/>
  </r>
  <r>
    <x v="64"/>
    <s v="SETEMBRO"/>
    <s v="HSERV CABREUVA"/>
    <s v="KEVYN TAWAN BERTONHA FERREIRA"/>
    <n v="-61.5"/>
    <x v="0"/>
    <x v="7"/>
  </r>
  <r>
    <x v="64"/>
    <s v="SETEMBRO"/>
    <s v="HSERV COMBINADOS"/>
    <s v="JEFFERSON FERREIRA SANTOS"/>
    <n v="-280"/>
    <x v="0"/>
    <x v="7"/>
  </r>
  <r>
    <x v="64"/>
    <s v="SETEMBRO"/>
    <s v="HSERV COMBINADOS"/>
    <s v="ELIANA CRISTINA DE OLIVEIRA"/>
    <n v="-289"/>
    <x v="0"/>
    <x v="7"/>
  </r>
  <r>
    <x v="64"/>
    <s v="SETEMBRO"/>
    <s v="HSERV COMBINADOS"/>
    <s v="JOSE FERNANDO CAVALCANTE DE ALBUQUERQUE"/>
    <n v="-205"/>
    <x v="0"/>
    <x v="7"/>
  </r>
  <r>
    <x v="64"/>
    <s v="SETEMBRO"/>
    <s v="HSERV REPRESENTACOES"/>
    <s v="RAPIDO LUXO CAMPINAS LTDA"/>
    <n v="-123.9"/>
    <x v="0"/>
    <x v="7"/>
  </r>
  <r>
    <x v="64"/>
    <s v="SETEMBRO"/>
    <s v="HSERV TECNOLOGIA"/>
    <s v="FELIPE NUNES MACHADO"/>
    <n v="-205"/>
    <x v="0"/>
    <x v="7"/>
  </r>
  <r>
    <x v="60"/>
    <s v="SETEMBRO"/>
    <s v="HSERV TERCEIRIZADOS"/>
    <s v="MOVIDA PARTICIPACOES S.A.-PROVISÃO MENSAL"/>
    <n v="-4347.01"/>
    <x v="0"/>
    <x v="29"/>
  </r>
  <r>
    <x v="60"/>
    <s v="SETEMBRO"/>
    <s v="HSERV TERCEIRIZADOS"/>
    <s v="MOVIDA PARTICIPACOES S.A.-PROVISÃO MENSAL"/>
    <n v="-2173.96"/>
    <x v="0"/>
    <x v="29"/>
  </r>
  <r>
    <x v="27"/>
    <s v="SETEMBRO"/>
    <s v="HSERV TERCEIRIZADOS"/>
    <s v="MOVIDA PARTICIPACOES S.A."/>
    <n v="-4375.75"/>
    <x v="0"/>
    <x v="29"/>
  </r>
  <r>
    <x v="27"/>
    <s v="SETEMBRO"/>
    <s v="HSERV CABREUVA"/>
    <s v="NOVITA VEST CONFECCOES LTDA"/>
    <n v="-2045"/>
    <x v="0"/>
    <x v="44"/>
  </r>
  <r>
    <x v="27"/>
    <s v="SETEMBRO"/>
    <s v="HSERV TERCEIRIZADOS"/>
    <s v="GLOVAN CABREUVA ALUGUEL DE EQUIPAMENTOS LTDA"/>
    <n v="-247"/>
    <x v="0"/>
    <x v="5"/>
  </r>
  <r>
    <x v="60"/>
    <s v="SETEMBRO"/>
    <s v="HSERV CABREUVA"/>
    <s v="NICOLAS BARBATI BERNARDO"/>
    <n v="-1279.42"/>
    <x v="0"/>
    <x v="6"/>
  </r>
  <r>
    <x v="60"/>
    <s v="SETEMBRO"/>
    <s v="HSERV CABREUVA"/>
    <s v="RESCISÕES"/>
    <n v="-23000"/>
    <x v="0"/>
    <x v="6"/>
  </r>
  <r>
    <x v="58"/>
    <s v="SETEMBRO"/>
    <s v="HSERV CABREUVA"/>
    <s v="SALARIOS MEI"/>
    <n v="-70423.179999999993"/>
    <x v="0"/>
    <x v="11"/>
  </r>
  <r>
    <x v="58"/>
    <s v="SETEMBRO"/>
    <s v="VITOR DUARTE"/>
    <s v="IFOOD.COM AGENCIA DE RESTAURANTES ONLINE S.A.-ASSIDUIDADE RICOY"/>
    <n v="-900"/>
    <x v="0"/>
    <x v="23"/>
  </r>
  <r>
    <x v="58"/>
    <s v="SETEMBRO"/>
    <s v="VITOR DUARTE"/>
    <s v="IFOOD.COM AGENCIA DE RESTAURANTES ONLINE S.A.-ASSIDUIDADE EMPRESAS"/>
    <n v="-15600"/>
    <x v="0"/>
    <x v="23"/>
  </r>
  <r>
    <x v="58"/>
    <s v="SETEMBRO"/>
    <s v="VITOR DUARTE"/>
    <s v="IFOOD.COM AGENCIA DE RESTAURANTES ONLINE S.A.- ASSIDUIDADE AVENIDA "/>
    <n v="-4500"/>
    <x v="0"/>
    <x v="23"/>
  </r>
  <r>
    <x v="58"/>
    <s v="SETEMBRO"/>
    <s v="VITOR DUARTE"/>
    <s v="IFOOD.COM AGENCIA DE RESTAURANTES ONLINE S.A.-ASSIDUIDADE "/>
    <n v="-24000"/>
    <x v="0"/>
    <x v="23"/>
  </r>
  <r>
    <x v="58"/>
    <s v="SETEMBRO"/>
    <s v="HSERV COMBINADOS"/>
    <s v="JEFFERSON FERREIRA SANTOS"/>
    <n v="-352.92"/>
    <x v="0"/>
    <x v="2"/>
  </r>
  <r>
    <x v="58"/>
    <s v="SETEMBRO"/>
    <s v="HSERV COMBINADOS"/>
    <s v="TAMIRES DA SILVA CAPUCHINHO"/>
    <n v="-435.96"/>
    <x v="0"/>
    <x v="2"/>
  </r>
  <r>
    <x v="58"/>
    <s v="SETEMBRO"/>
    <s v="HSERV COMBINADOS"/>
    <s v="LUANA RODRIGUES DOS REIS"/>
    <n v="-435.96"/>
    <x v="0"/>
    <x v="2"/>
  </r>
  <r>
    <x v="58"/>
    <s v="SETEMBRO"/>
    <s v="VITOR DUARTE"/>
    <s v="IFOOD.COM AGENCIA DE RESTAURANTES ONLINE S.A."/>
    <n v="-44157.08"/>
    <x v="0"/>
    <x v="2"/>
  </r>
  <r>
    <x v="58"/>
    <s v="SETEMBRO"/>
    <s v="VITOR DUARTE"/>
    <s v="IFOOD.COM AGENCIA DE RESTAURANTES ONLINE S.A."/>
    <n v="-42433.760000000002"/>
    <x v="0"/>
    <x v="2"/>
  </r>
  <r>
    <x v="58"/>
    <s v="SETEMBRO"/>
    <s v="VITOR DUARTE"/>
    <s v="JHONY WALLACE GOMES DE OLIVEIRA"/>
    <n v="-435.96"/>
    <x v="0"/>
    <x v="2"/>
  </r>
  <r>
    <x v="58"/>
    <s v="SETEMBRO"/>
    <s v="VITOR DUARTE"/>
    <s v="IFOOD.COM AGENCIA DE RESTAURANTES ONLINE S.A."/>
    <n v="-435.96"/>
    <x v="0"/>
    <x v="2"/>
  </r>
  <r>
    <x v="58"/>
    <s v="SETEMBRO"/>
    <s v="VITOR DUARTE"/>
    <s v="GISELE RODRIGUES DOS SANTOS"/>
    <n v="-435.96"/>
    <x v="0"/>
    <x v="2"/>
  </r>
  <r>
    <x v="58"/>
    <s v="SETEMBRO"/>
    <s v="VITOR DUARTE"/>
    <s v="FABIOLA FARIAS FELIX"/>
    <n v="-415.2"/>
    <x v="0"/>
    <x v="2"/>
  </r>
  <r>
    <x v="58"/>
    <s v="SETEMBRO"/>
    <s v="HSERV CABREUVA"/>
    <s v="GABRIEL DO NASCIMENTO NEVES"/>
    <n v="-276"/>
    <x v="0"/>
    <x v="7"/>
  </r>
  <r>
    <x v="58"/>
    <s v="SETEMBRO"/>
    <s v="HSERV COMBINADOS"/>
    <s v="TAMIRES DA SILVA CAPUCHINHO"/>
    <n v="-301.39999999999998"/>
    <x v="0"/>
    <x v="7"/>
  </r>
  <r>
    <x v="58"/>
    <s v="SETEMBRO"/>
    <s v="HSERV COMBINADOS"/>
    <s v="JOAO VITOR RODRIGUES DA SILVA"/>
    <n v="-250"/>
    <x v="0"/>
    <x v="7"/>
  </r>
  <r>
    <x v="58"/>
    <s v="SETEMBRO"/>
    <s v="HSERV COMBINADOS"/>
    <s v="MARIA SOCORRO DA SILVA PEREIRA"/>
    <n v="-90"/>
    <x v="0"/>
    <x v="7"/>
  </r>
  <r>
    <x v="58"/>
    <s v="SETEMBRO"/>
    <s v="HSERV TECNOLOGIA"/>
    <s v="THIAGO ALMEIDA SANTANA"/>
    <n v="-100"/>
    <x v="0"/>
    <x v="7"/>
  </r>
  <r>
    <x v="58"/>
    <s v="SETEMBRO"/>
    <s v="HSERV TECNOLOGIA"/>
    <s v="WELLINTON ABREU DE JESUS"/>
    <n v="-256.08"/>
    <x v="0"/>
    <x v="7"/>
  </r>
  <r>
    <x v="58"/>
    <s v="SETEMBRO"/>
    <s v="HSERV TECNOLOGIA"/>
    <s v="JULIA LOURENCIO FRANCO"/>
    <n v="-301.39999999999998"/>
    <x v="0"/>
    <x v="7"/>
  </r>
  <r>
    <x v="58"/>
    <s v="SETEMBRO"/>
    <s v="HSERV TECNOLOGIA"/>
    <s v="QUEILA JESUS BERNARDES DE OLIVEIRA"/>
    <n v="-100"/>
    <x v="0"/>
    <x v="7"/>
  </r>
  <r>
    <x v="58"/>
    <s v="SETEMBRO"/>
    <s v="HSERV TERCEIRIZADOS"/>
    <s v="ESTER CARDOZO DE LIMA"/>
    <n v="-100"/>
    <x v="0"/>
    <x v="7"/>
  </r>
  <r>
    <x v="58"/>
    <s v="SETEMBRO"/>
    <s v="VITOR DUARTE"/>
    <s v="FABIOLA FARIAS FELIX"/>
    <n v="-286.36"/>
    <x v="0"/>
    <x v="7"/>
  </r>
  <r>
    <x v="58"/>
    <s v="SETEMBRO"/>
    <s v="VITOR DUARTE"/>
    <s v="JAIR APARECIDO RE"/>
    <n v="-275"/>
    <x v="0"/>
    <x v="7"/>
  </r>
  <r>
    <x v="58"/>
    <s v="SETEMBRO"/>
    <s v="VITOR DUARTE"/>
    <s v="JHONY WALLACE GOMES DE OLIVEIRA"/>
    <n v="-100"/>
    <x v="0"/>
    <x v="7"/>
  </r>
  <r>
    <x v="58"/>
    <s v="SETEMBRO"/>
    <s v="VITOR DUARTE"/>
    <s v="PAMELA GREICE MARINHO ROCHA"/>
    <n v="-249.9"/>
    <x v="0"/>
    <x v="7"/>
  </r>
  <r>
    <x v="58"/>
    <s v="SETEMBRO"/>
    <s v="VITOR DUARTE"/>
    <s v="BOLETO OTAVIO"/>
    <n v="-20000"/>
    <x v="0"/>
    <x v="18"/>
  </r>
  <r>
    <x v="58"/>
    <s v="SETEMBRO"/>
    <s v="VITOR DUARTE"/>
    <s v="FABIOLA FARIAS FELIX"/>
    <n v="-144.68"/>
    <x v="0"/>
    <x v="24"/>
  </r>
  <r>
    <x v="58"/>
    <s v="SETEMBRO"/>
    <s v="HSERV COMBINADOS "/>
    <s v="ESTER CARDOZO"/>
    <n v="-1375"/>
    <x v="0"/>
    <x v="11"/>
  </r>
  <r>
    <x v="58"/>
    <s v="SETEMBRO"/>
    <s v="HSERV  COMBINADOS "/>
    <s v="PAMELA ROCHA MARINHO-BONUS  GERENCIA "/>
    <n v="-2281.6999999999998"/>
    <x v="0"/>
    <x v="11"/>
  </r>
  <r>
    <x v="58"/>
    <s v="SETEMBRO"/>
    <s v="HSERV CABREUVA"/>
    <s v="SEM PARAR"/>
    <n v="-3962.8"/>
    <x v="0"/>
    <x v="20"/>
  </r>
  <r>
    <x v="58"/>
    <s v="SETEMBRO"/>
    <s v="VITOR DUARTE"/>
    <s v="CARTAO DE CRÉDITO- VITOR"/>
    <n v="-9572.4"/>
    <x v="0"/>
    <x v="25"/>
  </r>
  <r>
    <x v="58"/>
    <s v="SETEMBRO"/>
    <s v="HENRIQUE JEAN"/>
    <s v="CARTÃO DE CREDITO"/>
    <n v="-2324.5500000000002"/>
    <x v="0"/>
    <x v="25"/>
  </r>
  <r>
    <x v="58"/>
    <s v="SETEMBRO"/>
    <s v="HSERV COMBINADOS"/>
    <s v="CARTÃO DE CREDITO"/>
    <n v="-1297.19"/>
    <x v="0"/>
    <x v="25"/>
  </r>
  <r>
    <x v="27"/>
    <s v="SETEMBRO"/>
    <s v="VITOR DUARTE"/>
    <s v="LUCAS VITOR NUNES"/>
    <n v="-1699.81"/>
    <x v="0"/>
    <x v="6"/>
  </r>
  <r>
    <x v="27"/>
    <s v="SETEMBRO"/>
    <s v="VITOR DUARTE"/>
    <s v="LUCAS VITOR NUNES"/>
    <n v="-243.64"/>
    <x v="0"/>
    <x v="6"/>
  </r>
  <r>
    <x v="27"/>
    <s v="SETEMBRO"/>
    <s v="HSERV COMBINADOS"/>
    <s v="GUSTAVO AMARANTE DA SILVA"/>
    <n v="-1280.94"/>
    <x v="0"/>
    <x v="6"/>
  </r>
  <r>
    <x v="27"/>
    <s v="SETEMBRO"/>
    <s v="HSERV TECNOLOGIA"/>
    <s v="MATHEUS RODRIGUES RIBEIRO"/>
    <n v="-369.34"/>
    <x v="0"/>
    <x v="6"/>
  </r>
  <r>
    <x v="27"/>
    <s v="SETEMBRO"/>
    <s v="HSERV CLEAN"/>
    <s v="GILBERTO SILVA SANTOS"/>
    <n v="-5.28"/>
    <x v="0"/>
    <x v="6"/>
  </r>
  <r>
    <x v="27"/>
    <s v="SETEMBRO"/>
    <s v="HSERV COMBINADOS"/>
    <s v="GRRF LUIZ RICARDO DE MORAES"/>
    <n v="-975.67"/>
    <x v="0"/>
    <x v="6"/>
  </r>
  <r>
    <x v="27"/>
    <s v="SETEMBRO"/>
    <s v="HSERV COMBINADOS"/>
    <s v="LUIZ RICARDO DE MORAES"/>
    <n v="-5608.44"/>
    <x v="0"/>
    <x v="6"/>
  </r>
  <r>
    <x v="27"/>
    <s v="SETEMBRO"/>
    <s v="HSERV CABREUVA"/>
    <s v="SICOOB HSERV CABREUVA NEGOCIAÇÃO CHEQUE ESPECIAL "/>
    <n v="-2012.45"/>
    <x v="0"/>
    <x v="12"/>
  </r>
  <r>
    <x v="58"/>
    <s v="SETEMBRO"/>
    <s v="HSERV CABREUVA"/>
    <s v="TARIFA MAX EMPRESARIAL"/>
    <n v="-171.1"/>
    <x v="0"/>
    <x v="9"/>
  </r>
  <r>
    <x v="58"/>
    <s v="SETEMBRO"/>
    <s v="HSERV CLEAN"/>
    <s v="TARIFA MAX EMPRESARIAL"/>
    <n v="-171.1"/>
    <x v="0"/>
    <x v="9"/>
  </r>
  <r>
    <x v="58"/>
    <s v="SETEMBRO"/>
    <s v="HSERV COMBINADOS "/>
    <s v="TARIFA MAX EMPRESARIAL"/>
    <n v="-171.1"/>
    <x v="0"/>
    <x v="9"/>
  </r>
  <r>
    <x v="58"/>
    <s v="SETEMBRO"/>
    <s v="HSERV COMBINADOS  ND"/>
    <s v="TARIFA MAX EMPRESARIAL"/>
    <n v="-171.1"/>
    <x v="0"/>
    <x v="9"/>
  </r>
  <r>
    <x v="58"/>
    <s v="SETEMBRO"/>
    <s v="HENRIQUE JEAN"/>
    <s v="TARIFA MAX EMPRESARIAL"/>
    <n v="-171.1"/>
    <x v="0"/>
    <x v="9"/>
  </r>
  <r>
    <x v="58"/>
    <s v="SETEMBRO"/>
    <s v="HENRIQUE JEAN ND"/>
    <s v="TARIFA MAX EMPRESARIAL"/>
    <n v="-171.1"/>
    <x v="0"/>
    <x v="9"/>
  </r>
  <r>
    <x v="58"/>
    <s v="SETEMBRO"/>
    <s v="VITOR DUARTE"/>
    <s v="TARIFA MAX EMPRESARIAL"/>
    <n v="-171.1"/>
    <x v="0"/>
    <x v="9"/>
  </r>
  <r>
    <x v="58"/>
    <s v="SETEMBRO"/>
    <s v="VITOR DUARTE ND"/>
    <s v="TARIFA MAX EMPRESARIAL"/>
    <n v="-171.1"/>
    <x v="0"/>
    <x v="9"/>
  </r>
  <r>
    <x v="58"/>
    <s v="SETEMBRO"/>
    <s v="HSERV TERCERIZADOS"/>
    <s v="TARIFA MAX EMPRESARIAL"/>
    <n v="-171.1"/>
    <x v="0"/>
    <x v="9"/>
  </r>
  <r>
    <x v="58"/>
    <s v="SETEMBRO"/>
    <s v="HSERV TERCERIZADOS ND"/>
    <s v="TARIFA MAX EMPRESARIAL"/>
    <n v="-171.1"/>
    <x v="0"/>
    <x v="9"/>
  </r>
  <r>
    <x v="58"/>
    <s v="SETEMBRO"/>
    <s v="HSERV LIMPEZA"/>
    <s v="TARIFA MAX EMPRESARIAL"/>
    <n v="-171.1"/>
    <x v="0"/>
    <x v="9"/>
  </r>
  <r>
    <x v="58"/>
    <s v="SETEMBRO"/>
    <s v="HSERV LIMPEZA ND"/>
    <s v="TARIFA MAX EMPRESARIAL"/>
    <n v="-171.1"/>
    <x v="0"/>
    <x v="9"/>
  </r>
  <r>
    <x v="58"/>
    <s v="SETEMBRO"/>
    <s v="HSERV TECNOLOGIA"/>
    <s v="TARIFA MAX EMPRESARIAL"/>
    <n v="-171.1"/>
    <x v="0"/>
    <x v="9"/>
  </r>
  <r>
    <x v="58"/>
    <s v="SETEMBRO"/>
    <s v="HSERV REPRESENTAÇÃO"/>
    <s v="TARIFA MAX EMPRESARIAL"/>
    <n v="-171.1"/>
    <x v="0"/>
    <x v="9"/>
  </r>
  <r>
    <x v="58"/>
    <s v="SETEMBRO"/>
    <s v="HENRIQUE JEAN ND"/>
    <s v="CELIO ROBERTO"/>
    <n v="-877.96"/>
    <x v="0"/>
    <x v="10"/>
  </r>
  <r>
    <x v="58"/>
    <s v="SETEMBRO"/>
    <s v="HSERV CABREUVA"/>
    <s v="IFOOD.COM AGENCIA DE RESTAURANTES ONLINE S.A. VALE COMBUSTIVEL-2 QUINZENA "/>
    <n v="-7225"/>
    <x v="0"/>
    <x v="26"/>
  </r>
  <r>
    <x v="60"/>
    <s v="SETEMBRO"/>
    <s v="HSERV CABREUVA"/>
    <s v="SABESP SALA 16"/>
    <n v="-141.69999999999999"/>
    <x v="0"/>
    <x v="28"/>
  </r>
  <r>
    <x v="60"/>
    <s v="SETEMBRO"/>
    <s v="HSERV CABREUVA"/>
    <s v="SABESP SALA 17"/>
    <n v="-141.69999999999999"/>
    <x v="0"/>
    <x v="28"/>
  </r>
  <r>
    <x v="60"/>
    <s v="SETEMBRO"/>
    <s v="HSERV CABREUVA"/>
    <s v="SABESP SALA 18"/>
    <n v="-141.69999999999999"/>
    <x v="0"/>
    <x v="28"/>
  </r>
  <r>
    <x v="60"/>
    <s v="SETEMBRO"/>
    <s v="HSERV CABREUVA"/>
    <s v="SABESP CLEAN"/>
    <n v="-139.25"/>
    <x v="0"/>
    <x v="28"/>
  </r>
  <r>
    <x v="58"/>
    <s v="SETEMBRO"/>
    <s v="HSERV TECNOLOGIA"/>
    <s v="OMIEXPERIENCE LTDA."/>
    <n v="-244.5"/>
    <x v="0"/>
    <x v="21"/>
  </r>
  <r>
    <x v="58"/>
    <s v="SETEMBRO"/>
    <s v="HSERV REPRESENTACOES"/>
    <s v="OMIEXPERIENCE LTDA."/>
    <n v="-300"/>
    <x v="0"/>
    <x v="21"/>
  </r>
  <r>
    <x v="58"/>
    <s v="SETEMBRO"/>
    <s v="HSERV CABREUVA "/>
    <s v="OMIEXPERIENCE LTDA."/>
    <n v="-300"/>
    <x v="0"/>
    <x v="21"/>
  </r>
  <r>
    <x v="58"/>
    <s v="SETEMBRO"/>
    <s v="HSERV  COMBINADOS"/>
    <s v="OMIEXPERIENCE LTDA."/>
    <n v="-300"/>
    <x v="0"/>
    <x v="21"/>
  </r>
  <r>
    <x v="58"/>
    <s v="SETEMBRO"/>
    <s v="HENRIQUE JEAN DUARTE "/>
    <s v="OMIEXPERIENCE LTDA."/>
    <n v="-275"/>
    <x v="0"/>
    <x v="21"/>
  </r>
  <r>
    <x v="58"/>
    <s v="SETEMBRO"/>
    <s v="HSERV TERCEIRIZADOS"/>
    <s v="OMIEXPERIENCE LTDA."/>
    <n v="-300"/>
    <x v="0"/>
    <x v="21"/>
  </r>
  <r>
    <x v="58"/>
    <s v="SETEMBRO"/>
    <s v="HSERV  LIMPEZA "/>
    <s v="OMIEXPERIENCE LTDA."/>
    <n v="-300"/>
    <x v="0"/>
    <x v="21"/>
  </r>
  <r>
    <x v="58"/>
    <s v="SETEMBRO"/>
    <s v="VITOR  DUARTE "/>
    <s v="OMIEXPERIENCE LTDA."/>
    <n v="-350"/>
    <x v="0"/>
    <x v="21"/>
  </r>
  <r>
    <x v="58"/>
    <s v="SETEMBRO"/>
    <s v="HSER CLEAN"/>
    <s v="OMIEXPERIENCE LTDA."/>
    <n v="-373.51"/>
    <x v="0"/>
    <x v="21"/>
  </r>
  <r>
    <x v="58"/>
    <s v="SETEMBRO"/>
    <s v="HSERV CABREUVA"/>
    <s v="NOVITA VEST CONFECCOES LTDA"/>
    <n v="-2003.33"/>
    <x v="0"/>
    <x v="44"/>
  </r>
  <r>
    <x v="58"/>
    <s v="SETEMBRO"/>
    <s v="HENRIQUE JEAN"/>
    <s v="EMPORIO MEGA 100 COMERCIO DE ALIMENTOS S.A."/>
    <n v="-3177.29"/>
    <x v="0"/>
    <x v="24"/>
  </r>
  <r>
    <x v="58"/>
    <s v="SETEMBRO"/>
    <s v="HSERV CABREUVA"/>
    <s v="EMPORIO MEGA 100 COMERCIO DE ALIMENTOS S.A."/>
    <n v="-2247.35"/>
    <x v="0"/>
    <x v="24"/>
  </r>
  <r>
    <x v="58"/>
    <s v="SETEMBRO"/>
    <s v="HSERV CLEAN"/>
    <s v="EMPORIO MEGA 100 COMERCIO DE ALIMENTOS S.A."/>
    <n v="-1239.92"/>
    <x v="0"/>
    <x v="24"/>
  </r>
  <r>
    <x v="58"/>
    <s v="SETEMBRO"/>
    <s v="HSERV CLEAN"/>
    <s v="EMPORIO MEGA 100 COMERCIO DE ALIMENTOS S.A."/>
    <n v="-3409.78"/>
    <x v="0"/>
    <x v="24"/>
  </r>
  <r>
    <x v="58"/>
    <s v="SETEMBRO"/>
    <s v="HSERV COMBINADOS"/>
    <s v="EMPORIO MEGA 100 COMERCIO DE ALIMENTOS S.A."/>
    <n v="-3332.29"/>
    <x v="0"/>
    <x v="24"/>
  </r>
  <r>
    <x v="58"/>
    <s v="SETEMBRO"/>
    <s v="HSERV LIMPEZA"/>
    <s v="EMPORIO MEGA 100 COMERCIO DE ALIMENTOS S.A."/>
    <n v="-929.94"/>
    <x v="0"/>
    <x v="24"/>
  </r>
  <r>
    <x v="58"/>
    <s v="SETEMBRO"/>
    <s v="HSERV REPRESENTACOES"/>
    <s v="EMPORIO MEGA 100 COMERCIO DE ALIMENTOS S.A."/>
    <n v="-929.94"/>
    <x v="0"/>
    <x v="24"/>
  </r>
  <r>
    <x v="58"/>
    <s v="SETEMBRO"/>
    <s v="HSERV TECNOLOGIA"/>
    <s v="EMPORIO MEGA 100 COMERCIO DE ALIMENTOS S.A."/>
    <n v="-232.49"/>
    <x v="0"/>
    <x v="24"/>
  </r>
  <r>
    <x v="58"/>
    <s v="SETEMBRO"/>
    <s v="HSERV TERCEIRIZADOS"/>
    <s v="EMPORIO MEGA 100 COMERCIO DE ALIMENTOS S.A."/>
    <n v="-1084.93"/>
    <x v="0"/>
    <x v="24"/>
  </r>
  <r>
    <x v="58"/>
    <s v="SETEMBRO"/>
    <s v="VITOR DUARTE"/>
    <s v="EMPORIO MEGA 100 COMERCIO DE ALIMENTOS S.A."/>
    <n v="-154.99"/>
    <x v="0"/>
    <x v="24"/>
  </r>
  <r>
    <x v="78"/>
    <s v="SETEMBRO"/>
    <s v="HSERV CABREUVA"/>
    <s v="NOVITA VEST CONFECCOES LTDA"/>
    <n v="-3619.33"/>
    <x v="0"/>
    <x v="44"/>
  </r>
  <r>
    <x v="78"/>
    <s v="SETEMBRO"/>
    <s v="HSERV TERCEIRIZADOS"/>
    <s v="PAROLAR DIST DE UTENSILIOS DOMESTICOS LTDA"/>
    <n v="-354.28"/>
    <x v="0"/>
    <x v="4"/>
  </r>
  <r>
    <x v="78"/>
    <s v="SETEMBRO"/>
    <s v="VITOR DUARTE"/>
    <s v="L. A. DE SOUZA - EQUIPAMENTOS DE SEGURANCA LTDA"/>
    <n v="-315"/>
    <x v="0"/>
    <x v="44"/>
  </r>
  <r>
    <x v="78"/>
    <s v="SETEMBRO"/>
    <s v="HSERV CABREUVA"/>
    <s v="CARLOS DAMIAO -PERITO - PRoc 0012545-94.2022.5.15.0097 RECLAMANTE: EDNALVA PEDREIRA DA CONCEICAO DA SILVA  "/>
    <n v="-2000"/>
    <x v="0"/>
    <x v="34"/>
  </r>
  <r>
    <x v="78"/>
    <s v="SETEMBRO"/>
    <s v="HENRIQUE JEAN"/>
    <s v="FGTS EM ATRASO - MICHAEL NOVAES DE FRANCA"/>
    <n v="-1931.22"/>
    <x v="0"/>
    <x v="32"/>
  </r>
  <r>
    <x v="78"/>
    <s v="SETEMBRO"/>
    <s v="HSERV COMBINADOS "/>
    <s v="SOFISA ACORDO- PROCESSO EXECUÇÃO PARCELA 20/24"/>
    <n v="-5028.43"/>
    <x v="0"/>
    <x v="12"/>
  </r>
  <r>
    <x v="79"/>
    <s v="SETEMBRO"/>
    <s v="HSERV CABREUVA"/>
    <s v="IF EMPRESARIAL"/>
    <n v="-16000"/>
    <x v="0"/>
    <x v="31"/>
  </r>
  <r>
    <x v="34"/>
    <s v="SETEMBRO"/>
    <s v="HSERV CABREUVA"/>
    <s v="RESOLVE ALIMENTAÇÃO "/>
    <n v="-600"/>
    <x v="0"/>
    <x v="2"/>
  </r>
  <r>
    <x v="79"/>
    <s v="SETEMBRO"/>
    <s v="HSERV CABREUVA"/>
    <s v="ANJO AZUL ALARMES"/>
    <n v="-1114.33"/>
    <x v="0"/>
    <x v="21"/>
  </r>
  <r>
    <x v="79"/>
    <s v="SETEMBRO"/>
    <s v="HSERV CABREUVA"/>
    <s v="MAXIWEB INTERNET PROVIDER LTDA"/>
    <n v="-39.799999999999997"/>
    <x v="0"/>
    <x v="21"/>
  </r>
  <r>
    <x v="18"/>
    <s v="SETEMBRO"/>
    <s v="HSERV CABREUVA"/>
    <s v="SIMPLES NACIONAL MENSAL "/>
    <n v="-20000"/>
    <x v="0"/>
    <x v="32"/>
  </r>
  <r>
    <x v="18"/>
    <s v="SETEMBRO"/>
    <s v="VITOR DUARTE"/>
    <s v="DARF DE COFINS, PIS- LUCRO REAL EMPRESA VITOR"/>
    <n v="-15000"/>
    <x v="0"/>
    <x v="32"/>
  </r>
  <r>
    <x v="18"/>
    <s v="SETEMBRO"/>
    <s v="VITOR DUARTE"/>
    <s v="DARF DE COFINS, PIS- LUCRO  PRESUMIDO HSERV CABREUVA"/>
    <n v="-3000"/>
    <x v="0"/>
    <x v="32"/>
  </r>
  <r>
    <x v="18"/>
    <s v="SETEMBRO"/>
    <s v="HSERV CABREUVA"/>
    <s v="FGTS MENSAL"/>
    <n v="-55000"/>
    <x v="0"/>
    <x v="32"/>
  </r>
  <r>
    <x v="18"/>
    <s v="SETEMBRO"/>
    <s v="HSERV CABREUVA"/>
    <s v="DARF INSS-TODAS EMPRESAS"/>
    <n v="-50000"/>
    <x v="0"/>
    <x v="32"/>
  </r>
  <r>
    <x v="79"/>
    <s v="SETEMBRO"/>
    <s v="HSERV CABREUVA"/>
    <s v="FT 1º QUINZENA E PACOTES, RT"/>
    <n v="-110000"/>
    <x v="0"/>
    <x v="13"/>
  </r>
  <r>
    <x v="18"/>
    <s v="SETEMBRO"/>
    <s v="HSERV CABREUVA"/>
    <s v="VALE TRANSPORTE MENSAL VIAÇÕES"/>
    <n v="-41000"/>
    <x v="0"/>
    <x v="7"/>
  </r>
  <r>
    <x v="79"/>
    <s v="SETEMBRO"/>
    <s v="HSERV CABREUVA"/>
    <s v="FT ASSIS E REGIÃO- "/>
    <n v="-8000"/>
    <x v="0"/>
    <x v="13"/>
  </r>
  <r>
    <x v="79"/>
    <s v="SETEMBRO"/>
    <s v="HSERV COMBINADOS"/>
    <s v="MAC LUCER - MAITÁ APTO 073 CONTRATO 170 (MENSAL) PARCELA 18 /27"/>
    <n v="-3003.13"/>
    <x v="0"/>
    <x v="33"/>
  </r>
  <r>
    <x v="79"/>
    <s v="SETEMBRO"/>
    <s v="VITOR DUARTE"/>
    <s v="CLARO S/A"/>
    <n v="-1700"/>
    <x v="0"/>
    <x v="35"/>
  </r>
  <r>
    <x v="18"/>
    <s v="SETEMBRO"/>
    <s v="HENRIQUE JEAN ND"/>
    <s v="IMOVEL NEX ONE "/>
    <n v="-8937.32"/>
    <x v="0"/>
    <x v="10"/>
  </r>
  <r>
    <x v="18"/>
    <s v="SETEMBRO"/>
    <s v="VITOR DUARTE"/>
    <s v="VIVA FOOD R E LTDA"/>
    <n v="-17235"/>
    <x v="0"/>
    <x v="2"/>
  </r>
  <r>
    <x v="80"/>
    <s v="SETEMBRO"/>
    <s v="VITOR DUARTE"/>
    <s v="VIVA FOOD R E LTDA"/>
    <n v="-17235"/>
    <x v="0"/>
    <x v="2"/>
  </r>
  <r>
    <x v="40"/>
    <s v="SETEMBRO"/>
    <s v="HSERV CABREUVA"/>
    <s v="AUTO POSTO JARDIM DAS HORTENCIA"/>
    <n v="-9000"/>
    <x v="0"/>
    <x v="20"/>
  </r>
  <r>
    <x v="40"/>
    <s v="SETEMBRO"/>
    <s v="VITOR DUARTE"/>
    <s v="GADE CORPORATIVA"/>
    <n v="-84.3"/>
    <x v="0"/>
    <x v="21"/>
  </r>
  <r>
    <x v="22"/>
    <s v="JULHO"/>
    <s v="HSERV COMBINADOS"/>
    <s v="YGOR SILVA DA CONCEICAO"/>
    <n v="-1470.99"/>
    <x v="0"/>
    <x v="6"/>
  </r>
  <r>
    <x v="22"/>
    <s v="JULHO"/>
    <s v="HSERV TECNOLOGIA"/>
    <s v="GRRF LEIDIANE MENDES"/>
    <n v="-178.81"/>
    <x v="0"/>
    <x v="6"/>
  </r>
  <r>
    <x v="22"/>
    <s v="JULHO"/>
    <s v="HSERV TECNOLOGIA"/>
    <s v="LEIDIANE MENDES"/>
    <n v="-2258"/>
    <x v="0"/>
    <x v="6"/>
  </r>
  <r>
    <x v="22"/>
    <s v="JULHO"/>
    <s v="VITOR DUARTE"/>
    <s v="DEBORA GOMES DOS SANTOS-VALE TRANSPORTE DO DIA 25/07 AO DIA 07/08 R$14,70 POR DIA  LOJA 08"/>
    <n v="-176.4"/>
    <x v="0"/>
    <x v="7"/>
  </r>
  <r>
    <x v="22"/>
    <s v="JULHO"/>
    <s v="HSERV COMBINADOS"/>
    <s v="GUSTAVO HENRIQUE DOS SANTOS-vale transporte fiscal de sorocaba do dia 25/07 ao dia 07/08 R$23,60 por dia  escala 4x1"/>
    <n v="-284.39999999999998"/>
    <x v="0"/>
    <x v="7"/>
  </r>
  <r>
    <x v="22"/>
    <s v="JULHO"/>
    <s v="HSERV COMBINADOS"/>
    <s v="RODRIGO CESAR DOS SANTOS-VALE TRANSPORTE DO DIA 25/07 AO DIA 07/08  28,80  POR DIA"/>
    <n v="-345.6"/>
    <x v="0"/>
    <x v="7"/>
  </r>
  <r>
    <x v="22"/>
    <s v="JULHO"/>
    <s v="HSERV COMBINADOS"/>
    <s v="ELANDIO GONCALVES LIMA Limpador de Vidro loja 24 Sorocaba  Nos dias  15-07 ,16-07, 17-07, e 18-07"/>
    <n v="-1000"/>
    <x v="0"/>
    <x v="13"/>
  </r>
  <r>
    <x v="22"/>
    <s v="JULHO"/>
    <s v="HSERV CABREUVA"/>
    <s v="PEDRO LEOPOLDO BRUNELLI JUNIOR -Processo n. 0011252-29.2021.5.15.0096  AUTOR: DANILO MIGUEL DA SILVA  -PARCEL A 4/4"/>
    <n v="-2688.37"/>
    <x v="0"/>
    <x v="34"/>
  </r>
  <r>
    <x v="22"/>
    <s v="JULHO"/>
    <s v="HSERV TERCEIRIZADOS"/>
    <s v="GISELE RODRIGUES- CAIXINHA OPERACIONAL "/>
    <n v="-1500"/>
    <x v="0"/>
    <x v="1"/>
  </r>
  <r>
    <x v="22"/>
    <s v="JULHO"/>
    <s v="HSERV TERCEIRIZADOS"/>
    <s v="OSSIRES JOSÉ DONANGELO- CAIXINHA OPERACIONAL"/>
    <n v="-1500"/>
    <x v="0"/>
    <x v="1"/>
  </r>
  <r>
    <x v="22"/>
    <s v="JULHO"/>
    <s v="HSERV CABREUVA"/>
    <s v="FTS FALTANTE "/>
    <n v="-1399"/>
    <x v="0"/>
    <x v="13"/>
  </r>
  <r>
    <x v="40"/>
    <s v="SETEMBRO"/>
    <s v="HSERV CABREUVA"/>
    <s v="PEDRO LEOPOLDO BRUNELLI JUNIOR -Processo n. 0011252-29.2021.5.15.0096  AUTOR: DANILO MIGUEL DA SILVA  -PARCEL A 4/4"/>
    <n v="-2688.37"/>
    <x v="0"/>
    <x v="34"/>
  </r>
  <r>
    <x v="40"/>
    <s v="SETEMBRO"/>
    <s v="HSERV CABREUVA"/>
    <s v="OPEN IT GROUP ESCRITORIO E LOJA CLEAN"/>
    <n v="-294.8"/>
    <x v="0"/>
    <x v="36"/>
  </r>
  <r>
    <x v="40"/>
    <s v="SETEMBRO"/>
    <s v="HSERV CLEAN"/>
    <s v="SPARTAN DO BRASIL PRODUTOS QUIMICOS LTDA"/>
    <n v="-4484.68"/>
    <x v="0"/>
    <x v="4"/>
  </r>
  <r>
    <x v="40"/>
    <s v="SETEMBRO"/>
    <s v="HSERV TERCEIRIZADOS"/>
    <s v="WIG COMERCIO DE BATERIAS COMPONENTES LTDA"/>
    <n v="-886.67"/>
    <x v="0"/>
    <x v="5"/>
  </r>
  <r>
    <x v="40"/>
    <s v="SETEMBRO"/>
    <s v="HSERV CABREUVA"/>
    <s v="BORELA ADVOGADOS ASSOCIADOS Proc 0010084-90.2025.5.15.0018 AUTOR: VANESSA ALESSANDRA NUNES DA COSTA SANTOS  -PARCELA 1/2"/>
    <n v="-2000"/>
    <x v="0"/>
    <x v="34"/>
  </r>
  <r>
    <x v="40"/>
    <s v="SETEMBRO"/>
    <s v="HSERV COMBINADOS"/>
    <s v="MAC LUCER - VINEA AP 004 CONTRATO 095 (MENSAL) "/>
    <n v="-1956.28"/>
    <x v="0"/>
    <x v="33"/>
  </r>
  <r>
    <x v="18"/>
    <s v="SETEMBRO"/>
    <s v="VITOR DUARTE"/>
    <s v="CHEQUES DR DUARTE"/>
    <n v="-9980"/>
    <x v="0"/>
    <x v="18"/>
  </r>
  <r>
    <x v="81"/>
    <s v="SETEMBRO"/>
    <s v="HSERV CLEAN"/>
    <s v="SOFT WORKS EPI CALCADOS LTDA"/>
    <n v="-536.6"/>
    <x v="0"/>
    <x v="44"/>
  </r>
  <r>
    <x v="81"/>
    <s v="SETEMBRO"/>
    <s v="HSERV COMBINADOS "/>
    <s v="GABRIEL DOS SANTOS NOVÃESCLOUD-TELEFONIA"/>
    <n v="-500"/>
    <x v="0"/>
    <x v="21"/>
  </r>
  <r>
    <x v="28"/>
    <s v="SETEMBRO"/>
    <s v="HENRIQUE JEAN ND"/>
    <s v="CELIO ROBERTO"/>
    <n v="-5000"/>
    <x v="0"/>
    <x v="10"/>
  </r>
  <r>
    <x v="28"/>
    <s v="SETEMBRO"/>
    <s v="VITOR DUARTE"/>
    <s v="NEXTI DESENVOLVIMENTO DE SISTEMAS S.A."/>
    <n v="-2530.4299999999998"/>
    <x v="0"/>
    <x v="21"/>
  </r>
  <r>
    <x v="28"/>
    <s v="SETEMBRO"/>
    <s v="VITOR DUARTE"/>
    <s v="NEXTI DESENVOLVIMENTO DE SISTEMAS S.A."/>
    <n v="-1339.5"/>
    <x v="0"/>
    <x v="21"/>
  </r>
  <r>
    <x v="75"/>
    <s v="SETEMBRO"/>
    <s v="VITOR DUARTE"/>
    <s v="CLAUDIO EDUARDO DEL DUCA CARDOSO DOS SANTOS"/>
    <n v="-15000"/>
    <x v="0"/>
    <x v="11"/>
  </r>
  <r>
    <x v="57"/>
    <s v="SETEMBRO"/>
    <s v="HENRIQUE JEAN"/>
    <s v="CRISTIANA DOS SANTO-   COBRINDO AFASTAMENTO  REGIVANIA PEREIRA DA SILVA RANCHARIA LOJA 12  "/>
    <n v="-1200"/>
    <x v="0"/>
    <x v="13"/>
  </r>
  <r>
    <x v="57"/>
    <s v="SETEMBRO"/>
    <s v="HENRIQUE JEAN"/>
    <s v="CAMILA FERREIRA DA SILVA- COBRINDO FÉRIAS  MAURA VILELE VIANA  OURINHOS - LOJA 25"/>
    <n v="-1100"/>
    <x v="0"/>
    <x v="13"/>
  </r>
  <r>
    <x v="57"/>
    <s v="SETEMBRO"/>
    <s v="HENRIQUE JEAN"/>
    <s v="ANA CECILIA CUSTODIO DA SILVA  COBRINDO FÉRIAS  MAURA VILELE VIANA  OURINHOS - LOJA 25 01/09 e 02/09"/>
    <n v="-200"/>
    <x v="0"/>
    <x v="13"/>
  </r>
  <r>
    <x v="57"/>
    <s v="SETEMBRO"/>
    <s v="HENRIQUE JEAN"/>
    <s v="AMANDA SILVA DE SOUZA   COBRINDO FÉRIAS -NILDA FERREIRA SOBRINHO PRES. VENCESLAU - LOJA 41"/>
    <n v="-1000"/>
    <x v="0"/>
    <x v="13"/>
  </r>
  <r>
    <x v="57"/>
    <s v="SETEMBRO"/>
    <s v="HENRIQUE JEAN"/>
    <s v="ANA CLAUDIA SILVA DOS ANJOS  COBRINDO AFASTAMENTO  JUSCELENE CORREIA DE PAULA PARAGUAÇU - LOJA 10"/>
    <n v="-750"/>
    <x v="0"/>
    <x v="13"/>
  </r>
  <r>
    <x v="57"/>
    <s v="SETEMBRO"/>
    <s v="HENRIQUE JEAN"/>
    <s v="JANAINA APARECIDA LOPES COBRINDO AFASTAMENTO  DIVA CORREIA PADILHA  SANTA CRUZ - LOJA-26 "/>
    <n v="-900"/>
    <x v="0"/>
    <x v="13"/>
  </r>
  <r>
    <x v="57"/>
    <s v="SETEMBRO"/>
    <s v="HENRIQUE JEAN"/>
    <s v="ANAY VICTORIA DIAS NEIRA   COBRINDO AFASTAMENTO  ANTONIA MARCELINA JORGE  C.MOTA LOJA 09 "/>
    <n v="-1000"/>
    <x v="0"/>
    <x v="13"/>
  </r>
  <r>
    <x v="57"/>
    <s v="SETEMBRO"/>
    <s v="HENRIQUE JEAN"/>
    <s v="JC SOARES DE OLVEIRA ESTAMPARIA- CAMISAS PERSONALIZADAS"/>
    <n v="-500"/>
    <x v="0"/>
    <x v="44"/>
  </r>
  <r>
    <x v="75"/>
    <s v="SETEMBRO"/>
    <s v="HSERV CLEAN"/>
    <s v="F. L. CABRERO-LAVA FACIL - LAVAGE DE UNIFORMES"/>
    <n v="-810"/>
    <x v="0"/>
    <x v="44"/>
  </r>
  <r>
    <x v="75"/>
    <s v="SETEMBRO"/>
    <s v="HENRIQUE JEAN"/>
    <s v="ANA LUCIA CORREIA DA SILVA"/>
    <n v="-1446.81"/>
    <x v="0"/>
    <x v="6"/>
  </r>
  <r>
    <x v="75"/>
    <s v="SETEMBRO"/>
    <s v="HSERV LIMPEZA"/>
    <s v="WELLINGTON OLIVEIRA BORIAN DA CRUZ"/>
    <n v="-3356.61"/>
    <x v="0"/>
    <x v="6"/>
  </r>
  <r>
    <x v="75"/>
    <s v="SETEMBRO"/>
    <s v="HSERV LIMPEZA"/>
    <s v="GRRF WELLINGTON OLIVEIRA BORIAN DA CRUZ"/>
    <n v="-485.24"/>
    <x v="0"/>
    <x v="6"/>
  </r>
  <r>
    <x v="75"/>
    <s v="SETEMBRO"/>
    <s v="VITOR DUARTE"/>
    <s v="MAIKON CEZARIO DOS SANTOS COPINO"/>
    <n v="-2696.79"/>
    <x v="0"/>
    <x v="6"/>
  </r>
  <r>
    <x v="75"/>
    <s v="SETEMBRO"/>
    <s v="VITOR DUARTE"/>
    <s v="LUANA RODRIGUES DOS REIS"/>
    <n v="-55"/>
    <x v="0"/>
    <x v="7"/>
  </r>
  <r>
    <x v="57"/>
    <s v="SETEMBRO"/>
    <s v="HSERV COMBINADOS"/>
    <s v="LUANA RODRIGUES DOS REIS"/>
    <n v="-122.4"/>
    <x v="0"/>
    <x v="7"/>
  </r>
  <r>
    <x v="28"/>
    <s v="SETEMBRO"/>
    <s v=" HSERV CABREUVA"/>
    <s v="VALE TRANSPORTE BASE"/>
    <n v="-15000"/>
    <x v="0"/>
    <x v="7"/>
  </r>
  <r>
    <x v="80"/>
    <s v="SETEMBRO"/>
    <s v="HSERV CLEAN"/>
    <s v="HM MAQ COMERCIO E ASSISTENCIA TECNICA INDUSTRIAL"/>
    <n v="-371.04"/>
    <x v="0"/>
    <x v="5"/>
  </r>
  <r>
    <x v="80"/>
    <s v="SETEMBRO"/>
    <s v="VITOR DUARTE"/>
    <s v="CHEQUES DR DUARTE"/>
    <n v="-9980"/>
    <x v="0"/>
    <x v="18"/>
  </r>
  <r>
    <x v="28"/>
    <s v="SETEMBRO"/>
    <s v="VITOR DUARTE"/>
    <s v="CHEQUES DR DUARTE"/>
    <n v="-23498.18"/>
    <x v="0"/>
    <x v="18"/>
  </r>
  <r>
    <x v="28"/>
    <s v="SETEMBRO"/>
    <s v="HSERV CABREUVA"/>
    <s v="SIMPLES NACIONAL-PARCELAMENTO"/>
    <n v="-35000"/>
    <x v="0"/>
    <x v="32"/>
  </r>
  <r>
    <x v="28"/>
    <s v="SETEMBRO"/>
    <s v="HSERV CABREUVA"/>
    <s v="VALE COMBUSTIVEL 1 QUINZENA DE FEVEREIRO"/>
    <n v="-7000"/>
    <x v="0"/>
    <x v="26"/>
  </r>
  <r>
    <x v="28"/>
    <s v="SETEMBRO"/>
    <s v="VITOR DUARTE"/>
    <s v="54.055.078 MATHEUS PEIXOTO DE OLIVEIRA"/>
    <n v="-1500"/>
    <x v="0"/>
    <x v="40"/>
  </r>
  <r>
    <x v="28"/>
    <s v="SETEMBRO"/>
    <s v="VITOR DUARTE"/>
    <s v="ADEMIR- IMPRESSÃO E IMPRESSORA"/>
    <n v="-100"/>
    <x v="0"/>
    <x v="40"/>
  </r>
  <r>
    <x v="28"/>
    <s v="SETEMBRO"/>
    <s v="HSERV COMBINADOS "/>
    <s v="REEMBOLSOS"/>
    <n v="-800"/>
    <x v="0"/>
    <x v="27"/>
  </r>
  <r>
    <x v="28"/>
    <s v="SETEMBRO"/>
    <s v="VITOR DUARTE"/>
    <s v="JHONY WALLACE GOMES DE OLIVEIRA"/>
    <n v="-3256.25"/>
    <x v="0"/>
    <x v="38"/>
  </r>
  <r>
    <x v="28"/>
    <s v="SETEMBRO"/>
    <s v="HSERV TERCEIRIZADOS"/>
    <s v="LOTUS CENTRAL DE DISTRIBUICAO DE HIGIENICOS LTDA"/>
    <n v="-2141.69"/>
    <x v="0"/>
    <x v="4"/>
  </r>
  <r>
    <x v="28"/>
    <s v="SETEMBRO"/>
    <s v="HSERV CABREUVA"/>
    <s v="FÉRIAS- "/>
    <n v="-34000"/>
    <x v="0"/>
    <x v="38"/>
  </r>
  <r>
    <x v="28"/>
    <s v="SETEMBRO"/>
    <s v="VITOR DUARTE"/>
    <s v="DEVOLUÇÃO APORTE VITOR - APORTE "/>
    <n v="-56900"/>
    <x v="0"/>
    <x v="33"/>
  </r>
  <r>
    <x v="28"/>
    <s v="SETEMBRO"/>
    <s v="VITOR DUARTE"/>
    <s v="GUIA DE PARCELAMENTO INSS VITOR JULHO A NOV 2024"/>
    <n v="-7000"/>
    <x v="0"/>
    <x v="32"/>
  </r>
  <r>
    <x v="28"/>
    <s v="SETEMBRO"/>
    <s v="HSERV CLEAN"/>
    <s v="GUIA DE PARELAMENTO DE DIVIDA ATIVA HSERV CLEAN"/>
    <n v="-600"/>
    <x v="0"/>
    <x v="32"/>
  </r>
  <r>
    <x v="28"/>
    <s v="SETEMBRO"/>
    <s v="HSERV CLEAN"/>
    <s v="GUIA DE IMPOSTO VEPAKUM RETROATIVO 2024"/>
    <n v="-4000"/>
    <x v="0"/>
    <x v="32"/>
  </r>
  <r>
    <x v="28"/>
    <s v="SETEMBRO"/>
    <s v=" HSERV CABREUVA"/>
    <s v="PARCELAMENTO DEBITOS PREVIDENCIARIOS"/>
    <n v="-9000"/>
    <x v="0"/>
    <x v="32"/>
  </r>
  <r>
    <x v="28"/>
    <s v="SETEMBRO"/>
    <s v="HSERV CLEAN"/>
    <s v="PARCELA CREDITO PESSOAL CONTR 016721926 PARC"/>
    <n v="-1719.53"/>
    <x v="0"/>
    <x v="25"/>
  </r>
  <r>
    <x v="28"/>
    <s v="SETEMBRO"/>
    <s v="HSERV CABREUVA"/>
    <s v="PARCELA CREDITO PESSOAL CONTR 016721926 PARC"/>
    <n v="-1392.65"/>
    <x v="0"/>
    <x v="25"/>
  </r>
  <r>
    <x v="76"/>
    <s v="SETEMBRO"/>
    <s v="TECNOLOGIA"/>
    <s v="INTERBRILHO HIGIENE E LIMPEZA LTDA"/>
    <n v="23638.67"/>
    <x v="1"/>
    <x v="3"/>
  </r>
  <r>
    <x v="76"/>
    <s v="SETEMBRO"/>
    <s v="LIMPEZA"/>
    <s v="EDMAR APARECIDO MARTINEZ"/>
    <n v="799.2"/>
    <x v="1"/>
    <x v="3"/>
  </r>
  <r>
    <x v="76"/>
    <s v="SETEMBRO"/>
    <s v="LIMPEZA"/>
    <s v="EDMAR APARECIDO MARTINEZ"/>
    <n v="18532.8"/>
    <x v="1"/>
    <x v="3"/>
  </r>
  <r>
    <x v="76"/>
    <s v="SETEMBRO"/>
    <s v="LIMPEZA"/>
    <s v="EDMAR APARECIDO MARTINEZ"/>
    <n v="1200"/>
    <x v="1"/>
    <x v="3"/>
  </r>
  <r>
    <x v="76"/>
    <s v="SETEMBRO"/>
    <s v="VITOR DUARTE"/>
    <s v="CASA AVENIDA"/>
    <n v="4200"/>
    <x v="1"/>
    <x v="3"/>
  </r>
  <r>
    <x v="76"/>
    <s v="SETEMBRO"/>
    <s v="COMBINADOS"/>
    <s v="TECNIPLAS EQUIPAMENTOS EM COMPOSITOS EIR"/>
    <n v="919.19"/>
    <x v="1"/>
    <x v="3"/>
  </r>
  <r>
    <x v="64"/>
    <s v="SETEMBRO"/>
    <s v="COMBINADOS"/>
    <s v="TECNIPLAS EQUIPAMENTOS EM COMPOSITOS EIR"/>
    <n v="11225.96"/>
    <x v="1"/>
    <x v="3"/>
  </r>
  <r>
    <x v="64"/>
    <s v="SETEMBRO"/>
    <s v="COMBINADOS"/>
    <s v="TECNIPLAS EQUIPAMENTOS EM COMPOSITOS EIR"/>
    <n v="600"/>
    <x v="1"/>
    <x v="3"/>
  </r>
  <r>
    <x v="60"/>
    <s v="SETEMBRO"/>
    <s v="COMBINADOS"/>
    <s v="TECNIPLAS EQUIPAMENTOS EM COMPOSITOS EIR-NO DIA 10/09/2025 PAGRAM R$ 11.225,96 RESTA "/>
    <n v="11225.96"/>
    <x v="1"/>
    <x v="3"/>
  </r>
  <r>
    <x v="73"/>
    <s v="SETEMBRO"/>
    <s v="REPRESENTAÇÃO"/>
    <s v="VETTOR TORRES DE RESFRIAMENTO LTDA"/>
    <n v="14482.07"/>
    <x v="1"/>
    <x v="3"/>
  </r>
  <r>
    <x v="73"/>
    <s v="SETEMBRO"/>
    <s v="REPRESENTAÇÃO"/>
    <s v="VETTOR TORRES DE RESFRIAMENTO LTDA"/>
    <n v="23943.3"/>
    <x v="1"/>
    <x v="3"/>
  </r>
  <r>
    <x v="73"/>
    <s v="SETEMBRO"/>
    <s v="REPRESENTAÇÃO"/>
    <s v="VETTOR TORRES DE RESFRIAMENTO LTDA"/>
    <n v="21852.37"/>
    <x v="1"/>
    <x v="3"/>
  </r>
  <r>
    <x v="73"/>
    <s v="SETEMBRO"/>
    <s v="REPRESENTAÇÃO"/>
    <s v="VETTOR TORRES DE RESFRIAMENTO LTDA"/>
    <n v="4683.53"/>
    <x v="1"/>
    <x v="3"/>
  </r>
  <r>
    <x v="73"/>
    <s v="SETEMBRO"/>
    <s v="REPRESENTAÇÃO"/>
    <s v="VETTOR TORRES DE RESFRIAMENTO LTDA"/>
    <n v="196"/>
    <x v="1"/>
    <x v="3"/>
  </r>
  <r>
    <x v="77"/>
    <s v="SETEMBRO"/>
    <s v="HSERV COMBINADOS "/>
    <s v="FTS ASG, FISCAL E PORTARIA 2º QUINZENA DE AGOSTO"/>
    <n v="-34431.25"/>
    <x v="0"/>
    <x v="13"/>
  </r>
  <r>
    <x v="77"/>
    <s v="SETEMBRO"/>
    <s v="HSERV COMBINADOS "/>
    <s v="FTS FALTANTES -ASG, FISCAL E PORTARIA "/>
    <n v="-13794.61"/>
    <x v="0"/>
    <x v="13"/>
  </r>
  <r>
    <x v="27"/>
    <s v="SETEMBRO"/>
    <s v="CABREUVA"/>
    <s v="TED 422.0115.KYN C V A L"/>
    <n v="8041"/>
    <x v="1"/>
    <x v="3"/>
  </r>
  <r>
    <x v="27"/>
    <s v="SETEMBRO"/>
    <s v="CABREUVA"/>
    <s v="TED 422.0115.KYN C V A L"/>
    <n v="33748.379999999997"/>
    <x v="1"/>
    <x v="3"/>
  </r>
  <r>
    <x v="77"/>
    <s v="SETEMBRO"/>
    <s v="CABREUVA"/>
    <s v="SANTA CASA DE MISERICORDIA DE CABREUVA"/>
    <n v="6559.12"/>
    <x v="1"/>
    <x v="3"/>
  </r>
  <r>
    <x v="77"/>
    <s v="SETEMBRO"/>
    <s v="CABREUVA"/>
    <s v="CONDOMINIO PALAZZO VENEZA"/>
    <n v="-600"/>
    <x v="1"/>
    <x v="3"/>
  </r>
  <r>
    <x v="77"/>
    <s v="SETEMBRO"/>
    <s v="CABREUVA"/>
    <s v="CONDOMINIO PALAZZO VENEZA"/>
    <n v="5062.8"/>
    <x v="1"/>
    <x v="3"/>
  </r>
  <r>
    <x v="64"/>
    <s v="SETEMBRO"/>
    <s v="HSERV LIMPEZA"/>
    <s v="NEW PARK TENIS"/>
    <n v="1200"/>
    <x v="1"/>
    <x v="3"/>
  </r>
  <r>
    <x v="64"/>
    <s v="SETEMBRO"/>
    <s v="REPRESENTAÇÃO"/>
    <s v="TTB INDUSTRIA E COMERCIO DE PRODUTOS MET"/>
    <n v="603.26"/>
    <x v="1"/>
    <x v="3"/>
  </r>
  <r>
    <x v="64"/>
    <s v="SETEMBRO"/>
    <s v="REPRESENTAÇÃO"/>
    <s v="TTB INDUSTRIA E COMERCIO DE PRODUTOS MET"/>
    <n v="1106.1400000000001"/>
    <x v="1"/>
    <x v="3"/>
  </r>
  <r>
    <x v="64"/>
    <s v="SETEMBRO"/>
    <s v="REPRESENTAÇÃO"/>
    <s v="TTB INDUSTRIA E COMERCIO DE PRODUTOS MET"/>
    <n v="9631"/>
    <x v="1"/>
    <x v="3"/>
  </r>
  <r>
    <x v="64"/>
    <s v="SETEMBRO"/>
    <s v="VITOR"/>
    <s v="DEPOSITO SANTA CATARINA LTDA"/>
    <n v="257.81"/>
    <x v="1"/>
    <x v="3"/>
  </r>
  <r>
    <x v="27"/>
    <s v="SETEMBRO"/>
    <s v="VITOR"/>
    <s v="GIFEL"/>
    <n v="680.03"/>
    <x v="1"/>
    <x v="3"/>
  </r>
  <r>
    <x v="64"/>
    <s v="SETEMBRO"/>
    <s v="CLEAN"/>
    <s v="RICARO"/>
    <n v="24988.71"/>
    <x v="1"/>
    <x v="3"/>
  </r>
  <r>
    <x v="64"/>
    <s v="SETEMBRO"/>
    <s v="CLEAN"/>
    <s v="RICARO"/>
    <n v="16834.330000000002"/>
    <x v="1"/>
    <x v="3"/>
  </r>
  <r>
    <x v="64"/>
    <s v="SETEMBRO"/>
    <s v="CLEAN"/>
    <s v="RICARO"/>
    <n v="268.13"/>
    <x v="1"/>
    <x v="3"/>
  </r>
  <r>
    <x v="64"/>
    <s v="SETEMBRO"/>
    <s v="CLEAN"/>
    <s v="RICARO"/>
    <n v="12459.61"/>
    <x v="1"/>
    <x v="3"/>
  </r>
  <r>
    <x v="64"/>
    <s v="SETEMBRO"/>
    <s v="LIMPEZA"/>
    <s v="IMPROVEMENT FIT ACADEMIA LTDA"/>
    <n v="7850"/>
    <x v="1"/>
    <x v="3"/>
  </r>
  <r>
    <x v="33"/>
    <s v="AGOSTO"/>
    <s v="VITOR DUARTE"/>
    <s v="AVENIDA -ANTECIPAÇÃO "/>
    <n v="357602.09"/>
    <x v="1"/>
    <x v="3"/>
  </r>
  <r>
    <x v="70"/>
    <s v="SETEMBRO"/>
    <s v="HSERV COMBINADOS"/>
    <s v="LOTUS CENTRAL DE DISTRIBUICAO DE HIGIENICOS LTDA"/>
    <n v="-985.45"/>
    <x v="0"/>
    <x v="4"/>
  </r>
  <r>
    <x v="58"/>
    <s v="SETEMBRO"/>
    <s v="HSERV CLEAN"/>
    <s v="BRAN ENGENHARIA LTDA-ENGENHERIA DE SEGURANÇA- BOMBEIRO LOJA CLEAN"/>
    <n v="-700"/>
    <x v="0"/>
    <x v="5"/>
  </r>
  <r>
    <x v="58"/>
    <s v="SETEMBRO"/>
    <s v="HSERV TERCEIRIZADOS"/>
    <s v="LOTUS CENTRAL DE DISTRIBUICAO DE HIGIENICOS LTDA"/>
    <n v="-2141.69"/>
    <x v="0"/>
    <x v="4"/>
  </r>
  <r>
    <x v="58"/>
    <s v="SETEMBRO"/>
    <s v="HENRIQUE JEAN"/>
    <s v="NILCEIA CRISTINA DA CUNHA"/>
    <n v="-4101.5"/>
    <x v="0"/>
    <x v="6"/>
  </r>
  <r>
    <x v="58"/>
    <s v="SETEMBRO"/>
    <s v="VITOR DUARTE"/>
    <s v="ALTOLIM COMERCIAL ASSIS EIRELI - ME"/>
    <n v="-57.82"/>
    <x v="0"/>
    <x v="4"/>
  </r>
  <r>
    <x v="58"/>
    <s v="SETEMBRO"/>
    <s v="TERCEIRIZADOS"/>
    <s v="BELLART"/>
    <n v="17956.39"/>
    <x v="1"/>
    <x v="3"/>
  </r>
  <r>
    <x v="78"/>
    <s v="SETEMBRO"/>
    <s v="LIMPEZA"/>
    <s v="MIPAL INDUSTRIA DE EVAPORADORES LTDA"/>
    <n v="4717.4399999999996"/>
    <x v="1"/>
    <x v="3"/>
  </r>
  <r>
    <x v="78"/>
    <s v="SETEMBRO"/>
    <s v="LIMPEZA"/>
    <s v="MIPAL INDUSTRIA DE EVAPORADORES LTDA"/>
    <n v="9938.39"/>
    <x v="1"/>
    <x v="3"/>
  </r>
  <r>
    <x v="78"/>
    <s v="SETEMBRO"/>
    <s v="LIMPEZA"/>
    <s v="MIPAL INDUSTRIA DE EVAPORADORES LTDA"/>
    <n v="22139.98"/>
    <x v="1"/>
    <x v="3"/>
  </r>
  <r>
    <x v="80"/>
    <s v="SETEMBRO"/>
    <s v="CLEAN"/>
    <s v="PLASTY COMERCIAL DE PLASTICOS LTDA"/>
    <n v="2373.8200000000002"/>
    <x v="1"/>
    <x v="3"/>
  </r>
  <r>
    <x v="80"/>
    <s v="SETEMBRO"/>
    <s v="CLEAN"/>
    <s v="PLASTY COMERCIAL DE PLASTICOS LTDA"/>
    <n v="5823.82"/>
    <x v="1"/>
    <x v="3"/>
  </r>
  <r>
    <x v="80"/>
    <s v="SETEMBRO"/>
    <s v="CLEAN"/>
    <s v="PLASTY COMERCIAL DE PLASTICOS LTDA"/>
    <n v="7526.95"/>
    <x v="1"/>
    <x v="3"/>
  </r>
  <r>
    <x v="80"/>
    <s v="SETEMBRO"/>
    <s v="CLEAN"/>
    <s v="PLASTY COMERCIAL DE PLASTICOS LTDA"/>
    <n v="25756.63"/>
    <x v="1"/>
    <x v="3"/>
  </r>
  <r>
    <x v="28"/>
    <s v="SETEMBRO"/>
    <s v="CABREUVA"/>
    <s v="BOA"/>
    <n v="816717.89"/>
    <x v="1"/>
    <x v="3"/>
  </r>
  <r>
    <x v="34"/>
    <s v="SETEMBRO"/>
    <s v="HSERV TERCEIRIZADOS"/>
    <s v="LOTUS CENTRAL DE DISTRIBUICAO DE HIGIENICOS LTDA"/>
    <n v="-2141.69"/>
    <x v="0"/>
    <x v="4"/>
  </r>
  <r>
    <x v="34"/>
    <s v="SETEMBRO"/>
    <s v="VITOR DUARTE"/>
    <s v="ALTOLIM COMERCIAL ASSIS EIRELI - ME"/>
    <n v="-84.56"/>
    <x v="0"/>
    <x v="4"/>
  </r>
  <r>
    <x v="34"/>
    <s v="SETEMBRO"/>
    <s v="HSERV COMBINADOS"/>
    <s v="FGTS EM ATRASO GUSTAVO AMARANTE DA SILVA"/>
    <n v="-2574.0700000000002"/>
    <x v="0"/>
    <x v="32"/>
  </r>
  <r>
    <x v="34"/>
    <s v="SETEMBRO"/>
    <s v="VITOR DUARTE"/>
    <s v="FGTS EM ATRASO JOSE CICERO DOS SANTOS COSTA"/>
    <n v="-2669.79"/>
    <x v="0"/>
    <x v="32"/>
  </r>
  <r>
    <x v="34"/>
    <s v="SETEMBRO"/>
    <s v="HENRIQUE JEAN"/>
    <s v="CEF MATRIZ--EMPRESTIMO HENRIQUE IEAN VENCIDO JULHO"/>
    <n v="-7000"/>
    <x v="0"/>
    <x v="12"/>
  </r>
  <r>
    <x v="34"/>
    <s v="SETEMBRO"/>
    <s v="HSERV COMBINADOS"/>
    <s v="CEF MATRIZ-EMPRESTIMO HSERV COMBINADOS VENCIDO JULHO"/>
    <n v="-7000"/>
    <x v="0"/>
    <x v="12"/>
  </r>
  <r>
    <x v="60"/>
    <s v="SETEMBRO"/>
    <s v="HSERV CABREUVA"/>
    <s v="SINDICATO DOS EMPREGADOS - VENCIDA "/>
    <n v="-10030"/>
    <x v="0"/>
    <x v="14"/>
  </r>
  <r>
    <x v="60"/>
    <s v="SETEMBRO"/>
    <s v="HSERV CABREUVA"/>
    <s v="BENEFICIO SOCIALVENCIDA"/>
    <n v="-4500"/>
    <x v="0"/>
    <x v="14"/>
  </r>
  <r>
    <x v="60"/>
    <s v="SETEMBRO"/>
    <s v="HENRIQUE JEAN"/>
    <s v="SINDPRESTEM"/>
    <n v="-630"/>
    <x v="0"/>
    <x v="14"/>
  </r>
  <r>
    <x v="79"/>
    <s v="SETEMBRO"/>
    <s v="HSERV CLEAN"/>
    <s v="J.E. COMERCIO E SOLUCOES LTDA"/>
    <n v="-2510.4499999999998"/>
    <x v="0"/>
    <x v="4"/>
  </r>
  <r>
    <x v="79"/>
    <s v="SETEMBRO"/>
    <s v="HSERV TERCEIRIZADOS"/>
    <s v="STAR CLEAN PRO INDUSTRIA E COMERCIO DE EQUIPAMENTOS DE LIMPE"/>
    <n v="-1101.8399999999999"/>
    <x v="0"/>
    <x v="24"/>
  </r>
  <r>
    <x v="64"/>
    <s v="SETEMBRO"/>
    <s v="HSERV COMBINADOS"/>
    <s v="MICHELLE SILVA DE JESUS-FT MOEMA - 25/08, 26/08, 27/08 ,28/09, 29/08 E 02/09"/>
    <n v="-600"/>
    <x v="0"/>
    <x v="13"/>
  </r>
  <r>
    <x v="79"/>
    <s v="SETEMBRO"/>
    <s v="HENRIQUE JEAN"/>
    <s v="EMPORIO MEGA 100 COMERCIO DE ALIMENTOS S.A."/>
    <n v="-852.45"/>
    <x v="0"/>
    <x v="24"/>
  </r>
  <r>
    <x v="79"/>
    <s v="SETEMBRO"/>
    <s v="HSERV CABREUVA"/>
    <s v="EMPORIO MEGA 100 COMERCIO DE ALIMENTOS S.A."/>
    <n v="-1549.9"/>
    <x v="0"/>
    <x v="24"/>
  </r>
  <r>
    <x v="79"/>
    <s v="SETEMBRO"/>
    <s v="HSERV CLEAN"/>
    <s v="EMPORIO MEGA 100 COMERCIO DE ALIMENTOS S.A."/>
    <n v="-1007.44"/>
    <x v="0"/>
    <x v="24"/>
  </r>
  <r>
    <x v="79"/>
    <s v="SETEMBRO"/>
    <s v="HSERV CLEAN"/>
    <s v="EMPORIO MEGA 100 COMERCIO DE ALIMENTOS S.A."/>
    <n v="-4882.1899999999996"/>
    <x v="0"/>
    <x v="24"/>
  </r>
  <r>
    <x v="79"/>
    <s v="SETEMBRO"/>
    <s v="HSERV COMBINADOS"/>
    <s v="EMPORIO MEGA 100 COMERCIO DE ALIMENTOS S.A."/>
    <n v="-2557.34"/>
    <x v="0"/>
    <x v="24"/>
  </r>
  <r>
    <x v="79"/>
    <s v="SETEMBRO"/>
    <s v="HSERV LIMPEZA"/>
    <s v="EMPORIO MEGA 100 COMERCIO DE ALIMENTOS S.A."/>
    <n v="-852.45"/>
    <x v="0"/>
    <x v="24"/>
  </r>
  <r>
    <x v="79"/>
    <s v="SETEMBRO"/>
    <s v="HSERV REPRESENTACOES"/>
    <s v="EMPORIO MEGA 100 COMERCIO DE ALIMENTOS S.A."/>
    <n v="-697.46"/>
    <x v="0"/>
    <x v="24"/>
  </r>
  <r>
    <x v="79"/>
    <s v="SETEMBRO"/>
    <s v="HSERV TECNOLOGIA"/>
    <s v="EMPORIO MEGA 100 COMERCIO DE ALIMENTOS S.A."/>
    <n v="-2092.37"/>
    <x v="0"/>
    <x v="24"/>
  </r>
  <r>
    <x v="79"/>
    <s v="SETEMBRO"/>
    <s v="HSERV TERCEIRIZADOS"/>
    <s v="EMPORIO MEGA 100 COMERCIO DE ALIMENTOS S.A."/>
    <n v="-1084.93"/>
    <x v="0"/>
    <x v="24"/>
  </r>
  <r>
    <x v="79"/>
    <s v="SETEMBRO"/>
    <s v="VITOR DUARTE"/>
    <s v="EMPORIO MEGA 100 COMERCIO DE ALIMENTOS S.A."/>
    <n v="-309.98"/>
    <x v="0"/>
    <x v="24"/>
  </r>
  <r>
    <x v="77"/>
    <s v="SETEMBRO"/>
    <s v="HSERV COMBINADOS"/>
    <s v="MICHEL CRHISTIAN CARVALHO"/>
    <n v="-161.1"/>
    <x v="0"/>
    <x v="7"/>
  </r>
  <r>
    <x v="77"/>
    <s v="SETEMBRO"/>
    <s v="HSERV COMBINADOS"/>
    <s v="LUANA VITORIA MARQUES LIMA"/>
    <n v="-321"/>
    <x v="0"/>
    <x v="7"/>
  </r>
  <r>
    <x v="77"/>
    <s v="SETEMBRO"/>
    <s v="HSERV COMBINADOS"/>
    <s v="JHENNIFER KETREN LOPES FERREIRA"/>
    <n v="-209.1"/>
    <x v="0"/>
    <x v="7"/>
  </r>
  <r>
    <x v="77"/>
    <s v="SETEMBRO"/>
    <s v="HSERV CLEAN"/>
    <s v="TIAGO PAULO TEIXEIRA"/>
    <n v="-140"/>
    <x v="0"/>
    <x v="7"/>
  </r>
  <r>
    <x v="77"/>
    <s v="SETEMBRO"/>
    <s v="HSERV COMBINADOS"/>
    <s v="JOSE SEVERINO LEONARDO CONCEICAO DA SILVA"/>
    <n v="-143.5"/>
    <x v="0"/>
    <x v="7"/>
  </r>
  <r>
    <x v="77"/>
    <s v="SETEMBRO"/>
    <s v="VITOR DUARTE"/>
    <s v="FABIOLA FARIAS FELIX-DEVOLUÇÃO DESCONTO - CASO DAIANE CRISTINA ANDRADE - BELLART"/>
    <n v="-363.81"/>
    <x v="0"/>
    <x v="11"/>
  </r>
  <r>
    <x v="77"/>
    <s v="SETEMBRO"/>
    <s v="HSERV COMBINADOS"/>
    <s v="ANTONIO LUIZ FELIX DE ALMEIDA - FT FISCAL VOTORATIM"/>
    <n v="-2700"/>
    <x v="0"/>
    <x v="13"/>
  </r>
  <r>
    <x v="77"/>
    <s v="SETEMBRO"/>
    <s v="HENRIQUE JEAN"/>
    <s v="SANTOS SEPULVEDA SOCIEDADE INDIVIDUAL DE ADVOCACIA- - PROC 0010895-75.2023.5.15.009-AMANDA BRITO SANTOS PARCELA 5/16"/>
    <n v="-1000"/>
    <x v="0"/>
    <x v="34"/>
  </r>
  <r>
    <x v="58"/>
    <s v="SETEMBRO"/>
    <s v="VITOR DUARTE"/>
    <s v="JULIO CEZAR IGLESIAS DE LIMA"/>
    <n v="-1470"/>
    <x v="0"/>
    <x v="15"/>
  </r>
  <r>
    <x v="58"/>
    <s v="SETEMBRO"/>
    <s v="HSERV TERCEIRIZADOS"/>
    <s v="ESCOBRAS INDUSTRIA E COMERCIO DE MAQUINAS LTDA"/>
    <n v="-900"/>
    <x v="0"/>
    <x v="5"/>
  </r>
  <r>
    <x v="58"/>
    <s v="SETEMBRO"/>
    <s v="HSERV CLEAN"/>
    <s v="HM MAQ COMERCIO E ASSISTENCIA TECNICA INDUSTRIAL"/>
    <n v="-4781.3999999999996"/>
    <x v="0"/>
    <x v="5"/>
  </r>
  <r>
    <x v="58"/>
    <s v="SETEMBRO"/>
    <s v="HSERV COMBINADOS"/>
    <s v="THIAGO ALMEIDA SANTANA"/>
    <n v="-200"/>
    <x v="0"/>
    <x v="13"/>
  </r>
  <r>
    <x v="58"/>
    <s v="SETEMBRO"/>
    <s v="HENRIQUE JEAN"/>
    <s v="NILCEIA CRISTINA DA CUNHA"/>
    <n v="-4101.5"/>
    <x v="0"/>
    <x v="6"/>
  </r>
  <r>
    <x v="27"/>
    <s v="SETEMBRO"/>
    <s v="HENRIQUE JEAN"/>
    <s v="SAMANTHA PATRICIA MACHADO DE GOUVEIA -PROC  nº 0010287-43.2024.5.15.0097-SHEILA PASSALINE FERRAZ- PARCELA 4/4"/>
    <n v="-1000"/>
    <x v="0"/>
    <x v="34"/>
  </r>
  <r>
    <x v="28"/>
    <s v="SETEMBRO"/>
    <s v="HSERV CABREUVA"/>
    <s v="FERNANDO APARECIDO DOS SANTOS-Proc 0013031-54.2024.5.15.0018 RECLAMANTE: MANOEL ROBERTO DE SOUSA   PARCELA 3/17"/>
    <n v="-3000"/>
    <x v="0"/>
    <x v="34"/>
  </r>
  <r>
    <x v="28"/>
    <s v="SETEMBRO"/>
    <s v="VITOR DUARTE"/>
    <s v="JURANDIR BAVOSO JUNIOR- Proc 0010814-86.2024.5.15.0002 RECLAMANTE: JUAN ERICK REIS DOS SANTOS  PARCELA 3/12"/>
    <n v="-2000"/>
    <x v="0"/>
    <x v="34"/>
  </r>
  <r>
    <x v="28"/>
    <s v="SETEMBRO"/>
    <s v="HSERV CABREUVA"/>
    <s v="LUCAS LEONARDO MARQUES DE OLIVEIRA"/>
    <n v="-2000"/>
    <x v="0"/>
    <x v="34"/>
  </r>
  <r>
    <x v="28"/>
    <s v="SETEMBRO"/>
    <s v="HSERV CABREUVA"/>
    <s v="DALMAZO SOCIEDADE INDIVIDUAL DE ADVOCACIA"/>
    <n v="-1465"/>
    <x v="0"/>
    <x v="34"/>
  </r>
  <r>
    <x v="28"/>
    <s v="SETEMBRO"/>
    <s v="HSERV CABREUVA"/>
    <s v="ARAUJO E RIOS ADVOGADOS ASSOCIADOS"/>
    <n v="-3836.54"/>
    <x v="0"/>
    <x v="34"/>
  </r>
  <r>
    <x v="28"/>
    <s v="SETEMBRO"/>
    <s v="HSERV CABREUVA"/>
    <s v="TIAGO JOSE DE FREITAS OLIVEIRA"/>
    <n v="-3200"/>
    <x v="0"/>
    <x v="34"/>
  </r>
  <r>
    <x v="28"/>
    <s v="SETEMBRO"/>
    <s v="HSERV CLEAN"/>
    <s v="ANA PAULA HERKES MARTINS"/>
    <n v="-2500"/>
    <x v="0"/>
    <x v="34"/>
  </r>
  <r>
    <x v="28"/>
    <s v="SETEMBRO"/>
    <s v="HSERV LIMPEZA"/>
    <s v="JUAN PHILIPY STEPHANO AMARO SOCIEDADE INDIVIDUAL DE ADVOCACI"/>
    <n v="-1000"/>
    <x v="0"/>
    <x v="34"/>
  </r>
  <r>
    <x v="28"/>
    <s v="SETEMBRO"/>
    <s v="VITOR DUARTE"/>
    <s v="IVAN MARQUES DOS SANTOS"/>
    <n v="-2864.92"/>
    <x v="0"/>
    <x v="34"/>
  </r>
  <r>
    <x v="28"/>
    <s v="SETEMBRO"/>
    <s v="VITOR DUARTE"/>
    <s v="LUAN VIEIRA BARRETO"/>
    <n v="-1400"/>
    <x v="0"/>
    <x v="34"/>
  </r>
  <r>
    <x v="28"/>
    <s v="SETEMBRO"/>
    <s v="VITOR DUARTE"/>
    <s v="VALERIA GEOVANNA DOS SANTOS"/>
    <n v="-1916.67"/>
    <x v="0"/>
    <x v="34"/>
  </r>
  <r>
    <x v="27"/>
    <s v="SETEMBRO"/>
    <s v="HSERV CABREUVA"/>
    <s v="ZAMBONI, SOUSA, CARVALHO &amp; MARIANO --PROC 0012075-66.2022.5.15.0096 -CLAUDIA ARAUJO DOS SANTOS-PARCELA 4/6"/>
    <n v="-10000"/>
    <x v="0"/>
    <x v="34"/>
  </r>
  <r>
    <x v="69"/>
    <s v="SETEMBRO"/>
    <s v="HSERV TERCEIRIZADOS"/>
    <s v="LOTUS CENTRAL DE DISTRIBUICAO DE HIGIENICOS LTDA NF 189.843"/>
    <n v="-2592.66"/>
    <x v="0"/>
    <x v="4"/>
  </r>
  <r>
    <x v="69"/>
    <s v="SETEMBRO"/>
    <s v="HSERV TERCEIRIZADOS"/>
    <s v="FLORA DISTRIB PROD DE HIGIENE E LIMPEZA LTDA NF1.072.019"/>
    <n v="-487.53"/>
    <x v="0"/>
    <x v="4"/>
  </r>
  <r>
    <x v="69"/>
    <s v="SETEMBRO"/>
    <s v="HSERV REPRESENTACOES"/>
    <s v="OKUYAMA &amp; ALVES SOCIEDADE DE ADVOGADOSS - PROC 0012457-65.2023.5.15.0018 -JESSICA BARROS DOS SANTO PARCELA 5/8"/>
    <n v="-2000"/>
    <x v="0"/>
    <x v="34"/>
  </r>
  <r>
    <x v="27"/>
    <s v="SETEMBRO"/>
    <s v="HSERV REPRESENTACOES"/>
    <s v="OKUYAMA &amp; ALVES SOCIEDADE DE ADVOGADOS- PROC 0012465-42.2023.5.15.0018-PROC GENILDA MARIA DA SILVA PARCELA 5/8"/>
    <n v="-2000"/>
    <x v="0"/>
    <x v="34"/>
  </r>
  <r>
    <x v="82"/>
    <s v="DEZEMBRO"/>
    <s v="HSERV CLEAN"/>
    <s v="JOSE JONAS DE ARAUJO SILVA- PROCESSO 0010137-76.2022.5.15.0018- MANOEL VICENTE  PARCELA 6/8"/>
    <n v="-3968.99"/>
    <x v="0"/>
    <x v="34"/>
  </r>
  <r>
    <x v="83"/>
    <s v="NOVEMBRO"/>
    <s v="HSERV CLEAN"/>
    <s v="JOSE JONAS DE ARAUJO SILVA- PROCESSO 0010137-76.2022.5.15.0018- MANOEL VICENTE  PARCELA 5/8"/>
    <n v="-3968.99"/>
    <x v="0"/>
    <x v="34"/>
  </r>
  <r>
    <x v="84"/>
    <s v="OUTUBRO"/>
    <s v="HSERV CLEAN"/>
    <s v="JOSE JONAS DE ARAUJO SILVA- PROCESSO 0010137-76.2022.5.15.0018- MANOEL VICENTE  PARCELA 4/8"/>
    <n v="-3968.99"/>
    <x v="0"/>
    <x v="34"/>
  </r>
  <r>
    <x v="44"/>
    <s v="SETEMBRO"/>
    <s v="VITOR DUARTE"/>
    <s v="L. A. DE SOUZA - EQUIPAMENTOS DE SEGURANCA LTDA NF11.867"/>
    <n v="-600"/>
    <x v="0"/>
    <x v="44"/>
  </r>
  <r>
    <x v="44"/>
    <s v="SETEMBRO"/>
    <s v="HSERV CLEAN"/>
    <s v="JOSE JONAS DE ARAUJO SILVA- PROCESSO 0010137-76.2022.5.15.0018- MANOEL VICENTE  PARCELA 3/8"/>
    <n v="-3968.99"/>
    <x v="0"/>
    <x v="34"/>
  </r>
  <r>
    <x v="44"/>
    <s v="SETEMBRO"/>
    <s v="HENRIQUE JEAN"/>
    <s v="LUCINEIA CANDIDA GONCALVES"/>
    <n v="-240"/>
    <x v="0"/>
    <x v="7"/>
  </r>
  <r>
    <x v="44"/>
    <s v="SETEMBRO"/>
    <s v="HENRIQUE JEAN"/>
    <s v="EDIMARA GISELE SILVA JOANI"/>
    <n v="-240"/>
    <x v="0"/>
    <x v="7"/>
  </r>
  <r>
    <x v="44"/>
    <s v="SETEMBRO"/>
    <s v="HENRIQUE JEAN"/>
    <s v="MARIA DAS DORES DA CONCEICAO"/>
    <n v="-200"/>
    <x v="0"/>
    <x v="7"/>
  </r>
  <r>
    <x v="44"/>
    <s v="SETEMBRO"/>
    <s v="HENRIQUE JEAN"/>
    <s v="NATALINA SILVA NIZIO"/>
    <n v="-159.16"/>
    <x v="0"/>
    <x v="7"/>
  </r>
  <r>
    <x v="44"/>
    <s v="SETEMBRO"/>
    <s v="HENRIQUE JEAN"/>
    <s v="TATIANE CRISTINA BARBOSA"/>
    <n v="-240"/>
    <x v="0"/>
    <x v="7"/>
  </r>
  <r>
    <x v="44"/>
    <s v="SETEMBRO"/>
    <s v="HENRIQUE JEAN"/>
    <s v="ELUSA ROSALVA DA ROCHA PEREIRA"/>
    <n v="-360"/>
    <x v="0"/>
    <x v="7"/>
  </r>
  <r>
    <x v="44"/>
    <s v="SETEMBRO"/>
    <s v="HENRIQUE JEAN"/>
    <s v="JULIANA TOMAZ FERREIRA"/>
    <n v="-264"/>
    <x v="0"/>
    <x v="7"/>
  </r>
  <r>
    <x v="44"/>
    <s v="SETEMBRO"/>
    <s v="HENRIQUE JEAN"/>
    <s v="MARIA INES CHAGAS"/>
    <n v="-180"/>
    <x v="0"/>
    <x v="7"/>
  </r>
  <r>
    <x v="44"/>
    <s v="SETEMBRO"/>
    <s v="HENRIQUE JEAN"/>
    <s v="TATIANI LOPES"/>
    <n v="-250"/>
    <x v="0"/>
    <x v="7"/>
  </r>
  <r>
    <x v="44"/>
    <s v="SETEMBRO"/>
    <s v="HENRIQUE JEAN"/>
    <s v="ROSANGELA DA SILVA"/>
    <n v="-180"/>
    <x v="0"/>
    <x v="7"/>
  </r>
  <r>
    <x v="44"/>
    <s v="SETEMBRO"/>
    <s v="HENRIQUE JEAN"/>
    <s v="KEMILLY CRISTINA DE SOUZA"/>
    <n v="-250"/>
    <x v="0"/>
    <x v="7"/>
  </r>
  <r>
    <x v="44"/>
    <s v="SETEMBRO"/>
    <s v="HENRIQUE JEAN"/>
    <s v="THAYANE TERTULIANO DOMINGOS DA SILVA"/>
    <n v="-240"/>
    <x v="0"/>
    <x v="7"/>
  </r>
  <r>
    <x v="44"/>
    <s v="SETEMBRO"/>
    <s v="HENRIQUE JEAN"/>
    <s v="JULIANA SANTANA CARAVANTE MENDES"/>
    <n v="-140"/>
    <x v="0"/>
    <x v="7"/>
  </r>
  <r>
    <x v="44"/>
    <s v="SETEMBRO"/>
    <s v="HSERV CABREUVA"/>
    <s v="WENDRES BRAZ RODRIGUES"/>
    <n v="-59"/>
    <x v="0"/>
    <x v="7"/>
  </r>
  <r>
    <x v="44"/>
    <s v="SETEMBRO"/>
    <s v="HSERV CABREUVA"/>
    <s v="GRACE ADRIANA DE ANDRADE"/>
    <n v="-59"/>
    <x v="0"/>
    <x v="7"/>
  </r>
  <r>
    <x v="44"/>
    <s v="SETEMBRO"/>
    <s v="HSERV CABREUVA"/>
    <s v="ANA CELIA DA SILVA LOPES"/>
    <n v="-59"/>
    <x v="0"/>
    <x v="7"/>
  </r>
  <r>
    <x v="44"/>
    <s v="SETEMBRO"/>
    <s v="HSERV CABREUVA"/>
    <s v="RICARDO BARBOSA DA SILVA"/>
    <n v="-59"/>
    <x v="0"/>
    <x v="7"/>
  </r>
  <r>
    <x v="44"/>
    <s v="SETEMBRO"/>
    <s v="HSERV CABREUVA"/>
    <s v="MARCELO EVANGELISTA SANTOS"/>
    <n v="-59"/>
    <x v="0"/>
    <x v="7"/>
  </r>
  <r>
    <x v="44"/>
    <s v="SETEMBRO"/>
    <s v="HSERV CABREUVA"/>
    <s v="PATRICIA CRISTINA HAHNE"/>
    <n v="-23.6"/>
    <x v="0"/>
    <x v="7"/>
  </r>
  <r>
    <x v="44"/>
    <s v="SETEMBRO"/>
    <s v="HSERV COMBINADOS"/>
    <s v="SIMONE COSTA DA SILVA"/>
    <n v="-307.5"/>
    <x v="0"/>
    <x v="7"/>
  </r>
  <r>
    <x v="44"/>
    <s v="SETEMBRO"/>
    <s v="HSERV COMBINADOS"/>
    <s v="GUSTAVO HENRIQUE DOS SANTOS"/>
    <n v="-566.4"/>
    <x v="0"/>
    <x v="7"/>
  </r>
  <r>
    <x v="44"/>
    <s v="SETEMBRO"/>
    <s v="HSERV COMBINADOS"/>
    <s v="ADRIANA SIMONE MARINHO GOULART"/>
    <n v="-220"/>
    <x v="0"/>
    <x v="7"/>
  </r>
  <r>
    <x v="44"/>
    <s v="SETEMBRO"/>
    <s v="HSERV COMBINADOS"/>
    <s v="ALCIDES PEREIRA DE SOUZA"/>
    <n v="-349.5"/>
    <x v="0"/>
    <x v="7"/>
  </r>
  <r>
    <x v="44"/>
    <s v="SETEMBRO"/>
    <s v="HSERV TECNOLOGIA"/>
    <s v="WELLINTON ABREU DE JESUS"/>
    <n v="-279.36"/>
    <x v="0"/>
    <x v="7"/>
  </r>
  <r>
    <x v="44"/>
    <s v="SETEMBRO"/>
    <s v="HSERV TECNOLOGIA"/>
    <s v="MAURO TADEU COSTA DOS SANTOS-BONIFICAÇÃO"/>
    <n v="-516.96"/>
    <x v="0"/>
    <x v="11"/>
  </r>
  <r>
    <x v="44"/>
    <s v="SETEMBRO"/>
    <s v="VITOR DUARTE"/>
    <s v="JULIO CEZAR IGLESIAS DE LIMA"/>
    <n v="-2100"/>
    <x v="0"/>
    <x v="63"/>
  </r>
  <r>
    <x v="44"/>
    <s v="SETEMBRO"/>
    <s v="HSERV COMBINADOS "/>
    <s v="JC SOARES DE OLIVEIRA - NUCLEO- CAMISAS PERSONALIZADAS ADM "/>
    <n v="-200"/>
    <x v="0"/>
    <x v="60"/>
  </r>
  <r>
    <x v="44"/>
    <s v="SETEMBRO"/>
    <s v="VITOR DUARTE"/>
    <s v="TADIM NEVES SOCIEDADE INDIVIDUAL DE ADVOCACIA -PROC  - 0012114-44.2023.5.15.0188-ADILIO SANTOS SOUZA PARCELA 6/8"/>
    <n v="-1848.63"/>
    <x v="0"/>
    <x v="34"/>
  </r>
  <r>
    <x v="44"/>
    <s v="SETEMBRO"/>
    <s v="HSERV COMBINADOS"/>
    <s v="ELISANGELA APARECIDA VITOR "/>
    <n v="-500"/>
    <x v="0"/>
    <x v="63"/>
  </r>
  <r>
    <x v="44"/>
    <s v="SETEMBRO"/>
    <s v="HSERV COMBINADOS"/>
    <s v="MARIA HELENA CORREA- FTS EM PEDREIRA DIA 23 E 24"/>
    <n v="-400"/>
    <x v="0"/>
    <x v="13"/>
  </r>
  <r>
    <x v="44"/>
    <s v="SETEMBRO"/>
    <s v="HSERV COMBINADOS"/>
    <s v="ERIKA DE PAULA SERAFIM -ATESTADO COLABORADORA DA CASA- APOIO EXTRA CD - CENTRO DISTRIBUIÇÃO "/>
    <n v="-270"/>
    <x v="0"/>
    <x v="13"/>
  </r>
  <r>
    <x v="44"/>
    <s v="SETEMBRO"/>
    <s v="HSERV COMBINADOS"/>
    <s v="SANDRA REGINA MARTINS FT FALTANTES"/>
    <n v="-1717.2"/>
    <x v="0"/>
    <x v="13"/>
  </r>
  <r>
    <x v="44"/>
    <s v="SETEMBRO"/>
    <s v="HSERV COMBINADOS"/>
    <s v="MARCIA VALERIA-FT FALTANTE"/>
    <n v="-1717.2"/>
    <x v="0"/>
    <x v="13"/>
  </r>
  <r>
    <x v="44"/>
    <s v="SETEMBRO"/>
    <s v="HSERV COMBINADOS"/>
    <s v="MATUSALEM NOGUEIRA- FT FALNTANTE"/>
    <n v="-755.28"/>
    <x v="0"/>
    <x v="13"/>
  </r>
  <r>
    <x v="44"/>
    <s v="SETEMBRO"/>
    <s v="HSERV COMBINADOS"/>
    <s v="JOÃO VICTOR RODRIGUES DA SILVA COBRINDO ATESTADO THAYANE  (LOJA 18) E JULIANA SANTANA LOJA 29 PRUDENTE "/>
    <n v="-540"/>
    <x v="0"/>
    <x v="13"/>
  </r>
  <r>
    <x v="85"/>
    <s v="OUTUBRO"/>
    <s v="HSERV CABREUVA"/>
    <s v=" MEI"/>
    <n v="-100000"/>
    <x v="0"/>
    <x v="11"/>
  </r>
  <r>
    <x v="86"/>
    <s v="OUTUBRO"/>
    <s v="HSERV CABREUVA"/>
    <s v=" MEI  "/>
    <n v="-9000"/>
    <x v="0"/>
    <x v="11"/>
  </r>
  <r>
    <x v="87"/>
    <s v="OUTUBRO"/>
    <s v="HSERV TERCEIRIZADOS ND"/>
    <s v="_x0009_ENCARGOS LIMITE DE CRED- HSERV TERCERIZADOS BRADESCO "/>
    <n v="-900"/>
    <x v="0"/>
    <x v="45"/>
  </r>
  <r>
    <x v="29"/>
    <s v="OUTUBRO"/>
    <s v="VITOR DUARTE"/>
    <s v="54.055.078 MATHEUS PEIXOTO DE OLIVEIRA"/>
    <n v="-1500"/>
    <x v="0"/>
    <x v="40"/>
  </r>
  <r>
    <x v="29"/>
    <s v="OUTUBRO"/>
    <s v="VITOR DUARTE"/>
    <s v="ADEMIR- IMPRESSÃO E IMPRESSORA"/>
    <n v="-50"/>
    <x v="0"/>
    <x v="40"/>
  </r>
  <r>
    <x v="88"/>
    <s v="OUTUBRO"/>
    <s v="HSERV CABREUVA"/>
    <s v="ANJO AZUL ALARMES"/>
    <n v="-1100"/>
    <x v="0"/>
    <x v="21"/>
  </r>
  <r>
    <x v="85"/>
    <s v="OUTUBRO"/>
    <s v="HSERV CABREUVA"/>
    <s v="ASSIDUIDADE"/>
    <n v="-40000"/>
    <x v="0"/>
    <x v="23"/>
  </r>
  <r>
    <x v="18"/>
    <s v="SETEMBRO"/>
    <s v="HSERV TERCEIRIZADOS"/>
    <s v="ESCOBRAS INDUSTRIA E COMERCIO DE MAQUINAS LTDA"/>
    <n v="-1400"/>
    <x v="0"/>
    <x v="4"/>
  </r>
  <r>
    <x v="18"/>
    <s v="SETEMBRO"/>
    <s v="HSERV TERCEIRIZADOS"/>
    <s v="GLOVAN CABREUVA ALUGUEL DE EQUIPAMENTOS LTDA"/>
    <n v="-35.299999999999997"/>
    <x v="0"/>
    <x v="64"/>
  </r>
  <r>
    <x v="18"/>
    <s v="SETEMBRO"/>
    <s v="HSERV CABREUVA"/>
    <s v="ASOMETRA"/>
    <n v="-4500"/>
    <x v="0"/>
    <x v="30"/>
  </r>
  <r>
    <x v="89"/>
    <s v="OUTUBRO"/>
    <s v="HSERV CABREUVA"/>
    <s v="ASOMETRA"/>
    <n v="-4500"/>
    <x v="0"/>
    <x v="30"/>
  </r>
  <r>
    <x v="90"/>
    <s v="OUTUBRO"/>
    <s v="HSERV CABREUVA"/>
    <s v="AUTO POSTO JARDIM DAS HORTENCI"/>
    <n v="-9500"/>
    <x v="0"/>
    <x v="20"/>
  </r>
  <r>
    <x v="41"/>
    <s v="OUTUBRO"/>
    <s v="HSERV CABREUVA"/>
    <s v="AUTO POSTO JARDIM DAS HORTENCI"/>
    <n v="-9000"/>
    <x v="0"/>
    <x v="20"/>
  </r>
  <r>
    <x v="91"/>
    <s v="OUTUBRO"/>
    <s v="VITOR DUARTE"/>
    <s v="AVENIDA "/>
    <n v="345280"/>
    <x v="1"/>
    <x v="3"/>
  </r>
  <r>
    <x v="86"/>
    <s v="OUTUBRO"/>
    <s v="HSERV CABREUVA"/>
    <s v="BANCO ITAUCARD S.A.- "/>
    <n v="-3809.98"/>
    <x v="0"/>
    <x v="8"/>
  </r>
  <r>
    <x v="92"/>
    <s v="OUTUBRO"/>
    <s v="TERCEIRIZADOS"/>
    <s v="BELLART"/>
    <n v="17956.39"/>
    <x v="1"/>
    <x v="3"/>
  </r>
  <r>
    <x v="92"/>
    <s v="OUTUBRO"/>
    <s v="HSERV CABREUVA"/>
    <s v="BENEFICIO SOCIALVENCIDA"/>
    <n v="-4500"/>
    <x v="0"/>
    <x v="14"/>
  </r>
  <r>
    <x v="38"/>
    <s v="OUTUBRO"/>
    <s v="CABREUVA"/>
    <s v="BOA"/>
    <n v="816717.89"/>
    <x v="1"/>
    <x v="3"/>
  </r>
  <r>
    <x v="85"/>
    <s v="OUTUBRO"/>
    <s v="VITOR DUARTE"/>
    <s v="BOLETO OTAVIO"/>
    <n v="-20000"/>
    <x v="0"/>
    <x v="18"/>
  </r>
  <r>
    <x v="81"/>
    <s v="SETEMBRO"/>
    <s v="HENRIQUE JEAN"/>
    <s v="PAULO CEZAR FERREIRA DOS SANTOS-PROC 0012427-44.2024.5.15.0002 -MARIA NAZARE DA SILVA PARCELA 2/10"/>
    <n v="-1500"/>
    <x v="0"/>
    <x v="34"/>
  </r>
  <r>
    <x v="81"/>
    <s v="SETEMBRO"/>
    <s v="HSERV CABREUVA"/>
    <s v="AUREA MOSCATINI-PROC 0012313-20.2024.5.15.0095  - GABRIEL BARBOSA DOS SANTOS   PARCELA 2/5"/>
    <n v="-1000"/>
    <x v="0"/>
    <x v="34"/>
  </r>
  <r>
    <x v="81"/>
    <s v="SETEMBRO"/>
    <s v="HSERV CLEAN"/>
    <s v="SANTOS SEPULVEDA SOCIEDADE INDIVIDUAL DE ADVOCACIA-PROC  0011475-02.2023.5.15.0002 RECLAMANTE: ANA CAROLINA DOS SANTOS PARCELA 2/10"/>
    <n v="-3800"/>
    <x v="0"/>
    <x v="34"/>
  </r>
  <r>
    <x v="81"/>
    <s v="SETEMBRO"/>
    <s v="HENRIQUE JEAN"/>
    <s v="FABIANA DE SOUZA CULBERT SOCIEDADE INDIVIDUAL DE ADVOCACIA- PROC 0010360-81.2025.5.15.0096PAULO EDVAN HAHNE -PARCELA 2/6"/>
    <n v="-1000"/>
    <x v="0"/>
    <x v="34"/>
  </r>
  <r>
    <x v="81"/>
    <s v="SETEMBRO"/>
    <s v="VITOR DUARTE"/>
    <s v="ALTOLIM COMERCIAL ASSIS EIRELI - ME"/>
    <n v="-136.44"/>
    <x v="0"/>
    <x v="4"/>
  </r>
  <r>
    <x v="81"/>
    <s v="SETEMBRO"/>
    <s v="HSERV TERCEIRIZADOS"/>
    <s v="STAR CLEAN PRO INDUSTRIA E COMERCIO DE EQUIPAMENTOS DE LIMPE - FMD FUNDO DE INVESTIMENTO EM DIREITOS CREDITORIOS"/>
    <n v="-1101.8399999999999"/>
    <x v="0"/>
    <x v="4"/>
  </r>
  <r>
    <x v="81"/>
    <s v="SETEMBRO"/>
    <s v="HSERV CLEAN"/>
    <s v="J.E. COMERCIO E SOLUCOES LTDA"/>
    <n v="-2510.4499999999998"/>
    <x v="0"/>
    <x v="4"/>
  </r>
  <r>
    <x v="81"/>
    <s v="SETEMBRO"/>
    <s v="HSERV TERCEIRIZADOS"/>
    <s v="PAROLAR DIST DE UTENSILIOS DOMESTICOS LTDA"/>
    <n v="-354.28"/>
    <x v="0"/>
    <x v="4"/>
  </r>
  <r>
    <x v="81"/>
    <s v="SETEMBRO"/>
    <s v="HSERV COMBINADOS"/>
    <s v="GISELE RODRIGUES DOS SANTOS"/>
    <n v="-61.28"/>
    <x v="0"/>
    <x v="4"/>
  </r>
  <r>
    <x v="81"/>
    <s v="SETEMBRO"/>
    <s v="HSERV CABREUVA"/>
    <s v="BRADESCO -RENEGOCIAÇÃO DO EMPRESTIMO"/>
    <n v="-35714.57"/>
    <x v="0"/>
    <x v="12"/>
  </r>
  <r>
    <x v="41"/>
    <s v="OUTUBRO"/>
    <s v="HSERV CABREUVA"/>
    <s v="BRADESCO "/>
    <n v="-35714.57"/>
    <x v="0"/>
    <x v="12"/>
  </r>
  <r>
    <x v="90"/>
    <s v="OUTUBRO"/>
    <s v="HSERV CABREUVA"/>
    <s v="BRADESCO SEGUROS - QUY9F13- DEBITO AUTOMATICO HSERV CABREUVA BRADESCO"/>
    <n v="-545.78"/>
    <x v="0"/>
    <x v="22"/>
  </r>
  <r>
    <x v="90"/>
    <s v="OUTUBRO"/>
    <s v="HSERV COMBINADOS "/>
    <s v="BRASIL MEDICINE - PROVISÃO "/>
    <n v="-9000"/>
    <x v="0"/>
    <x v="14"/>
  </r>
  <r>
    <x v="84"/>
    <s v="OUTUBRO"/>
    <s v="HSERV COMBINADOS "/>
    <s v="CAIXINHA OPERACIONAL "/>
    <n v="-5000"/>
    <x v="0"/>
    <x v="1"/>
  </r>
  <r>
    <x v="84"/>
    <s v="OUTUBRO"/>
    <s v="HSERV COMBINADOS "/>
    <s v="CAIXINHA OPERACIONAL - OSSIRES"/>
    <n v="-2000"/>
    <x v="0"/>
    <x v="1"/>
  </r>
  <r>
    <x v="85"/>
    <s v="OUTUBRO"/>
    <s v="HENRIQUE JEAN"/>
    <s v="CARTÃO DE CREDITO"/>
    <n v="-2302.0500000000002"/>
    <x v="0"/>
    <x v="25"/>
  </r>
  <r>
    <x v="85"/>
    <s v="OUTUBRO"/>
    <s v="HSERV COMBINADOS"/>
    <s v="CARTÃO DE CREDITO"/>
    <n v="-1248.99"/>
    <x v="0"/>
    <x v="25"/>
  </r>
  <r>
    <x v="85"/>
    <s v="OUTUBRO"/>
    <s v="VITOR DUARTE"/>
    <s v="CARTAO DE CRÉDITO- VITOR"/>
    <n v="-12000"/>
    <x v="0"/>
    <x v="25"/>
  </r>
  <r>
    <x v="90"/>
    <s v="OUTUBRO"/>
    <s v="HENRIQUE JEAN"/>
    <s v="CARTÃO VITOR"/>
    <n v="-9000"/>
    <x v="0"/>
    <x v="18"/>
  </r>
  <r>
    <x v="41"/>
    <s v="OUTUBRO"/>
    <s v="HSERV COMBINADOS"/>
    <s v="CEF MATRIZ-EMPRESTIMO HSERV COMBINADOS VENCIDO"/>
    <n v="-7000"/>
    <x v="0"/>
    <x v="12"/>
  </r>
  <r>
    <x v="41"/>
    <s v="OUTUBRO"/>
    <s v="HENRIQUE JEAN"/>
    <s v="CEF MATRIZ--EMPRESTIMO HENRIQUE IEAN VENCIDO "/>
    <n v="-7000"/>
    <x v="0"/>
    <x v="12"/>
  </r>
  <r>
    <x v="85"/>
    <s v="OUTUBRO"/>
    <s v="HENRIQUE JEAN ND"/>
    <s v="CELIO ROBERTO"/>
    <n v="-877.96"/>
    <x v="0"/>
    <x v="10"/>
  </r>
  <r>
    <x v="29"/>
    <s v="OUTUBRO"/>
    <s v="HENRIQUE JEAN ND"/>
    <s v="CELIO ROBERTO"/>
    <n v="-5000"/>
    <x v="0"/>
    <x v="10"/>
  </r>
  <r>
    <x v="89"/>
    <s v="OUTUBRO"/>
    <s v="VITOR DUARTE"/>
    <s v="CHEQUES DR DUARTE"/>
    <n v="-9980"/>
    <x v="0"/>
    <x v="18"/>
  </r>
  <r>
    <x v="93"/>
    <s v="OUTUBRO"/>
    <s v="VITOR DUARTE"/>
    <s v="CHEQUES DR DUARTE"/>
    <n v="-9980"/>
    <x v="0"/>
    <x v="18"/>
  </r>
  <r>
    <x v="29"/>
    <s v="OUTUBRO"/>
    <s v="VITOR DUARTE"/>
    <s v="CHEQUES DR DUARTE"/>
    <n v="-23498.18"/>
    <x v="0"/>
    <x v="18"/>
  </r>
  <r>
    <x v="94"/>
    <s v="OUTUBRO"/>
    <s v="VITOR DUARTE"/>
    <s v="CLARO S/A"/>
    <n v="-1700"/>
    <x v="0"/>
    <x v="35"/>
  </r>
  <r>
    <x v="86"/>
    <s v="OUTUBRO"/>
    <s v="HENRIQUE JEAN"/>
    <s v="CONDOMINIO NEX ONE CONSOLAÇÃO BELAS ARTES- ROBOTTON"/>
    <n v="-760"/>
    <x v="0"/>
    <x v="10"/>
  </r>
  <r>
    <x v="65"/>
    <s v="OUTUBRO"/>
    <s v="CABREUVA"/>
    <s v="CONDOMINIO PALAZZO VENEZA"/>
    <n v="4880.1400000000003"/>
    <x v="1"/>
    <x v="3"/>
  </r>
  <r>
    <x v="86"/>
    <s v="OUTUBRO"/>
    <s v="HSERV CABREUVA "/>
    <s v="CREDIFIT"/>
    <n v="-9000"/>
    <x v="0"/>
    <x v="46"/>
  </r>
  <r>
    <x v="88"/>
    <s v="OUTUBRO"/>
    <s v="VITOR DUARTE"/>
    <s v="DARF DE COFINS, PIS- LUCRO  PRESUMIDO HSERV CABREUVA"/>
    <n v="-3000"/>
    <x v="0"/>
    <x v="32"/>
  </r>
  <r>
    <x v="88"/>
    <s v="OUTUBRO"/>
    <s v="VITOR DUARTE"/>
    <s v="DARF DE COFINS, PIS- LUCRO REAL EMPRESA VITOR"/>
    <n v="-15000"/>
    <x v="0"/>
    <x v="32"/>
  </r>
  <r>
    <x v="88"/>
    <s v="OUTUBRO"/>
    <s v="HSERV CABREUVA"/>
    <s v="DARF INSS-TODAS EMPRESAS"/>
    <n v="-50000"/>
    <x v="0"/>
    <x v="32"/>
  </r>
  <r>
    <x v="65"/>
    <s v="OUTUBRO"/>
    <s v="VITOR"/>
    <s v="DEPOSITO SANTA CATARINA LTDA"/>
    <n v="257.81"/>
    <x v="1"/>
    <x v="3"/>
  </r>
  <r>
    <x v="29"/>
    <s v="OUTUBRO"/>
    <s v="VITOR DUARTE"/>
    <s v="DEVOLUÇÃO APORTE VITOR - APORTE "/>
    <n v="-56900"/>
    <x v="0"/>
    <x v="33"/>
  </r>
  <r>
    <x v="30"/>
    <s v="NOVEMBRO"/>
    <s v="VITOR DUARTE"/>
    <s v="DEVOLUÇÃO APORTE VITOR - APORTE "/>
    <n v="-56900"/>
    <x v="0"/>
    <x v="33"/>
  </r>
  <r>
    <x v="84"/>
    <s v="OUTUBRO"/>
    <s v="LIMPEZA"/>
    <s v="EDMAR APARECIDO MARTINEZ"/>
    <n v="799.2"/>
    <x v="1"/>
    <x v="3"/>
  </r>
  <r>
    <x v="84"/>
    <s v="OUTUBRO"/>
    <s v="LIMPEZA"/>
    <s v="EDMAR APARECIDO MARTINEZ"/>
    <n v="18532.8"/>
    <x v="1"/>
    <x v="3"/>
  </r>
  <r>
    <x v="84"/>
    <s v="OUTUBRO"/>
    <s v="HSERV CABREUVA"/>
    <s v="ELEKTRO LOJA CLEAN"/>
    <n v="-201"/>
    <x v="0"/>
    <x v="0"/>
  </r>
  <r>
    <x v="84"/>
    <s v="OUTUBRO"/>
    <s v="HSERV CABREUVA"/>
    <s v="ELEKTRO SALA 16"/>
    <n v="-650"/>
    <x v="0"/>
    <x v="0"/>
  </r>
  <r>
    <x v="84"/>
    <s v="OUTUBRO"/>
    <s v="HSERV CABREUVA"/>
    <s v="ELEKTRO SALA 17"/>
    <n v="-320"/>
    <x v="0"/>
    <x v="0"/>
  </r>
  <r>
    <x v="84"/>
    <s v="OUTUBRO"/>
    <s v="HSERV CABREUVA"/>
    <s v="ELEKTRO SALA 18"/>
    <n v="-350"/>
    <x v="0"/>
    <x v="0"/>
  </r>
  <r>
    <x v="92"/>
    <s v="OUTUBRO"/>
    <s v="HENRIQUE JEAN"/>
    <s v="EMPORIO MEGA 100 COMERCIO DE ALIMENTOS S.A."/>
    <n v="-1239.92"/>
    <x v="0"/>
    <x v="24"/>
  </r>
  <r>
    <x v="92"/>
    <s v="OUTUBRO"/>
    <s v="HSERV CABREUVA"/>
    <s v="EMPORIO MEGA 100 COMERCIO DE ALIMENTOS S.A."/>
    <n v="-1627.39"/>
    <x v="0"/>
    <x v="24"/>
  </r>
  <r>
    <x v="92"/>
    <s v="OUTUBRO"/>
    <s v="HSERV CLEAN"/>
    <s v="EMPORIO MEGA 100 COMERCIO DE ALIMENTOS S.A."/>
    <n v="-1162.42"/>
    <x v="0"/>
    <x v="24"/>
  </r>
  <r>
    <x v="92"/>
    <s v="OUTUBRO"/>
    <s v="HSERV CLEAN"/>
    <s v="EMPORIO MEGA 100 COMERCIO DE ALIMENTOS S.A."/>
    <n v="-3099.8"/>
    <x v="0"/>
    <x v="24"/>
  </r>
  <r>
    <x v="92"/>
    <s v="OUTUBRO"/>
    <s v="HSERV COMBINADOS"/>
    <s v="EMPORIO MEGA 100 COMERCIO DE ALIMENTOS S.A."/>
    <n v="-3564.77"/>
    <x v="0"/>
    <x v="24"/>
  </r>
  <r>
    <x v="92"/>
    <s v="OUTUBRO"/>
    <s v="HSERV LIMPEZA"/>
    <s v="EMPORIO MEGA 100 COMERCIO DE ALIMENTOS S.A."/>
    <n v="-929.94"/>
    <x v="0"/>
    <x v="24"/>
  </r>
  <r>
    <x v="92"/>
    <s v="OUTUBRO"/>
    <s v="HSERV REPRESENTACOES"/>
    <s v="EMPORIO MEGA 100 COMERCIO DE ALIMENTOS S.A."/>
    <n v="-697.45"/>
    <x v="0"/>
    <x v="24"/>
  </r>
  <r>
    <x v="92"/>
    <s v="OUTUBRO"/>
    <s v="HSERV TECNOLOGIA"/>
    <s v="EMPORIO MEGA 100 COMERCIO DE ALIMENTOS S.A."/>
    <n v="-2479.84"/>
    <x v="0"/>
    <x v="24"/>
  </r>
  <r>
    <x v="92"/>
    <s v="OUTUBRO"/>
    <s v="HSERV TERCEIRIZADOS"/>
    <s v="EMPORIO MEGA 100 COMERCIO DE ALIMENTOS S.A."/>
    <n v="-1394.91"/>
    <x v="0"/>
    <x v="24"/>
  </r>
  <r>
    <x v="92"/>
    <s v="OUTUBRO"/>
    <s v="VITOR DUARTE"/>
    <s v="EMPORIO MEGA 100 COMERCIO DE ALIMENTOS S.A."/>
    <n v="-619.96"/>
    <x v="0"/>
    <x v="24"/>
  </r>
  <r>
    <x v="88"/>
    <s v="OUTUBRO"/>
    <s v="HENRIQUE JEAN"/>
    <s v="EMPORIO MEGA 100 COMERCIO DE ALIMENTOS S.A."/>
    <n v="-2324.85"/>
    <x v="0"/>
    <x v="24"/>
  </r>
  <r>
    <x v="88"/>
    <s v="OUTUBRO"/>
    <s v="HSERV CABREUVA"/>
    <s v="EMPORIO MEGA 100 COMERCIO DE ALIMENTOS S.A."/>
    <n v="-2944.81"/>
    <x v="0"/>
    <x v="24"/>
  </r>
  <r>
    <x v="88"/>
    <s v="OUTUBRO"/>
    <s v="HSERV CLEAN"/>
    <s v="EMPORIO MEGA 100 COMERCIO DE ALIMENTOS S.A."/>
    <n v="-2867.32"/>
    <x v="0"/>
    <x v="24"/>
  </r>
  <r>
    <x v="88"/>
    <s v="OUTUBRO"/>
    <s v="HSERV CLEAN"/>
    <s v="EMPORIO MEGA 100 COMERCIO DE ALIMENTOS S.A."/>
    <n v="-852.45"/>
    <x v="0"/>
    <x v="24"/>
  </r>
  <r>
    <x v="88"/>
    <s v="OUTUBRO"/>
    <s v="HSERV COMBINADOS"/>
    <s v="EMPORIO MEGA 100 COMERCIO DE ALIMENTOS S.A."/>
    <n v="-2789.82"/>
    <x v="0"/>
    <x v="24"/>
  </r>
  <r>
    <x v="88"/>
    <s v="OUTUBRO"/>
    <s v="HSERV LIMPEZA"/>
    <s v="EMPORIO MEGA 100 COMERCIO DE ALIMENTOS S.A."/>
    <n v="-852.45"/>
    <x v="0"/>
    <x v="24"/>
  </r>
  <r>
    <x v="88"/>
    <s v="OUTUBRO"/>
    <s v="HSERV REPRESENTACOES"/>
    <s v="EMPORIO MEGA 100 COMERCIO DE ALIMENTOS S.A."/>
    <n v="-619.96"/>
    <x v="0"/>
    <x v="24"/>
  </r>
  <r>
    <x v="88"/>
    <s v="OUTUBRO"/>
    <s v="HSERV TECNOLOGIA"/>
    <s v="EMPORIO MEGA 100 COMERCIO DE ALIMENTOS S.A."/>
    <n v="-154.99"/>
    <x v="0"/>
    <x v="24"/>
  </r>
  <r>
    <x v="88"/>
    <s v="OUTUBRO"/>
    <s v="HSERV TERCEIRIZADOS"/>
    <s v="EMPORIO MEGA 100 COMERCIO DE ALIMENTOS S.A."/>
    <n v="-852.45"/>
    <x v="0"/>
    <x v="24"/>
  </r>
  <r>
    <x v="88"/>
    <s v="OUTUBRO"/>
    <s v="VITOR DUARTE"/>
    <s v="EMPORIO MEGA 100 COMERCIO DE ALIMENTOS S.A."/>
    <n v="-77.5"/>
    <x v="0"/>
    <x v="24"/>
  </r>
  <r>
    <x v="85"/>
    <s v="OUTUBRO"/>
    <s v="HSERV CLEAN"/>
    <s v="EMPRESTIMO HSERV CLEAN BRADESCO M-PARCELA MENSAL"/>
    <n v="-5523.75"/>
    <x v="0"/>
    <x v="12"/>
  </r>
  <r>
    <x v="85"/>
    <s v="OUTUBRO"/>
    <s v="HSERV COMBINADOS "/>
    <s v="ESTER CARDOZO"/>
    <n v="-1375"/>
    <x v="0"/>
    <x v="11"/>
  </r>
  <r>
    <x v="86"/>
    <s v="OUTUBRO"/>
    <s v="HSERV CABREUVA"/>
    <s v="ESTER CARDOZO DE LIMA "/>
    <n v="-500"/>
    <x v="0"/>
    <x v="11"/>
  </r>
  <r>
    <x v="85"/>
    <s v="OUTUBRO"/>
    <s v="VITOR DUARTE"/>
    <s v="FABIOLA FARIAS FELIX"/>
    <n v="-145"/>
    <x v="0"/>
    <x v="24"/>
  </r>
  <r>
    <x v="29"/>
    <s v="OUTUBRO"/>
    <s v="VITOR DUARTE"/>
    <s v="QUEILA JESUS BERNARDES DE OLIVEIRA"/>
    <n v="-2625"/>
    <x v="0"/>
    <x v="38"/>
  </r>
  <r>
    <x v="29"/>
    <s v="OUTUBRO"/>
    <s v="HSERV CABREUVA"/>
    <s v="FÉRIAS- "/>
    <n v="-37000"/>
    <x v="0"/>
    <x v="38"/>
  </r>
  <r>
    <x v="88"/>
    <s v="OUTUBRO"/>
    <s v="HSERV CABREUVA"/>
    <s v="FGTS MENSAL"/>
    <n v="-55000"/>
    <x v="0"/>
    <x v="32"/>
  </r>
  <r>
    <x v="90"/>
    <s v="OUTUBRO"/>
    <s v="HENRIQUE JEAN ND"/>
    <s v="FIT ADM (VIDA NOVA) 34-07"/>
    <n v="-432"/>
    <x v="0"/>
    <x v="10"/>
  </r>
  <r>
    <x v="88"/>
    <s v="OUTUBRO"/>
    <s v="HSERV CABREUVA"/>
    <s v="FT 1 QUINZENA E PACOTES, RT"/>
    <n v="-110000"/>
    <x v="0"/>
    <x v="13"/>
  </r>
  <r>
    <x v="90"/>
    <s v="OUTUBRO"/>
    <s v="HSERV COMBINADOS "/>
    <s v="FT 2 QUINZENA"/>
    <n v="-50000"/>
    <x v="0"/>
    <x v="13"/>
  </r>
  <r>
    <x v="86"/>
    <s v="OUTUBRO"/>
    <s v="HSERV COMBINADOS "/>
    <s v="FT ASSIS E REGIÃO- "/>
    <n v="-7000"/>
    <x v="0"/>
    <x v="13"/>
  </r>
  <r>
    <x v="88"/>
    <s v="OUTUBRO"/>
    <s v="HSERV CABREUVA"/>
    <s v="FT ASSIS E REGIÃO- "/>
    <n v="-8000"/>
    <x v="0"/>
    <x v="13"/>
  </r>
  <r>
    <x v="95"/>
    <s v="OUTUBRO"/>
    <s v="HSERV COMBINADOS "/>
    <s v="GABRIEL DOS SANTOS NOVÃESCLOUD-TELEFONIA"/>
    <n v="-500"/>
    <x v="0"/>
    <x v="21"/>
  </r>
  <r>
    <x v="41"/>
    <s v="OUTUBRO"/>
    <s v="VITOR DUARTE"/>
    <s v="GADE CORPORATIVA"/>
    <n v="-500"/>
    <x v="0"/>
    <x v="21"/>
  </r>
  <r>
    <x v="65"/>
    <s v="OUTUBRO"/>
    <s v="VITOR"/>
    <s v="GIFEL"/>
    <n v="680.03"/>
    <x v="1"/>
    <x v="3"/>
  </r>
  <r>
    <x v="38"/>
    <s v="OUTUBRO"/>
    <s v="HSERV CLEAN"/>
    <s v="GUIA DE IMPOSTO VEPAKUM RETROATIVO 2024"/>
    <n v="-4000"/>
    <x v="0"/>
    <x v="32"/>
  </r>
  <r>
    <x v="29"/>
    <s v="OUTUBRO"/>
    <s v="VITOR DUARTE"/>
    <s v="GUIA DE PARCELAMENTO INSS VITOR JULHO A NOV 2024"/>
    <n v="-7000"/>
    <x v="0"/>
    <x v="32"/>
  </r>
  <r>
    <x v="29"/>
    <s v="OUTUBRO"/>
    <s v="HSERV CLEAN"/>
    <s v="GUIA DE PARELAMENTO DE DIVIDA ATIVA HSERV CLEAN"/>
    <n v="-600"/>
    <x v="0"/>
    <x v="32"/>
  </r>
  <r>
    <x v="88"/>
    <s v="OUTUBRO"/>
    <s v="HSERV CABREUVA"/>
    <s v="IF EMPRESARIAL"/>
    <n v="-16000"/>
    <x v="0"/>
    <x v="31"/>
  </r>
  <r>
    <x v="88"/>
    <s v="OUTUBRO"/>
    <s v="HENRIQUE JEAN ND"/>
    <s v="IMOVEL NEX ONE "/>
    <n v="-8937.32"/>
    <x v="0"/>
    <x v="10"/>
  </r>
  <r>
    <x v="65"/>
    <s v="OUTUBRO"/>
    <s v="LIMPEZA"/>
    <s v="IMPROVEMENT FIT ACADEMIA LTDA"/>
    <n v="7850"/>
    <x v="1"/>
    <x v="3"/>
  </r>
  <r>
    <x v="84"/>
    <s v="OUTUBRO"/>
    <s v="TECNOLOGIA"/>
    <s v="INTERBRILHO HIGIENE E LIMPEZA LTDA"/>
    <n v="23638.67"/>
    <x v="1"/>
    <x v="3"/>
  </r>
  <r>
    <x v="90"/>
    <s v="OUTUBRO"/>
    <s v="HSERV CLEAN"/>
    <s v="INTERMEDICA"/>
    <n v="-9146.82"/>
    <x v="0"/>
    <x v="19"/>
  </r>
  <r>
    <x v="90"/>
    <s v="OUTUBRO"/>
    <s v="HSERV COMBINADOS "/>
    <s v="JAIR RÉ"/>
    <n v="-1000"/>
    <x v="0"/>
    <x v="17"/>
  </r>
  <r>
    <x v="90"/>
    <s v="OUTUBRO"/>
    <s v="HSERV COMBINADOS "/>
    <s v="JHONNY WALACE"/>
    <n v="-1000"/>
    <x v="0"/>
    <x v="17"/>
  </r>
  <r>
    <x v="60"/>
    <s v="SETEMBRO"/>
    <s v="VITOR DUARTE"/>
    <s v="JONESO EMPREENDIMENTOS"/>
    <n v="-5460"/>
    <x v="0"/>
    <x v="15"/>
  </r>
  <r>
    <x v="89"/>
    <s v="OUTUBRO"/>
    <s v="VITOR DUARTE"/>
    <s v="JONESO EMPREENDIMENTOS"/>
    <n v="-5300"/>
    <x v="0"/>
    <x v="15"/>
  </r>
  <r>
    <x v="60"/>
    <s v="SETEMBRO"/>
    <s v="HSERV CLEAN"/>
    <s v="J.E. COMERCIO E SOLUCOES LTDA"/>
    <n v="-1560"/>
    <x v="0"/>
    <x v="65"/>
  </r>
  <r>
    <x v="60"/>
    <s v="SETEMBRO"/>
    <s v="HSERV TERCEIRIZADOS"/>
    <s v="LOTUS CENTRAL DE DISTRIBUICAO DE HIGIENICOS LTDA"/>
    <n v="-985.46"/>
    <x v="0"/>
    <x v="65"/>
  </r>
  <r>
    <x v="60"/>
    <s v="SETEMBRO"/>
    <s v="HSERV COMBINADOS"/>
    <s v="ALCIDES PEREIRA DE SOUZA"/>
    <n v="-233"/>
    <x v="0"/>
    <x v="7"/>
  </r>
  <r>
    <x v="60"/>
    <s v="SETEMBRO"/>
    <s v="HSERV COMBINADOS"/>
    <s v="MARIA LUCIA BENTO"/>
    <n v="-123"/>
    <x v="0"/>
    <x v="7"/>
  </r>
  <r>
    <x v="81"/>
    <s v="SETEMBRO"/>
    <s v="VITOR DUARTE"/>
    <s v="LOCALIZA - VENCIDA  30/08/2025"/>
    <n v="-3760"/>
    <x v="0"/>
    <x v="29"/>
  </r>
  <r>
    <x v="81"/>
    <s v="SETEMBRO"/>
    <s v="VITOR DUARTE"/>
    <s v="LOCALIZA - VENCIDA  30/08/2025"/>
    <n v="-5800"/>
    <x v="0"/>
    <x v="29"/>
  </r>
  <r>
    <x v="81"/>
    <s v="SETEMBRO"/>
    <s v="VITOR DUARTE"/>
    <s v="LOCALIZA - VENCIDA  30/08/2025"/>
    <n v="-5460"/>
    <x v="0"/>
    <x v="29"/>
  </r>
  <r>
    <x v="89"/>
    <s v="OUTUBRO"/>
    <s v="VITOR DUARTE"/>
    <s v="LOCALIZA - VENCIDA"/>
    <n v="-3760"/>
    <x v="0"/>
    <x v="29"/>
  </r>
  <r>
    <x v="89"/>
    <s v="OUTUBRO"/>
    <s v="VITOR DUARTE"/>
    <s v="LOCALIZA - VENCIDA"/>
    <n v="-5800"/>
    <x v="0"/>
    <x v="29"/>
  </r>
  <r>
    <x v="89"/>
    <s v="OUTUBRO"/>
    <s v="HSERV COMBINADOS "/>
    <s v="LOCALIZA - VENCIDA"/>
    <n v="-5460"/>
    <x v="0"/>
    <x v="29"/>
  </r>
  <r>
    <x v="88"/>
    <s v="OUTUBRO"/>
    <s v="HSERV COMBINADOS"/>
    <s v="MAC LUCER - VINEA (MENSAL)"/>
    <n v="-2756.99"/>
    <x v="0"/>
    <x v="33"/>
  </r>
  <r>
    <x v="41"/>
    <s v="OUTUBRO"/>
    <s v="HSERV COMBINADOS"/>
    <s v="MAC LUCER - VINEA (MENSAL) "/>
    <n v="-1812.64"/>
    <x v="0"/>
    <x v="33"/>
  </r>
  <r>
    <x v="90"/>
    <s v="OUTUBRO"/>
    <s v="VITOR DUARTE"/>
    <s v="MARCASA-SEGURANÇA VEPAKUM"/>
    <n v="-10500"/>
    <x v="0"/>
    <x v="16"/>
  </r>
  <r>
    <x v="88"/>
    <s v="OUTUBRO"/>
    <s v="HSERV CABREUVA"/>
    <s v="MAXIWEB INTERNET PROVIDER LTDA"/>
    <n v="-39.799999999999997"/>
    <x v="0"/>
    <x v="21"/>
  </r>
  <r>
    <x v="88"/>
    <s v="OUTUBRO"/>
    <s v="LIMPEZA"/>
    <s v="MIPAL INDUSTRIA DE EVAPORADORES LTDA"/>
    <n v="4717.4399999999996"/>
    <x v="1"/>
    <x v="3"/>
  </r>
  <r>
    <x v="88"/>
    <s v="OUTUBRO"/>
    <s v="LIMPEZA"/>
    <s v="MIPAL INDUSTRIA DE EVAPORADORES LTDA"/>
    <n v="9938.39"/>
    <x v="1"/>
    <x v="3"/>
  </r>
  <r>
    <x v="88"/>
    <s v="OUTUBRO"/>
    <s v="LIMPEZA"/>
    <s v="MIPAL INDUSTRIA DE EVAPORADORES LTDA"/>
    <n v="22139.98"/>
    <x v="1"/>
    <x v="3"/>
  </r>
  <r>
    <x v="65"/>
    <s v="OUTUBRO"/>
    <s v="HSERV TERCEIRIZADOS"/>
    <s v="MOVIDA PARTICIPACOES S.A."/>
    <n v="-4375.75"/>
    <x v="0"/>
    <x v="29"/>
  </r>
  <r>
    <x v="90"/>
    <s v="OUTUBRO"/>
    <s v="HSERV TERCEIRIZADOS"/>
    <s v="MOVIDA PARTICIPACOES S.A.-"/>
    <n v="-4347.01"/>
    <x v="0"/>
    <x v="29"/>
  </r>
  <r>
    <x v="90"/>
    <s v="OUTUBRO"/>
    <s v="HSERV TERCEIRIZADOS"/>
    <s v="MOVIDA PARTICIPACOES S.A.-"/>
    <n v="-2173.96"/>
    <x v="0"/>
    <x v="29"/>
  </r>
  <r>
    <x v="29"/>
    <s v="OUTUBRO"/>
    <s v="VITOR DUARTE"/>
    <s v="NEXTI DESENVOLVIMENTO DE SISTEMAS S.A."/>
    <n v="-2530.4299999999998"/>
    <x v="0"/>
    <x v="21"/>
  </r>
  <r>
    <x v="29"/>
    <s v="OUTUBRO"/>
    <s v="VITOR DUARTE"/>
    <s v="NEXTI DESENVOLVIMENTO DE SISTEMAS S.A."/>
    <n v="-1339.5"/>
    <x v="0"/>
    <x v="21"/>
  </r>
  <r>
    <x v="85"/>
    <s v="OUTUBRO"/>
    <s v="HSERV TECNOLOGIA"/>
    <s v="OMIEXPERIENCE LTDA."/>
    <n v="-244.5"/>
    <x v="0"/>
    <x v="21"/>
  </r>
  <r>
    <x v="85"/>
    <s v="OUTUBRO"/>
    <s v="HSERV REPRESENTACOES"/>
    <s v="OMIEXPERIENCE LTDA."/>
    <n v="-300"/>
    <x v="0"/>
    <x v="21"/>
  </r>
  <r>
    <x v="85"/>
    <s v="OUTUBRO"/>
    <s v="HSERV CABREUVA "/>
    <s v="OMIEXPERIENCE LTDA."/>
    <n v="-300"/>
    <x v="0"/>
    <x v="21"/>
  </r>
  <r>
    <x v="85"/>
    <s v="OUTUBRO"/>
    <s v="HSERV  COMBINADOS"/>
    <s v="OMIEXPERIENCE LTDA."/>
    <n v="-300"/>
    <x v="0"/>
    <x v="21"/>
  </r>
  <r>
    <x v="85"/>
    <s v="OUTUBRO"/>
    <s v="HENRIQUE JEAN DUARTE "/>
    <s v="OMIEXPERIENCE LTDA."/>
    <n v="-275"/>
    <x v="0"/>
    <x v="21"/>
  </r>
  <r>
    <x v="85"/>
    <s v="OUTUBRO"/>
    <s v="HSERV TERCEIRIZADOS"/>
    <s v="OMIEXPERIENCE LTDA."/>
    <n v="-300"/>
    <x v="0"/>
    <x v="21"/>
  </r>
  <r>
    <x v="85"/>
    <s v="OUTUBRO"/>
    <s v="HSERV  LIMPEZA "/>
    <s v="OMIEXPERIENCE LTDA."/>
    <n v="-300"/>
    <x v="0"/>
    <x v="21"/>
  </r>
  <r>
    <x v="85"/>
    <s v="OUTUBRO"/>
    <s v="VITOR  DUARTE "/>
    <s v="OMIEXPERIENCE LTDA."/>
    <n v="-350"/>
    <x v="0"/>
    <x v="21"/>
  </r>
  <r>
    <x v="85"/>
    <s v="OUTUBRO"/>
    <s v="HSER CLEAN"/>
    <s v="OMIEXPERIENCE LTDA."/>
    <n v="-373.51"/>
    <x v="0"/>
    <x v="21"/>
  </r>
  <r>
    <x v="41"/>
    <s v="OUTUBRO"/>
    <s v="HSERV CABREUVA"/>
    <s v="OPEN IT GROUP"/>
    <n v="-294.8"/>
    <x v="0"/>
    <x v="36"/>
  </r>
  <r>
    <x v="85"/>
    <s v="OUTUBRO"/>
    <s v="HSERV  COMBINADOS "/>
    <s v="PAMELA ROCHA MARINHO-BONUS  GERENCIA "/>
    <n v="-2281.6999999999998"/>
    <x v="0"/>
    <x v="11"/>
  </r>
  <r>
    <x v="90"/>
    <s v="OUTUBRO"/>
    <s v="HSERV TECNOLOGIA"/>
    <s v="PAPEL E CIA"/>
    <n v="-700"/>
    <x v="0"/>
    <x v="43"/>
  </r>
  <r>
    <x v="29"/>
    <s v="OUTUBRO"/>
    <s v="HSERV CLEAN"/>
    <s v="PARCELA CREDITO PESSOAL CONTR 016721926 PARC"/>
    <n v="-1719.53"/>
    <x v="0"/>
    <x v="25"/>
  </r>
  <r>
    <x v="29"/>
    <s v="OUTUBRO"/>
    <s v="HSERV CABREUVA"/>
    <s v="PARCELA CREDITO PESSOAL CONTR 016721926 PARC"/>
    <n v="-1392.65"/>
    <x v="0"/>
    <x v="25"/>
  </r>
  <r>
    <x v="29"/>
    <s v="OUTUBRO"/>
    <s v=" HSERV CABREUVA"/>
    <s v="PARCELAMENTO DEBITOS PREVIDENCIARIOS"/>
    <n v="-9000"/>
    <x v="0"/>
    <x v="32"/>
  </r>
  <r>
    <x v="29"/>
    <s v="OUTUBRO"/>
    <s v="CLEAN"/>
    <s v="PLASTY COMERCIAL DE PLASTICOS LTDA"/>
    <n v="2373.8200000000002"/>
    <x v="1"/>
    <x v="3"/>
  </r>
  <r>
    <x v="29"/>
    <s v="OUTUBRO"/>
    <s v="CLEAN"/>
    <s v="PLASTY COMERCIAL DE PLASTICOS LTDA"/>
    <n v="5823.82"/>
    <x v="1"/>
    <x v="3"/>
  </r>
  <r>
    <x v="29"/>
    <s v="OUTUBRO"/>
    <s v="CLEAN"/>
    <s v="PLASTY COMERCIAL DE PLASTICOS LTDA"/>
    <n v="7526.95"/>
    <x v="1"/>
    <x v="3"/>
  </r>
  <r>
    <x v="29"/>
    <s v="OUTUBRO"/>
    <s v="CLEAN"/>
    <s v="PLASTY COMERCIAL DE PLASTICOS LTDA"/>
    <n v="25756.63"/>
    <x v="1"/>
    <x v="3"/>
  </r>
  <r>
    <x v="90"/>
    <s v="OUTUBRO"/>
    <s v="HENRIQUE JEAN"/>
    <s v="PROLABORE SOCIOS CRISTIANE-MARIA JOSE, GUTHIERRI"/>
    <n v="-3000"/>
    <x v="0"/>
    <x v="18"/>
  </r>
  <r>
    <x v="29"/>
    <s v="OUTUBRO"/>
    <s v="HSERV COMBINADOS "/>
    <s v="REEMBOLSOS"/>
    <n v="-800"/>
    <x v="0"/>
    <x v="27"/>
  </r>
  <r>
    <x v="96"/>
    <s v="OUTUBRO"/>
    <s v="HSERV CABREUVA"/>
    <s v="RESCISÕES"/>
    <n v="-40000"/>
    <x v="0"/>
    <x v="6"/>
  </r>
  <r>
    <x v="88"/>
    <s v="OUTUBRO"/>
    <s v="HSERV CABREUVA"/>
    <s v="RESOLVE ALIMENTAÇÃO "/>
    <n v="-600"/>
    <x v="0"/>
    <x v="2"/>
  </r>
  <r>
    <x v="64"/>
    <s v="SETEMBRO"/>
    <s v="CLEAN"/>
    <s v="RICARO"/>
    <n v="2284.4499999999998"/>
    <x v="1"/>
    <x v="3"/>
  </r>
  <r>
    <x v="65"/>
    <s v="OUTUBRO"/>
    <s v="CLEAN"/>
    <s v="RICARO"/>
    <n v="24988.71"/>
    <x v="1"/>
    <x v="3"/>
  </r>
  <r>
    <x v="65"/>
    <s v="OUTUBRO"/>
    <s v="CLEAN"/>
    <s v="RICARO"/>
    <n v="16834.330000000002"/>
    <x v="1"/>
    <x v="3"/>
  </r>
  <r>
    <x v="65"/>
    <s v="OUTUBRO"/>
    <s v="CLEAN"/>
    <s v="RICARO"/>
    <n v="268.13"/>
    <x v="1"/>
    <x v="3"/>
  </r>
  <r>
    <x v="94"/>
    <s v="OUTUBRO"/>
    <s v="CLEAN"/>
    <s v="RICARO"/>
    <n v="2284.4499999999998"/>
    <x v="1"/>
    <x v="3"/>
  </r>
  <r>
    <x v="90"/>
    <s v="OUTUBRO"/>
    <s v="VITOR  DUARTE"/>
    <s v="RONDAWEB CONEXOES LTDA"/>
    <n v="-553.25"/>
    <x v="0"/>
    <x v="21"/>
  </r>
  <r>
    <x v="92"/>
    <s v="OUTUBRO"/>
    <s v="HSERV CABREUVA"/>
    <s v="SABESP CLEAN"/>
    <n v="-139.25"/>
    <x v="0"/>
    <x v="28"/>
  </r>
  <r>
    <x v="92"/>
    <s v="OUTUBRO"/>
    <s v="HSERV CABREUVA"/>
    <s v="SABESP SALA 16"/>
    <n v="-141.69999999999999"/>
    <x v="0"/>
    <x v="28"/>
  </r>
  <r>
    <x v="92"/>
    <s v="OUTUBRO"/>
    <s v="HSERV CABREUVA"/>
    <s v="SABESP SALA 17"/>
    <n v="-141.69999999999999"/>
    <x v="0"/>
    <x v="28"/>
  </r>
  <r>
    <x v="92"/>
    <s v="OUTUBRO"/>
    <s v="HSERV CABREUVA"/>
    <s v="SABESP SALA 18"/>
    <n v="-141.69999999999999"/>
    <x v="0"/>
    <x v="28"/>
  </r>
  <r>
    <x v="86"/>
    <s v="OUTUBRO"/>
    <s v="HSERV CABREUVA"/>
    <s v="SALARIO CLT, PENSÃO ALIMENTICIA, BONUS-"/>
    <n v="-468000"/>
    <x v="0"/>
    <x v="11"/>
  </r>
  <r>
    <x v="85"/>
    <s v="OUTUBRO"/>
    <s v="HSERV CABREUVA"/>
    <s v="SEM PARAR- "/>
    <n v="-6500"/>
    <x v="0"/>
    <x v="20"/>
  </r>
  <r>
    <x v="90"/>
    <s v="OUTUBRO"/>
    <s v="HSERV CABREUVA"/>
    <s v="SERGIO LUIZ BERTOLO"/>
    <n v="-290"/>
    <x v="0"/>
    <x v="15"/>
  </r>
  <r>
    <x v="65"/>
    <s v="OUTUBRO"/>
    <s v="HSERV CABREUVA"/>
    <s v="SICOOB HSERV CABREUVA NEGOCIAÇÃO CHEQUE ESPECIAL "/>
    <n v="-2012.45"/>
    <x v="0"/>
    <x v="12"/>
  </r>
  <r>
    <x v="92"/>
    <s v="OUTUBRO"/>
    <s v="HSERV CABREUVA"/>
    <s v="SIEMACO-PRUDENTE SINDICATO AVENIDA, ASSIS E REGIÃO"/>
    <n v="-1905.5"/>
    <x v="0"/>
    <x v="14"/>
  </r>
  <r>
    <x v="88"/>
    <s v="OUTUBRO"/>
    <s v="HSERV CABREUVA"/>
    <s v="SIMPLES NACIONAL MENSAL "/>
    <n v="-20000"/>
    <x v="0"/>
    <x v="32"/>
  </r>
  <r>
    <x v="29"/>
    <s v="OUTUBRO"/>
    <s v="HSERV CABREUVA"/>
    <s v="SIMPLES NACIONAL-PARCELAMENTO"/>
    <n v="-35000"/>
    <x v="0"/>
    <x v="32"/>
  </r>
  <r>
    <x v="92"/>
    <s v="OUTUBRO"/>
    <s v="HSERV CABREUVA"/>
    <s v="SINDICATO DOS EMPREGADOS - VENCIDA"/>
    <n v="-30"/>
    <x v="0"/>
    <x v="14"/>
  </r>
  <r>
    <x v="92"/>
    <s v="OUTUBRO"/>
    <s v="HSERV CABREUVA"/>
    <s v="SINDICATO DOS EMPREGADOS - VENCIDA "/>
    <n v="-10000"/>
    <x v="0"/>
    <x v="14"/>
  </r>
  <r>
    <x v="92"/>
    <s v="OUTUBRO"/>
    <s v="HENRIQUE JEAN"/>
    <s v="SINDPRESTEM"/>
    <n v="-630"/>
    <x v="0"/>
    <x v="14"/>
  </r>
  <r>
    <x v="89"/>
    <s v="OUTUBRO"/>
    <s v="HSERV COMBINADOS "/>
    <s v="SOFISA ACORDO- PROCESSO EXECUÇÃO"/>
    <n v="-5996.67"/>
    <x v="0"/>
    <x v="12"/>
  </r>
  <r>
    <x v="86"/>
    <s v="OUTUBRO"/>
    <s v="HSERV CABREUVA"/>
    <s v="TAR PLANO ADAPT 3 05/24"/>
    <n v="-349"/>
    <x v="0"/>
    <x v="9"/>
  </r>
  <r>
    <x v="86"/>
    <s v="OUTUBRO"/>
    <s v="HSERV TERCERIZADOS"/>
    <s v="TAR PLANO ADAPT 3 05/24"/>
    <n v="-389"/>
    <x v="0"/>
    <x v="9"/>
  </r>
  <r>
    <x v="86"/>
    <s v="OUTUBRO"/>
    <s v="HSERV COMBINADOS"/>
    <s v="TAR PLANO ADAPT 3 05/24"/>
    <n v="-349"/>
    <x v="0"/>
    <x v="9"/>
  </r>
  <r>
    <x v="86"/>
    <s v="OUTUBRO"/>
    <s v="HENRIQUE JEAN"/>
    <s v="TAR PLANO ADAPT 3 05/24"/>
    <n v="-349"/>
    <x v="0"/>
    <x v="9"/>
  </r>
  <r>
    <x v="86"/>
    <s v="OUTUBRO"/>
    <s v="HSERV TECNOLOGIA"/>
    <s v="TAR PLANO ADAPT 3 05/24"/>
    <n v="-389"/>
    <x v="0"/>
    <x v="9"/>
  </r>
  <r>
    <x v="86"/>
    <s v="OUTUBRO"/>
    <s v="HSERV LIMPEZA"/>
    <s v="TAR PLANO ADAPT 3 05/24"/>
    <n v="-389"/>
    <x v="0"/>
    <x v="9"/>
  </r>
  <r>
    <x v="86"/>
    <s v="OUTUBRO"/>
    <s v="HSERV REPRESENTAÇÃO"/>
    <s v="TAR PLANO ADAPT 3 05/24"/>
    <n v="-389"/>
    <x v="0"/>
    <x v="9"/>
  </r>
  <r>
    <x v="85"/>
    <s v="OUTUBRO"/>
    <s v="HSERV CABREUVA"/>
    <s v="TARIFA MAX EMPRESARIAL"/>
    <n v="-171.1"/>
    <x v="0"/>
    <x v="9"/>
  </r>
  <r>
    <x v="85"/>
    <s v="OUTUBRO"/>
    <s v="HSERV CLEAN"/>
    <s v="TARIFA MAX EMPRESARIAL"/>
    <n v="-171.1"/>
    <x v="0"/>
    <x v="9"/>
  </r>
  <r>
    <x v="85"/>
    <s v="OUTUBRO"/>
    <s v="HSERV COMBINADOS "/>
    <s v="TARIFA MAX EMPRESARIAL"/>
    <n v="-171.1"/>
    <x v="0"/>
    <x v="9"/>
  </r>
  <r>
    <x v="85"/>
    <s v="OUTUBRO"/>
    <s v="HSERV COMBINADOS  ND"/>
    <s v="TARIFA MAX EMPRESARIAL"/>
    <n v="-171.1"/>
    <x v="0"/>
    <x v="9"/>
  </r>
  <r>
    <x v="85"/>
    <s v="OUTUBRO"/>
    <s v="HENRIQUE JEAN"/>
    <s v="TARIFA MAX EMPRESARIAL"/>
    <n v="-171.1"/>
    <x v="0"/>
    <x v="9"/>
  </r>
  <r>
    <x v="85"/>
    <s v="OUTUBRO"/>
    <s v="HENRIQUE JEAN ND"/>
    <s v="TARIFA MAX EMPRESARIAL"/>
    <n v="-171.1"/>
    <x v="0"/>
    <x v="9"/>
  </r>
  <r>
    <x v="85"/>
    <s v="OUTUBRO"/>
    <s v="VITOR DUARTE"/>
    <s v="TARIFA MAX EMPRESARIAL"/>
    <n v="-171.1"/>
    <x v="0"/>
    <x v="9"/>
  </r>
  <r>
    <x v="85"/>
    <s v="OUTUBRO"/>
    <s v="VITOR DUARTE ND"/>
    <s v="TARIFA MAX EMPRESARIAL"/>
    <n v="-171.1"/>
    <x v="0"/>
    <x v="9"/>
  </r>
  <r>
    <x v="85"/>
    <s v="OUTUBRO"/>
    <s v="HSERV TERCERIZADOS"/>
    <s v="TARIFA MAX EMPRESARIAL"/>
    <n v="-171.1"/>
    <x v="0"/>
    <x v="9"/>
  </r>
  <r>
    <x v="85"/>
    <s v="OUTUBRO"/>
    <s v="HSERV TERCERIZADOS ND"/>
    <s v="TARIFA MAX EMPRESARIAL"/>
    <n v="-171.1"/>
    <x v="0"/>
    <x v="9"/>
  </r>
  <r>
    <x v="85"/>
    <s v="OUTUBRO"/>
    <s v="HSERV LIMPEZA"/>
    <s v="TARIFA MAX EMPRESARIAL"/>
    <n v="-171.1"/>
    <x v="0"/>
    <x v="9"/>
  </r>
  <r>
    <x v="85"/>
    <s v="OUTUBRO"/>
    <s v="HSERV LIMPEZA ND"/>
    <s v="TARIFA MAX EMPRESARIAL"/>
    <n v="-171.1"/>
    <x v="0"/>
    <x v="9"/>
  </r>
  <r>
    <x v="85"/>
    <s v="OUTUBRO"/>
    <s v="HSERV TECNOLOGIA"/>
    <s v="TARIFA MAX EMPRESARIAL"/>
    <n v="-171.1"/>
    <x v="0"/>
    <x v="9"/>
  </r>
  <r>
    <x v="85"/>
    <s v="OUTUBRO"/>
    <s v="HSERV REPRESENTAÇÃO"/>
    <s v="TARIFA MAX EMPRESARIAL"/>
    <n v="-171.1"/>
    <x v="0"/>
    <x v="9"/>
  </r>
  <r>
    <x v="84"/>
    <s v="OUTUBRO"/>
    <s v="COMBINADOS"/>
    <s v="TECNIPLAS EQUIPAMENTOS EM COMPOSITOS EIR"/>
    <n v="22451.91"/>
    <x v="1"/>
    <x v="3"/>
  </r>
  <r>
    <x v="90"/>
    <s v="OUTUBRO"/>
    <s v="CABREUVA"/>
    <s v="TED 422.0115.KYN C V A L"/>
    <n v="33748"/>
    <x v="1"/>
    <x v="3"/>
  </r>
  <r>
    <x v="65"/>
    <s v="OUTUBRO"/>
    <s v="REPRESENTAÇÃO"/>
    <s v="TTB INDUSTRIA E COMERCIO DE PRODUTOS MET"/>
    <n v="603.26"/>
    <x v="1"/>
    <x v="3"/>
  </r>
  <r>
    <x v="65"/>
    <s v="OUTUBRO"/>
    <s v="REPRESENTAÇÃO"/>
    <s v="TTB INDUSTRIA E COMERCIO DE PRODUTOS MET"/>
    <n v="1106.1400000000001"/>
    <x v="1"/>
    <x v="3"/>
  </r>
  <r>
    <x v="65"/>
    <s v="OUTUBRO"/>
    <s v="REPRESENTAÇÃO"/>
    <s v="TTB INDUSTRIA E COMERCIO DE PRODUTOS MET"/>
    <n v="9631"/>
    <x v="1"/>
    <x v="3"/>
  </r>
  <r>
    <x v="85"/>
    <s v="OUTUBRO"/>
    <s v="HSERV CABREUVA"/>
    <s v="VALE ALIMENTAÇÃO MENSAL -"/>
    <n v="-90000"/>
    <x v="0"/>
    <x v="2"/>
  </r>
  <r>
    <x v="38"/>
    <s v="OUTUBRO"/>
    <s v="HSERV CABREUVA"/>
    <s v="VALE COMBUSTIVEL 1 QUINZENA DE FEVEREIRO"/>
    <n v="-7000"/>
    <x v="0"/>
    <x v="26"/>
  </r>
  <r>
    <x v="85"/>
    <s v="OUTUBRO"/>
    <s v="HSERV CABREUVA"/>
    <s v="VALE COMBUSTIVEL-2 QUINZENA DE JANEIRO"/>
    <n v="-8000"/>
    <x v="0"/>
    <x v="26"/>
  </r>
  <r>
    <x v="86"/>
    <s v="OUTUBRO"/>
    <s v=" HSERV CABREUVA"/>
    <s v="VALE TRANSPORTE "/>
    <n v="-5000"/>
    <x v="0"/>
    <x v="7"/>
  </r>
  <r>
    <x v="85"/>
    <s v="OUTUBRO"/>
    <s v=" HSERV CABREUVA"/>
    <s v="VALE TRANSPORTE BASE"/>
    <n v="-10000"/>
    <x v="0"/>
    <x v="7"/>
  </r>
  <r>
    <x v="29"/>
    <s v="OUTUBRO"/>
    <s v=" HSERV CABREUVA"/>
    <s v="VALE TRANSPORTE BASE"/>
    <n v="-15000"/>
    <x v="0"/>
    <x v="7"/>
  </r>
  <r>
    <x v="88"/>
    <s v="OUTUBRO"/>
    <s v="HSERV CABREUVA"/>
    <s v="VALE TRANSPORTE MENSAL VIAÇÕES"/>
    <n v="-41000"/>
    <x v="0"/>
    <x v="7"/>
  </r>
  <r>
    <x v="84"/>
    <s v="OUTUBRO"/>
    <s v="REPRESENTAÇÃO"/>
    <s v="VETTOR TORRES DE RESFRIAMENTO LTDA"/>
    <n v="14482.07"/>
    <x v="1"/>
    <x v="3"/>
  </r>
  <r>
    <x v="84"/>
    <s v="OUTUBRO"/>
    <s v="REPRESENTAÇÃO"/>
    <s v="VETTOR TORRES DE RESFRIAMENTO LTDA"/>
    <n v="23943.3"/>
    <x v="1"/>
    <x v="3"/>
  </r>
  <r>
    <x v="84"/>
    <s v="OUTUBRO"/>
    <s v="REPRESENTAÇÃO"/>
    <s v="VETTOR TORRES DE RESFRIAMENTO LTDA"/>
    <n v="21852.37"/>
    <x v="1"/>
    <x v="3"/>
  </r>
  <r>
    <x v="84"/>
    <s v="OUTUBRO"/>
    <s v="REPRESENTAÇÃO"/>
    <s v="VETTOR TORRES DE RESFRIAMENTO LTDA"/>
    <n v="4683.53"/>
    <x v="1"/>
    <x v="3"/>
  </r>
  <r>
    <x v="84"/>
    <s v="OUTUBRO"/>
    <s v="REPRESENTAÇÃO"/>
    <s v="VETTOR TORRES DE RESFRIAMENTO LTDA"/>
    <n v="196"/>
    <x v="1"/>
    <x v="3"/>
  </r>
  <r>
    <x v="91"/>
    <s v="OUTUBRO"/>
    <s v="VITOR DUARTE"/>
    <s v="VIVA FOOD R E LTDA"/>
    <n v="-17235"/>
    <x v="0"/>
    <x v="2"/>
  </r>
  <r>
    <x v="90"/>
    <s v="OUTUBRO"/>
    <s v="VITOR DUARTE"/>
    <s v="VIVA FOOD R E LTDA"/>
    <n v="-17235"/>
    <x v="0"/>
    <x v="2"/>
  </r>
  <r>
    <x v="89"/>
    <s v="OUTUBRO"/>
    <s v="VITOR DUARTE"/>
    <s v="VIVA FOOD R E LTDA"/>
    <n v="-17235"/>
    <x v="0"/>
    <x v="2"/>
  </r>
  <r>
    <x v="93"/>
    <s v="OUTUBRO"/>
    <s v="VITOR DUARTE"/>
    <s v="VIVA FOOD R E LTDA"/>
    <n v="-17235"/>
    <x v="0"/>
    <x v="2"/>
  </r>
  <r>
    <x v="29"/>
    <s v="OUTUBRO"/>
    <s v="HSERV CLEAN"/>
    <s v="JOSE JONAS DE ARAUJO SILVA"/>
    <n v="-3968.99"/>
    <x v="0"/>
    <x v="34"/>
  </r>
  <r>
    <x v="29"/>
    <s v="OUTUBRO"/>
    <s v="VITOR DUARTE"/>
    <s v="VIVA FOOD R E LTDA"/>
    <n v="-17235"/>
    <x v="0"/>
    <x v="2"/>
  </r>
  <r>
    <x v="29"/>
    <s v="OUTUBRO"/>
    <s v="LIMPEZA"/>
    <s v="EDMAR APARECIDO MARTINEZ"/>
    <n v="799.2"/>
    <x v="1"/>
    <x v="3"/>
  </r>
  <r>
    <x v="29"/>
    <s v="OUTUBRO"/>
    <s v="LIMPEZA"/>
    <s v="EDMAR APARECIDO MARTINEZ"/>
    <n v="18532.8"/>
    <x v="1"/>
    <x v="3"/>
  </r>
  <r>
    <x v="29"/>
    <s v="OUTUBRO"/>
    <s v="TECNOLOGIA"/>
    <s v="INTERBRILHO HIGIENE E LIMPEZA LTDA"/>
    <n v="23638.67"/>
    <x v="1"/>
    <x v="3"/>
  </r>
  <r>
    <x v="29"/>
    <s v="OUTUBRO"/>
    <s v="COMBINADOS"/>
    <s v="TECNIPLAS EQUIPAMENTOS EM COMPOSITOS EIR"/>
    <n v="22451.91"/>
    <x v="1"/>
    <x v="3"/>
  </r>
  <r>
    <x v="29"/>
    <s v="OUTUBRO"/>
    <s v="REPRESENTAÇÃO"/>
    <s v="VETTOR TORRES DE RESFRIAMENTO LTDA"/>
    <n v="14482.07"/>
    <x v="1"/>
    <x v="3"/>
  </r>
  <r>
    <x v="29"/>
    <s v="OUTUBRO"/>
    <s v="REPRESENTAÇÃO"/>
    <s v="VETTOR TORRES DE RESFRIAMENTO LTDA"/>
    <n v="23943.3"/>
    <x v="1"/>
    <x v="3"/>
  </r>
  <r>
    <x v="29"/>
    <s v="OUTUBRO"/>
    <s v="REPRESENTAÇÃO"/>
    <s v="VETTOR TORRES DE RESFRIAMENTO LTDA"/>
    <n v="21852.37"/>
    <x v="1"/>
    <x v="3"/>
  </r>
  <r>
    <x v="29"/>
    <s v="OUTUBRO"/>
    <s v="REPRESENTAÇÃO"/>
    <s v="VETTOR TORRES DE RESFRIAMENTO LTDA"/>
    <n v="4683.53"/>
    <x v="1"/>
    <x v="3"/>
  </r>
  <r>
    <x v="29"/>
    <s v="OUTUBRO"/>
    <s v="REPRESENTAÇÃO"/>
    <s v="VETTOR TORRES DE RESFRIAMENTO LTDA"/>
    <n v="196"/>
    <x v="1"/>
    <x v="3"/>
  </r>
  <r>
    <x v="90"/>
    <s v="OUTUBRO"/>
    <s v="HENRIQUE JEAN"/>
    <s v="SANTOS SEPULVEDA SOCIEDADE INDIVIDUAL DE ADVOCACIA- - PROC 0010895-75.2023.5.15.009-AMANDA BRITO SANTOS PARCELA 6/16"/>
    <n v="-1000"/>
    <x v="0"/>
    <x v="34"/>
  </r>
  <r>
    <x v="85"/>
    <s v="OUTUBRO"/>
    <s v="HSERV CABREUVA"/>
    <s v="ZAMBONI, SOUSA, CARVALHO &amp; MARIANO --PROC 0012075-66.2022.5.15.0096 -CLAUDIA ARAUJO DOS SANTOS-PARCELA 5/6"/>
    <n v="-10000"/>
    <x v="0"/>
    <x v="34"/>
  </r>
  <r>
    <x v="38"/>
    <s v="OUTUBRO"/>
    <s v="HSERV CABREUVA"/>
    <s v="TIAGO JOSE DE FREITAS OLIVEIRA"/>
    <n v="-3200"/>
    <x v="0"/>
    <x v="34"/>
  </r>
  <r>
    <x v="38"/>
    <s v="OUTUBRO"/>
    <s v="HSERV CABREUVA"/>
    <s v="LUCAS LEONARDO MARQUES DE OLIVEIRA"/>
    <n v="-2000"/>
    <x v="0"/>
    <x v="34"/>
  </r>
  <r>
    <x v="38"/>
    <s v="OUTUBRO"/>
    <s v="HSERV CABREUVA"/>
    <s v="ARAUJO E RIOS ADVOGADOS ASSOCIADOS"/>
    <n v="-3836.54"/>
    <x v="0"/>
    <x v="34"/>
  </r>
  <r>
    <x v="38"/>
    <s v="OUTUBRO"/>
    <s v="HSERV CLEAN"/>
    <s v="ANA PAULA HERKES MARTINS"/>
    <n v="-2500"/>
    <x v="0"/>
    <x v="34"/>
  </r>
  <r>
    <x v="38"/>
    <s v="OUTUBRO"/>
    <s v="HSERV LIMPEZA"/>
    <s v="JUAN PHILIPY STEPHANO AMARO SOCIEDADE INDIVIDUAL DE ADVOCACI"/>
    <n v="-1000"/>
    <x v="0"/>
    <x v="34"/>
  </r>
  <r>
    <x v="38"/>
    <s v="OUTUBRO"/>
    <s v="VITOR DUARTE"/>
    <s v="VALERIA GEOVANNA DOS SANTOS"/>
    <n v="-1916.67"/>
    <x v="0"/>
    <x v="34"/>
  </r>
  <r>
    <x v="38"/>
    <s v="OUTUBRO"/>
    <s v="VITOR DUARTE"/>
    <s v="IVAN MARQUES DOS SANTOS"/>
    <n v="-2864.92"/>
    <x v="0"/>
    <x v="34"/>
  </r>
  <r>
    <x v="38"/>
    <s v="OUTUBRO"/>
    <s v="VITOR DUARTE"/>
    <s v="LUAN VIEIRA BARRETO"/>
    <n v="-1400"/>
    <x v="0"/>
    <x v="34"/>
  </r>
  <r>
    <x v="97"/>
    <s v="OUTUBRO"/>
    <s v="HSERV REPRESENTACOES"/>
    <s v="OKUYAMA &amp; ALVES SOCIEDADE DE ADVOGADOSS - PROC 0012457-65.2023.5.15.0018 -JESSICA BARROS DOS SANTO PARCELA 6/8"/>
    <n v="-2000"/>
    <x v="0"/>
    <x v="34"/>
  </r>
  <r>
    <x v="85"/>
    <s v="OUTUBRO"/>
    <s v="HSERV REPRESENTACOES"/>
    <s v="OKUYAMA &amp; ALVES SOCIEDADE DE ADVOGADOS- PROC 0012465-42.2023.5.15.0018-PROC GENILDA MARIA DA SILVA PARCELA 6/8"/>
    <n v="-2000"/>
    <x v="0"/>
    <x v="34"/>
  </r>
  <r>
    <x v="84"/>
    <s v="OUTUBRO"/>
    <s v="VITOR DUARTE"/>
    <s v="TADIM NEVES SOCIEDADE INDIVIDUAL DE ADVOCACIA -PROC  - 0012114-44.2023.5.15.0188-ADILIO SANTOS SOUZA PARCELA 8/8"/>
    <n v="-1848.63"/>
    <x v="0"/>
    <x v="34"/>
  </r>
  <r>
    <x v="83"/>
    <s v="NOVEMBRO"/>
    <s v="HSERV CABREUVA"/>
    <s v="ELEKTRO SALA 16"/>
    <n v="-650"/>
    <x v="0"/>
    <x v="0"/>
  </r>
  <r>
    <x v="83"/>
    <s v="NOVEMBRO"/>
    <s v="HSERV CABREUVA"/>
    <s v="ELEKTRO SALA 17"/>
    <n v="-320"/>
    <x v="0"/>
    <x v="0"/>
  </r>
  <r>
    <x v="83"/>
    <s v="NOVEMBRO"/>
    <s v="HSERV CABREUVA"/>
    <s v="ELEKTRO SALA 18"/>
    <n v="-350"/>
    <x v="0"/>
    <x v="0"/>
  </r>
  <r>
    <x v="83"/>
    <s v="NOVEMBRO"/>
    <s v="HSERV CABREUVA"/>
    <s v="ELEKTRO LOJA CLEAN"/>
    <n v="-201"/>
    <x v="0"/>
    <x v="0"/>
  </r>
  <r>
    <x v="83"/>
    <s v="NOVEMBRO"/>
    <s v="HSERV COMBINADOS "/>
    <s v="CAIXINHA OPERACIONAL - OSSIRES"/>
    <n v="-2000"/>
    <x v="0"/>
    <x v="1"/>
  </r>
  <r>
    <x v="83"/>
    <s v="NOVEMBRO"/>
    <s v="HSERV COMBINADOS "/>
    <s v="CAIXINHA OPERACIONAL "/>
    <n v="-5000"/>
    <x v="0"/>
    <x v="1"/>
  </r>
  <r>
    <x v="62"/>
    <s v="NOVEMBRO"/>
    <s v="VITOR DUARTE"/>
    <s v="VIVA FOOD R E LTDA"/>
    <n v="-17235"/>
    <x v="0"/>
    <x v="2"/>
  </r>
  <r>
    <x v="83"/>
    <s v="NOVEMBRO"/>
    <s v="HSERV TERCEIRIZADOS ND"/>
    <s v="_x0009_ENCARGOS LIMITE DE CRED- HSERV TERCERIZADOS BRADESCO "/>
    <n v="-900"/>
    <x v="0"/>
    <x v="45"/>
  </r>
  <r>
    <x v="98"/>
    <s v="NOVEMBRO"/>
    <s v="HSERV CABREUVA"/>
    <s v="BANCO ITAUCARD S.A.- "/>
    <n v="-3809.98"/>
    <x v="0"/>
    <x v="8"/>
  </r>
  <r>
    <x v="98"/>
    <s v="NOVEMBRO"/>
    <s v="HSERV CABREUVA"/>
    <s v="TAR PLANO ADAPT 3 05/24"/>
    <n v="-349"/>
    <x v="0"/>
    <x v="9"/>
  </r>
  <r>
    <x v="98"/>
    <s v="NOVEMBRO"/>
    <s v="HSERV TERCERIZADOS"/>
    <s v="TAR PLANO ADAPT 3 05/24"/>
    <n v="-389"/>
    <x v="0"/>
    <x v="9"/>
  </r>
  <r>
    <x v="98"/>
    <s v="NOVEMBRO"/>
    <s v="HSERV COMBINADOS"/>
    <s v="TAR PLANO ADAPT 3 05/24"/>
    <n v="-349"/>
    <x v="0"/>
    <x v="9"/>
  </r>
  <r>
    <x v="98"/>
    <s v="NOVEMBRO"/>
    <s v="HENRIQUE JEAN"/>
    <s v="TAR PLANO ADAPT 3 05/24"/>
    <n v="-349"/>
    <x v="0"/>
    <x v="9"/>
  </r>
  <r>
    <x v="99"/>
    <s v="NOVEMBRO"/>
    <s v="HSERV TECNOLOGIA"/>
    <s v="TAR PLANO ADAPT 3 05/24"/>
    <n v="-389"/>
    <x v="0"/>
    <x v="9"/>
  </r>
  <r>
    <x v="98"/>
    <s v="NOVEMBRO"/>
    <s v="HSERV LIMPEZA"/>
    <s v="TAR PLANO ADAPT 3 05/24"/>
    <n v="-389"/>
    <x v="0"/>
    <x v="9"/>
  </r>
  <r>
    <x v="98"/>
    <s v="NOVEMBRO"/>
    <s v="HSERV REPRESENTAÇÃO"/>
    <s v="TAR PLANO ADAPT 3 05/24"/>
    <n v="-389"/>
    <x v="0"/>
    <x v="9"/>
  </r>
  <r>
    <x v="100"/>
    <s v="NOVEMBRO"/>
    <s v="HSERV CABREUVA "/>
    <s v="CREDIFIT"/>
    <n v="-9000"/>
    <x v="0"/>
    <x v="46"/>
  </r>
  <r>
    <x v="62"/>
    <s v="NOVEMBRO"/>
    <s v="HENRIQUE JEAN"/>
    <s v="CONDOMINIO NEX ONE CONSOLAÇÃO BELAS ARTES- ROBOTTON"/>
    <n v="-760"/>
    <x v="0"/>
    <x v="10"/>
  </r>
  <r>
    <x v="62"/>
    <s v="NOVEMBRO"/>
    <s v="HSERV CABREUVA"/>
    <s v="SALARIO CLT, PENSÃO ALIMENTICIA, BONUS-"/>
    <n v="-468000"/>
    <x v="0"/>
    <x v="11"/>
  </r>
  <r>
    <x v="62"/>
    <s v="NOVEMBRO"/>
    <s v="HSERV CABREUVA"/>
    <s v="ESTER CARDOZO DE LIMA "/>
    <n v="-500"/>
    <x v="0"/>
    <x v="11"/>
  </r>
  <r>
    <x v="62"/>
    <s v="NOVEMBRO"/>
    <s v="HSERV CABREUVA"/>
    <s v=" MEI  "/>
    <n v="-9000"/>
    <x v="0"/>
    <x v="11"/>
  </r>
  <r>
    <x v="101"/>
    <s v="NOVEMBRO"/>
    <s v="HSERV CLEAN"/>
    <s v="EMPRESTIMO HSERV CLEAN BRADESCO M-PARCELA MENSAL"/>
    <n v="-5523.75"/>
    <x v="0"/>
    <x v="12"/>
  </r>
  <r>
    <x v="62"/>
    <s v="NOVEMBRO"/>
    <s v="HSERV COMBINADOS "/>
    <s v="FT ASSIS E REGIÃO- "/>
    <n v="-7000"/>
    <x v="0"/>
    <x v="13"/>
  </r>
  <r>
    <x v="102"/>
    <s v="NOVEMBRO"/>
    <s v="VITOR DUARTE"/>
    <s v="VIVA FOOD R E LTDA"/>
    <n v="-17235"/>
    <x v="0"/>
    <x v="2"/>
  </r>
  <r>
    <x v="71"/>
    <s v="NOVEMBRO"/>
    <s v="HSERV TECNOLOGIA"/>
    <s v="PAPEL E CIA"/>
    <n v="-700"/>
    <x v="0"/>
    <x v="43"/>
  </r>
  <r>
    <x v="71"/>
    <s v="NOVEMBRO"/>
    <s v="HSERV COMBINADOS "/>
    <s v="BRASIL MEDICINE - PROVISÃO "/>
    <n v="-9000"/>
    <x v="0"/>
    <x v="14"/>
  </r>
  <r>
    <x v="71"/>
    <s v="NOVEMBRO"/>
    <s v="HSERV CABREUVA"/>
    <s v="SERGIO LUIZ BERTOLO"/>
    <n v="-290"/>
    <x v="0"/>
    <x v="15"/>
  </r>
  <r>
    <x v="71"/>
    <s v="NOVEMBRO"/>
    <s v="HSERV COMBINADOS "/>
    <s v="JAIR RÉ"/>
    <n v="-1000"/>
    <x v="0"/>
    <x v="17"/>
  </r>
  <r>
    <x v="71"/>
    <s v="NOVEMBRO"/>
    <s v="VITOR DUARTE"/>
    <s v="MARCASA-SEGURANÇA VEPAKUM"/>
    <n v="-10500"/>
    <x v="0"/>
    <x v="16"/>
  </r>
  <r>
    <x v="71"/>
    <s v="NOVEMBRO"/>
    <s v="HSERV COMBINADOS "/>
    <s v="JHONNY WALACE"/>
    <n v="-1000"/>
    <x v="0"/>
    <x v="17"/>
  </r>
  <r>
    <x v="71"/>
    <s v="NOVEMBRO"/>
    <s v="HENRIQUE JEAN"/>
    <s v="PROLABORE SOCIOS CRISTIANE-MARIA JOSE, GUTHIERRI"/>
    <n v="-3000"/>
    <x v="0"/>
    <x v="18"/>
  </r>
  <r>
    <x v="71"/>
    <s v="NOVEMBRO"/>
    <s v="HENRIQUE JEAN"/>
    <s v="CARTÃO VITOR"/>
    <n v="-9000"/>
    <x v="0"/>
    <x v="18"/>
  </r>
  <r>
    <x v="71"/>
    <s v="NOVEMBRO"/>
    <s v="HSERV CLEAN"/>
    <s v="INTERMEDICA"/>
    <n v="-9146.82"/>
    <x v="0"/>
    <x v="19"/>
  </r>
  <r>
    <x v="71"/>
    <s v="NOVEMBRO"/>
    <s v="HSERV CABREUVA"/>
    <s v="AUTO POSTO JARDIM DAS HORTENCI"/>
    <n v="-9500"/>
    <x v="0"/>
    <x v="20"/>
  </r>
  <r>
    <x v="71"/>
    <s v="NOVEMBRO"/>
    <s v="HENRIQUE JEAN ND"/>
    <s v="FIT ADM (VIDA NOVA) 34-07"/>
    <n v="-432"/>
    <x v="0"/>
    <x v="10"/>
  </r>
  <r>
    <x v="71"/>
    <s v="NOVEMBRO"/>
    <s v="VITOR  DUARTE"/>
    <s v="RONDAWEB CONEXOES LTDA"/>
    <n v="-553.25"/>
    <x v="0"/>
    <x v="21"/>
  </r>
  <r>
    <x v="71"/>
    <s v="NOVEMBRO"/>
    <s v="HSERV CABREUVA"/>
    <s v="BRADESCO SEGUROS - QUY9F13- DEBITO AUTOMATICO HSERV CABREUVA BRADESCO"/>
    <n v="-545.78"/>
    <x v="0"/>
    <x v="22"/>
  </r>
  <r>
    <x v="71"/>
    <s v="NOVEMBRO"/>
    <s v="HSERV TERCEIRIZADOS"/>
    <s v="MOVIDA PARTICIPACOES S.A.-"/>
    <n v="-4347.01"/>
    <x v="0"/>
    <x v="29"/>
  </r>
  <r>
    <x v="71"/>
    <s v="NOVEMBRO"/>
    <s v="HSERV TERCEIRIZADOS"/>
    <s v="MOVIDA PARTICIPACOES S.A.-"/>
    <n v="-2173.96"/>
    <x v="0"/>
    <x v="29"/>
  </r>
  <r>
    <x v="103"/>
    <s v="NOVEMBRO"/>
    <s v="HSERV TERCEIRIZADOS"/>
    <s v="MOVIDA PARTICIPACOES S.A."/>
    <n v="-4375.75"/>
    <x v="0"/>
    <x v="29"/>
  </r>
  <r>
    <x v="103"/>
    <s v="NOVEMBRO"/>
    <s v="HSERV CABREUVA"/>
    <s v="RESCISÕES"/>
    <n v="-40000"/>
    <x v="0"/>
    <x v="6"/>
  </r>
  <r>
    <x v="101"/>
    <s v="NOVEMBRO"/>
    <s v="HSERV CABREUVA"/>
    <s v=" MEI"/>
    <n v="-100000"/>
    <x v="0"/>
    <x v="11"/>
  </r>
  <r>
    <x v="101"/>
    <s v="NOVEMBRO"/>
    <s v="HSERV CABREUVA"/>
    <s v="ASSIDUIDADE"/>
    <n v="-40000"/>
    <x v="0"/>
    <x v="23"/>
  </r>
  <r>
    <x v="101"/>
    <s v="NOVEMBRO"/>
    <s v="HSERV CABREUVA"/>
    <s v="VALE ALIMENTAÇÃO MENSAL -"/>
    <n v="-90000"/>
    <x v="0"/>
    <x v="2"/>
  </r>
  <r>
    <x v="101"/>
    <s v="NOVEMBRO"/>
    <s v=" HSERV CABREUVA"/>
    <s v="VALE TRANSPORTE BASE"/>
    <n v="-10000"/>
    <x v="0"/>
    <x v="7"/>
  </r>
  <r>
    <x v="101"/>
    <s v="NOVEMBRO"/>
    <s v="VITOR DUARTE"/>
    <s v="BOLETO OTAVIO"/>
    <n v="-20000"/>
    <x v="0"/>
    <x v="18"/>
  </r>
  <r>
    <x v="101"/>
    <s v="NOVEMBRO"/>
    <s v="VITOR DUARTE"/>
    <s v="FABIOLA FARIAS FELIX"/>
    <n v="-145"/>
    <x v="0"/>
    <x v="24"/>
  </r>
  <r>
    <x v="101"/>
    <s v="NOVEMBRO"/>
    <s v="VITOR DUARTE"/>
    <s v="MARISA DE SOUSA SILVA"/>
    <n v="-145"/>
    <x v="0"/>
    <x v="24"/>
  </r>
  <r>
    <x v="101"/>
    <s v="NOVEMBRO"/>
    <s v="HSERV COMBINADOS "/>
    <s v="ESTER CARDOZO"/>
    <n v="-1375"/>
    <x v="0"/>
    <x v="11"/>
  </r>
  <r>
    <x v="101"/>
    <s v="NOVEMBRO"/>
    <s v="HSERV  COMBINADOS "/>
    <s v="PAMELA ROCHA MARINHO-BONUS  GERENCIA "/>
    <n v="-2281.6999999999998"/>
    <x v="0"/>
    <x v="11"/>
  </r>
  <r>
    <x v="101"/>
    <s v="NOVEMBRO"/>
    <s v="HSERV CABREUVA"/>
    <s v="SEM PARAR- "/>
    <n v="-6500"/>
    <x v="0"/>
    <x v="20"/>
  </r>
  <r>
    <x v="101"/>
    <s v="NOVEMBRO"/>
    <s v="VITOR DUARTE"/>
    <s v="CARTAO DE CRÉDITO- VITOR"/>
    <n v="-12000"/>
    <x v="0"/>
    <x v="25"/>
  </r>
  <r>
    <x v="101"/>
    <s v="NOVEMBRO"/>
    <s v="HENRIQUE JEAN"/>
    <s v="CARTÃO DE CREDITO"/>
    <n v="-2302.0500000000002"/>
    <x v="0"/>
    <x v="25"/>
  </r>
  <r>
    <x v="101"/>
    <s v="NOVEMBRO"/>
    <s v="HSERV COMBINADOS"/>
    <s v="CARTÃO DE CREDITO"/>
    <n v="-1248.99"/>
    <x v="0"/>
    <x v="25"/>
  </r>
  <r>
    <x v="103"/>
    <s v="NOVEMBRO"/>
    <s v="HSERV CABREUVA"/>
    <s v="SICOOB HSERV CABREUVA NEGOCIAÇÃO CHEQUE ESPECIAL "/>
    <n v="-2012.45"/>
    <x v="0"/>
    <x v="12"/>
  </r>
  <r>
    <x v="101"/>
    <s v="NOVEMBRO"/>
    <s v="HSERV CABREUVA"/>
    <s v="TARIFA MAX EMPRESARIAL"/>
    <n v="-171.1"/>
    <x v="0"/>
    <x v="9"/>
  </r>
  <r>
    <x v="101"/>
    <s v="NOVEMBRO"/>
    <s v="HSERV CLEAN"/>
    <s v="TARIFA MAX EMPRESARIAL"/>
    <n v="-171.1"/>
    <x v="0"/>
    <x v="9"/>
  </r>
  <r>
    <x v="101"/>
    <s v="NOVEMBRO"/>
    <s v="HSERV COMBINADOS "/>
    <s v="TARIFA MAX EMPRESARIAL"/>
    <n v="-171.1"/>
    <x v="0"/>
    <x v="9"/>
  </r>
  <r>
    <x v="101"/>
    <s v="NOVEMBRO"/>
    <s v="HSERV COMBINADOS  ND"/>
    <s v="TARIFA MAX EMPRESARIAL"/>
    <n v="-171.1"/>
    <x v="0"/>
    <x v="9"/>
  </r>
  <r>
    <x v="101"/>
    <s v="NOVEMBRO"/>
    <s v="HENRIQUE JEAN"/>
    <s v="TARIFA MAX EMPRESARIAL"/>
    <n v="-171.1"/>
    <x v="0"/>
    <x v="9"/>
  </r>
  <r>
    <x v="101"/>
    <s v="NOVEMBRO"/>
    <s v="HENRIQUE JEAN ND"/>
    <s v="TARIFA MAX EMPRESARIAL"/>
    <n v="-171.1"/>
    <x v="0"/>
    <x v="9"/>
  </r>
  <r>
    <x v="101"/>
    <s v="NOVEMBRO"/>
    <s v="VITOR DUARTE ND"/>
    <s v="TARIFA MAX EMPRESARIAL"/>
    <n v="-171.1"/>
    <x v="0"/>
    <x v="9"/>
  </r>
  <r>
    <x v="101"/>
    <s v="NOVEMBRO"/>
    <s v="VITOR DUARTE"/>
    <s v="TARIFA MAX EMPRESARIAL"/>
    <n v="-171.1"/>
    <x v="0"/>
    <x v="9"/>
  </r>
  <r>
    <x v="101"/>
    <s v="NOVEMBRO"/>
    <s v="HSERV TERCERIZADOS"/>
    <s v="TARIFA MAX EMPRESARIAL"/>
    <n v="-171.1"/>
    <x v="0"/>
    <x v="9"/>
  </r>
  <r>
    <x v="101"/>
    <s v="NOVEMBRO"/>
    <s v="HSERV TERCERIZADOS ND"/>
    <s v="TARIFA MAX EMPRESARIAL"/>
    <n v="-171.1"/>
    <x v="0"/>
    <x v="9"/>
  </r>
  <r>
    <x v="101"/>
    <s v="NOVEMBRO"/>
    <s v="HSERV LIMPEZA"/>
    <s v="TARIFA MAX EMPRESARIAL"/>
    <n v="-171.1"/>
    <x v="0"/>
    <x v="9"/>
  </r>
  <r>
    <x v="101"/>
    <s v="NOVEMBRO"/>
    <s v="HSERV LIMPEZA ND"/>
    <s v="TARIFA MAX EMPRESARIAL"/>
    <n v="-171.1"/>
    <x v="0"/>
    <x v="9"/>
  </r>
  <r>
    <x v="101"/>
    <s v="NOVEMBRO"/>
    <s v="HSERV TECNOLOGIA"/>
    <s v="TARIFA MAX EMPRESARIAL"/>
    <n v="-171.1"/>
    <x v="0"/>
    <x v="9"/>
  </r>
  <r>
    <x v="101"/>
    <s v="NOVEMBRO"/>
    <s v="HSERV REPRESENTAÇÃO"/>
    <s v="TARIFA MAX EMPRESARIAL"/>
    <n v="-171.1"/>
    <x v="0"/>
    <x v="9"/>
  </r>
  <r>
    <x v="101"/>
    <s v="NOVEMBRO"/>
    <s v="HENRIQUE JEAN ND"/>
    <s v="CELIO ROBERTO"/>
    <n v="-877.96"/>
    <x v="0"/>
    <x v="10"/>
  </r>
  <r>
    <x v="101"/>
    <s v="NOVEMBRO"/>
    <s v="HSERV CABREUVA"/>
    <s v="VALE COMBUSTIVEL-2 QUINZENA DE JANEIRO"/>
    <n v="-8000"/>
    <x v="0"/>
    <x v="26"/>
  </r>
  <r>
    <x v="101"/>
    <s v="NOVEMBRO"/>
    <s v="HSERV CABREUVA"/>
    <s v="SABESP SALA 16"/>
    <n v="-141.69999999999999"/>
    <x v="0"/>
    <x v="28"/>
  </r>
  <r>
    <x v="101"/>
    <s v="NOVEMBRO"/>
    <s v="HSERV CABREUVA"/>
    <s v="SABESP SALA 17"/>
    <n v="-141.69999999999999"/>
    <x v="0"/>
    <x v="28"/>
  </r>
  <r>
    <x v="101"/>
    <s v="NOVEMBRO"/>
    <s v="HSERV CABREUVA"/>
    <s v="SABESP SALA 18"/>
    <n v="-141.69999999999999"/>
    <x v="0"/>
    <x v="28"/>
  </r>
  <r>
    <x v="101"/>
    <s v="NOVEMBRO"/>
    <s v="HSERV CABREUVA"/>
    <s v="SABESP CLEAN"/>
    <n v="-139.25"/>
    <x v="0"/>
    <x v="28"/>
  </r>
  <r>
    <x v="101"/>
    <s v="NOVEMBRO"/>
    <s v="HSERV TECNOLOGIA"/>
    <s v="OMIEXPERIENCE LTDA."/>
    <n v="-244.5"/>
    <x v="0"/>
    <x v="21"/>
  </r>
  <r>
    <x v="101"/>
    <s v="NOVEMBRO"/>
    <s v="HSERV REPRESENTACOES"/>
    <s v="OMIEXPERIENCE LTDA."/>
    <n v="-300"/>
    <x v="0"/>
    <x v="21"/>
  </r>
  <r>
    <x v="101"/>
    <s v="NOVEMBRO"/>
    <s v="HSERV CABREUVA "/>
    <s v="OMIEXPERIENCE LTDA."/>
    <n v="-300"/>
    <x v="0"/>
    <x v="21"/>
  </r>
  <r>
    <x v="101"/>
    <s v="NOVEMBRO"/>
    <s v="HSERV  COMBINADOS"/>
    <s v="OMIEXPERIENCE LTDA."/>
    <n v="-300"/>
    <x v="0"/>
    <x v="21"/>
  </r>
  <r>
    <x v="101"/>
    <s v="NOVEMBRO"/>
    <s v="HENRIQUE JEAN DUARTE "/>
    <s v="OMIEXPERIENCE LTDA."/>
    <n v="-275"/>
    <x v="0"/>
    <x v="21"/>
  </r>
  <r>
    <x v="101"/>
    <s v="NOVEMBRO"/>
    <s v="HSERV TERCEIRIZADOS"/>
    <s v="OMIEXPERIENCE LTDA."/>
    <n v="-300"/>
    <x v="0"/>
    <x v="21"/>
  </r>
  <r>
    <x v="101"/>
    <s v="NOVEMBRO"/>
    <s v="HSERV  LIMPEZA "/>
    <s v="OMIEXPERIENCE LTDA."/>
    <n v="-300"/>
    <x v="0"/>
    <x v="21"/>
  </r>
  <r>
    <x v="101"/>
    <s v="NOVEMBRO"/>
    <s v="VITOR  DUARTE "/>
    <s v="OMIEXPERIENCE LTDA."/>
    <n v="-350"/>
    <x v="0"/>
    <x v="21"/>
  </r>
  <r>
    <x v="101"/>
    <s v="NOVEMBRO"/>
    <s v="HSER CLEAN"/>
    <s v="OMIEXPERIENCE LTDA."/>
    <n v="-373.51"/>
    <x v="0"/>
    <x v="21"/>
  </r>
  <r>
    <x v="101"/>
    <s v="NOVEMBRO"/>
    <s v="HENRIQUE JEAN"/>
    <s v="EMPORIO MEGA 100 COMERCIO DE ALIMENTOS S.A."/>
    <n v="-3022.31"/>
    <x v="0"/>
    <x v="24"/>
  </r>
  <r>
    <x v="101"/>
    <s v="NOVEMBRO"/>
    <s v="HSERV CABREUVA"/>
    <s v="EMPORIO MEGA 100 COMERCIO DE ALIMENTOS S.A."/>
    <n v="-3952.25"/>
    <x v="0"/>
    <x v="24"/>
  </r>
  <r>
    <x v="101"/>
    <s v="NOVEMBRO"/>
    <s v="HSERV CLEAN"/>
    <s v="EMPORIO MEGA 100 COMERCIO DE ALIMENTOS S.A."/>
    <n v="-3409.78"/>
    <x v="0"/>
    <x v="24"/>
  </r>
  <r>
    <x v="101"/>
    <s v="NOVEMBRO"/>
    <s v="HSERV CLEAN"/>
    <s v="EMPORIO MEGA 100 COMERCIO DE ALIMENTOS S.A."/>
    <n v="-852.45"/>
    <x v="0"/>
    <x v="24"/>
  </r>
  <r>
    <x v="101"/>
    <s v="NOVEMBRO"/>
    <s v="HSERV COMBINADOS"/>
    <s v="EMPORIO MEGA 100 COMERCIO DE ALIMENTOS S.A."/>
    <n v="-2944.81"/>
    <x v="0"/>
    <x v="24"/>
  </r>
  <r>
    <x v="101"/>
    <s v="NOVEMBRO"/>
    <s v="HSERV LIMPEZA"/>
    <s v="EMPORIO MEGA 100 COMERCIO DE ALIMENTOS S.A."/>
    <n v="-852.45"/>
    <x v="0"/>
    <x v="24"/>
  </r>
  <r>
    <x v="101"/>
    <s v="NOVEMBRO"/>
    <s v="HSERV REPRESENTACOES"/>
    <s v="EMPORIO MEGA 100 COMERCIO DE ALIMENTOS S.A."/>
    <n v="-929.94"/>
    <x v="0"/>
    <x v="24"/>
  </r>
  <r>
    <x v="101"/>
    <s v="NOVEMBRO"/>
    <s v="HSERV TECNOLOGIA"/>
    <s v="EMPORIO MEGA 100 COMERCIO DE ALIMENTOS S.A."/>
    <n v="-232.49"/>
    <x v="0"/>
    <x v="24"/>
  </r>
  <r>
    <x v="101"/>
    <s v="NOVEMBRO"/>
    <s v="HSERV TERCEIRIZADOS"/>
    <s v="EMPORIO MEGA 100 COMERCIO DE ALIMENTOS S.A."/>
    <n v="-464.97"/>
    <x v="0"/>
    <x v="24"/>
  </r>
  <r>
    <x v="101"/>
    <s v="NOVEMBRO"/>
    <s v="VITOR DUARTE"/>
    <s v="EMPORIO MEGA 100 COMERCIO DE ALIMENTOS S.A."/>
    <n v="-542.47"/>
    <x v="0"/>
    <x v="24"/>
  </r>
  <r>
    <x v="101"/>
    <s v="NOVEMBRO"/>
    <s v="VITOR DUARTE"/>
    <s v="LOCALIZA - VENCIDA"/>
    <n v="-3760"/>
    <x v="0"/>
    <x v="29"/>
  </r>
  <r>
    <x v="101"/>
    <s v="NOVEMBRO"/>
    <s v="VITOR DUARTE"/>
    <s v="LOCALIZA - VENCIDA"/>
    <n v="-5800"/>
    <x v="0"/>
    <x v="29"/>
  </r>
  <r>
    <x v="101"/>
    <s v="NOVEMBRO"/>
    <s v="HSERV COMBINADOS "/>
    <s v="LOCALIZA - VENCIDA"/>
    <n v="-5460"/>
    <x v="0"/>
    <x v="29"/>
  </r>
  <r>
    <x v="20"/>
    <s v="NOVEMBRO"/>
    <s v="VITOR DUARTE"/>
    <s v="VIVA FOOD R E LTDA"/>
    <n v="-17235"/>
    <x v="0"/>
    <x v="2"/>
  </r>
  <r>
    <x v="101"/>
    <s v="NOVEMBRO"/>
    <s v="HSERV CABREUVA"/>
    <s v="ASOMETRA"/>
    <n v="-4500"/>
    <x v="0"/>
    <x v="30"/>
  </r>
  <r>
    <x v="104"/>
    <s v="NOVEMBRO"/>
    <s v="HSERV CABREUVA"/>
    <s v="BRADESCO "/>
    <n v="-35714.57"/>
    <x v="0"/>
    <x v="12"/>
  </r>
  <r>
    <x v="101"/>
    <s v="NOVEMBRO"/>
    <s v="HSERV CABREUVA"/>
    <s v="SINDICATO DOS EMPREGADOS - VENCIDA"/>
    <n v="-30"/>
    <x v="0"/>
    <x v="14"/>
  </r>
  <r>
    <x v="101"/>
    <s v="NOVEMBRO"/>
    <s v="HSERV CABREUVA"/>
    <s v="SINDICATO DOS EMPREGADOS - VENCIDA "/>
    <n v="-10000"/>
    <x v="0"/>
    <x v="14"/>
  </r>
  <r>
    <x v="101"/>
    <s v="NOVEMBRO"/>
    <s v="HSERV CABREUVA"/>
    <s v="BENEFICIO SOCIALVENCIDA"/>
    <n v="-4500"/>
    <x v="0"/>
    <x v="14"/>
  </r>
  <r>
    <x v="101"/>
    <s v="NOVEMBRO"/>
    <s v="VITOR DUARTE"/>
    <s v="JONESO EMPREENDIMENTOS"/>
    <n v="-5300"/>
    <x v="0"/>
    <x v="15"/>
  </r>
  <r>
    <x v="105"/>
    <s v="NOVEMBRO"/>
    <s v="HSERV COMBINADOS "/>
    <s v="SOFISA ACORDO- PROCESSO EXECUÇÃO"/>
    <n v="-5996.67"/>
    <x v="0"/>
    <x v="12"/>
  </r>
  <r>
    <x v="106"/>
    <s v="NOVEMBRO"/>
    <s v="HSERV CABREUVA"/>
    <s v="IF EMPRESARIAL"/>
    <n v="-16000"/>
    <x v="0"/>
    <x v="31"/>
  </r>
  <r>
    <x v="106"/>
    <s v="NOVEMBRO"/>
    <s v="HSERV CABREUVA"/>
    <s v="RESOLVE ALIMENTAÇÃO "/>
    <n v="-600"/>
    <x v="0"/>
    <x v="2"/>
  </r>
  <r>
    <x v="106"/>
    <s v="NOVEMBRO"/>
    <s v="HSERV CABREUVA"/>
    <s v="ANJO AZUL ALARMES"/>
    <n v="-1100"/>
    <x v="0"/>
    <x v="21"/>
  </r>
  <r>
    <x v="106"/>
    <s v="NOVEMBRO"/>
    <s v="HSERV CABREUVA"/>
    <s v="MAXIWEB INTERNET PROVIDER LTDA"/>
    <n v="-39.799999999999997"/>
    <x v="0"/>
    <x v="21"/>
  </r>
  <r>
    <x v="106"/>
    <s v="NOVEMBRO"/>
    <s v="HSERV CABREUVA"/>
    <s v="SIMPLES NACIONAL MENSAL "/>
    <n v="-20000"/>
    <x v="0"/>
    <x v="32"/>
  </r>
  <r>
    <x v="106"/>
    <s v="NOVEMBRO"/>
    <s v="VITOR DUARTE"/>
    <s v="DARF DE COFINS, PIS- LUCRO REAL EMPRESA VITOR"/>
    <n v="-15000"/>
    <x v="0"/>
    <x v="32"/>
  </r>
  <r>
    <x v="106"/>
    <s v="NOVEMBRO"/>
    <s v="VITOR DUARTE"/>
    <s v="DARF DE COFINS, PIS- LUCRO  PRESUMIDO HSERV CABREUVA"/>
    <n v="-3000"/>
    <x v="0"/>
    <x v="32"/>
  </r>
  <r>
    <x v="106"/>
    <s v="NOVEMBRO"/>
    <s v="HSERV CABREUVA"/>
    <s v="FGTS MENSAL"/>
    <n v="-55000"/>
    <x v="0"/>
    <x v="32"/>
  </r>
  <r>
    <x v="106"/>
    <s v="NOVEMBRO"/>
    <s v="HSERV CABREUVA"/>
    <s v="DARF INSS-TODAS EMPRESAS"/>
    <n v="-50000"/>
    <x v="0"/>
    <x v="32"/>
  </r>
  <r>
    <x v="106"/>
    <s v="NOVEMBRO"/>
    <s v="HSERV CABREUVA"/>
    <s v="FT 1 QUINZENA E PACOTES, RT"/>
    <n v="-110000"/>
    <x v="0"/>
    <x v="13"/>
  </r>
  <r>
    <x v="106"/>
    <s v="NOVEMBRO"/>
    <s v="HSERV CABREUVA"/>
    <s v="VALE TRANSPORTE MENSAL VIAÇÕES"/>
    <n v="-41000"/>
    <x v="0"/>
    <x v="7"/>
  </r>
  <r>
    <x v="106"/>
    <s v="NOVEMBRO"/>
    <s v="HENRIQUE JEAN"/>
    <s v="EMPORIO MEGA 100 COMERCIO DE ALIMENTOS S.A."/>
    <n v="-2324.85"/>
    <x v="0"/>
    <x v="24"/>
  </r>
  <r>
    <x v="106"/>
    <s v="NOVEMBRO"/>
    <s v="HSERV CABREUVA"/>
    <s v="EMPORIO MEGA 100 COMERCIO DE ALIMENTOS S.A."/>
    <n v="-2944.81"/>
    <x v="0"/>
    <x v="24"/>
  </r>
  <r>
    <x v="106"/>
    <s v="NOVEMBRO"/>
    <s v="HSERV CLEAN"/>
    <s v="EMPORIO MEGA 100 COMERCIO DE ALIMENTOS S.A."/>
    <n v="-2867.32"/>
    <x v="0"/>
    <x v="24"/>
  </r>
  <r>
    <x v="106"/>
    <s v="NOVEMBRO"/>
    <s v="HSERV CLEAN"/>
    <s v="EMPORIO MEGA 100 COMERCIO DE ALIMENTOS S.A."/>
    <n v="-852.45"/>
    <x v="0"/>
    <x v="24"/>
  </r>
  <r>
    <x v="106"/>
    <s v="NOVEMBRO"/>
    <s v="HSERV COMBINADOS"/>
    <s v="EMPORIO MEGA 100 COMERCIO DE ALIMENTOS S.A."/>
    <n v="-2789.82"/>
    <x v="0"/>
    <x v="24"/>
  </r>
  <r>
    <x v="106"/>
    <s v="NOVEMBRO"/>
    <s v="HSERV LIMPEZA"/>
    <s v="EMPORIO MEGA 100 COMERCIO DE ALIMENTOS S.A."/>
    <n v="-852.45"/>
    <x v="0"/>
    <x v="24"/>
  </r>
  <r>
    <x v="106"/>
    <s v="NOVEMBRO"/>
    <s v="HSERV REPRESENTACOES"/>
    <s v="EMPORIO MEGA 100 COMERCIO DE ALIMENTOS S.A."/>
    <n v="-619.96"/>
    <x v="0"/>
    <x v="24"/>
  </r>
  <r>
    <x v="106"/>
    <s v="NOVEMBRO"/>
    <s v="HSERV TECNOLOGIA"/>
    <s v="EMPORIO MEGA 100 COMERCIO DE ALIMENTOS S.A."/>
    <n v="-154.99"/>
    <x v="0"/>
    <x v="24"/>
  </r>
  <r>
    <x v="106"/>
    <s v="NOVEMBRO"/>
    <s v="HSERV TERCEIRIZADOS"/>
    <s v="EMPORIO MEGA 100 COMERCIO DE ALIMENTOS S.A."/>
    <n v="-852.45"/>
    <x v="0"/>
    <x v="24"/>
  </r>
  <r>
    <x v="106"/>
    <s v="NOVEMBRO"/>
    <s v="VITOR DUARTE"/>
    <s v="EMPORIO MEGA 100 COMERCIO DE ALIMENTOS S.A."/>
    <n v="-77.5"/>
    <x v="0"/>
    <x v="24"/>
  </r>
  <r>
    <x v="106"/>
    <s v="NOVEMBRO"/>
    <s v="HSERV CABREUVA"/>
    <s v="FT ASSIS E REGIÃO- "/>
    <n v="-8000"/>
    <x v="0"/>
    <x v="13"/>
  </r>
  <r>
    <x v="106"/>
    <s v="NOVEMBRO"/>
    <s v="HSERV COMBINADOS"/>
    <s v="MAC LUCER - VINEA (MENSAL)"/>
    <n v="-2756.99"/>
    <x v="0"/>
    <x v="33"/>
  </r>
  <r>
    <x v="107"/>
    <s v="NOVEMBRO"/>
    <s v="VITOR DUARTE"/>
    <s v="CLARO S/A"/>
    <n v="-1700"/>
    <x v="0"/>
    <x v="35"/>
  </r>
  <r>
    <x v="106"/>
    <s v="NOVEMBRO"/>
    <s v="HENRIQUE JEAN ND"/>
    <s v="IMOVEL NEX ONE "/>
    <n v="-8937.32"/>
    <x v="0"/>
    <x v="10"/>
  </r>
  <r>
    <x v="30"/>
    <s v="NOVEMBRO"/>
    <s v="VITOR DUARTE"/>
    <s v="VIVA FOOD R E LTDA"/>
    <n v="-17235"/>
    <x v="0"/>
    <x v="2"/>
  </r>
  <r>
    <x v="42"/>
    <s v="NOVEMBRO"/>
    <s v="HSERV CABREUVA"/>
    <s v="AUTO POSTO JARDIM DAS HORTENCI"/>
    <n v="-9000"/>
    <x v="0"/>
    <x v="20"/>
  </r>
  <r>
    <x v="42"/>
    <s v="NOVEMBRO"/>
    <s v="VITOR DUARTE"/>
    <s v="GADE CORPORATIVA"/>
    <n v="-500"/>
    <x v="0"/>
    <x v="21"/>
  </r>
  <r>
    <x v="42"/>
    <s v="NOVEMBRO"/>
    <s v="HSERV CABREUVA"/>
    <s v="OPEN IT GROUP"/>
    <n v="-294.8"/>
    <x v="0"/>
    <x v="36"/>
  </r>
  <r>
    <x v="42"/>
    <s v="NOVEMBRO"/>
    <s v="HSERV COMBINADOS"/>
    <s v="MAC LUCER - VINEA (MENSAL) "/>
    <n v="-1812.64"/>
    <x v="0"/>
    <x v="33"/>
  </r>
  <r>
    <x v="102"/>
    <s v="NOVEMBRO"/>
    <s v="VITOR DUARTE"/>
    <s v="CHEQUES DR DUARTE"/>
    <n v="-9980"/>
    <x v="0"/>
    <x v="18"/>
  </r>
  <r>
    <x v="30"/>
    <s v="NOVEMBRO"/>
    <s v="HSERV COMBINADOS "/>
    <s v="GABRIEL DOS SANTOS NOVÃESCLOUD-TELEFONIA"/>
    <n v="-500"/>
    <x v="0"/>
    <x v="21"/>
  </r>
  <r>
    <x v="30"/>
    <s v="NOVEMBRO"/>
    <s v="HENRIQUE JEAN ND"/>
    <s v="CELIO ROBERTO"/>
    <n v="-5000"/>
    <x v="0"/>
    <x v="10"/>
  </r>
  <r>
    <x v="30"/>
    <s v="NOVEMBRO"/>
    <s v="VITOR DUARTE"/>
    <s v="NEXTI DESENVOLVIMENTO DE SISTEMAS S.A."/>
    <n v="-2530.4299999999998"/>
    <x v="0"/>
    <x v="21"/>
  </r>
  <r>
    <x v="30"/>
    <s v="NOVEMBRO"/>
    <s v="VITOR DUARTE"/>
    <s v="NEXTI DESENVOLVIMENTO DE SISTEMAS S.A."/>
    <n v="-1339.5"/>
    <x v="0"/>
    <x v="21"/>
  </r>
  <r>
    <x v="62"/>
    <s v="NOVEMBRO"/>
    <s v=" HSERV CABREUVA"/>
    <s v="VALE TRANSPORTE "/>
    <n v="-5000"/>
    <x v="0"/>
    <x v="7"/>
  </r>
  <r>
    <x v="30"/>
    <s v="NOVEMBRO"/>
    <s v=" HSERV CABREUVA"/>
    <s v="VALE TRANSPORTE BASE"/>
    <n v="-15000"/>
    <x v="0"/>
    <x v="7"/>
  </r>
  <r>
    <x v="20"/>
    <s v="NOVEMBRO"/>
    <s v="VITOR DUARTE"/>
    <s v="CHEQUES DR DUARTE"/>
    <n v="-9980"/>
    <x v="0"/>
    <x v="18"/>
  </r>
  <r>
    <x v="30"/>
    <s v="NOVEMBRO"/>
    <s v="VITOR DUARTE"/>
    <s v="CHEQUES DR DUARTE"/>
    <n v="-23498.18"/>
    <x v="0"/>
    <x v="18"/>
  </r>
  <r>
    <x v="30"/>
    <s v="NOVEMBRO"/>
    <s v="HSERV CABREUVA"/>
    <s v="SIMPLES NACIONAL-PARCELAMENTO"/>
    <n v="-35000"/>
    <x v="0"/>
    <x v="32"/>
  </r>
  <r>
    <x v="30"/>
    <s v="NOVEMBRO"/>
    <s v="HSERV CABREUVA"/>
    <s v="VALE COMBUSTIVEL 1 QUINZENA DE FEVEREIRO"/>
    <n v="-7000"/>
    <x v="0"/>
    <x v="26"/>
  </r>
  <r>
    <x v="30"/>
    <s v="NOVEMBRO"/>
    <s v="VITOR DUARTE"/>
    <s v="54.055.078 MATHEUS PEIXOTO DE OLIVEIRA"/>
    <n v="-1500"/>
    <x v="0"/>
    <x v="40"/>
  </r>
  <r>
    <x v="30"/>
    <s v="NOVEMBRO"/>
    <s v="VITOR DUARTE"/>
    <s v="ADEMIR- IMPRESSÃO E IMPRESSORA"/>
    <n v="-50"/>
    <x v="0"/>
    <x v="40"/>
  </r>
  <r>
    <x v="30"/>
    <s v="NOVEMBRO"/>
    <s v="HSERV COMBINADOS "/>
    <s v="REEMBOLSOS"/>
    <n v="-800"/>
    <x v="0"/>
    <x v="27"/>
  </r>
  <r>
    <x v="30"/>
    <s v="NOVEMBRO"/>
    <s v="HSERV CABREUVA"/>
    <s v="FÉRIAS- "/>
    <n v="-40000"/>
    <x v="0"/>
    <x v="38"/>
  </r>
  <r>
    <x v="30"/>
    <s v="NOVEMBRO"/>
    <s v="VITOR DUARTE"/>
    <s v="GUIA DE PARCELAMENTO INSS VITOR JULHO A NOV 2024"/>
    <n v="-7000"/>
    <x v="0"/>
    <x v="32"/>
  </r>
  <r>
    <x v="30"/>
    <s v="NOVEMBRO"/>
    <s v="HSERV CLEAN"/>
    <s v="GUIA DE PARELAMENTO DE DIVIDA ATIVA HSERV CLEAN"/>
    <n v="-600"/>
    <x v="0"/>
    <x v="32"/>
  </r>
  <r>
    <x v="30"/>
    <s v="NOVEMBRO"/>
    <s v="HSERV CLEAN"/>
    <s v="GUIA DE IMPOSTO VEPAKUM RETROATIVO 2024"/>
    <n v="-4000"/>
    <x v="0"/>
    <x v="32"/>
  </r>
  <r>
    <x v="30"/>
    <s v="NOVEMBRO"/>
    <s v=" HSERV CABREUVA"/>
    <s v="PARCELAMENTO DEBITOS PREVIDENCIARIOS"/>
    <n v="-9000"/>
    <x v="0"/>
    <x v="32"/>
  </r>
  <r>
    <x v="30"/>
    <s v="NOVEMBRO"/>
    <s v="HSERV CLEAN"/>
    <s v="PARCELA CREDITO PESSOAL CONTR 016721926 PARC"/>
    <n v="-1719.53"/>
    <x v="0"/>
    <x v="25"/>
  </r>
  <r>
    <x v="30"/>
    <s v="NOVEMBRO"/>
    <s v="HSERV CABREUVA"/>
    <s v="PARCELA CREDITO PESSOAL CONTR 016721926 PARC"/>
    <n v="-1392.65"/>
    <x v="0"/>
    <x v="25"/>
  </r>
  <r>
    <x v="71"/>
    <s v="NOVEMBRO"/>
    <s v="HSERV COMBINADOS "/>
    <s v="FT 2 QUINZENA "/>
    <n v="-50000"/>
    <x v="0"/>
    <x v="13"/>
  </r>
  <r>
    <x v="90"/>
    <s v="OUTUBRO"/>
    <s v="CABREUVA"/>
    <s v="TED 422.0115.KYN C V A L"/>
    <n v="8041"/>
    <x v="1"/>
    <x v="3"/>
  </r>
  <r>
    <x v="71"/>
    <s v="NOVEMBRO"/>
    <s v="CABREUVA"/>
    <s v="TED 422.0115.KYN C V A L"/>
    <n v="33748.379999999997"/>
    <x v="1"/>
    <x v="3"/>
  </r>
  <r>
    <x v="71"/>
    <s v="NOVEMBRO"/>
    <s v="CABREUVA"/>
    <s v="TED 422.0115.KYN C V A L"/>
    <n v="8041"/>
    <x v="1"/>
    <x v="3"/>
  </r>
  <r>
    <x v="66"/>
    <s v="NOVEMBRO"/>
    <s v="CABREUVA"/>
    <s v="CONDOMINIO PALAZZO VENEZA"/>
    <n v="4880.1400000000003"/>
    <x v="1"/>
    <x v="3"/>
  </r>
  <r>
    <x v="66"/>
    <s v="NOVEMBRO"/>
    <s v="REPRESENTAÇÃO"/>
    <s v="TTB INDUSTRIA E COMERCIO DE PRODUTOS MET"/>
    <n v="603.26"/>
    <x v="1"/>
    <x v="3"/>
  </r>
  <r>
    <x v="66"/>
    <s v="NOVEMBRO"/>
    <s v="REPRESENTAÇÃO"/>
    <s v="TTB INDUSTRIA E COMERCIO DE PRODUTOS MET"/>
    <n v="1106.1400000000001"/>
    <x v="1"/>
    <x v="3"/>
  </r>
  <r>
    <x v="66"/>
    <s v="NOVEMBRO"/>
    <s v="REPRESENTAÇÃO"/>
    <s v="TTB INDUSTRIA E COMERCIO DE PRODUTOS MET"/>
    <n v="9631"/>
    <x v="1"/>
    <x v="3"/>
  </r>
  <r>
    <x v="66"/>
    <s v="NOVEMBRO"/>
    <s v="VITOR"/>
    <s v="DEPOSITO SANTA CATARINA LTDA"/>
    <n v="257.81"/>
    <x v="1"/>
    <x v="3"/>
  </r>
  <r>
    <x v="66"/>
    <s v="NOVEMBRO"/>
    <s v="VITOR"/>
    <s v="GIFEL"/>
    <n v="680.03"/>
    <x v="1"/>
    <x v="3"/>
  </r>
  <r>
    <x v="94"/>
    <s v="OUTUBRO"/>
    <s v="CLEAN"/>
    <s v="RICARO"/>
    <n v="12459.61"/>
    <x v="1"/>
    <x v="3"/>
  </r>
  <r>
    <x v="66"/>
    <s v="NOVEMBRO"/>
    <s v="CLEAN"/>
    <s v="RICARO"/>
    <n v="24988.71"/>
    <x v="1"/>
    <x v="3"/>
  </r>
  <r>
    <x v="66"/>
    <s v="NOVEMBRO"/>
    <s v="CLEAN"/>
    <s v="RICARO"/>
    <n v="16834.330000000002"/>
    <x v="1"/>
    <x v="3"/>
  </r>
  <r>
    <x v="66"/>
    <s v="NOVEMBRO"/>
    <s v="CLEAN"/>
    <s v="RICARO"/>
    <n v="268.13"/>
    <x v="1"/>
    <x v="3"/>
  </r>
  <r>
    <x v="20"/>
    <s v="NOVEMBRO"/>
    <s v="CLEAN"/>
    <s v="RICARO"/>
    <n v="2284.4499999999998"/>
    <x v="1"/>
    <x v="3"/>
  </r>
  <r>
    <x v="66"/>
    <s v="NOVEMBRO"/>
    <s v="LIMPEZA"/>
    <s v="IMPROVEMENT FIT ACADEMIA LTDA"/>
    <n v="7850"/>
    <x v="1"/>
    <x v="3"/>
  </r>
  <r>
    <x v="98"/>
    <s v="NOVEMBRO"/>
    <s v="VITOR DUARTE"/>
    <s v="AVENIDA "/>
    <n v="345280"/>
    <x v="1"/>
    <x v="3"/>
  </r>
  <r>
    <x v="105"/>
    <s v="NOVEMBRO"/>
    <s v="TERCEIRIZADOS"/>
    <s v="BELLART"/>
    <n v="17956.39"/>
    <x v="1"/>
    <x v="3"/>
  </r>
  <r>
    <x v="105"/>
    <s v="NOVEMBRO"/>
    <s v="LIMPEZA"/>
    <s v="MIPAL INDUSTRIA DE EVAPORADORES LTDA"/>
    <n v="4717.4399999999996"/>
    <x v="1"/>
    <x v="3"/>
  </r>
  <r>
    <x v="105"/>
    <s v="NOVEMBRO"/>
    <s v="LIMPEZA"/>
    <s v="MIPAL INDUSTRIA DE EVAPORADORES LTDA"/>
    <n v="9938.39"/>
    <x v="1"/>
    <x v="3"/>
  </r>
  <r>
    <x v="105"/>
    <s v="NOVEMBRO"/>
    <s v="LIMPEZA"/>
    <s v="MIPAL INDUSTRIA DE EVAPORADORES LTDA"/>
    <n v="22139.98"/>
    <x v="1"/>
    <x v="3"/>
  </r>
  <r>
    <x v="30"/>
    <s v="NOVEMBRO"/>
    <s v="CLEAN"/>
    <s v="PLASTY COMERCIAL DE PLASTICOS LTDA"/>
    <n v="2373.8200000000002"/>
    <x v="1"/>
    <x v="3"/>
  </r>
  <r>
    <x v="30"/>
    <s v="NOVEMBRO"/>
    <s v="CLEAN"/>
    <s v="PLASTY COMERCIAL DE PLASTICOS LTDA"/>
    <n v="5823.82"/>
    <x v="1"/>
    <x v="3"/>
  </r>
  <r>
    <x v="30"/>
    <s v="NOVEMBRO"/>
    <s v="CLEAN"/>
    <s v="PLASTY COMERCIAL DE PLASTICOS LTDA"/>
    <n v="7526.95"/>
    <x v="1"/>
    <x v="3"/>
  </r>
  <r>
    <x v="30"/>
    <s v="NOVEMBRO"/>
    <s v="CLEAN"/>
    <s v="PLASTY COMERCIAL DE PLASTICOS LTDA"/>
    <n v="25756.63"/>
    <x v="1"/>
    <x v="3"/>
  </r>
  <r>
    <x v="30"/>
    <s v="NOVEMBRO"/>
    <s v="CABREUVA"/>
    <s v="BOA"/>
    <n v="816717.89"/>
    <x v="1"/>
    <x v="3"/>
  </r>
  <r>
    <x v="42"/>
    <s v="NOVEMBRO"/>
    <s v="HENRIQUE JEAN"/>
    <s v="CEF MATRIZ--EMPRESTIMO HENRIQUE IEAN VENCIDO "/>
    <n v="-7000"/>
    <x v="0"/>
    <x v="12"/>
  </r>
  <r>
    <x v="42"/>
    <s v="NOVEMBRO"/>
    <s v="HSERV COMBINADOS"/>
    <s v="CEF MATRIZ-EMPRESTIMO HSERV COMBINADOS VENCIDO"/>
    <n v="-7000"/>
    <x v="0"/>
    <x v="12"/>
  </r>
  <r>
    <x v="101"/>
    <s v="NOVEMBRO"/>
    <s v="HENRIQUE JEAN"/>
    <s v="SINDPRESTEM"/>
    <n v="-630"/>
    <x v="0"/>
    <x v="14"/>
  </r>
  <r>
    <x v="101"/>
    <s v="NOVEMBRO"/>
    <s v="HSERV CABREUVA"/>
    <s v="SIEMACO-PRUDENTE SINDICATO AVENIDA, ASSIS E REGIÃO"/>
    <n v="-1905.5"/>
    <x v="0"/>
    <x v="14"/>
  </r>
  <r>
    <x v="30"/>
    <s v="NOVEMBRO"/>
    <s v="HSERV CABREUVA"/>
    <s v="DECIMO TERCEIRO SALARIOS"/>
    <n v="-261861.65"/>
    <x v="0"/>
    <x v="66"/>
  </r>
  <r>
    <x v="71"/>
    <s v="NOVEMBRO"/>
    <s v="HENRIQUE JEAN"/>
    <s v="SANTOS SEPULVEDA SOCIEDADE INDIVIDUAL DE ADVOCACIA- - PROC 0010895-75.2023.5.15.009-AMANDA BRITO SANTOS PARCELA 7/16"/>
    <n v="-1000"/>
    <x v="0"/>
    <x v="34"/>
  </r>
  <r>
    <x v="102"/>
    <s v="NOVEMBRO"/>
    <s v="HSERV CABREUVA"/>
    <s v="ZAMBONI, SOUSA, CARVALHO &amp; MARIANO ADVOGADOS"/>
    <n v="-10000"/>
    <x v="0"/>
    <x v="34"/>
  </r>
  <r>
    <x v="62"/>
    <s v="NOVEMBRO"/>
    <s v="HSERV REPRESENTACOES"/>
    <s v="OKUYAMA &amp; ALVES SOCIEDADE DE ADVOGADOSS - PROC 0012457-65.2023.5.15.0018 -JESSICA BARROS DOS SANTO PARCELA 7/8"/>
    <n v="-2000"/>
    <x v="0"/>
    <x v="34"/>
  </r>
  <r>
    <x v="102"/>
    <s v="NOVEMBRO"/>
    <s v="HSERV REPRESENTACOES"/>
    <s v="OKUYAMA &amp; ALVES SOCIEDADE DE ADVOGADOS"/>
    <n v="-2000"/>
    <x v="0"/>
    <x v="34"/>
  </r>
  <r>
    <x v="30"/>
    <s v="NOVEMBRO"/>
    <s v="HSERV CABREUVA"/>
    <s v="LUCAS LEONARDO MARQUES DE OLIVEIRA"/>
    <n v="-2000"/>
    <x v="0"/>
    <x v="34"/>
  </r>
  <r>
    <x v="30"/>
    <s v="NOVEMBRO"/>
    <s v="HSERV CABREUVA"/>
    <s v="ARAUJO E RIOS ADVOGADOS ASSOCIADOS"/>
    <n v="-3836.54"/>
    <x v="0"/>
    <x v="34"/>
  </r>
  <r>
    <x v="30"/>
    <s v="NOVEMBRO"/>
    <s v="HSERV CABREUVA"/>
    <s v="TIAGO JOSE DE FREITAS OLIVEIRA"/>
    <n v="-3200"/>
    <x v="0"/>
    <x v="34"/>
  </r>
  <r>
    <x v="30"/>
    <s v="NOVEMBRO"/>
    <s v="HSERV LIMPEZA"/>
    <s v="JUAN PHILIPY STEPHANO AMARO SOCIEDADE INDIVIDUAL DE ADVOCACI"/>
    <n v="-1000"/>
    <x v="0"/>
    <x v="34"/>
  </r>
  <r>
    <x v="30"/>
    <s v="NOVEMBRO"/>
    <s v="VITOR DUARTE"/>
    <s v="LUAN VIEIRA BARRETO"/>
    <n v="-1400"/>
    <x v="0"/>
    <x v="34"/>
  </r>
  <r>
    <x v="30"/>
    <s v="NOVEMBRO"/>
    <s v="VITOR DUARTE"/>
    <s v="VALERIA GEOVANNA DOS SANTOS"/>
    <n v="-1916.67"/>
    <x v="0"/>
    <x v="34"/>
  </r>
  <r>
    <x v="30"/>
    <s v="NOVEMBRO"/>
    <s v="VITOR DUARTE"/>
    <s v="IVAN MARQUES DOS SANTOS"/>
    <n v="-2864.92"/>
    <x v="0"/>
    <x v="34"/>
  </r>
  <r>
    <x v="82"/>
    <s v="DEZEMBRO"/>
    <s v="HSERV CABREUVA"/>
    <s v="ELEKTRO SALA 16"/>
    <n v="-650"/>
    <x v="0"/>
    <x v="0"/>
  </r>
  <r>
    <x v="82"/>
    <s v="DEZEMBRO"/>
    <s v="HSERV CABREUVA"/>
    <s v="ELEKTRO SALA 17"/>
    <n v="-320"/>
    <x v="0"/>
    <x v="0"/>
  </r>
  <r>
    <x v="82"/>
    <s v="DEZEMBRO"/>
    <s v="HSERV CABREUVA"/>
    <s v="ELEKTRO SALA 18"/>
    <n v="-350"/>
    <x v="0"/>
    <x v="0"/>
  </r>
  <r>
    <x v="82"/>
    <s v="DEZEMBRO"/>
    <s v="HSERV CABREUVA"/>
    <s v="ELEKTRO LOJA CLEAN"/>
    <n v="-201"/>
    <x v="0"/>
    <x v="0"/>
  </r>
  <r>
    <x v="82"/>
    <s v="DEZEMBRO"/>
    <s v="HSERV COMBINADOS "/>
    <s v="CAIXINHA OPERACIONAL - OSSIRES"/>
    <n v="-2000"/>
    <x v="0"/>
    <x v="1"/>
  </r>
  <r>
    <x v="82"/>
    <s v="DEZEMBRO"/>
    <s v="HSERV COMBINADOS "/>
    <s v="CAIXINHA OPERACIONAL "/>
    <n v="-5000"/>
    <x v="0"/>
    <x v="1"/>
  </r>
  <r>
    <x v="108"/>
    <s v="DEZEMBRO"/>
    <s v="VITOR DUARTE"/>
    <s v="VIVA FOOD R E LTDA"/>
    <n v="-17235"/>
    <x v="0"/>
    <x v="2"/>
  </r>
  <r>
    <x v="109"/>
    <s v="DEZEMBRO"/>
    <s v="HSERV TERCEIRIZADOS ND"/>
    <s v="_x0009_ENCARGOS LIMITE DE CRED- HSERV TERCERIZADOS BRADESCO "/>
    <n v="-900"/>
    <x v="0"/>
    <x v="45"/>
  </r>
  <r>
    <x v="110"/>
    <s v="DEZEMBRO"/>
    <s v="HSERV CABREUVA"/>
    <s v="BANCO ITAUCARD S.A.- "/>
    <n v="-3809.98"/>
    <x v="0"/>
    <x v="8"/>
  </r>
  <r>
    <x v="110"/>
    <s v="DEZEMBRO"/>
    <s v="HSERV CABREUVA"/>
    <s v="TAR PLANO ADAPT 3 05/24"/>
    <n v="-349"/>
    <x v="0"/>
    <x v="9"/>
  </r>
  <r>
    <x v="110"/>
    <s v="DEZEMBRO"/>
    <s v="HSERV TERCERIZADOS"/>
    <s v="TAR PLANO ADAPT 3 05/24"/>
    <n v="-389"/>
    <x v="0"/>
    <x v="9"/>
  </r>
  <r>
    <x v="110"/>
    <s v="DEZEMBRO"/>
    <s v="HSERV COMBINADOS"/>
    <s v="TAR PLANO ADAPT 3 05/24"/>
    <n v="-349"/>
    <x v="0"/>
    <x v="9"/>
  </r>
  <r>
    <x v="110"/>
    <s v="DEZEMBRO"/>
    <s v="HENRIQUE JEAN"/>
    <s v="TAR PLANO ADAPT 3 05/24"/>
    <n v="-349"/>
    <x v="0"/>
    <x v="9"/>
  </r>
  <r>
    <x v="110"/>
    <s v="DEZEMBRO"/>
    <s v="HSERV TECNOLOGIA"/>
    <s v="TAR PLANO ADAPT 3 05/24"/>
    <n v="-389"/>
    <x v="0"/>
    <x v="9"/>
  </r>
  <r>
    <x v="110"/>
    <s v="DEZEMBRO"/>
    <s v="HSERV LIMPEZA"/>
    <s v="TAR PLANO ADAPT 3 05/24"/>
    <n v="-389"/>
    <x v="0"/>
    <x v="9"/>
  </r>
  <r>
    <x v="110"/>
    <s v="DEZEMBRO"/>
    <s v="HSERV REPRESENTAÇÃO"/>
    <s v="TAR PLANO ADAPT 3 05/24"/>
    <n v="-389"/>
    <x v="0"/>
    <x v="9"/>
  </r>
  <r>
    <x v="108"/>
    <s v="DEZEMBRO"/>
    <s v="HSERV CABREUVA "/>
    <s v="CREDIFIT"/>
    <n v="-9000"/>
    <x v="0"/>
    <x v="46"/>
  </r>
  <r>
    <x v="111"/>
    <s v="DEZEMBRO"/>
    <s v="HENRIQUE JEAN"/>
    <s v="CONDOMINIO NEX ONE CONSOLAÇÃO BELAS ARTES- ROBOTTON"/>
    <n v="-760"/>
    <x v="0"/>
    <x v="10"/>
  </r>
  <r>
    <x v="108"/>
    <s v="DEZEMBRO"/>
    <s v="HSERV CABREUVA"/>
    <s v="SALARIO CLT, PENSÃO ALIMENTICIA, BONUS-"/>
    <n v="-468000"/>
    <x v="0"/>
    <x v="11"/>
  </r>
  <r>
    <x v="108"/>
    <s v="DEZEMBRO"/>
    <s v="HSERV CABREUVA"/>
    <s v="ESTER CARDOZO DE LIMA "/>
    <n v="-500"/>
    <x v="0"/>
    <x v="11"/>
  </r>
  <r>
    <x v="108"/>
    <s v="DEZEMBRO"/>
    <s v="HSERV CABREUVA"/>
    <s v=" MEI  "/>
    <n v="-9000"/>
    <x v="0"/>
    <x v="11"/>
  </r>
  <r>
    <x v="112"/>
    <s v="DEZEMBRO"/>
    <s v="HSERV CLEAN"/>
    <s v="EMPRESTIMO HSERV CLEAN BRADESCO M-PARCELA MENSAL"/>
    <n v="-5523.75"/>
    <x v="0"/>
    <x v="12"/>
  </r>
  <r>
    <x v="113"/>
    <s v="DEZEMBRO"/>
    <s v="VITOR DUARTE"/>
    <s v="TAXA DE FISCALIZAÇÃO- VTM NEGOCIOS IMOBILIARIOS- EMPRESA VITOR PESSOAL- LEMBRAR O VITOR DE REALIZAR O PAGAMENTO "/>
    <n v="-226.68"/>
    <x v="0"/>
    <x v="33"/>
  </r>
  <r>
    <x v="108"/>
    <s v="DEZEMBRO"/>
    <s v="HSERV COMBINADOS "/>
    <s v="FT ASSIS E REGIÃO- "/>
    <n v="-7000"/>
    <x v="0"/>
    <x v="13"/>
  </r>
  <r>
    <x v="114"/>
    <s v="DEZEMBRO"/>
    <s v="VITOR DUARTE"/>
    <s v="VIVA FOOD R E LTDA"/>
    <n v="-17235"/>
    <x v="0"/>
    <x v="2"/>
  </r>
  <r>
    <x v="115"/>
    <s v="DEZEMBRO"/>
    <s v="HSERV TECNOLOGIA"/>
    <s v="PAPEL E CIA"/>
    <n v="-700"/>
    <x v="0"/>
    <x v="43"/>
  </r>
  <r>
    <x v="115"/>
    <s v="DEZEMBRO"/>
    <s v="HSERV COMBINADOS "/>
    <s v="BRASIL MEDICINE - PROVISÃO "/>
    <n v="-9000"/>
    <x v="0"/>
    <x v="14"/>
  </r>
  <r>
    <x v="115"/>
    <s v="DEZEMBRO"/>
    <s v="HSERV CABREUVA"/>
    <s v="SERGIO LUIZ BERTOLO"/>
    <n v="-290"/>
    <x v="0"/>
    <x v="15"/>
  </r>
  <r>
    <x v="115"/>
    <s v="DEZEMBRO"/>
    <s v="HSERV COMBINADOS "/>
    <s v="JAIR RÉ"/>
    <n v="-1000"/>
    <x v="0"/>
    <x v="17"/>
  </r>
  <r>
    <x v="115"/>
    <s v="DEZEMBRO"/>
    <s v="VITOR DUARTE"/>
    <s v="MARCASA-SEGURANÇA VEPAKUM"/>
    <n v="-10500"/>
    <x v="0"/>
    <x v="16"/>
  </r>
  <r>
    <x v="115"/>
    <s v="DEZEMBRO"/>
    <s v="HSERV COMBINADOS "/>
    <s v="JHONNY WALACE"/>
    <n v="-1000"/>
    <x v="0"/>
    <x v="17"/>
  </r>
  <r>
    <x v="115"/>
    <s v="DEZEMBRO"/>
    <s v="HENRIQUE JEAN"/>
    <s v="PROLABORE SOCIOS CRISTIANE-MARIA JOSE, GUTHIERRI"/>
    <n v="-3000"/>
    <x v="0"/>
    <x v="18"/>
  </r>
  <r>
    <x v="115"/>
    <s v="DEZEMBRO"/>
    <s v="HENRIQUE JEAN"/>
    <s v="CARTÃO VITOR"/>
    <n v="-9000"/>
    <x v="0"/>
    <x v="18"/>
  </r>
  <r>
    <x v="115"/>
    <s v="DEZEMBRO"/>
    <s v="HSERV CLEAN"/>
    <s v="INTERMEDICA"/>
    <n v="-9146.82"/>
    <x v="0"/>
    <x v="19"/>
  </r>
  <r>
    <x v="115"/>
    <s v="DEZEMBRO"/>
    <s v="HSERV CABREUVA"/>
    <s v="AUTO POSTO JARDIM DAS HORTENCI"/>
    <n v="-9500"/>
    <x v="0"/>
    <x v="20"/>
  </r>
  <r>
    <x v="115"/>
    <s v="DEZEMBRO"/>
    <s v="HENRIQUE JEAN ND"/>
    <s v="FIT ADM (VIDA NOVA) 34-07"/>
    <n v="-432"/>
    <x v="0"/>
    <x v="10"/>
  </r>
  <r>
    <x v="115"/>
    <s v="DEZEMBRO"/>
    <s v="VITOR  DUARTE"/>
    <s v="RONDAWEB CONEXOES LTDA"/>
    <n v="-553.25"/>
    <x v="0"/>
    <x v="21"/>
  </r>
  <r>
    <x v="115"/>
    <s v="DEZEMBRO"/>
    <s v="HSERV CABREUVA"/>
    <s v="BRADESCO SEGUROS - QUY9F13- DEBITO AUTOMATICO HSERV CABREUVA "/>
    <n v="-545.78"/>
    <x v="0"/>
    <x v="22"/>
  </r>
  <r>
    <x v="115"/>
    <s v="DEZEMBRO"/>
    <s v="HSERV TERCEIRIZADOS"/>
    <s v="MOVIDA PARTICIPACOES S.A.-"/>
    <n v="-4347.01"/>
    <x v="0"/>
    <x v="29"/>
  </r>
  <r>
    <x v="115"/>
    <s v="DEZEMBRO"/>
    <s v="HSERV TERCEIRIZADOS"/>
    <s v="MOVIDA PARTICIPACOES S.A.-"/>
    <n v="-2173.96"/>
    <x v="0"/>
    <x v="29"/>
  </r>
  <r>
    <x v="114"/>
    <s v="DEZEMBRO"/>
    <s v="HSERV TERCEIRIZADOS"/>
    <s v="MOVIDA PARTICIPACOES S.A."/>
    <n v="-4375.75"/>
    <x v="0"/>
    <x v="29"/>
  </r>
  <r>
    <x v="114"/>
    <s v="DEZEMBRO"/>
    <s v="HSERV CABREUVA"/>
    <s v="RESCISÕES"/>
    <n v="-40000"/>
    <x v="0"/>
    <x v="6"/>
  </r>
  <r>
    <x v="112"/>
    <s v="DEZEMBRO"/>
    <s v="HSERV CABREUVA"/>
    <s v=" MEI"/>
    <n v="-100000"/>
    <x v="0"/>
    <x v="11"/>
  </r>
  <r>
    <x v="112"/>
    <s v="DEZEMBRO"/>
    <s v="HSERV CABREUVA"/>
    <s v="ASSIDUIDADE"/>
    <n v="-40000"/>
    <x v="0"/>
    <x v="23"/>
  </r>
  <r>
    <x v="112"/>
    <s v="DEZEMBRO"/>
    <s v="HSERV CABREUVA"/>
    <s v="VALE ALIMENTAÇÃO MENSAL -"/>
    <n v="-90000"/>
    <x v="0"/>
    <x v="2"/>
  </r>
  <r>
    <x v="112"/>
    <s v="DEZEMBRO"/>
    <s v=" HSERV CABREUVA"/>
    <s v="VALE TRANSPORTE BASE"/>
    <n v="-10000"/>
    <x v="0"/>
    <x v="7"/>
  </r>
  <r>
    <x v="112"/>
    <s v="DEZEMBRO"/>
    <s v="VITOR DUARTE"/>
    <s v="BOLETO OTAVIO"/>
    <n v="-20000"/>
    <x v="0"/>
    <x v="18"/>
  </r>
  <r>
    <x v="112"/>
    <s v="DEZEMBRO"/>
    <s v="VITOR DUARTE"/>
    <s v="FABIOLA FARIAS FELIX"/>
    <n v="-145"/>
    <x v="0"/>
    <x v="24"/>
  </r>
  <r>
    <x v="112"/>
    <s v="DEZEMBRO"/>
    <s v="HSERV COMBINADOS "/>
    <s v="ESTER CARDOZO"/>
    <n v="-1375"/>
    <x v="0"/>
    <x v="11"/>
  </r>
  <r>
    <x v="112"/>
    <s v="DEZEMBRO"/>
    <s v="HSERV  COMBINADOS "/>
    <s v="PAMELA ROCHA MARINHO-BONUS  GERENCIA "/>
    <n v="-2281.6999999999998"/>
    <x v="0"/>
    <x v="11"/>
  </r>
  <r>
    <x v="112"/>
    <s v="DEZEMBRO"/>
    <s v="HSERV CABREUVA"/>
    <s v="SEM PARAR- "/>
    <n v="-6500"/>
    <x v="0"/>
    <x v="20"/>
  </r>
  <r>
    <x v="112"/>
    <s v="DEZEMBRO"/>
    <s v="VITOR DUARTE"/>
    <s v="CARTAO DE CRÉDITO- VITOR"/>
    <n v="-12000"/>
    <x v="0"/>
    <x v="25"/>
  </r>
  <r>
    <x v="112"/>
    <s v="DEZEMBRO"/>
    <s v="HENRIQUE JEAN"/>
    <s v="CARTÃO DE CREDITO"/>
    <n v="-2302.0500000000002"/>
    <x v="0"/>
    <x v="25"/>
  </r>
  <r>
    <x v="112"/>
    <s v="DEZEMBRO"/>
    <s v="HSERV COMBINADOS"/>
    <s v="CARTÃO DE CREDITO"/>
    <n v="-1248.99"/>
    <x v="0"/>
    <x v="25"/>
  </r>
  <r>
    <x v="114"/>
    <s v="DEZEMBRO"/>
    <s v="HSERV CABREUVA"/>
    <s v="SICOOB HSERV CABREUVA NEGOCIAÇÃO CHEQUE ESPECIAL "/>
    <n v="-2012.45"/>
    <x v="0"/>
    <x v="12"/>
  </r>
  <r>
    <x v="112"/>
    <s v="DEZEMBRO"/>
    <s v="HSERV CABREUVA"/>
    <s v="TARIFA MAX EMPRESARIAL"/>
    <n v="-171.1"/>
    <x v="0"/>
    <x v="9"/>
  </r>
  <r>
    <x v="112"/>
    <s v="DEZEMBRO"/>
    <s v="HSERV CLEAN"/>
    <s v="TARIFA MAX EMPRESARIAL"/>
    <n v="-171.1"/>
    <x v="0"/>
    <x v="9"/>
  </r>
  <r>
    <x v="112"/>
    <s v="DEZEMBRO"/>
    <s v="HSERV COMBINADOS "/>
    <s v="TARIFA MAX EMPRESARIAL"/>
    <n v="-171.1"/>
    <x v="0"/>
    <x v="9"/>
  </r>
  <r>
    <x v="112"/>
    <s v="DEZEMBRO"/>
    <s v="HSERV COMBINADOS  ND "/>
    <s v="TARIFA MAX EMPRESARIAL"/>
    <n v="-171.1"/>
    <x v="0"/>
    <x v="9"/>
  </r>
  <r>
    <x v="112"/>
    <s v="DEZEMBRO"/>
    <s v="HENRIQUE JEAN"/>
    <s v="TARIFA MAX EMPRESARIAL"/>
    <n v="-171.1"/>
    <x v="0"/>
    <x v="9"/>
  </r>
  <r>
    <x v="112"/>
    <s v="DEZEMBRO"/>
    <s v="HENRIQUE JEAN ND"/>
    <s v="TARIFA MAX EMPRESARIAL"/>
    <n v="-171.1"/>
    <x v="0"/>
    <x v="9"/>
  </r>
  <r>
    <x v="112"/>
    <s v="DEZEMBRO"/>
    <s v="VITOR DUARTE"/>
    <s v="TARIFA MAX EMPRESARIAL"/>
    <n v="-171.1"/>
    <x v="0"/>
    <x v="9"/>
  </r>
  <r>
    <x v="112"/>
    <s v="DEZEMBRO"/>
    <s v="VITOR DUARTE ND"/>
    <s v="TARIFA MAX EMPRESARIAL"/>
    <n v="-171.1"/>
    <x v="0"/>
    <x v="9"/>
  </r>
  <r>
    <x v="112"/>
    <s v="DEZEMBRO"/>
    <s v="HSERV TERCERIZADOS"/>
    <s v="TARIFA MAX EMPRESARIAL"/>
    <n v="-171.1"/>
    <x v="0"/>
    <x v="9"/>
  </r>
  <r>
    <x v="112"/>
    <s v="DEZEMBRO"/>
    <s v="HSERV TERCERIZADOS ND"/>
    <s v="TARIFA MAX EMPRESARIAL"/>
    <n v="-171.1"/>
    <x v="0"/>
    <x v="9"/>
  </r>
  <r>
    <x v="112"/>
    <s v="DEZEMBRO"/>
    <s v="HSERV LIMPEZA"/>
    <s v="TARIFA MAX EMPRESARIAL"/>
    <n v="-171.1"/>
    <x v="0"/>
    <x v="9"/>
  </r>
  <r>
    <x v="112"/>
    <s v="DEZEMBRO"/>
    <s v="HSERV LIMPEZA ND"/>
    <s v="TARIFA MAX EMPRESARIAL"/>
    <n v="-171.1"/>
    <x v="0"/>
    <x v="9"/>
  </r>
  <r>
    <x v="112"/>
    <s v="DEZEMBRO"/>
    <s v="HSERV TECNOLOGIA"/>
    <s v="TARIFA MAX EMPRESARIAL"/>
    <n v="-171.1"/>
    <x v="0"/>
    <x v="9"/>
  </r>
  <r>
    <x v="112"/>
    <s v="DEZEMBRO"/>
    <s v="HSERV REPRESENTAÇÃO"/>
    <s v="TARIFA MAX EMPRESARIAL"/>
    <n v="-171.1"/>
    <x v="0"/>
    <x v="9"/>
  </r>
  <r>
    <x v="112"/>
    <s v="DEZEMBRO"/>
    <s v="HENRIQUE JEAN ND"/>
    <s v="CELIO ROBERTO"/>
    <n v="-877.96"/>
    <x v="0"/>
    <x v="10"/>
  </r>
  <r>
    <x v="112"/>
    <s v="DEZEMBRO"/>
    <s v="HSERV CABREUVA"/>
    <s v="VALE COMBUSTIVEL-2 QUINZENA DE JANEIRO"/>
    <n v="-8000"/>
    <x v="0"/>
    <x v="26"/>
  </r>
  <r>
    <x v="116"/>
    <s v="DEZEMBRO"/>
    <s v="HSERV CABREUVA"/>
    <s v="SABESP SALA 16"/>
    <n v="-141.69999999999999"/>
    <x v="0"/>
    <x v="28"/>
  </r>
  <r>
    <x v="116"/>
    <s v="DEZEMBRO"/>
    <s v="HSERV CABREUVA"/>
    <s v="SABESP SALA 17"/>
    <n v="-141.69999999999999"/>
    <x v="0"/>
    <x v="28"/>
  </r>
  <r>
    <x v="116"/>
    <s v="DEZEMBRO"/>
    <s v="HSERV CABREUVA"/>
    <s v="SABESP SALA 18"/>
    <n v="-141.69999999999999"/>
    <x v="0"/>
    <x v="28"/>
  </r>
  <r>
    <x v="116"/>
    <s v="DEZEMBRO"/>
    <s v="HSERV CABREUVA"/>
    <s v="SABESP CLEAN"/>
    <n v="-139.25"/>
    <x v="0"/>
    <x v="28"/>
  </r>
  <r>
    <x v="112"/>
    <s v="DEZEMBRO"/>
    <s v="HSERV TECNOLOGIA"/>
    <s v="OMIEXPERIENCE LTDA."/>
    <n v="-244.5"/>
    <x v="0"/>
    <x v="21"/>
  </r>
  <r>
    <x v="112"/>
    <s v="DEZEMBRO"/>
    <s v="HSERV REPRESENTACOES"/>
    <s v="OMIEXPERIENCE LTDA."/>
    <n v="-300"/>
    <x v="0"/>
    <x v="21"/>
  </r>
  <r>
    <x v="112"/>
    <s v="DEZEMBRO"/>
    <s v="HSERV CABREUVA "/>
    <s v="OMIEXPERIENCE LTDA."/>
    <n v="-300"/>
    <x v="0"/>
    <x v="21"/>
  </r>
  <r>
    <x v="112"/>
    <s v="DEZEMBRO"/>
    <s v="HSERV  COMBINADOS"/>
    <s v="OMIEXPERIENCE LTDA."/>
    <n v="-300"/>
    <x v="0"/>
    <x v="21"/>
  </r>
  <r>
    <x v="112"/>
    <s v="DEZEMBRO"/>
    <s v="HENRIQUE JEAN DUARTE "/>
    <s v="OMIEXPERIENCE LTDA."/>
    <n v="-275"/>
    <x v="0"/>
    <x v="21"/>
  </r>
  <r>
    <x v="112"/>
    <s v="DEZEMBRO"/>
    <s v="HSERV TERCEIRIZADOS"/>
    <s v="OMIEXPERIENCE LTDA."/>
    <n v="-300"/>
    <x v="0"/>
    <x v="21"/>
  </r>
  <r>
    <x v="112"/>
    <s v="DEZEMBRO"/>
    <s v="HSERV  LIMPEZA "/>
    <s v="OMIEXPERIENCE LTDA."/>
    <n v="-300"/>
    <x v="0"/>
    <x v="21"/>
  </r>
  <r>
    <x v="112"/>
    <s v="DEZEMBRO"/>
    <s v="VITOR  DUARTE "/>
    <s v="OMIEXPERIENCE LTDA."/>
    <n v="-350"/>
    <x v="0"/>
    <x v="21"/>
  </r>
  <r>
    <x v="112"/>
    <s v="DEZEMBRO"/>
    <s v="HSER CLEAN"/>
    <s v="OMIEXPERIENCE LTDA."/>
    <n v="-373.51"/>
    <x v="0"/>
    <x v="21"/>
  </r>
  <r>
    <x v="117"/>
    <s v="DEZEMBRO"/>
    <s v="HENRIQUE JEAN"/>
    <s v="EMPORIO MEGA 100 COMERCIO DE ALIMENTOS S.A."/>
    <n v="-3022.31"/>
    <x v="0"/>
    <x v="24"/>
  </r>
  <r>
    <x v="117"/>
    <s v="DEZEMBRO"/>
    <s v="HSERV CABREUVA"/>
    <s v="EMPORIO MEGA 100 COMERCIO DE ALIMENTOS S.A."/>
    <n v="-3952.25"/>
    <x v="0"/>
    <x v="24"/>
  </r>
  <r>
    <x v="117"/>
    <s v="DEZEMBRO"/>
    <s v="HSERV CLEAN"/>
    <s v="EMPORIO MEGA 100 COMERCIO DE ALIMENTOS S.A."/>
    <n v="-3409.78"/>
    <x v="0"/>
    <x v="24"/>
  </r>
  <r>
    <x v="117"/>
    <s v="DEZEMBRO"/>
    <s v="HSERV CLEAN"/>
    <s v="EMPORIO MEGA 100 COMERCIO DE ALIMENTOS S.A."/>
    <n v="-852.45"/>
    <x v="0"/>
    <x v="24"/>
  </r>
  <r>
    <x v="117"/>
    <s v="DEZEMBRO"/>
    <s v="HSERV COMBINADOS"/>
    <s v="EMPORIO MEGA 100 COMERCIO DE ALIMENTOS S.A."/>
    <n v="-2944.81"/>
    <x v="0"/>
    <x v="24"/>
  </r>
  <r>
    <x v="117"/>
    <s v="DEZEMBRO"/>
    <s v="HSERV LIMPEZA"/>
    <s v="EMPORIO MEGA 100 COMERCIO DE ALIMENTOS S.A."/>
    <n v="-852.45"/>
    <x v="0"/>
    <x v="24"/>
  </r>
  <r>
    <x v="117"/>
    <s v="DEZEMBRO"/>
    <s v="HSERV REPRESENTACOES"/>
    <s v="EMPORIO MEGA 100 COMERCIO DE ALIMENTOS S.A."/>
    <n v="-929.94"/>
    <x v="0"/>
    <x v="24"/>
  </r>
  <r>
    <x v="117"/>
    <s v="DEZEMBRO"/>
    <s v="HSERV TECNOLOGIA"/>
    <s v="EMPORIO MEGA 100 COMERCIO DE ALIMENTOS S.A."/>
    <n v="-232.49"/>
    <x v="0"/>
    <x v="24"/>
  </r>
  <r>
    <x v="117"/>
    <s v="DEZEMBRO"/>
    <s v="HSERV TERCEIRIZADOS"/>
    <s v="EMPORIO MEGA 100 COMERCIO DE ALIMENTOS S.A."/>
    <n v="-464.97"/>
    <x v="0"/>
    <x v="24"/>
  </r>
  <r>
    <x v="117"/>
    <s v="DEZEMBRO"/>
    <s v="VITOR DUARTE"/>
    <s v="EMPORIO MEGA 100 COMERCIO DE ALIMENTOS S.A."/>
    <n v="-542.47"/>
    <x v="0"/>
    <x v="24"/>
  </r>
  <r>
    <x v="116"/>
    <s v="DEZEMBRO"/>
    <s v="VITOR DUARTE"/>
    <s v="LOCALIZA - VENCIDA"/>
    <n v="-3760"/>
    <x v="0"/>
    <x v="29"/>
  </r>
  <r>
    <x v="116"/>
    <s v="DEZEMBRO"/>
    <s v="VITOR DUARTE"/>
    <s v="LOCALIZA - VENCIDA"/>
    <n v="-5800"/>
    <x v="0"/>
    <x v="29"/>
  </r>
  <r>
    <x v="116"/>
    <s v="DEZEMBRO"/>
    <s v="HSERV COMBINADOS "/>
    <s v="LOCALIZA - VENCIDA"/>
    <n v="-5460"/>
    <x v="0"/>
    <x v="29"/>
  </r>
  <r>
    <x v="21"/>
    <s v="DEZEMBRO"/>
    <s v="VITOR DUARTE"/>
    <s v="VIVA FOOD R E LTDA"/>
    <n v="-17235"/>
    <x v="0"/>
    <x v="2"/>
  </r>
  <r>
    <x v="116"/>
    <s v="DEZEMBRO"/>
    <s v="HSERV CABREUVA"/>
    <s v="ASOMETRA"/>
    <n v="-4500"/>
    <x v="0"/>
    <x v="30"/>
  </r>
  <r>
    <x v="43"/>
    <s v="DEZEMBRO"/>
    <s v="HSERV CABREUVA"/>
    <s v="BRADESCO "/>
    <n v="-35714.57"/>
    <x v="0"/>
    <x v="12"/>
  </r>
  <r>
    <x v="116"/>
    <s v="DEZEMBRO"/>
    <s v="HSERV CABREUVA"/>
    <s v="SINDICATO DOS EMPREGADOS - VENCIDA"/>
    <n v="-30"/>
    <x v="0"/>
    <x v="14"/>
  </r>
  <r>
    <x v="116"/>
    <s v="DEZEMBRO"/>
    <s v="HSERV CABREUVA"/>
    <s v="SINDICATO DOS EMPREGADOS - VENCIDA "/>
    <n v="-10000"/>
    <x v="0"/>
    <x v="14"/>
  </r>
  <r>
    <x v="116"/>
    <s v="DEZEMBRO"/>
    <s v="HSERV CABREUVA"/>
    <s v="BENEFICIO SOCIALVENCIDA"/>
    <n v="-4500"/>
    <x v="0"/>
    <x v="14"/>
  </r>
  <r>
    <x v="116"/>
    <s v="DEZEMBRO"/>
    <s v="VITOR DUARTE"/>
    <s v="JONESO EMPREENDIMENTOS"/>
    <n v="-5300"/>
    <x v="0"/>
    <x v="15"/>
  </r>
  <r>
    <x v="118"/>
    <s v="DEZEMBRO"/>
    <s v="HSERV COMBINADOS "/>
    <s v="SOFISA ACORDO- PROCESSO EXECUÇÃO"/>
    <n v="-5996.67"/>
    <x v="0"/>
    <x v="12"/>
  </r>
  <r>
    <x v="119"/>
    <s v="DEZEMBRO"/>
    <s v="HSERV CABREUVA"/>
    <s v="IF EMPRESARIAL"/>
    <n v="-16000"/>
    <x v="0"/>
    <x v="31"/>
  </r>
  <r>
    <x v="119"/>
    <s v="DEZEMBRO"/>
    <s v="HSERV CABREUVA"/>
    <s v="RESOLVE ALIMENTAÇÃO "/>
    <n v="-600"/>
    <x v="0"/>
    <x v="2"/>
  </r>
  <r>
    <x v="119"/>
    <s v="DEZEMBRO"/>
    <s v="HSERV CABREUVA"/>
    <s v="ANJO AZUL ALARMES"/>
    <n v="-1100"/>
    <x v="0"/>
    <x v="21"/>
  </r>
  <r>
    <x v="119"/>
    <s v="DEZEMBRO"/>
    <s v="HSERV CABREUVA"/>
    <s v="MAXIWEB INTERNET PROVIDER LTDA"/>
    <n v="-39.799999999999997"/>
    <x v="0"/>
    <x v="21"/>
  </r>
  <r>
    <x v="21"/>
    <s v="DEZEMBRO"/>
    <s v="HSERV CABREUVA"/>
    <s v="SIMPLES NACIONAL MENSAL "/>
    <n v="-20000"/>
    <x v="0"/>
    <x v="32"/>
  </r>
  <r>
    <x v="21"/>
    <s v="DEZEMBRO"/>
    <s v="VITOR DUARTE"/>
    <s v="DARF DE COFINS, PIS- LUCRO REAL EMPRESA VITOR"/>
    <n v="-15000"/>
    <x v="0"/>
    <x v="32"/>
  </r>
  <r>
    <x v="21"/>
    <s v="DEZEMBRO"/>
    <s v="VITOR DUARTE"/>
    <s v="DARF DE COFINS, PIS- LUCRO  PRESUMIDO HSERV CABREUVA"/>
    <n v="-3000"/>
    <x v="0"/>
    <x v="32"/>
  </r>
  <r>
    <x v="21"/>
    <s v="DEZEMBRO"/>
    <s v="HSERV CABREUVA"/>
    <s v="FGTS MENSAL"/>
    <n v="-55000"/>
    <x v="0"/>
    <x v="32"/>
  </r>
  <r>
    <x v="21"/>
    <s v="DEZEMBRO"/>
    <s v="HSERV CABREUVA"/>
    <s v="DARF INSS-TODAS EMPRESAS"/>
    <n v="-50000"/>
    <x v="0"/>
    <x v="32"/>
  </r>
  <r>
    <x v="119"/>
    <s v="DEZEMBRO"/>
    <s v="HSERV CABREUVA"/>
    <s v="FT 1 QUINZENA E PACOTES, RT"/>
    <n v="-110000"/>
    <x v="0"/>
    <x v="13"/>
  </r>
  <r>
    <x v="21"/>
    <s v="DEZEMBRO"/>
    <s v="HSERV CABREUVA"/>
    <s v="VALE TRANSPORTE MENSAL VIAÇÕES"/>
    <n v="-41000"/>
    <x v="0"/>
    <x v="7"/>
  </r>
  <r>
    <x v="119"/>
    <s v="DEZEMBRO"/>
    <s v="HENRIQUE JEAN"/>
    <s v="EMPORIO MEGA 100 COMERCIO DE ALIMENTOS S.A."/>
    <n v="-2324.85"/>
    <x v="0"/>
    <x v="24"/>
  </r>
  <r>
    <x v="119"/>
    <s v="DEZEMBRO"/>
    <s v="HSERV CABREUVA"/>
    <s v="EMPORIO MEGA 100 COMERCIO DE ALIMENTOS S.A."/>
    <n v="-2944.81"/>
    <x v="0"/>
    <x v="24"/>
  </r>
  <r>
    <x v="119"/>
    <s v="DEZEMBRO"/>
    <s v="HSERV CLEAN"/>
    <s v="EMPORIO MEGA 100 COMERCIO DE ALIMENTOS S.A."/>
    <n v="-2867.32"/>
    <x v="0"/>
    <x v="24"/>
  </r>
  <r>
    <x v="119"/>
    <s v="DEZEMBRO"/>
    <s v="HSERV CLEAN"/>
    <s v="EMPORIO MEGA 100 COMERCIO DE ALIMENTOS S.A."/>
    <n v="-852.45"/>
    <x v="0"/>
    <x v="24"/>
  </r>
  <r>
    <x v="119"/>
    <s v="DEZEMBRO"/>
    <s v="HSERV COMBINADOS"/>
    <s v="EMPORIO MEGA 100 COMERCIO DE ALIMENTOS S.A."/>
    <n v="-2789.82"/>
    <x v="0"/>
    <x v="24"/>
  </r>
  <r>
    <x v="119"/>
    <s v="DEZEMBRO"/>
    <s v="HSERV LIMPEZA"/>
    <s v="EMPORIO MEGA 100 COMERCIO DE ALIMENTOS S.A."/>
    <n v="-852.45"/>
    <x v="0"/>
    <x v="24"/>
  </r>
  <r>
    <x v="119"/>
    <s v="DEZEMBRO"/>
    <s v="HSERV REPRESENTACOES"/>
    <s v="EMPORIO MEGA 100 COMERCIO DE ALIMENTOS S.A."/>
    <n v="-619.96"/>
    <x v="0"/>
    <x v="24"/>
  </r>
  <r>
    <x v="119"/>
    <s v="DEZEMBRO"/>
    <s v="HSERV TECNOLOGIA"/>
    <s v="EMPORIO MEGA 100 COMERCIO DE ALIMENTOS S.A."/>
    <n v="-154.99"/>
    <x v="0"/>
    <x v="24"/>
  </r>
  <r>
    <x v="119"/>
    <s v="DEZEMBRO"/>
    <s v="HSERV TERCEIRIZADOS"/>
    <s v="EMPORIO MEGA 100 COMERCIO DE ALIMENTOS S.A."/>
    <n v="-852.45"/>
    <x v="0"/>
    <x v="24"/>
  </r>
  <r>
    <x v="119"/>
    <s v="DEZEMBRO"/>
    <s v="VITOR DUARTE"/>
    <s v="EMPORIO MEGA 100 COMERCIO DE ALIMENTOS S.A."/>
    <n v="-77.5"/>
    <x v="0"/>
    <x v="24"/>
  </r>
  <r>
    <x v="119"/>
    <s v="DEZEMBRO"/>
    <s v="HSERV CABREUVA"/>
    <s v="FT ASSIS E REGIÃO- "/>
    <n v="-8000"/>
    <x v="0"/>
    <x v="13"/>
  </r>
  <r>
    <x v="119"/>
    <s v="DEZEMBRO"/>
    <s v="HSERV COMBINADOS"/>
    <s v="MAC LUCER - VINEA (MENSAL)"/>
    <n v="-2756.99"/>
    <x v="0"/>
    <x v="33"/>
  </r>
  <r>
    <x v="119"/>
    <s v="DEZEMBRO"/>
    <s v="VITOR DUARTE"/>
    <s v="CLARO S/A"/>
    <n v="-1700"/>
    <x v="0"/>
    <x v="35"/>
  </r>
  <r>
    <x v="21"/>
    <s v="DEZEMBRO"/>
    <s v="HENRIQUE JEAN ND"/>
    <s v="IMOVEL NEX ONE "/>
    <n v="-8937.32"/>
    <x v="0"/>
    <x v="10"/>
  </r>
  <r>
    <x v="43"/>
    <s v="DEZEMBRO"/>
    <s v="VITOR DUARTE"/>
    <s v="VIVA FOOD R E LTDA"/>
    <n v="-17235"/>
    <x v="0"/>
    <x v="2"/>
  </r>
  <r>
    <x v="43"/>
    <s v="DEZEMBRO"/>
    <s v="HSERV CABREUVA"/>
    <s v="AUTO POSTO JARDIM DAS HORTENCI"/>
    <n v="-9000"/>
    <x v="0"/>
    <x v="20"/>
  </r>
  <r>
    <x v="43"/>
    <s v="DEZEMBRO"/>
    <s v="VITOR DUARTE"/>
    <s v="GADE CORPORATIVA"/>
    <n v="-500"/>
    <x v="0"/>
    <x v="21"/>
  </r>
  <r>
    <x v="43"/>
    <s v="DEZEMBRO"/>
    <s v="HSERV CABREUVA"/>
    <s v="OPEN IT GROUP"/>
    <n v="-294.8"/>
    <x v="0"/>
    <x v="36"/>
  </r>
  <r>
    <x v="43"/>
    <s v="DEZEMBRO"/>
    <s v="HSERV COMBINADOS"/>
    <s v="MAC LUCER - VINEA (MENSAL) "/>
    <n v="-1812.64"/>
    <x v="0"/>
    <x v="33"/>
  </r>
  <r>
    <x v="21"/>
    <s v="DEZEMBRO"/>
    <s v="HSERV CABREUVA"/>
    <s v="DECIMO TERCEIRO SALARIOS"/>
    <n v="-217558.83"/>
    <x v="0"/>
    <x v="66"/>
  </r>
  <r>
    <x v="21"/>
    <s v="DEZEMBRO"/>
    <s v="VITOR DUARTE"/>
    <s v="CHEQUES DR DUARTE"/>
    <n v="-9980"/>
    <x v="0"/>
    <x v="18"/>
  </r>
  <r>
    <x v="120"/>
    <s v="DEZEMBRO"/>
    <s v="HSERV COMBINADOS "/>
    <s v="GABRIEL DOS SANTOS NOVÃESCLOUD-TELEFONIA"/>
    <n v="-500"/>
    <x v="0"/>
    <x v="21"/>
  </r>
  <r>
    <x v="31"/>
    <s v="DEZEMBRO"/>
    <s v="HENRIQUE JEAN ND"/>
    <s v="CELIO ROBERTO"/>
    <n v="-5000"/>
    <x v="0"/>
    <x v="10"/>
  </r>
  <r>
    <x v="31"/>
    <s v="DEZEMBRO"/>
    <s v="VITOR DUARTE"/>
    <s v="NEXTI DESENVOLVIMENTO DE SISTEMAS S.A."/>
    <n v="-2530.4299999999998"/>
    <x v="0"/>
    <x v="21"/>
  </r>
  <r>
    <x v="31"/>
    <s v="DEZEMBRO"/>
    <s v="VITOR DUARTE"/>
    <s v="NEXTI DESENVOLVIMENTO DE SISTEMAS S.A."/>
    <n v="-1339.5"/>
    <x v="0"/>
    <x v="21"/>
  </r>
  <r>
    <x v="108"/>
    <s v="DEZEMBRO"/>
    <s v=" HSERV CABREUVA"/>
    <s v="VALE TRANSPORTE "/>
    <n v="-5000"/>
    <x v="0"/>
    <x v="7"/>
  </r>
  <r>
    <x v="31"/>
    <s v="DEZEMBRO"/>
    <s v=" HSERV CABREUVA"/>
    <s v="VALE TRANSPORTE BASE"/>
    <n v="-15000"/>
    <x v="0"/>
    <x v="7"/>
  </r>
  <r>
    <x v="43"/>
    <s v="DEZEMBRO"/>
    <s v="VITOR DUARTE"/>
    <s v="CHEQUES DR DUARTE"/>
    <n v="-9980"/>
    <x v="0"/>
    <x v="18"/>
  </r>
  <r>
    <x v="31"/>
    <s v="DEZEMBRO"/>
    <s v="VITOR DUARTE"/>
    <s v="CHEQUES DR DUARTE"/>
    <n v="-23498.18"/>
    <x v="0"/>
    <x v="18"/>
  </r>
  <r>
    <x v="31"/>
    <s v="DEZEMBRO"/>
    <s v="HSERV CABREUVA"/>
    <s v="SIMPLES NACIONAL-PARCELAMENTO"/>
    <n v="-35000"/>
    <x v="0"/>
    <x v="32"/>
  </r>
  <r>
    <x v="31"/>
    <s v="DEZEMBRO"/>
    <s v="HSERV CABREUVA"/>
    <s v="VALE COMBUSTIVEL 1 QUINZENA DE FEVEREIRO"/>
    <n v="-7000"/>
    <x v="0"/>
    <x v="26"/>
  </r>
  <r>
    <x v="31"/>
    <s v="DEZEMBRO"/>
    <s v="VITOR DUARTE"/>
    <s v="54.055.078 MATHEUS PEIXOTO DE OLIVEIRA"/>
    <n v="-1500"/>
    <x v="0"/>
    <x v="40"/>
  </r>
  <r>
    <x v="31"/>
    <s v="DEZEMBRO"/>
    <s v="VITOR DUARTE"/>
    <s v="ADEMIR- IMPRESSÃO E IMPRESSORA"/>
    <n v="-50"/>
    <x v="0"/>
    <x v="40"/>
  </r>
  <r>
    <x v="31"/>
    <s v="DEZEMBRO"/>
    <s v="HSERV COMBINADOS "/>
    <s v="REEMBOLSOS"/>
    <n v="-800"/>
    <x v="0"/>
    <x v="27"/>
  </r>
  <r>
    <x v="31"/>
    <s v="DEZEMBRO"/>
    <s v="VITOR DUARTE"/>
    <s v="GUIA DE PARCELAMENTO INSS VITOR JULHO A NOV 2024"/>
    <n v="-7000"/>
    <x v="0"/>
    <x v="32"/>
  </r>
  <r>
    <x v="31"/>
    <s v="DEZEMBRO"/>
    <s v="HSERV CLEAN"/>
    <s v="GUIA DE PARELAMENTO DE DIVIDA ATIVA HSERV CLEAN"/>
    <n v="-600"/>
    <x v="0"/>
    <x v="32"/>
  </r>
  <r>
    <x v="31"/>
    <s v="DEZEMBRO"/>
    <s v="HSERV CLEAN"/>
    <s v="GUIA DE IMPOSTO VEPAKUM RETROATIVO 2024"/>
    <n v="-4000"/>
    <x v="0"/>
    <x v="32"/>
  </r>
  <r>
    <x v="31"/>
    <s v="DEZEMBRO"/>
    <s v=" HSERV CABREUVA"/>
    <s v="PARCELAMENTO DEBITOS PREVIDENCIARIOS"/>
    <n v="-9000"/>
    <x v="0"/>
    <x v="32"/>
  </r>
  <r>
    <x v="31"/>
    <s v="DEZEMBRO"/>
    <s v="HSERV CLEAN"/>
    <s v="PARCELA CREDITO PESSOAL CONTR 016721926 PARC"/>
    <n v="-1719.53"/>
    <x v="0"/>
    <x v="25"/>
  </r>
  <r>
    <x v="31"/>
    <s v="DEZEMBRO"/>
    <s v="HSERV CABREUVA"/>
    <s v="PARCELA CREDITO PESSOAL CONTR 016721926 PARC"/>
    <n v="-1392.65"/>
    <x v="0"/>
    <x v="25"/>
  </r>
  <r>
    <x v="109"/>
    <s v="DEZEMBRO"/>
    <s v="TECNOLOGIA"/>
    <s v="INTERBRILHO HIGIENE E LIMPEZA LTDA"/>
    <n v="23638.67"/>
    <x v="1"/>
    <x v="3"/>
  </r>
  <r>
    <x v="109"/>
    <s v="DEZEMBRO"/>
    <s v="LIMPEZA"/>
    <s v="EDMAR APARECIDO MARTINEZ"/>
    <n v="799.2"/>
    <x v="1"/>
    <x v="3"/>
  </r>
  <r>
    <x v="109"/>
    <s v="DEZEMBRO"/>
    <s v="LIMPEZA"/>
    <s v="EDMAR APARECIDO MARTINEZ"/>
    <n v="18532.8"/>
    <x v="1"/>
    <x v="3"/>
  </r>
  <r>
    <x v="109"/>
    <s v="DEZEMBRO"/>
    <s v="COMBINADOS"/>
    <s v="TECNIPLAS EQUIPAMENTOS EM COMPOSITOS EIR"/>
    <n v="22451.91"/>
    <x v="1"/>
    <x v="3"/>
  </r>
  <r>
    <x v="109"/>
    <s v="DEZEMBRO"/>
    <s v="REPRESENTAÇÃO"/>
    <s v="VETTOR TORRES DE RESFRIAMENTO LTDA"/>
    <n v="14482.07"/>
    <x v="1"/>
    <x v="3"/>
  </r>
  <r>
    <x v="109"/>
    <s v="DEZEMBRO"/>
    <s v="REPRESENTAÇÃO"/>
    <s v="VETTOR TORRES DE RESFRIAMENTO LTDA"/>
    <n v="23943.3"/>
    <x v="1"/>
    <x v="3"/>
  </r>
  <r>
    <x v="109"/>
    <s v="DEZEMBRO"/>
    <s v="REPRESENTAÇÃO"/>
    <s v="VETTOR TORRES DE RESFRIAMENTO LTDA"/>
    <n v="21852.37"/>
    <x v="1"/>
    <x v="3"/>
  </r>
  <r>
    <x v="109"/>
    <s v="DEZEMBRO"/>
    <s v="REPRESENTAÇÃO"/>
    <s v="VETTOR TORRES DE RESFRIAMENTO LTDA"/>
    <n v="4683.53"/>
    <x v="1"/>
    <x v="3"/>
  </r>
  <r>
    <x v="109"/>
    <s v="DEZEMBRO"/>
    <s v="REPRESENTAÇÃO"/>
    <s v="VETTOR TORRES DE RESFRIAMENTO LTDA"/>
    <n v="196"/>
    <x v="1"/>
    <x v="3"/>
  </r>
  <r>
    <x v="115"/>
    <s v="DEZEMBRO"/>
    <s v="HSERV COMBINADOS "/>
    <s v="FT 2 QUINZENA"/>
    <n v="-50000"/>
    <x v="0"/>
    <x v="13"/>
  </r>
  <r>
    <x v="115"/>
    <s v="DEZEMBRO"/>
    <s v="CABREUVA"/>
    <s v="TED 422.0115.KYN C V A L"/>
    <n v="33748"/>
    <x v="1"/>
    <x v="3"/>
  </r>
  <r>
    <x v="115"/>
    <s v="DEZEMBRO"/>
    <s v="CABREUVA"/>
    <s v="TED 422.0115.KYN C V A L"/>
    <n v="8041"/>
    <x v="1"/>
    <x v="3"/>
  </r>
  <r>
    <x v="67"/>
    <s v="DEZEMBRO"/>
    <s v="CABREUVA"/>
    <s v="CONDOMINIO PALAZZO VENEZA"/>
    <n v="4880.1400000000003"/>
    <x v="1"/>
    <x v="3"/>
  </r>
  <r>
    <x v="67"/>
    <s v="DEZEMBRO"/>
    <s v="REPRESENTAÇÃO"/>
    <s v="TTB INDUSTRIA E COMERCIO DE PRODUTOS MET"/>
    <n v="603.26"/>
    <x v="1"/>
    <x v="3"/>
  </r>
  <r>
    <x v="67"/>
    <s v="DEZEMBRO"/>
    <s v="REPRESENTAÇÃO"/>
    <s v="TTB INDUSTRIA E COMERCIO DE PRODUTOS MET"/>
    <n v="1106.1400000000001"/>
    <x v="1"/>
    <x v="3"/>
  </r>
  <r>
    <x v="67"/>
    <s v="DEZEMBRO"/>
    <s v="REPRESENTAÇÃO"/>
    <s v="TTB INDUSTRIA E COMERCIO DE PRODUTOS MET"/>
    <n v="9631"/>
    <x v="1"/>
    <x v="3"/>
  </r>
  <r>
    <x v="67"/>
    <s v="DEZEMBRO"/>
    <s v="VITOR"/>
    <s v="DEPOSITO SANTA CATARINA LTDA"/>
    <n v="257.81"/>
    <x v="1"/>
    <x v="3"/>
  </r>
  <r>
    <x v="67"/>
    <s v="DEZEMBRO"/>
    <s v="VITOR"/>
    <s v="GIFEL"/>
    <n v="680.03"/>
    <x v="1"/>
    <x v="3"/>
  </r>
  <r>
    <x v="20"/>
    <s v="NOVEMBRO"/>
    <s v="CLEAN"/>
    <s v="RICARO"/>
    <n v="12459.61"/>
    <x v="1"/>
    <x v="3"/>
  </r>
  <r>
    <x v="67"/>
    <s v="DEZEMBRO"/>
    <s v="CLEAN"/>
    <s v="RICARO"/>
    <n v="24988.71"/>
    <x v="1"/>
    <x v="3"/>
  </r>
  <r>
    <x v="67"/>
    <s v="DEZEMBRO"/>
    <s v="CLEAN"/>
    <s v="RICARO"/>
    <n v="12459.61"/>
    <x v="1"/>
    <x v="3"/>
  </r>
  <r>
    <x v="67"/>
    <s v="DEZEMBRO"/>
    <s v="CLEAN"/>
    <s v="RICARO"/>
    <n v="16834.330000000002"/>
    <x v="1"/>
    <x v="3"/>
  </r>
  <r>
    <x v="67"/>
    <s v="DEZEMBRO"/>
    <s v="CLEAN"/>
    <s v="RICARO"/>
    <n v="268.13"/>
    <x v="1"/>
    <x v="3"/>
  </r>
  <r>
    <x v="121"/>
    <s v="DEZEMBRO"/>
    <s v="CLEAN"/>
    <s v="RICARO"/>
    <n v="2284.4499999999998"/>
    <x v="1"/>
    <x v="3"/>
  </r>
  <r>
    <x v="67"/>
    <s v="DEZEMBRO"/>
    <s v="LIMPEZA"/>
    <s v="IMPROVEMENT FIT ACADEMIA LTDA"/>
    <n v="7850"/>
    <x v="1"/>
    <x v="3"/>
  </r>
  <r>
    <x v="110"/>
    <s v="DEZEMBRO"/>
    <s v="VITOR DUARTE"/>
    <s v="AVENIDA "/>
    <n v="345280"/>
    <x v="1"/>
    <x v="3"/>
  </r>
  <r>
    <x v="117"/>
    <s v="DEZEMBRO"/>
    <s v="TERCEIRIZADOS"/>
    <s v="BELLART"/>
    <n v="17956.39"/>
    <x v="1"/>
    <x v="3"/>
  </r>
  <r>
    <x v="118"/>
    <s v="DEZEMBRO"/>
    <s v="LIMPEZA"/>
    <s v="MIPAL INDUSTRIA DE EVAPORADORES LTDA"/>
    <n v="4717.4399999999996"/>
    <x v="1"/>
    <x v="3"/>
  </r>
  <r>
    <x v="118"/>
    <s v="DEZEMBRO"/>
    <s v="LIMPEZA"/>
    <s v="MIPAL INDUSTRIA DE EVAPORADORES LTDA"/>
    <n v="9938.39"/>
    <x v="1"/>
    <x v="3"/>
  </r>
  <r>
    <x v="118"/>
    <s v="DEZEMBRO"/>
    <s v="LIMPEZA"/>
    <s v="MIPAL INDUSTRIA DE EVAPORADORES LTDA"/>
    <n v="22139.98"/>
    <x v="1"/>
    <x v="3"/>
  </r>
  <r>
    <x v="120"/>
    <s v="DEZEMBRO"/>
    <s v="CLEAN"/>
    <s v="PLASTY COMERCIAL DE PLASTICOS LTDA"/>
    <n v="2373.8200000000002"/>
    <x v="1"/>
    <x v="3"/>
  </r>
  <r>
    <x v="120"/>
    <s v="DEZEMBRO"/>
    <s v="CLEAN"/>
    <s v="PLASTY COMERCIAL DE PLASTICOS LTDA"/>
    <n v="5823.82"/>
    <x v="1"/>
    <x v="3"/>
  </r>
  <r>
    <x v="120"/>
    <s v="DEZEMBRO"/>
    <s v="CLEAN"/>
    <s v="PLASTY COMERCIAL DE PLASTICOS LTDA"/>
    <n v="7526.95"/>
    <x v="1"/>
    <x v="3"/>
  </r>
  <r>
    <x v="120"/>
    <s v="DEZEMBRO"/>
    <s v="CLEAN"/>
    <s v="PLASTY COMERCIAL DE PLASTICOS LTDA"/>
    <n v="25756.63"/>
    <x v="1"/>
    <x v="3"/>
  </r>
  <r>
    <x v="31"/>
    <s v="DEZEMBRO"/>
    <s v="CABREUVA"/>
    <s v="BOA"/>
    <n v="816717.89"/>
    <x v="1"/>
    <x v="3"/>
  </r>
  <r>
    <x v="122"/>
    <s v="DEZEMBRO"/>
    <s v="HENRIQUE JEAN"/>
    <s v="CEF MATRIZ--EMPRESTIMO HENRIQUE IEAN VENCIDO "/>
    <n v="-7000"/>
    <x v="0"/>
    <x v="12"/>
  </r>
  <r>
    <x v="122"/>
    <s v="DEZEMBRO"/>
    <s v="HSERV COMBINADOS"/>
    <s v="CEF MATRIZ-EMPRESTIMO HSERV COMBINADOS VENCIDO"/>
    <n v="-7000"/>
    <x v="0"/>
    <x v="12"/>
  </r>
  <r>
    <x v="116"/>
    <s v="DEZEMBRO"/>
    <s v="HENRIQUE JEAN"/>
    <s v="SINDPRESTEM"/>
    <n v="-630"/>
    <x v="0"/>
    <x v="14"/>
  </r>
  <r>
    <x v="116"/>
    <s v="DEZEMBRO"/>
    <s v="HSERV CABREUVA"/>
    <s v="SIEMACO-PRUDENTE SINDICATO AVENIDA, ASSIS E REGIÃO"/>
    <n v="-1905.5"/>
    <x v="0"/>
    <x v="14"/>
  </r>
  <r>
    <x v="115"/>
    <s v="DEZEMBRO"/>
    <s v="HENRIQUE JEAN"/>
    <s v="SANTOS SEPULVEDA SOCIEDADE INDIVIDUAL DE ADVOCACIA- - PROC 0010895-75.2023.5.15.009-AMANDA BRITO SANTOS PARCELA 8/16"/>
    <n v="-1000"/>
    <x v="0"/>
    <x v="34"/>
  </r>
  <r>
    <x v="112"/>
    <s v="DEZEMBRO"/>
    <s v="HSERV REPRESENTACOES"/>
    <s v="OKUYAMA &amp; ALVES SOCIEDADE DE ADVOGADOS"/>
    <n v="-2000"/>
    <x v="0"/>
    <x v="34"/>
  </r>
  <r>
    <x v="63"/>
    <s v="DEZEMBRO"/>
    <s v="HSERV REPRESENTACOES"/>
    <s v="OKUYAMA &amp; ALVES SOCIEDADE DE ADVOGADOSS - PROC 0012457-65.2023.5.15.0018 -JESSICA BARROS DOS SANTO PARCELA 8/8"/>
    <n v="-2000"/>
    <x v="0"/>
    <x v="34"/>
  </r>
  <r>
    <x v="31"/>
    <s v="DEZEMBRO"/>
    <s v="HSERV CABREUVA"/>
    <s v="TIAGO JOSE DE FREITAS OLIVEIRA"/>
    <n v="-3200"/>
    <x v="0"/>
    <x v="34"/>
  </r>
  <r>
    <x v="31"/>
    <s v="DEZEMBRO"/>
    <s v="HSERV CABREUVA"/>
    <s v="LUCAS LEONARDO MARQUES DE OLIVEIRA"/>
    <n v="-2000"/>
    <x v="0"/>
    <x v="34"/>
  </r>
  <r>
    <x v="31"/>
    <s v="DEZEMBRO"/>
    <s v="HSERV CABREUVA"/>
    <s v="ARAUJO E RIOS ADVOGADOS ASSOCIADOS"/>
    <n v="-3836.54"/>
    <x v="0"/>
    <x v="34"/>
  </r>
  <r>
    <x v="31"/>
    <s v="DEZEMBRO"/>
    <s v="HSERV LIMPEZA"/>
    <s v="JUAN PHILIPY STEPHANO AMARO SOCIEDADE INDIVIDUAL DE ADVOCACI"/>
    <n v="-1000"/>
    <x v="0"/>
    <x v="34"/>
  </r>
  <r>
    <x v="31"/>
    <s v="DEZEMBRO"/>
    <s v="VITOR DUARTE"/>
    <s v="LUAN VIEIRA BARRETO"/>
    <n v="-1400"/>
    <x v="0"/>
    <x v="34"/>
  </r>
  <r>
    <x v="31"/>
    <s v="DEZEMBRO"/>
    <s v="VITOR DUARTE"/>
    <s v="VALERIA GEOVANNA DOS SANTOS"/>
    <n v="-1916.67"/>
    <x v="0"/>
    <x v="34"/>
  </r>
  <r>
    <x v="31"/>
    <s v="DEZEMBRO"/>
    <s v="VITOR DUARTE"/>
    <s v="IVAN MARQUES DOS SANTOS"/>
    <n v="-2864.92"/>
    <x v="0"/>
    <x v="34"/>
  </r>
  <r>
    <x v="31"/>
    <s v="DEZEMBRO"/>
    <s v="HSERV COMBINADOS"/>
    <s v="FT ANO NOVO"/>
    <n v="-10000"/>
    <x v="0"/>
    <x v="13"/>
  </r>
  <r>
    <x v="122"/>
    <s v="DEZEMBRO"/>
    <s v="HSERV COMBINADOS"/>
    <s v="FT NATAL"/>
    <n v="-10000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D83259-09A3-4C6C-9CE9-931E32E6FE43}" name="Tabela dinâ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6:DU10" firstHeaderRow="1" firstDataRow="2" firstDataCol="1"/>
  <pivotFields count="9">
    <pivotField numFmtId="14" showAll="0">
      <items count="133">
        <item x="1"/>
        <item x="4"/>
        <item x="3"/>
        <item x="2"/>
        <item x="5"/>
        <item x="37"/>
        <item m="1" x="131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5"/>
        <item x="46"/>
        <item x="47"/>
        <item x="36"/>
        <item x="49"/>
        <item x="50"/>
        <item x="51"/>
        <item x="68"/>
        <item x="53"/>
        <item x="54"/>
        <item x="55"/>
        <item x="48"/>
        <item x="59"/>
        <item x="17"/>
        <item x="52"/>
        <item x="39"/>
        <item x="23"/>
        <item x="56"/>
        <item x="26"/>
        <item x="33"/>
        <item x="44"/>
        <item x="73"/>
        <item x="76"/>
        <item x="74"/>
        <item x="75"/>
        <item x="57"/>
        <item x="69"/>
        <item x="77"/>
        <item x="64"/>
        <item x="27"/>
        <item m="1" x="123"/>
        <item x="58"/>
        <item x="60"/>
        <item x="78"/>
        <item x="18"/>
        <item x="79"/>
        <item x="34"/>
        <item x="70"/>
        <item x="40"/>
        <item x="80"/>
        <item x="81"/>
        <item x="28"/>
        <item x="84"/>
        <item x="87"/>
        <item x="91"/>
        <item x="86"/>
        <item x="72"/>
        <item x="97"/>
        <item x="90"/>
        <item x="65"/>
        <item x="96"/>
        <item x="85"/>
        <item x="92"/>
        <item x="89"/>
        <item x="88"/>
        <item x="19"/>
        <item x="94"/>
        <item x="93"/>
        <item x="41"/>
        <item x="95"/>
        <item x="38"/>
        <item x="29"/>
        <item x="83"/>
        <item x="98"/>
        <item x="100"/>
        <item x="99"/>
        <item x="62"/>
        <item x="71"/>
        <item x="66"/>
        <item m="1" x="128"/>
        <item x="103"/>
        <item x="102"/>
        <item x="101"/>
        <item x="105"/>
        <item m="1" x="129"/>
        <item x="106"/>
        <item x="20"/>
        <item x="107"/>
        <item x="42"/>
        <item x="104"/>
        <item m="1" x="127"/>
        <item x="30"/>
        <item x="82"/>
        <item x="109"/>
        <item m="1" x="130"/>
        <item x="110"/>
        <item x="108"/>
        <item x="111"/>
        <item x="63"/>
        <item x="115"/>
        <item x="67"/>
        <item x="114"/>
        <item x="112"/>
        <item x="117"/>
        <item x="116"/>
        <item x="118"/>
        <item x="21"/>
        <item x="119"/>
        <item x="121"/>
        <item x="122"/>
        <item x="43"/>
        <item x="120"/>
        <item x="31"/>
        <item x="61"/>
        <item m="1" x="124"/>
        <item x="113"/>
        <item m="1" x="126"/>
        <item m="1" x="125"/>
        <item t="default"/>
      </items>
    </pivotField>
    <pivotField showAll="0"/>
    <pivotField showAll="0"/>
    <pivotField showAll="0"/>
    <pivotField dataField="1" showAll="0"/>
    <pivotField axis="axisRow" showAll="0">
      <items count="5">
        <item x="1"/>
        <item m="1" x="3"/>
        <item x="0"/>
        <item m="1" x="2"/>
        <item t="default"/>
      </items>
    </pivotField>
    <pivotField showAll="0"/>
    <pivotField axis="axisCol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3">
    <i>
      <x/>
    </i>
    <i>
      <x v="2"/>
    </i>
    <i t="grand">
      <x/>
    </i>
  </rowItems>
  <colFields count="1">
    <field x="7"/>
  </colFields>
  <colItems count="124">
    <i>
      <x v="183"/>
    </i>
    <i>
      <x v="184"/>
    </i>
    <i>
      <x v="185"/>
    </i>
    <i>
      <x v="186"/>
    </i>
    <i>
      <x v="189"/>
    </i>
    <i>
      <x v="190"/>
    </i>
    <i>
      <x v="192"/>
    </i>
    <i>
      <x v="193"/>
    </i>
    <i>
      <x v="196"/>
    </i>
    <i>
      <x v="197"/>
    </i>
    <i>
      <x v="198"/>
    </i>
    <i>
      <x v="199"/>
    </i>
    <i>
      <x v="200"/>
    </i>
    <i>
      <x v="203"/>
    </i>
    <i>
      <x v="204"/>
    </i>
    <i>
      <x v="205"/>
    </i>
    <i>
      <x v="206"/>
    </i>
    <i>
      <x v="207"/>
    </i>
    <i>
      <x v="210"/>
    </i>
    <i>
      <x v="211"/>
    </i>
    <i>
      <x v="212"/>
    </i>
    <i>
      <x v="213"/>
    </i>
    <i>
      <x v="214"/>
    </i>
    <i>
      <x v="217"/>
    </i>
    <i>
      <x v="218"/>
    </i>
    <i>
      <x v="219"/>
    </i>
    <i>
      <x v="220"/>
    </i>
    <i>
      <x v="221"/>
    </i>
    <i>
      <x v="224"/>
    </i>
    <i>
      <x v="225"/>
    </i>
    <i>
      <x v="226"/>
    </i>
    <i>
      <x v="227"/>
    </i>
    <i>
      <x v="228"/>
    </i>
    <i>
      <x v="231"/>
    </i>
    <i>
      <x v="232"/>
    </i>
    <i>
      <x v="233"/>
    </i>
    <i>
      <x v="234"/>
    </i>
    <i>
      <x v="235"/>
    </i>
    <i>
      <x v="238"/>
    </i>
    <i>
      <x v="239"/>
    </i>
    <i>
      <x v="240"/>
    </i>
    <i>
      <x v="241"/>
    </i>
    <i>
      <x v="242"/>
    </i>
    <i>
      <x v="245"/>
    </i>
    <i>
      <x v="246"/>
    </i>
    <i>
      <x v="247"/>
    </i>
    <i>
      <x v="248"/>
    </i>
    <i>
      <x v="249"/>
    </i>
    <i>
      <x v="252"/>
    </i>
    <i>
      <x v="253"/>
    </i>
    <i>
      <x v="254"/>
    </i>
    <i>
      <x v="255"/>
    </i>
    <i>
      <x v="256"/>
    </i>
    <i>
      <x v="260"/>
    </i>
    <i>
      <x v="261"/>
    </i>
    <i>
      <x v="262"/>
    </i>
    <i>
      <x v="263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5"/>
    </i>
    <i>
      <x v="276"/>
    </i>
    <i>
      <x v="277"/>
    </i>
    <i>
      <x v="280"/>
    </i>
    <i>
      <x v="281"/>
    </i>
    <i>
      <x v="282"/>
    </i>
    <i>
      <x v="283"/>
    </i>
    <i>
      <x v="284"/>
    </i>
    <i>
      <x v="287"/>
    </i>
    <i>
      <x v="288"/>
    </i>
    <i>
      <x v="289"/>
    </i>
    <i>
      <x v="290"/>
    </i>
    <i>
      <x v="291"/>
    </i>
    <i>
      <x v="294"/>
    </i>
    <i>
      <x v="295"/>
    </i>
    <i>
      <x v="296"/>
    </i>
    <i>
      <x v="298"/>
    </i>
    <i>
      <x v="301"/>
    </i>
    <i>
      <x v="303"/>
    </i>
    <i>
      <x v="304"/>
    </i>
    <i>
      <x v="305"/>
    </i>
    <i>
      <x v="308"/>
    </i>
    <i>
      <x v="309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2"/>
    </i>
    <i>
      <x v="323"/>
    </i>
    <i>
      <x v="325"/>
    </i>
    <i>
      <x v="326"/>
    </i>
    <i>
      <x v="329"/>
    </i>
    <i>
      <x v="330"/>
    </i>
    <i>
      <x v="331"/>
    </i>
    <i>
      <x v="333"/>
    </i>
    <i>
      <x v="336"/>
    </i>
    <i>
      <x v="337"/>
    </i>
    <i>
      <x v="339"/>
    </i>
    <i>
      <x v="340"/>
    </i>
    <i>
      <x v="342"/>
    </i>
    <i>
      <x v="343"/>
    </i>
    <i>
      <x v="344"/>
    </i>
    <i>
      <x v="345"/>
    </i>
    <i>
      <x v="346"/>
    </i>
    <i>
      <x v="347"/>
    </i>
    <i>
      <x v="350"/>
    </i>
    <i>
      <x v="351"/>
    </i>
    <i>
      <x v="352"/>
    </i>
    <i>
      <x v="353"/>
    </i>
    <i>
      <x v="354"/>
    </i>
    <i>
      <x v="357"/>
    </i>
    <i>
      <x v="358"/>
    </i>
    <i>
      <x v="359"/>
    </i>
    <i>
      <x v="361"/>
    </i>
    <i>
      <x v="364"/>
    </i>
    <i>
      <x v="365"/>
    </i>
    <i t="grand">
      <x/>
    </i>
  </colItems>
  <dataFields count="1">
    <dataField name="Soma de VALOR" fld="4" baseField="0" baseItem="0"/>
  </dataFields>
  <formats count="31">
    <format dxfId="100">
      <pivotArea collapsedLevelsAreSubtotals="1" fieldPosition="0">
        <references count="1">
          <reference field="5" count="1">
            <x v="0"/>
          </reference>
        </references>
      </pivotArea>
    </format>
    <format dxfId="99">
      <pivotArea dataOnly="0" labelOnly="1" fieldPosition="0">
        <references count="1">
          <reference field="5" count="1">
            <x v="0"/>
          </reference>
        </references>
      </pivotArea>
    </format>
    <format dxfId="98">
      <pivotArea collapsedLevelsAreSubtotals="1" fieldPosition="0">
        <references count="1">
          <reference field="5" count="1">
            <x v="0"/>
          </reference>
        </references>
      </pivotArea>
    </format>
    <format dxfId="97">
      <pivotArea dataOnly="0" labelOnly="1" fieldPosition="0">
        <references count="1">
          <reference field="5" count="1">
            <x v="0"/>
          </reference>
        </references>
      </pivotArea>
    </format>
    <format dxfId="96">
      <pivotArea collapsedLevelsAreSubtotals="1" fieldPosition="0">
        <references count="1">
          <reference field="5" count="0"/>
        </references>
      </pivotArea>
    </format>
    <format dxfId="95">
      <pivotArea dataOnly="0" labelOnly="1" fieldPosition="0">
        <references count="1">
          <reference field="5" count="0"/>
        </references>
      </pivotArea>
    </format>
    <format dxfId="94">
      <pivotArea grandRow="1" outline="0" collapsedLevelsAreSubtotals="1" fieldPosition="0"/>
    </format>
    <format dxfId="93">
      <pivotArea dataOnly="0" labelOnly="1" grandRow="1" outline="0" fieldPosition="0"/>
    </format>
    <format dxfId="92">
      <pivotArea collapsedLevelsAreSubtotals="1" fieldPosition="0">
        <references count="1">
          <reference field="5" count="1">
            <x v="2"/>
          </reference>
        </references>
      </pivotArea>
    </format>
    <format dxfId="91">
      <pivotArea dataOnly="0" labelOnly="1" fieldPosition="0">
        <references count="1">
          <reference field="5" count="1">
            <x v="2"/>
          </reference>
        </references>
      </pivotArea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7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5" type="button" dataOnly="0" labelOnly="1" outline="0" axis="axisRow" fieldPosition="0"/>
    </format>
    <format dxfId="84">
      <pivotArea dataOnly="0" labelOnly="1" fieldPosition="0">
        <references count="1">
          <reference field="5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81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3"/>
            <x v="274"/>
            <x v="275"/>
            <x v="276"/>
            <x v="277"/>
            <x v="280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  <x v="330"/>
          </reference>
        </references>
      </pivotArea>
    </format>
    <format dxfId="80">
      <pivotArea dataOnly="0" labelOnly="1" fieldPosition="0">
        <references count="1">
          <reference field="7" count="23">
            <x v="331"/>
            <x v="332"/>
            <x v="333"/>
            <x v="336"/>
            <x v="337"/>
            <x v="339"/>
            <x v="340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79">
      <pivotArea dataOnly="0" labelOnly="1" grandCol="1" outline="0" fieldPosition="0"/>
    </format>
    <format dxfId="78">
      <pivotArea collapsedLevelsAreSubtotals="1" fieldPosition="0">
        <references count="1">
          <reference field="5" count="1">
            <x v="2"/>
          </reference>
        </references>
      </pivotArea>
    </format>
    <format dxfId="77">
      <pivotArea dataOnly="0" labelOnly="1" fieldPosition="0">
        <references count="1">
          <reference field="5" count="1">
            <x v="2"/>
          </reference>
        </references>
      </pivotArea>
    </format>
    <format dxfId="76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2"/>
            <x v="245"/>
            <x v="246"/>
            <x v="247"/>
            <x v="248"/>
            <x v="249"/>
            <x v="252"/>
            <x v="253"/>
            <x v="254"/>
          </reference>
        </references>
      </pivotArea>
    </format>
    <format dxfId="75">
      <pivotArea dataOnly="0" labelOnly="1" fieldPosition="0">
        <references count="1">
          <reference field="7" count="50"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  <x v="329"/>
          </reference>
        </references>
      </pivotArea>
    </format>
    <format dxfId="74">
      <pivotArea field="5" type="button" dataOnly="0" labelOnly="1" outline="0" axis="axisRow" fieldPosition="0"/>
    </format>
    <format dxfId="73">
      <pivotArea dataOnly="0" labelOnly="1" fieldPosition="0">
        <references count="1">
          <reference field="7" count="50">
            <x v="183"/>
            <x v="184"/>
            <x v="185"/>
            <x v="186"/>
            <x v="189"/>
            <x v="190"/>
            <x v="192"/>
            <x v="193"/>
            <x v="196"/>
            <x v="197"/>
            <x v="198"/>
            <x v="199"/>
            <x v="200"/>
            <x v="203"/>
            <x v="204"/>
            <x v="205"/>
            <x v="206"/>
            <x v="207"/>
            <x v="210"/>
            <x v="211"/>
            <x v="212"/>
            <x v="213"/>
            <x v="214"/>
            <x v="217"/>
            <x v="218"/>
            <x v="219"/>
            <x v="220"/>
            <x v="221"/>
            <x v="224"/>
            <x v="225"/>
            <x v="226"/>
            <x v="227"/>
            <x v="228"/>
            <x v="231"/>
            <x v="232"/>
            <x v="233"/>
            <x v="234"/>
            <x v="235"/>
            <x v="238"/>
            <x v="239"/>
            <x v="240"/>
            <x v="241"/>
            <x v="242"/>
            <x v="245"/>
            <x v="246"/>
            <x v="247"/>
            <x v="248"/>
            <x v="249"/>
            <x v="252"/>
            <x v="253"/>
          </reference>
        </references>
      </pivotArea>
    </format>
    <format dxfId="72">
      <pivotArea dataOnly="0" labelOnly="1" fieldPosition="0">
        <references count="1">
          <reference field="7" count="50">
            <x v="254"/>
            <x v="255"/>
            <x v="256"/>
            <x v="259"/>
            <x v="260"/>
            <x v="261"/>
            <x v="262"/>
            <x v="263"/>
            <x v="266"/>
            <x v="267"/>
            <x v="268"/>
            <x v="269"/>
            <x v="270"/>
            <x v="272"/>
            <x v="273"/>
            <x v="274"/>
            <x v="275"/>
            <x v="276"/>
            <x v="277"/>
            <x v="280"/>
            <x v="281"/>
            <x v="282"/>
            <x v="283"/>
            <x v="284"/>
            <x v="287"/>
            <x v="288"/>
            <x v="289"/>
            <x v="290"/>
            <x v="291"/>
            <x v="294"/>
            <x v="295"/>
            <x v="296"/>
            <x v="298"/>
            <x v="301"/>
            <x v="303"/>
            <x v="304"/>
            <x v="305"/>
            <x v="308"/>
            <x v="309"/>
            <x v="310"/>
            <x v="311"/>
            <x v="312"/>
            <x v="315"/>
            <x v="316"/>
            <x v="318"/>
            <x v="319"/>
            <x v="322"/>
            <x v="323"/>
            <x v="325"/>
            <x v="326"/>
          </reference>
        </references>
      </pivotArea>
    </format>
    <format dxfId="71">
      <pivotArea dataOnly="0" labelOnly="1" fieldPosition="0">
        <references count="1">
          <reference field="7" count="25">
            <x v="329"/>
            <x v="330"/>
            <x v="331"/>
            <x v="333"/>
            <x v="336"/>
            <x v="337"/>
            <x v="339"/>
            <x v="340"/>
            <x v="342"/>
            <x v="343"/>
            <x v="344"/>
            <x v="345"/>
            <x v="346"/>
            <x v="347"/>
            <x v="350"/>
            <x v="351"/>
            <x v="352"/>
            <x v="353"/>
            <x v="354"/>
            <x v="357"/>
            <x v="358"/>
            <x v="359"/>
            <x v="361"/>
            <x v="364"/>
            <x v="365"/>
          </reference>
        </references>
      </pivotArea>
    </format>
    <format dxfId="7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E619-B101-4D45-993F-CF386BE2E036}" name="Tabela dinâmica4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9" firstHeaderRow="1" firstDataRow="1" firstDataCol="1" rowPageCount="1" colPageCount="1"/>
  <pivotFields count="9">
    <pivotField numFmtId="14" showAll="0">
      <items count="133">
        <item x="1"/>
        <item x="4"/>
        <item x="3"/>
        <item x="2"/>
        <item x="5"/>
        <item x="37"/>
        <item m="1" x="131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5"/>
        <item x="46"/>
        <item x="47"/>
        <item x="36"/>
        <item x="49"/>
        <item x="50"/>
        <item x="51"/>
        <item x="68"/>
        <item x="53"/>
        <item x="54"/>
        <item x="55"/>
        <item x="48"/>
        <item x="59"/>
        <item x="17"/>
        <item x="52"/>
        <item x="39"/>
        <item x="23"/>
        <item x="56"/>
        <item x="26"/>
        <item x="33"/>
        <item x="44"/>
        <item x="73"/>
        <item x="76"/>
        <item x="74"/>
        <item x="75"/>
        <item x="57"/>
        <item x="69"/>
        <item x="77"/>
        <item x="64"/>
        <item x="27"/>
        <item m="1" x="123"/>
        <item x="58"/>
        <item x="60"/>
        <item x="78"/>
        <item x="18"/>
        <item x="79"/>
        <item x="34"/>
        <item x="70"/>
        <item x="40"/>
        <item x="80"/>
        <item x="81"/>
        <item x="28"/>
        <item x="84"/>
        <item x="87"/>
        <item x="91"/>
        <item x="86"/>
        <item x="61"/>
        <item x="72"/>
        <item x="97"/>
        <item x="90"/>
        <item x="65"/>
        <item x="96"/>
        <item x="85"/>
        <item x="92"/>
        <item x="89"/>
        <item x="88"/>
        <item x="19"/>
        <item x="94"/>
        <item x="93"/>
        <item x="41"/>
        <item x="95"/>
        <item x="38"/>
        <item x="29"/>
        <item x="83"/>
        <item x="98"/>
        <item x="100"/>
        <item x="99"/>
        <item x="62"/>
        <item x="71"/>
        <item x="66"/>
        <item m="1" x="128"/>
        <item x="103"/>
        <item x="102"/>
        <item x="101"/>
        <item x="105"/>
        <item m="1" x="129"/>
        <item x="106"/>
        <item x="20"/>
        <item x="107"/>
        <item x="42"/>
        <item x="104"/>
        <item m="1" x="127"/>
        <item x="30"/>
        <item x="82"/>
        <item x="109"/>
        <item m="1" x="130"/>
        <item x="110"/>
        <item x="108"/>
        <item x="111"/>
        <item x="63"/>
        <item x="115"/>
        <item x="67"/>
        <item x="114"/>
        <item x="112"/>
        <item x="117"/>
        <item x="116"/>
        <item x="118"/>
        <item x="21"/>
        <item x="119"/>
        <item x="121"/>
        <item x="122"/>
        <item x="43"/>
        <item x="120"/>
        <item x="31"/>
        <item m="1" x="124"/>
        <item x="113"/>
        <item m="1" x="126"/>
        <item m="1" x="125"/>
        <item t="default"/>
      </items>
    </pivotField>
    <pivotField showAll="0"/>
    <pivotField showAll="0"/>
    <pivotField showAll="0"/>
    <pivotField dataField="1" showAll="0"/>
    <pivotField axis="axisPage" showAll="0">
      <items count="5">
        <item x="0"/>
        <item x="1"/>
        <item m="1" x="3"/>
        <item m="1" x="2"/>
        <item t="default"/>
      </items>
    </pivotField>
    <pivotField axis="axisRow" showAll="0">
      <items count="77">
        <item x="34"/>
        <item x="28"/>
        <item m="1" x="72"/>
        <item x="15"/>
        <item x="29"/>
        <item x="33"/>
        <item x="23"/>
        <item x="1"/>
        <item x="25"/>
        <item x="24"/>
        <item x="51"/>
        <item x="20"/>
        <item x="17"/>
        <item m="1" x="71"/>
        <item m="1" x="75"/>
        <item x="46"/>
        <item x="31"/>
        <item x="19"/>
        <item x="66"/>
        <item x="55"/>
        <item x="12"/>
        <item x="45"/>
        <item x="0"/>
        <item x="64"/>
        <item x="30"/>
        <item x="38"/>
        <item x="8"/>
        <item x="50"/>
        <item x="13"/>
        <item x="32"/>
        <item m="1" x="70"/>
        <item x="36"/>
        <item x="5"/>
        <item m="1" x="74"/>
        <item x="43"/>
        <item x="4"/>
        <item x="18"/>
        <item x="27"/>
        <item x="6"/>
        <item x="10"/>
        <item x="49"/>
        <item x="11"/>
        <item x="53"/>
        <item x="16"/>
        <item x="22"/>
        <item m="1" x="73"/>
        <item x="14"/>
        <item x="21"/>
        <item x="9"/>
        <item x="35"/>
        <item x="40"/>
        <item m="1" x="69"/>
        <item x="44"/>
        <item x="39"/>
        <item x="2"/>
        <item x="26"/>
        <item x="7"/>
        <item x="42"/>
        <item x="3"/>
        <item m="1" x="67"/>
        <item x="47"/>
        <item x="37"/>
        <item x="48"/>
        <item x="41"/>
        <item x="54"/>
        <item x="60"/>
        <item x="52"/>
        <item x="58"/>
        <item x="59"/>
        <item x="61"/>
        <item x="57"/>
        <item x="56"/>
        <item m="1" x="68"/>
        <item x="65"/>
        <item x="63"/>
        <item x="6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6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 t="grand">
      <x/>
    </i>
  </rowItems>
  <colItems count="1">
    <i/>
  </colItems>
  <pageFields count="1">
    <pageField fld="5" item="0" hier="-1"/>
  </pageFields>
  <dataFields count="1">
    <dataField name="Soma de VALOR" fld="4" baseField="0" baseItem="0" numFmtId="44"/>
  </dataFields>
  <formats count="29">
    <format dxfId="69">
      <pivotArea type="all" dataOnly="0" outline="0" fieldPosition="0"/>
    </format>
    <format dxfId="68">
      <pivotArea outline="0" collapsedLevelsAreSubtotals="1" fieldPosition="0"/>
    </format>
    <format dxfId="67">
      <pivotArea type="origin" dataOnly="0" labelOnly="1" outline="0" fieldPosition="0"/>
    </format>
    <format dxfId="66">
      <pivotArea type="topRight" dataOnly="0" labelOnly="1" outline="0" fieldPosition="0"/>
    </format>
    <format dxfId="65">
      <pivotArea field="6" type="button" dataOnly="0" labelOnly="1" outline="0" axis="axisRow" fieldPosition="0"/>
    </format>
    <format dxfId="64">
      <pivotArea dataOnly="0" labelOnly="1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63">
      <pivotArea dataOnly="0" labelOnly="1" fieldPosition="0">
        <references count="1">
          <reference field="6" count="10">
            <x v="50"/>
            <x v="51"/>
            <x v="52"/>
            <x v="53"/>
            <x v="54"/>
            <x v="55"/>
            <x v="56"/>
            <x v="57"/>
            <x v="58"/>
            <x v="59"/>
          </reference>
        </references>
      </pivotArea>
    </format>
    <format dxfId="62">
      <pivotArea dataOnly="0" labelOnly="1" grandRow="1" outline="0" fieldPosition="0"/>
    </format>
    <format dxfId="61">
      <pivotArea dataOnly="0" labelOnly="1" grandCol="1" outline="0" fieldPosition="0"/>
    </format>
    <format dxfId="60">
      <pivotArea outline="0" collapsedLevelsAreSubtotals="1" fieldPosition="0"/>
    </format>
    <format dxfId="59">
      <pivotArea dataOnly="0" labelOnly="1" outline="0" fieldPosition="0">
        <references count="1">
          <reference field="5" count="0"/>
        </references>
      </pivotArea>
    </format>
    <format dxfId="58">
      <pivotArea type="topRight" dataOnly="0" labelOnly="1" outline="0" fieldPosition="0"/>
    </format>
    <format dxfId="57">
      <pivotArea dataOnly="0" labelOnly="1" grandCol="1" outline="0" fieldPosition="0"/>
    </format>
    <format dxfId="56">
      <pivotArea collapsedLevelsAreSubtotals="1" fieldPosition="0">
        <references count="1">
          <reference field="6" count="1">
            <x v="3"/>
          </reference>
        </references>
      </pivotArea>
    </format>
    <format dxfId="55">
      <pivotArea dataOnly="0" labelOnly="1" fieldPosition="0">
        <references count="1">
          <reference field="6" count="1">
            <x v="3"/>
          </reference>
        </references>
      </pivotArea>
    </format>
    <format dxfId="54">
      <pivotArea collapsedLevelsAreSubtotals="1" fieldPosition="0">
        <references count="1">
          <reference field="6" count="1">
            <x v="3"/>
          </reference>
        </references>
      </pivotArea>
    </format>
    <format dxfId="53">
      <pivotArea dataOnly="0" labelOnly="1" fieldPosition="0">
        <references count="1">
          <reference field="6" count="1">
            <x v="3"/>
          </reference>
        </references>
      </pivotArea>
    </format>
    <format dxfId="52">
      <pivotArea collapsedLevelsAreSubtotals="1" fieldPosition="0">
        <references count="1">
          <reference field="6" count="1">
            <x v="24"/>
          </reference>
        </references>
      </pivotArea>
    </format>
    <format dxfId="51">
      <pivotArea dataOnly="0" labelOnly="1" fieldPosition="0">
        <references count="1">
          <reference field="6" count="1">
            <x v="24"/>
          </reference>
        </references>
      </pivotArea>
    </format>
    <format dxfId="50">
      <pivotArea collapsedLevelsAreSubtotals="1" fieldPosition="0">
        <references count="1">
          <reference field="6" count="1">
            <x v="24"/>
          </reference>
        </references>
      </pivotArea>
    </format>
    <format dxfId="49">
      <pivotArea dataOnly="0" labelOnly="1" fieldPosition="0">
        <references count="1">
          <reference field="6" count="1">
            <x v="24"/>
          </reference>
        </references>
      </pivotArea>
    </format>
    <format dxfId="48">
      <pivotArea collapsedLevelsAreSubtotals="1" fieldPosition="0">
        <references count="1">
          <reference field="6" count="1">
            <x v="20"/>
          </reference>
        </references>
      </pivotArea>
    </format>
    <format dxfId="47">
      <pivotArea dataOnly="0" labelOnly="1" fieldPosition="0">
        <references count="1">
          <reference field="6" count="1">
            <x v="20"/>
          </reference>
        </references>
      </pivotArea>
    </format>
    <format dxfId="46">
      <pivotArea collapsedLevelsAreSubtotals="1" fieldPosition="0">
        <references count="1">
          <reference field="6" count="1">
            <x v="20"/>
          </reference>
        </references>
      </pivotArea>
    </format>
    <format dxfId="45">
      <pivotArea dataOnly="0" labelOnly="1" fieldPosition="0">
        <references count="1">
          <reference field="6" count="1">
            <x v="20"/>
          </reference>
        </references>
      </pivotArea>
    </format>
    <format dxfId="44">
      <pivotArea collapsedLevelsAreSubtotals="1" fieldPosition="0">
        <references count="1">
          <reference field="6" count="1">
            <x v="46"/>
          </reference>
        </references>
      </pivotArea>
    </format>
    <format dxfId="43">
      <pivotArea dataOnly="0" labelOnly="1" fieldPosition="0">
        <references count="1">
          <reference field="6" count="1">
            <x v="46"/>
          </reference>
        </references>
      </pivotArea>
    </format>
    <format dxfId="42">
      <pivotArea collapsedLevelsAreSubtotals="1" fieldPosition="0">
        <references count="1">
          <reference field="6" count="1">
            <x v="46"/>
          </reference>
        </references>
      </pivotArea>
    </format>
    <format dxfId="41">
      <pivotArea dataOnly="0" labelOnly="1" fieldPosition="0">
        <references count="1">
          <reference field="6" count="1">
            <x v="4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544F0-0C9B-4A40-A4A3-7551A7D4BEDB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H33" firstHeaderRow="1" firstDataRow="2" firstDataCol="1" rowPageCount="1" colPageCount="1"/>
  <pivotFields count="7">
    <pivotField numFmtId="14"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539">
        <item x="486"/>
        <item x="482"/>
        <item x="331"/>
        <item x="203"/>
        <item x="385"/>
        <item x="327"/>
        <item x="156"/>
        <item x="314"/>
        <item m="1" x="531"/>
        <item m="1" x="532"/>
        <item x="127"/>
        <item x="128"/>
        <item x="129"/>
        <item x="130"/>
        <item x="157"/>
        <item x="315"/>
        <item x="206"/>
        <item x="419"/>
        <item x="360"/>
        <item x="291"/>
        <item x="212"/>
        <item x="241"/>
        <item x="376"/>
        <item x="276"/>
        <item x="318"/>
        <item x="500"/>
        <item x="218"/>
        <item x="469"/>
        <item x="302"/>
        <item x="457"/>
        <item x="456"/>
        <item x="455"/>
        <item x="454"/>
        <item x="96"/>
        <item x="287"/>
        <item x="497"/>
        <item x="223"/>
        <item x="462"/>
        <item x="249"/>
        <item x="417"/>
        <item x="344"/>
        <item x="87"/>
        <item x="272"/>
        <item x="407"/>
        <item x="83"/>
        <item x="34"/>
        <item x="133"/>
        <item x="444"/>
        <item x="184"/>
        <item x="14"/>
        <item x="364"/>
        <item x="185"/>
        <item x="134"/>
        <item x="90"/>
        <item x="421"/>
        <item x="69"/>
        <item x="446"/>
        <item x="63"/>
        <item x="293"/>
        <item x="88"/>
        <item x="484"/>
        <item x="528"/>
        <item x="37"/>
        <item x="26"/>
        <item x="390"/>
        <item x="481"/>
        <item x="3"/>
        <item x="382"/>
        <item x="248"/>
        <item x="413"/>
        <item x="412"/>
        <item x="67"/>
        <item x="68"/>
        <item x="32"/>
        <item x="448"/>
        <item x="450"/>
        <item x="449"/>
        <item x="250"/>
        <item x="323"/>
        <item x="74"/>
        <item x="275"/>
        <item x="141"/>
        <item x="432"/>
        <item x="125"/>
        <item x="17"/>
        <item x="176"/>
        <item x="386"/>
        <item x="205"/>
        <item x="196"/>
        <item x="209"/>
        <item x="459"/>
        <item x="274"/>
        <item x="357"/>
        <item x="496"/>
        <item x="216"/>
        <item x="461"/>
        <item x="140"/>
        <item x="296"/>
        <item x="100"/>
        <item x="99"/>
        <item x="110"/>
        <item x="113"/>
        <item x="114"/>
        <item x="111"/>
        <item x="112"/>
        <item x="115"/>
        <item x="116"/>
        <item x="117"/>
        <item x="425"/>
        <item x="342"/>
        <item x="523"/>
        <item x="178"/>
        <item x="162"/>
        <item x="251"/>
        <item x="285"/>
        <item x="199"/>
        <item x="169"/>
        <item x="194"/>
        <item x="51"/>
        <item x="381"/>
        <item x="378"/>
        <item x="0"/>
        <item x="379"/>
        <item x="1"/>
        <item x="380"/>
        <item x="2"/>
        <item x="59"/>
        <item x="254"/>
        <item x="341"/>
        <item x="388"/>
        <item x="24"/>
        <item x="201"/>
        <item x="487"/>
        <item x="57"/>
        <item x="19"/>
        <item x="64"/>
        <item x="410"/>
        <item x="290"/>
        <item x="262"/>
        <item x="452"/>
        <item x="280"/>
        <item x="45"/>
        <item x="200"/>
        <item x="374"/>
        <item x="480"/>
        <item x="269"/>
        <item x="159"/>
        <item x="440"/>
        <item x="424"/>
        <item x="101"/>
        <item x="108"/>
        <item x="102"/>
        <item x="106"/>
        <item x="103"/>
        <item x="104"/>
        <item x="105"/>
        <item x="107"/>
        <item x="109"/>
        <item x="483"/>
        <item x="395"/>
        <item x="35"/>
        <item x="174"/>
        <item x="258"/>
        <item x="270"/>
        <item x="271"/>
        <item x="368"/>
        <item x="118"/>
        <item x="426"/>
        <item x="442"/>
        <item x="522"/>
        <item x="173"/>
        <item x="389"/>
        <item x="25"/>
        <item x="56"/>
        <item x="437"/>
        <item x="71"/>
        <item x="135"/>
        <item x="179"/>
        <item x="338"/>
        <item x="50"/>
        <item x="202"/>
        <item x="10"/>
        <item x="246"/>
        <item x="278"/>
        <item x="418"/>
        <item x="9"/>
        <item x="266"/>
        <item x="265"/>
        <item x="300"/>
        <item x="267"/>
        <item x="245"/>
        <item x="434"/>
        <item x="301"/>
        <item x="165"/>
        <item x="163"/>
        <item x="330"/>
        <item x="164"/>
        <item x="12"/>
        <item x="365"/>
        <item x="153"/>
        <item x="423"/>
        <item m="1" x="529"/>
        <item x="40"/>
        <item x="42"/>
        <item x="41"/>
        <item x="284"/>
        <item x="75"/>
        <item x="39"/>
        <item x="53"/>
        <item x="132"/>
        <item x="181"/>
        <item x="264"/>
        <item x="168"/>
        <item x="33"/>
        <item x="188"/>
        <item x="5"/>
        <item x="252"/>
        <item x="502"/>
        <item x="226"/>
        <item x="465"/>
        <item x="122"/>
        <item x="60"/>
        <item x="76"/>
        <item x="391"/>
        <item x="138"/>
        <item x="247"/>
        <item x="372"/>
        <item x="359"/>
        <item x="393"/>
        <item x="29"/>
        <item x="46"/>
        <item x="91"/>
        <item x="261"/>
        <item x="13"/>
        <item x="516"/>
        <item x="294"/>
        <item x="295"/>
        <item x="511"/>
        <item x="510"/>
        <item x="509"/>
        <item x="508"/>
        <item x="473"/>
        <item x="501"/>
        <item x="228"/>
        <item x="464"/>
        <item x="343"/>
        <item x="362"/>
        <item x="213"/>
        <item x="299"/>
        <item x="49"/>
        <item x="363"/>
        <item x="346"/>
        <item x="350"/>
        <item x="349"/>
        <item x="347"/>
        <item x="351"/>
        <item x="348"/>
        <item x="345"/>
        <item x="352"/>
        <item x="353"/>
        <item x="217"/>
        <item x="467"/>
        <item x="281"/>
        <item x="279"/>
        <item x="198"/>
        <item x="255"/>
        <item x="513"/>
        <item x="84"/>
        <item x="85"/>
        <item x="86"/>
        <item x="416"/>
        <item x="309"/>
        <item x="312"/>
        <item x="313"/>
        <item x="310"/>
        <item x="308"/>
        <item x="307"/>
        <item x="306"/>
        <item x="305"/>
        <item x="356"/>
        <item x="355"/>
        <item x="354"/>
        <item x="396"/>
        <item x="383"/>
        <item x="311"/>
        <item x="124"/>
        <item x="324"/>
        <item x="373"/>
        <item x="503"/>
        <item x="229"/>
        <item x="479"/>
        <item x="495"/>
        <item x="225"/>
        <item x="466"/>
        <item x="259"/>
        <item x="277"/>
        <item x="121"/>
        <item x="427"/>
        <item x="436"/>
        <item x="139"/>
        <item x="319"/>
        <item x="375"/>
        <item x="392"/>
        <item x="28"/>
        <item x="55"/>
        <item x="211"/>
        <item x="190"/>
        <item x="222"/>
        <item x="460"/>
        <item x="208"/>
        <item x="369"/>
        <item x="370"/>
        <item x="20"/>
        <item x="268"/>
        <item x="54"/>
        <item x="409"/>
        <item x="371"/>
        <item x="97"/>
        <item x="186"/>
        <item x="231"/>
        <item x="232"/>
        <item x="233"/>
        <item x="234"/>
        <item x="235"/>
        <item x="399"/>
        <item x="397"/>
        <item x="398"/>
        <item x="236"/>
        <item x="514"/>
        <item x="400"/>
        <item x="401"/>
        <item x="402"/>
        <item x="403"/>
        <item x="404"/>
        <item x="405"/>
        <item x="485"/>
        <item x="182"/>
        <item m="1" x="537"/>
        <item x="143"/>
        <item x="328"/>
        <item x="414"/>
        <item x="256"/>
        <item x="304"/>
        <item x="527"/>
        <item x="220"/>
        <item x="219"/>
        <item x="507"/>
        <item x="520"/>
        <item x="471"/>
        <item x="506"/>
        <item x="519"/>
        <item x="526"/>
        <item x="82"/>
        <item x="435"/>
        <item x="136"/>
        <item x="137"/>
        <item x="77"/>
        <item x="58"/>
        <item x="488"/>
        <item x="65"/>
        <item x="411"/>
        <item x="189"/>
        <item x="167"/>
        <item x="166"/>
        <item x="332"/>
        <item x="333"/>
        <item x="334"/>
        <item x="337"/>
        <item x="336"/>
        <item x="335"/>
        <item x="326"/>
        <item x="303"/>
        <item x="499"/>
        <item x="227"/>
        <item m="1" x="533"/>
        <item x="197"/>
        <item x="260"/>
        <item x="447"/>
        <item x="491"/>
        <item x="187"/>
        <item x="316"/>
        <item x="377"/>
        <item x="8"/>
        <item x="31"/>
        <item x="394"/>
        <item x="30"/>
        <item x="47"/>
        <item x="367"/>
        <item x="443"/>
        <item x="11"/>
        <item x="158"/>
        <item x="406"/>
        <item x="95"/>
        <item x="204"/>
        <item m="1" x="530"/>
        <item x="160"/>
        <item x="183"/>
        <item x="445"/>
        <item x="207"/>
        <item x="70"/>
        <item x="433"/>
        <item x="282"/>
        <item x="36"/>
        <item x="283"/>
        <item x="257"/>
        <item x="81"/>
        <item x="78"/>
        <item x="79"/>
        <item x="80"/>
        <item x="18"/>
        <item x="38"/>
        <item x="387"/>
        <item x="192"/>
        <item x="453"/>
        <item x="494"/>
        <item x="215"/>
        <item x="320"/>
        <item x="180"/>
        <item x="191"/>
        <item x="458"/>
        <item x="493"/>
        <item x="517"/>
        <item x="524"/>
        <item x="66"/>
        <item x="27"/>
        <item x="72"/>
        <item x="289"/>
        <item x="244"/>
        <item x="98"/>
        <item x="154"/>
        <item x="329"/>
        <item x="142"/>
        <item x="420"/>
        <item x="89"/>
        <item x="339"/>
        <item x="451"/>
        <item x="322"/>
        <item x="92"/>
        <item x="490"/>
        <item x="422"/>
        <item x="93"/>
        <item x="193"/>
        <item x="286"/>
        <item x="214"/>
        <item x="298"/>
        <item x="6"/>
        <item x="297"/>
        <item x="384"/>
        <item x="230"/>
        <item x="474"/>
        <item x="512"/>
        <item x="521"/>
        <item x="44"/>
        <item x="15"/>
        <item x="16"/>
        <item x="73"/>
        <item x="170"/>
        <item x="175"/>
        <item m="1" x="536"/>
        <item x="48"/>
        <item x="498"/>
        <item x="224"/>
        <item x="463"/>
        <item x="177"/>
        <item x="321"/>
        <item x="408"/>
        <item x="43"/>
        <item x="155"/>
        <item x="439"/>
        <item x="489"/>
        <item x="415"/>
        <item x="515"/>
        <item x="438"/>
        <item x="144"/>
        <item x="119"/>
        <item x="317"/>
        <item x="253"/>
        <item x="504"/>
        <item x="221"/>
        <item x="472"/>
        <item x="358"/>
        <item x="172"/>
        <item x="171"/>
        <item x="340"/>
        <item m="1" x="534"/>
        <item x="4"/>
        <item x="273"/>
        <item x="361"/>
        <item x="288"/>
        <item x="292"/>
        <item x="7"/>
        <item x="263"/>
        <item x="161"/>
        <item x="366"/>
        <item x="525"/>
        <item x="195"/>
        <item x="468"/>
        <item x="505"/>
        <item x="518"/>
        <item x="210"/>
        <item x="492"/>
        <item m="1" x="535"/>
        <item x="441"/>
        <item x="52"/>
        <item x="61"/>
        <item x="62"/>
        <item x="237"/>
        <item x="238"/>
        <item x="21"/>
        <item x="23"/>
        <item x="22"/>
        <item x="145"/>
        <item x="146"/>
        <item x="94"/>
        <item x="120"/>
        <item x="123"/>
        <item x="126"/>
        <item x="131"/>
        <item x="147"/>
        <item x="148"/>
        <item x="149"/>
        <item x="150"/>
        <item x="151"/>
        <item x="152"/>
        <item x="239"/>
        <item x="240"/>
        <item x="242"/>
        <item x="243"/>
        <item x="325"/>
        <item x="428"/>
        <item x="429"/>
        <item x="430"/>
        <item x="431"/>
        <item x="470"/>
        <item x="475"/>
        <item x="476"/>
        <item x="477"/>
        <item x="478"/>
        <item t="default"/>
      </items>
    </pivotField>
    <pivotField dataField="1"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3"/>
  </rowFields>
  <rowItems count="29">
    <i>
      <x v="47"/>
    </i>
    <i>
      <x v="48"/>
    </i>
    <i>
      <x v="51"/>
    </i>
    <i>
      <x v="56"/>
    </i>
    <i>
      <x v="85"/>
    </i>
    <i>
      <x v="111"/>
    </i>
    <i>
      <x v="116"/>
    </i>
    <i>
      <x v="177"/>
    </i>
    <i>
      <x v="210"/>
    </i>
    <i>
      <x v="212"/>
    </i>
    <i>
      <x v="214"/>
    </i>
    <i>
      <x v="215"/>
    </i>
    <i>
      <x v="318"/>
    </i>
    <i>
      <x v="336"/>
    </i>
    <i>
      <x v="379"/>
    </i>
    <i>
      <x v="380"/>
    </i>
    <i>
      <x v="388"/>
    </i>
    <i>
      <x v="396"/>
    </i>
    <i>
      <x v="397"/>
    </i>
    <i>
      <x v="417"/>
    </i>
    <i>
      <x v="456"/>
    </i>
    <i>
      <x v="457"/>
    </i>
    <i>
      <x v="463"/>
    </i>
    <i>
      <x v="481"/>
    </i>
    <i>
      <x v="482"/>
    </i>
    <i>
      <x v="508"/>
    </i>
    <i>
      <x v="509"/>
    </i>
    <i>
      <x v="5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5" hier="-1"/>
  </pageFields>
  <dataFields count="1">
    <dataField name="Soma de VALOR" fld="4" baseField="0" baseItem="0" numFmtId="44"/>
  </dataFields>
  <formats count="20">
    <format dxfId="1">
      <pivotArea outline="0" collapsedLevelsAreSubtotals="1" fieldPosition="0"/>
    </format>
    <format dxfId="2">
      <pivotArea dataOnly="0" labelOnly="1" outline="0" fieldPosition="0">
        <references count="1">
          <reference field="5" count="1">
            <x v="1"/>
          </reference>
        </references>
      </pivotArea>
    </format>
    <format dxfId="3">
      <pivotArea field="1" type="button" dataOnly="0" labelOnly="1" outline="0" axis="axisCol" fieldPosition="0"/>
    </format>
    <format dxfId="4">
      <pivotArea type="topRight" dataOnly="0" labelOnly="1" outline="0" fieldPosition="0"/>
    </format>
    <format dxfId="5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  <format dxfId="7">
      <pivotArea type="all" dataOnly="0" outline="0" fieldPosition="0"/>
    </format>
    <format dxfId="8">
      <pivotArea outline="0" collapsedLevelsAreSubtotals="1" fieldPosition="0"/>
    </format>
    <format dxfId="9">
      <pivotArea type="origin" dataOnly="0" labelOnly="1" outline="0" fieldPosition="0"/>
    </format>
    <format dxfId="10">
      <pivotArea field="1" type="button" dataOnly="0" labelOnly="1" outline="0" axis="axisCol" fieldPosition="0"/>
    </format>
    <format dxfId="11">
      <pivotArea type="topRight" dataOnly="0" labelOnly="1" outline="0" fieldPosition="0"/>
    </format>
    <format dxfId="12">
      <pivotArea field="3" type="button" dataOnly="0" labelOnly="1" outline="0" axis="axisRow" fieldPosition="0"/>
    </format>
    <format dxfId="13">
      <pivotArea dataOnly="0" labelOnly="1" fieldPosition="0">
        <references count="1">
          <reference field="3" count="27">
            <x v="47"/>
            <x v="48"/>
            <x v="51"/>
            <x v="56"/>
            <x v="85"/>
            <x v="111"/>
            <x v="116"/>
            <x v="177"/>
            <x v="210"/>
            <x v="212"/>
            <x v="214"/>
            <x v="215"/>
            <x v="318"/>
            <x v="336"/>
            <x v="337"/>
            <x v="379"/>
            <x v="380"/>
            <x v="388"/>
            <x v="396"/>
            <x v="397"/>
            <x v="417"/>
            <x v="456"/>
            <x v="457"/>
            <x v="458"/>
            <x v="463"/>
            <x v="481"/>
            <x v="482"/>
          </reference>
        </references>
      </pivotArea>
    </format>
    <format dxfId="14">
      <pivotArea dataOnly="0" labelOnly="1" grandRow="1" outline="0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grandCol="1" outline="0" fieldPosition="0"/>
    </format>
    <format dxfId="17">
      <pivotArea collapsedLevelsAreSubtotals="1" fieldPosition="0">
        <references count="1">
          <reference field="3" count="2">
            <x v="214"/>
            <x v="215"/>
          </reference>
        </references>
      </pivotArea>
    </format>
    <format dxfId="18">
      <pivotArea dataOnly="0" labelOnly="1" fieldPosition="0">
        <references count="1">
          <reference field="3" count="2">
            <x v="214"/>
            <x v="215"/>
          </reference>
        </references>
      </pivotArea>
    </format>
    <format dxfId="19">
      <pivotArea collapsedLevelsAreSubtotals="1" fieldPosition="0">
        <references count="1">
          <reference field="3" count="2">
            <x v="47"/>
            <x v="48"/>
          </reference>
        </references>
      </pivotArea>
    </format>
    <format dxfId="20">
      <pivotArea dataOnly="0" labelOnly="1" fieldPosition="0">
        <references count="1">
          <reference field="3" count="2">
            <x v="47"/>
            <x v="4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4E5F8-6A70-46B0-8173-45E46F89CE8D}" name="Tabela dinâmica1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4:B85" firstHeaderRow="1" firstDataRow="1" firstDataCol="1"/>
  <pivotFields count="9">
    <pivotField numFmtId="14" showAll="0">
      <items count="133">
        <item x="1"/>
        <item x="4"/>
        <item x="3"/>
        <item x="2"/>
        <item x="5"/>
        <item x="37"/>
        <item m="1" x="131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5"/>
        <item x="46"/>
        <item x="47"/>
        <item x="36"/>
        <item x="49"/>
        <item x="50"/>
        <item x="51"/>
        <item x="68"/>
        <item x="53"/>
        <item x="54"/>
        <item x="55"/>
        <item x="48"/>
        <item x="59"/>
        <item x="17"/>
        <item x="52"/>
        <item x="39"/>
        <item x="23"/>
        <item x="56"/>
        <item x="26"/>
        <item x="33"/>
        <item x="44"/>
        <item x="73"/>
        <item x="76"/>
        <item x="74"/>
        <item x="75"/>
        <item x="57"/>
        <item x="69"/>
        <item x="77"/>
        <item x="64"/>
        <item x="27"/>
        <item m="1" x="123"/>
        <item x="58"/>
        <item x="60"/>
        <item x="78"/>
        <item x="18"/>
        <item x="79"/>
        <item x="34"/>
        <item x="70"/>
        <item x="40"/>
        <item x="80"/>
        <item m="1" x="124"/>
        <item x="81"/>
        <item x="28"/>
        <item x="84"/>
        <item x="87"/>
        <item x="91"/>
        <item x="86"/>
        <item x="61"/>
        <item x="72"/>
        <item x="97"/>
        <item x="90"/>
        <item x="65"/>
        <item x="96"/>
        <item x="85"/>
        <item x="92"/>
        <item x="89"/>
        <item x="88"/>
        <item x="19"/>
        <item x="94"/>
        <item x="93"/>
        <item x="41"/>
        <item x="95"/>
        <item x="38"/>
        <item x="29"/>
        <item x="83"/>
        <item x="98"/>
        <item x="100"/>
        <item x="99"/>
        <item x="62"/>
        <item x="71"/>
        <item x="66"/>
        <item m="1" x="128"/>
        <item x="103"/>
        <item x="102"/>
        <item x="101"/>
        <item x="105"/>
        <item m="1" x="129"/>
        <item x="106"/>
        <item x="20"/>
        <item x="107"/>
        <item x="42"/>
        <item x="104"/>
        <item m="1" x="127"/>
        <item x="30"/>
        <item x="82"/>
        <item x="109"/>
        <item m="1" x="130"/>
        <item x="110"/>
        <item x="108"/>
        <item x="111"/>
        <item x="63"/>
        <item x="115"/>
        <item x="67"/>
        <item x="114"/>
        <item x="112"/>
        <item x="117"/>
        <item x="116"/>
        <item x="118"/>
        <item x="21"/>
        <item x="119"/>
        <item x="121"/>
        <item x="122"/>
        <item x="43"/>
        <item x="120"/>
        <item x="31"/>
        <item x="113"/>
        <item m="1" x="126"/>
        <item m="1" x="12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77">
        <item x="34"/>
        <item x="28"/>
        <item m="1" x="72"/>
        <item x="15"/>
        <item x="29"/>
        <item x="33"/>
        <item x="23"/>
        <item x="1"/>
        <item x="25"/>
        <item x="24"/>
        <item x="51"/>
        <item x="20"/>
        <item x="17"/>
        <item m="1" x="71"/>
        <item m="1" x="75"/>
        <item x="46"/>
        <item x="31"/>
        <item x="19"/>
        <item x="66"/>
        <item x="55"/>
        <item x="12"/>
        <item x="45"/>
        <item x="0"/>
        <item x="64"/>
        <item x="30"/>
        <item x="38"/>
        <item x="8"/>
        <item x="50"/>
        <item x="13"/>
        <item x="32"/>
        <item m="1" x="70"/>
        <item x="36"/>
        <item x="5"/>
        <item m="1" x="74"/>
        <item x="43"/>
        <item x="4"/>
        <item x="18"/>
        <item x="27"/>
        <item x="6"/>
        <item x="10"/>
        <item x="49"/>
        <item x="11"/>
        <item x="53"/>
        <item x="16"/>
        <item x="22"/>
        <item m="1" x="73"/>
        <item x="14"/>
        <item x="21"/>
        <item x="9"/>
        <item x="35"/>
        <item x="40"/>
        <item m="1" x="69"/>
        <item x="44"/>
        <item x="39"/>
        <item x="2"/>
        <item x="26"/>
        <item x="7"/>
        <item h="1" x="42"/>
        <item h="1" x="3"/>
        <item m="1" x="67"/>
        <item h="1" x="47"/>
        <item h="1" x="37"/>
        <item h="1" x="48"/>
        <item h="1" x="41"/>
        <item h="1" x="54"/>
        <item h="1" x="60"/>
        <item h="1" x="52"/>
        <item h="1" x="58"/>
        <item h="1" x="59"/>
        <item h="1" x="61"/>
        <item h="1" x="57"/>
        <item h="1" x="56"/>
        <item h="1" m="1" x="68"/>
        <item h="1" x="65"/>
        <item h="1" x="63"/>
        <item h="1" x="62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5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6"/>
    </i>
    <i>
      <x v="47"/>
    </i>
    <i>
      <x v="48"/>
    </i>
    <i>
      <x v="49"/>
    </i>
    <i>
      <x v="50"/>
    </i>
    <i>
      <x v="52"/>
    </i>
    <i>
      <x v="53"/>
    </i>
    <i>
      <x v="54"/>
    </i>
    <i>
      <x v="55"/>
    </i>
    <i>
      <x v="56"/>
    </i>
    <i t="grand">
      <x/>
    </i>
  </rowItems>
  <colItems count="1">
    <i/>
  </colItems>
  <dataFields count="1">
    <dataField name="Soma de VALOR" fld="4" baseField="0" baseItem="0" numFmtId="44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59264D-02D1-4F0B-8B8F-0C7CEF1A389D}" name="Tabela dinâmica3" cacheId="3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5" firstHeaderRow="1" firstDataRow="2" firstDataCol="1"/>
  <pivotFields count="9">
    <pivotField numFmtId="14" showAll="0">
      <items count="133">
        <item x="1"/>
        <item x="4"/>
        <item x="3"/>
        <item x="2"/>
        <item x="5"/>
        <item x="37"/>
        <item m="1" x="131"/>
        <item x="8"/>
        <item x="7"/>
        <item x="6"/>
        <item x="11"/>
        <item x="10"/>
        <item x="13"/>
        <item x="12"/>
        <item x="14"/>
        <item x="9"/>
        <item x="0"/>
        <item x="16"/>
        <item x="22"/>
        <item x="15"/>
        <item x="35"/>
        <item x="25"/>
        <item x="24"/>
        <item x="32"/>
        <item x="45"/>
        <item x="46"/>
        <item x="47"/>
        <item x="36"/>
        <item x="49"/>
        <item x="50"/>
        <item x="51"/>
        <item x="68"/>
        <item x="53"/>
        <item x="54"/>
        <item x="55"/>
        <item x="48"/>
        <item x="59"/>
        <item x="17"/>
        <item x="52"/>
        <item x="39"/>
        <item x="23"/>
        <item x="56"/>
        <item x="26"/>
        <item x="33"/>
        <item x="44"/>
        <item x="73"/>
        <item x="76"/>
        <item x="74"/>
        <item x="75"/>
        <item x="57"/>
        <item x="69"/>
        <item x="77"/>
        <item x="64"/>
        <item x="27"/>
        <item m="1" x="123"/>
        <item x="58"/>
        <item x="60"/>
        <item x="78"/>
        <item x="18"/>
        <item x="79"/>
        <item x="34"/>
        <item x="70"/>
        <item x="40"/>
        <item x="80"/>
        <item x="81"/>
        <item x="28"/>
        <item x="84"/>
        <item x="87"/>
        <item x="91"/>
        <item x="86"/>
        <item x="61"/>
        <item x="72"/>
        <item x="97"/>
        <item x="90"/>
        <item x="65"/>
        <item x="96"/>
        <item x="85"/>
        <item x="92"/>
        <item x="89"/>
        <item x="88"/>
        <item x="19"/>
        <item x="94"/>
        <item x="93"/>
        <item x="41"/>
        <item x="95"/>
        <item x="38"/>
        <item x="29"/>
        <item x="83"/>
        <item x="98"/>
        <item x="100"/>
        <item x="99"/>
        <item x="62"/>
        <item x="71"/>
        <item x="66"/>
        <item m="1" x="128"/>
        <item x="103"/>
        <item x="102"/>
        <item x="101"/>
        <item x="105"/>
        <item m="1" x="129"/>
        <item x="106"/>
        <item x="20"/>
        <item x="107"/>
        <item x="42"/>
        <item x="104"/>
        <item m="1" x="127"/>
        <item x="30"/>
        <item x="82"/>
        <item x="109"/>
        <item m="1" x="130"/>
        <item x="110"/>
        <item x="108"/>
        <item x="111"/>
        <item x="63"/>
        <item x="115"/>
        <item x="67"/>
        <item x="114"/>
        <item x="112"/>
        <item x="117"/>
        <item x="116"/>
        <item x="118"/>
        <item x="21"/>
        <item x="119"/>
        <item x="121"/>
        <item x="122"/>
        <item x="43"/>
        <item x="120"/>
        <item x="31"/>
        <item m="1" x="124"/>
        <item x="113"/>
        <item m="1" x="126"/>
        <item m="1" x="125"/>
        <item t="default"/>
      </items>
    </pivotField>
    <pivotField showAll="0"/>
    <pivotField showAll="0"/>
    <pivotField showAll="0"/>
    <pivotField dataField="1" showAll="0"/>
    <pivotField axis="axisCol" showAll="0">
      <items count="5">
        <item x="0"/>
        <item x="1"/>
        <item m="1" x="3"/>
        <item m="1" x="2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5"/>
  </colFields>
  <colItems count="3">
    <i>
      <x/>
    </i>
    <i>
      <x v="1"/>
    </i>
    <i t="grand">
      <x/>
    </i>
  </colItems>
  <dataFields count="1">
    <dataField name="Soma de VALOR" fld="4" baseField="0" baseItem="0" numFmtId="44"/>
  </dataFields>
  <formats count="19">
    <format dxfId="39">
      <pivotArea outline="0" collapsedLevelsAreSubtotals="1" fieldPosition="0">
        <references count="1">
          <reference field="5" count="0" selected="0"/>
        </references>
      </pivotArea>
    </format>
    <format dxfId="38">
      <pivotArea dataOnly="0" labelOnly="1" fieldPosition="0">
        <references count="1">
          <reference field="5" count="0"/>
        </references>
      </pivotArea>
    </format>
    <format dxfId="37">
      <pivotArea outline="0" collapsedLevelsAreSubtotals="1" fieldPosition="0"/>
    </format>
    <format dxfId="36">
      <pivotArea dataOnly="0" labelOnly="1" grandRow="1" outline="0" fieldPosition="0"/>
    </format>
    <format dxfId="35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34">
      <pivotArea dataOnly="0" labelOnly="1" fieldPosition="0">
        <references count="1">
          <reference field="5" count="1">
            <x v="0"/>
          </reference>
        </references>
      </pivotArea>
    </format>
    <format dxfId="33">
      <pivotArea outline="0" collapsedLevelsAreSubtotals="1" fieldPosition="0">
        <references count="1">
          <reference field="5" count="1" selected="0">
            <x v="0"/>
          </reference>
        </references>
      </pivotArea>
    </format>
    <format dxfId="32">
      <pivotArea dataOnly="0" labelOnly="1" fieldPosition="0">
        <references count="1">
          <reference field="5" count="1">
            <x v="0"/>
          </reference>
        </references>
      </pivotArea>
    </format>
    <format dxfId="31">
      <pivotArea outline="0" collapsedLevelsAreSubtotals="1" fieldPosition="0"/>
    </format>
    <format dxfId="30">
      <pivotArea field="5" type="button" dataOnly="0" labelOnly="1" outline="0" axis="axisCol" fieldPosition="0"/>
    </format>
    <format dxfId="29">
      <pivotArea type="topRight" dataOnly="0" labelOnly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Col="1" outline="0" fieldPosition="0"/>
    </format>
    <format dxfId="26">
      <pivotArea dataOnly="0" labelOnly="1" fieldPosition="0">
        <references count="1">
          <reference field="5" count="1">
            <x v="1"/>
          </reference>
        </references>
      </pivotArea>
    </format>
    <format dxfId="25">
      <pivotArea field="5" type="button" dataOnly="0" labelOnly="1" outline="0" axis="axisCol" fieldPosition="0"/>
    </format>
    <format dxfId="24">
      <pivotArea type="topRight" dataOnly="0" labelOnly="1" outline="0" offset="A1" fieldPosition="0"/>
    </format>
    <format dxfId="23">
      <pivotArea dataOnly="0" labelOnly="1" fieldPosition="0">
        <references count="1">
          <reference field="5" count="0"/>
        </references>
      </pivotArea>
    </format>
    <format dxfId="22">
      <pivotArea field="5" grandRow="1" outline="0" collapsedLevelsAreSubtotals="1" axis="axisCol" fieldPosition="0">
        <references count="1">
          <reference field="5" count="0" selected="0"/>
        </references>
      </pivotArea>
    </format>
    <format dxfId="21">
      <pivotArea field="5" grandRow="1" outline="0" collapsedLevelsAreSubtotals="1" axis="axisCol" fieldPosition="0">
        <references count="1">
          <reference field="5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0" Type="http://schemas.openxmlformats.org/officeDocument/2006/relationships/control" Target="../activeX/activeX7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control" Target="../activeX/activeX31.xml"/><Relationship Id="rId21" Type="http://schemas.openxmlformats.org/officeDocument/2006/relationships/control" Target="../activeX/activeX26.xml"/><Relationship Id="rId42" Type="http://schemas.openxmlformats.org/officeDocument/2006/relationships/control" Target="../activeX/activeX47.xml"/><Relationship Id="rId47" Type="http://schemas.openxmlformats.org/officeDocument/2006/relationships/control" Target="../activeX/activeX52.xml"/><Relationship Id="rId63" Type="http://schemas.openxmlformats.org/officeDocument/2006/relationships/control" Target="../activeX/activeX68.xml"/><Relationship Id="rId68" Type="http://schemas.openxmlformats.org/officeDocument/2006/relationships/control" Target="../activeX/activeX73.xml"/><Relationship Id="rId84" Type="http://schemas.openxmlformats.org/officeDocument/2006/relationships/control" Target="../activeX/activeX89.xml"/><Relationship Id="rId89" Type="http://schemas.openxmlformats.org/officeDocument/2006/relationships/control" Target="../activeX/activeX94.xml"/><Relationship Id="rId7" Type="http://schemas.openxmlformats.org/officeDocument/2006/relationships/control" Target="../activeX/activeX12.xml"/><Relationship Id="rId71" Type="http://schemas.openxmlformats.org/officeDocument/2006/relationships/control" Target="../activeX/activeX76.xml"/><Relationship Id="rId92" Type="http://schemas.openxmlformats.org/officeDocument/2006/relationships/control" Target="../activeX/activeX97.xml"/><Relationship Id="rId2" Type="http://schemas.openxmlformats.org/officeDocument/2006/relationships/vmlDrawing" Target="../drawings/vmlDrawing2.vml"/><Relationship Id="rId16" Type="http://schemas.openxmlformats.org/officeDocument/2006/relationships/control" Target="../activeX/activeX21.xml"/><Relationship Id="rId29" Type="http://schemas.openxmlformats.org/officeDocument/2006/relationships/control" Target="../activeX/activeX34.xml"/><Relationship Id="rId11" Type="http://schemas.openxmlformats.org/officeDocument/2006/relationships/control" Target="../activeX/activeX16.xml"/><Relationship Id="rId24" Type="http://schemas.openxmlformats.org/officeDocument/2006/relationships/control" Target="../activeX/activeX29.xml"/><Relationship Id="rId32" Type="http://schemas.openxmlformats.org/officeDocument/2006/relationships/control" Target="../activeX/activeX37.xml"/><Relationship Id="rId37" Type="http://schemas.openxmlformats.org/officeDocument/2006/relationships/control" Target="../activeX/activeX42.xml"/><Relationship Id="rId40" Type="http://schemas.openxmlformats.org/officeDocument/2006/relationships/control" Target="../activeX/activeX45.xml"/><Relationship Id="rId45" Type="http://schemas.openxmlformats.org/officeDocument/2006/relationships/control" Target="../activeX/activeX50.xml"/><Relationship Id="rId53" Type="http://schemas.openxmlformats.org/officeDocument/2006/relationships/control" Target="../activeX/activeX58.xml"/><Relationship Id="rId58" Type="http://schemas.openxmlformats.org/officeDocument/2006/relationships/control" Target="../activeX/activeX63.xml"/><Relationship Id="rId66" Type="http://schemas.openxmlformats.org/officeDocument/2006/relationships/control" Target="../activeX/activeX71.xml"/><Relationship Id="rId74" Type="http://schemas.openxmlformats.org/officeDocument/2006/relationships/control" Target="../activeX/activeX79.xml"/><Relationship Id="rId79" Type="http://schemas.openxmlformats.org/officeDocument/2006/relationships/control" Target="../activeX/activeX84.xml"/><Relationship Id="rId87" Type="http://schemas.openxmlformats.org/officeDocument/2006/relationships/control" Target="../activeX/activeX92.xml"/><Relationship Id="rId102" Type="http://schemas.openxmlformats.org/officeDocument/2006/relationships/control" Target="../activeX/activeX107.xml"/><Relationship Id="rId5" Type="http://schemas.openxmlformats.org/officeDocument/2006/relationships/control" Target="../activeX/activeX10.xml"/><Relationship Id="rId61" Type="http://schemas.openxmlformats.org/officeDocument/2006/relationships/control" Target="../activeX/activeX66.xml"/><Relationship Id="rId82" Type="http://schemas.openxmlformats.org/officeDocument/2006/relationships/control" Target="../activeX/activeX87.xml"/><Relationship Id="rId90" Type="http://schemas.openxmlformats.org/officeDocument/2006/relationships/control" Target="../activeX/activeX95.xml"/><Relationship Id="rId95" Type="http://schemas.openxmlformats.org/officeDocument/2006/relationships/control" Target="../activeX/activeX100.xml"/><Relationship Id="rId19" Type="http://schemas.openxmlformats.org/officeDocument/2006/relationships/control" Target="../activeX/activeX24.xml"/><Relationship Id="rId14" Type="http://schemas.openxmlformats.org/officeDocument/2006/relationships/control" Target="../activeX/activeX19.xml"/><Relationship Id="rId22" Type="http://schemas.openxmlformats.org/officeDocument/2006/relationships/control" Target="../activeX/activeX27.xml"/><Relationship Id="rId27" Type="http://schemas.openxmlformats.org/officeDocument/2006/relationships/control" Target="../activeX/activeX32.xml"/><Relationship Id="rId30" Type="http://schemas.openxmlformats.org/officeDocument/2006/relationships/control" Target="../activeX/activeX35.xml"/><Relationship Id="rId35" Type="http://schemas.openxmlformats.org/officeDocument/2006/relationships/control" Target="../activeX/activeX40.xml"/><Relationship Id="rId43" Type="http://schemas.openxmlformats.org/officeDocument/2006/relationships/control" Target="../activeX/activeX48.xml"/><Relationship Id="rId48" Type="http://schemas.openxmlformats.org/officeDocument/2006/relationships/control" Target="../activeX/activeX53.xml"/><Relationship Id="rId56" Type="http://schemas.openxmlformats.org/officeDocument/2006/relationships/control" Target="../activeX/activeX61.xml"/><Relationship Id="rId64" Type="http://schemas.openxmlformats.org/officeDocument/2006/relationships/control" Target="../activeX/activeX69.xml"/><Relationship Id="rId69" Type="http://schemas.openxmlformats.org/officeDocument/2006/relationships/control" Target="../activeX/activeX74.xml"/><Relationship Id="rId77" Type="http://schemas.openxmlformats.org/officeDocument/2006/relationships/control" Target="../activeX/activeX82.xml"/><Relationship Id="rId100" Type="http://schemas.openxmlformats.org/officeDocument/2006/relationships/control" Target="../activeX/activeX105.xml"/><Relationship Id="rId8" Type="http://schemas.openxmlformats.org/officeDocument/2006/relationships/control" Target="../activeX/activeX13.xml"/><Relationship Id="rId51" Type="http://schemas.openxmlformats.org/officeDocument/2006/relationships/control" Target="../activeX/activeX56.xml"/><Relationship Id="rId72" Type="http://schemas.openxmlformats.org/officeDocument/2006/relationships/control" Target="../activeX/activeX77.xml"/><Relationship Id="rId80" Type="http://schemas.openxmlformats.org/officeDocument/2006/relationships/control" Target="../activeX/activeX85.xml"/><Relationship Id="rId85" Type="http://schemas.openxmlformats.org/officeDocument/2006/relationships/control" Target="../activeX/activeX90.xml"/><Relationship Id="rId93" Type="http://schemas.openxmlformats.org/officeDocument/2006/relationships/control" Target="../activeX/activeX98.xml"/><Relationship Id="rId98" Type="http://schemas.openxmlformats.org/officeDocument/2006/relationships/control" Target="../activeX/activeX103.xml"/><Relationship Id="rId3" Type="http://schemas.openxmlformats.org/officeDocument/2006/relationships/control" Target="../activeX/activeX9.xml"/><Relationship Id="rId12" Type="http://schemas.openxmlformats.org/officeDocument/2006/relationships/control" Target="../activeX/activeX17.xml"/><Relationship Id="rId17" Type="http://schemas.openxmlformats.org/officeDocument/2006/relationships/control" Target="../activeX/activeX22.xml"/><Relationship Id="rId25" Type="http://schemas.openxmlformats.org/officeDocument/2006/relationships/control" Target="../activeX/activeX30.xml"/><Relationship Id="rId33" Type="http://schemas.openxmlformats.org/officeDocument/2006/relationships/control" Target="../activeX/activeX38.xml"/><Relationship Id="rId38" Type="http://schemas.openxmlformats.org/officeDocument/2006/relationships/control" Target="../activeX/activeX43.xml"/><Relationship Id="rId46" Type="http://schemas.openxmlformats.org/officeDocument/2006/relationships/control" Target="../activeX/activeX51.xml"/><Relationship Id="rId59" Type="http://schemas.openxmlformats.org/officeDocument/2006/relationships/control" Target="../activeX/activeX64.xml"/><Relationship Id="rId67" Type="http://schemas.openxmlformats.org/officeDocument/2006/relationships/control" Target="../activeX/activeX72.xml"/><Relationship Id="rId103" Type="http://schemas.openxmlformats.org/officeDocument/2006/relationships/control" Target="../activeX/activeX108.xml"/><Relationship Id="rId20" Type="http://schemas.openxmlformats.org/officeDocument/2006/relationships/control" Target="../activeX/activeX25.xml"/><Relationship Id="rId41" Type="http://schemas.openxmlformats.org/officeDocument/2006/relationships/control" Target="../activeX/activeX46.xml"/><Relationship Id="rId54" Type="http://schemas.openxmlformats.org/officeDocument/2006/relationships/control" Target="../activeX/activeX59.xml"/><Relationship Id="rId62" Type="http://schemas.openxmlformats.org/officeDocument/2006/relationships/control" Target="../activeX/activeX67.xml"/><Relationship Id="rId70" Type="http://schemas.openxmlformats.org/officeDocument/2006/relationships/control" Target="../activeX/activeX75.xml"/><Relationship Id="rId75" Type="http://schemas.openxmlformats.org/officeDocument/2006/relationships/control" Target="../activeX/activeX80.xml"/><Relationship Id="rId83" Type="http://schemas.openxmlformats.org/officeDocument/2006/relationships/control" Target="../activeX/activeX88.xml"/><Relationship Id="rId88" Type="http://schemas.openxmlformats.org/officeDocument/2006/relationships/control" Target="../activeX/activeX93.xml"/><Relationship Id="rId91" Type="http://schemas.openxmlformats.org/officeDocument/2006/relationships/control" Target="../activeX/activeX96.xml"/><Relationship Id="rId96" Type="http://schemas.openxmlformats.org/officeDocument/2006/relationships/control" Target="../activeX/activeX101.xml"/><Relationship Id="rId1" Type="http://schemas.openxmlformats.org/officeDocument/2006/relationships/drawing" Target="../drawings/drawing3.xml"/><Relationship Id="rId6" Type="http://schemas.openxmlformats.org/officeDocument/2006/relationships/control" Target="../activeX/activeX11.xml"/><Relationship Id="rId15" Type="http://schemas.openxmlformats.org/officeDocument/2006/relationships/control" Target="../activeX/activeX20.xml"/><Relationship Id="rId23" Type="http://schemas.openxmlformats.org/officeDocument/2006/relationships/control" Target="../activeX/activeX28.xml"/><Relationship Id="rId28" Type="http://schemas.openxmlformats.org/officeDocument/2006/relationships/control" Target="../activeX/activeX33.xml"/><Relationship Id="rId36" Type="http://schemas.openxmlformats.org/officeDocument/2006/relationships/control" Target="../activeX/activeX41.xml"/><Relationship Id="rId49" Type="http://schemas.openxmlformats.org/officeDocument/2006/relationships/control" Target="../activeX/activeX54.xml"/><Relationship Id="rId57" Type="http://schemas.openxmlformats.org/officeDocument/2006/relationships/control" Target="../activeX/activeX62.xml"/><Relationship Id="rId10" Type="http://schemas.openxmlformats.org/officeDocument/2006/relationships/control" Target="../activeX/activeX15.xml"/><Relationship Id="rId31" Type="http://schemas.openxmlformats.org/officeDocument/2006/relationships/control" Target="../activeX/activeX36.xml"/><Relationship Id="rId44" Type="http://schemas.openxmlformats.org/officeDocument/2006/relationships/control" Target="../activeX/activeX49.xml"/><Relationship Id="rId52" Type="http://schemas.openxmlformats.org/officeDocument/2006/relationships/control" Target="../activeX/activeX57.xml"/><Relationship Id="rId60" Type="http://schemas.openxmlformats.org/officeDocument/2006/relationships/control" Target="../activeX/activeX65.xml"/><Relationship Id="rId65" Type="http://schemas.openxmlformats.org/officeDocument/2006/relationships/control" Target="../activeX/activeX70.xml"/><Relationship Id="rId73" Type="http://schemas.openxmlformats.org/officeDocument/2006/relationships/control" Target="../activeX/activeX78.xml"/><Relationship Id="rId78" Type="http://schemas.openxmlformats.org/officeDocument/2006/relationships/control" Target="../activeX/activeX83.xml"/><Relationship Id="rId81" Type="http://schemas.openxmlformats.org/officeDocument/2006/relationships/control" Target="../activeX/activeX86.xml"/><Relationship Id="rId86" Type="http://schemas.openxmlformats.org/officeDocument/2006/relationships/control" Target="../activeX/activeX91.xml"/><Relationship Id="rId94" Type="http://schemas.openxmlformats.org/officeDocument/2006/relationships/control" Target="../activeX/activeX99.xml"/><Relationship Id="rId99" Type="http://schemas.openxmlformats.org/officeDocument/2006/relationships/control" Target="../activeX/activeX104.xml"/><Relationship Id="rId101" Type="http://schemas.openxmlformats.org/officeDocument/2006/relationships/control" Target="../activeX/activeX106.xml"/><Relationship Id="rId4" Type="http://schemas.openxmlformats.org/officeDocument/2006/relationships/image" Target="../media/image3.emf"/><Relationship Id="rId9" Type="http://schemas.openxmlformats.org/officeDocument/2006/relationships/control" Target="../activeX/activeX14.xml"/><Relationship Id="rId13" Type="http://schemas.openxmlformats.org/officeDocument/2006/relationships/control" Target="../activeX/activeX18.xml"/><Relationship Id="rId18" Type="http://schemas.openxmlformats.org/officeDocument/2006/relationships/control" Target="../activeX/activeX23.xml"/><Relationship Id="rId39" Type="http://schemas.openxmlformats.org/officeDocument/2006/relationships/control" Target="../activeX/activeX44.xml"/><Relationship Id="rId34" Type="http://schemas.openxmlformats.org/officeDocument/2006/relationships/control" Target="../activeX/activeX39.xml"/><Relationship Id="rId50" Type="http://schemas.openxmlformats.org/officeDocument/2006/relationships/control" Target="../activeX/activeX55.xml"/><Relationship Id="rId55" Type="http://schemas.openxmlformats.org/officeDocument/2006/relationships/control" Target="../activeX/activeX60.xml"/><Relationship Id="rId76" Type="http://schemas.openxmlformats.org/officeDocument/2006/relationships/control" Target="../activeX/activeX81.xml"/><Relationship Id="rId97" Type="http://schemas.openxmlformats.org/officeDocument/2006/relationships/control" Target="../activeX/activeX10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272C-A4C8-46B1-AD57-29E64AB87866}">
  <dimension ref="A1:DX38"/>
  <sheetViews>
    <sheetView showGridLines="0" topLeftCell="AV1" workbookViewId="0">
      <selection activeCell="AZ13" activeCellId="1" sqref="BA8 AZ13"/>
    </sheetView>
  </sheetViews>
  <sheetFormatPr defaultColWidth="13.88671875" defaultRowHeight="14.4" x14ac:dyDescent="0.3"/>
  <cols>
    <col min="1" max="1" width="19.44140625" bestFit="1" customWidth="1"/>
    <col min="2" max="2" width="18.5546875" bestFit="1" customWidth="1"/>
    <col min="3" max="10" width="14.109375" bestFit="1" customWidth="1"/>
    <col min="11" max="11" width="15.6640625" bestFit="1" customWidth="1"/>
    <col min="12" max="28" width="14.109375" bestFit="1" customWidth="1"/>
    <col min="29" max="30" width="13.109375" bestFit="1" customWidth="1"/>
    <col min="31" max="47" width="14.109375" bestFit="1" customWidth="1"/>
    <col min="48" max="48" width="15.5546875" bestFit="1" customWidth="1"/>
    <col min="49" max="49" width="15.33203125" bestFit="1" customWidth="1"/>
    <col min="50" max="52" width="13.109375" bestFit="1" customWidth="1"/>
    <col min="53" max="53" width="14.109375" bestFit="1" customWidth="1"/>
    <col min="54" max="54" width="13.109375" bestFit="1" customWidth="1"/>
    <col min="55" max="61" width="14.109375" bestFit="1" customWidth="1"/>
    <col min="62" max="62" width="15.6640625" bestFit="1" customWidth="1"/>
    <col min="63" max="63" width="14.109375" bestFit="1" customWidth="1"/>
    <col min="64" max="64" width="15.6640625" bestFit="1" customWidth="1"/>
    <col min="65" max="78" width="14.109375" bestFit="1" customWidth="1"/>
    <col min="79" max="84" width="15.6640625" bestFit="1" customWidth="1"/>
    <col min="85" max="95" width="14.109375" bestFit="1" customWidth="1"/>
    <col min="96" max="105" width="15.6640625" bestFit="1" customWidth="1"/>
    <col min="106" max="106" width="14.109375" bestFit="1" customWidth="1"/>
    <col min="107" max="123" width="15.6640625" bestFit="1" customWidth="1"/>
    <col min="124" max="128" width="16.5546875" bestFit="1" customWidth="1"/>
  </cols>
  <sheetData>
    <row r="1" spans="1:128" x14ac:dyDescent="0.3">
      <c r="A1" s="914" t="s">
        <v>229</v>
      </c>
      <c r="B1" s="914"/>
      <c r="C1" s="914"/>
      <c r="D1" s="914"/>
      <c r="E1" s="914"/>
      <c r="F1" s="914"/>
      <c r="G1" s="914"/>
      <c r="H1" s="914"/>
    </row>
    <row r="2" spans="1:128" x14ac:dyDescent="0.3">
      <c r="A2" s="914"/>
      <c r="B2" s="914"/>
      <c r="C2" s="914"/>
      <c r="D2" s="914"/>
      <c r="E2" s="914"/>
      <c r="F2" s="914"/>
      <c r="G2" s="914"/>
      <c r="H2" s="914"/>
    </row>
    <row r="4" spans="1:128" x14ac:dyDescent="0.3">
      <c r="B4" s="31" t="s">
        <v>230</v>
      </c>
      <c r="C4" s="52">
        <v>37231.379999999997</v>
      </c>
    </row>
    <row r="6" spans="1:128" s="42" customFormat="1" x14ac:dyDescent="0.3">
      <c r="A6" s="41" t="s">
        <v>226</v>
      </c>
      <c r="B6" s="41" t="s">
        <v>228</v>
      </c>
      <c r="DV6"/>
      <c r="DW6"/>
      <c r="DX6"/>
    </row>
    <row r="7" spans="1:128" s="117" customFormat="1" x14ac:dyDescent="0.3">
      <c r="A7" s="495" t="s">
        <v>225</v>
      </c>
      <c r="B7" s="117" t="s">
        <v>236</v>
      </c>
      <c r="C7" s="117" t="s">
        <v>237</v>
      </c>
      <c r="D7" s="117" t="s">
        <v>238</v>
      </c>
      <c r="E7" s="117" t="s">
        <v>239</v>
      </c>
      <c r="F7" s="117" t="s">
        <v>240</v>
      </c>
      <c r="G7" s="117" t="s">
        <v>241</v>
      </c>
      <c r="H7" s="117" t="s">
        <v>242</v>
      </c>
      <c r="I7" s="117" t="s">
        <v>243</v>
      </c>
      <c r="J7" s="117" t="s">
        <v>244</v>
      </c>
      <c r="K7" s="117" t="s">
        <v>245</v>
      </c>
      <c r="L7" s="117" t="s">
        <v>246</v>
      </c>
      <c r="M7" s="117" t="s">
        <v>247</v>
      </c>
      <c r="N7" s="117" t="s">
        <v>248</v>
      </c>
      <c r="O7" s="117" t="s">
        <v>249</v>
      </c>
      <c r="P7" s="117" t="s">
        <v>250</v>
      </c>
      <c r="Q7" s="117" t="s">
        <v>251</v>
      </c>
      <c r="R7" s="117" t="s">
        <v>353</v>
      </c>
      <c r="S7" s="117" t="s">
        <v>252</v>
      </c>
      <c r="T7" s="117" t="s">
        <v>253</v>
      </c>
      <c r="U7" s="117" t="s">
        <v>420</v>
      </c>
      <c r="V7" s="117" t="s">
        <v>254</v>
      </c>
      <c r="W7" s="117" t="s">
        <v>255</v>
      </c>
      <c r="X7" s="117" t="s">
        <v>256</v>
      </c>
      <c r="Y7" s="117" t="s">
        <v>257</v>
      </c>
      <c r="Z7" s="117" t="s">
        <v>258</v>
      </c>
      <c r="AA7" s="117" t="s">
        <v>259</v>
      </c>
      <c r="AB7" s="117" t="s">
        <v>260</v>
      </c>
      <c r="AC7" s="117" t="s">
        <v>261</v>
      </c>
      <c r="AD7" s="117" t="s">
        <v>262</v>
      </c>
      <c r="AE7" s="117" t="s">
        <v>263</v>
      </c>
      <c r="AF7" s="117" t="s">
        <v>264</v>
      </c>
      <c r="AG7" s="117" t="s">
        <v>265</v>
      </c>
      <c r="AH7" s="117" t="s">
        <v>266</v>
      </c>
      <c r="AI7" s="117" t="s">
        <v>267</v>
      </c>
      <c r="AJ7" s="117" t="s">
        <v>268</v>
      </c>
      <c r="AK7" s="117" t="s">
        <v>269</v>
      </c>
      <c r="AL7" s="117" t="s">
        <v>270</v>
      </c>
      <c r="AM7" s="117" t="s">
        <v>271</v>
      </c>
      <c r="AN7" s="117" t="s">
        <v>272</v>
      </c>
      <c r="AO7" s="117" t="s">
        <v>273</v>
      </c>
      <c r="AP7" s="117" t="s">
        <v>274</v>
      </c>
      <c r="AQ7" s="117" t="s">
        <v>1344</v>
      </c>
      <c r="AR7" s="117" t="s">
        <v>275</v>
      </c>
      <c r="AS7" s="117" t="s">
        <v>276</v>
      </c>
      <c r="AT7" s="117" t="s">
        <v>277</v>
      </c>
      <c r="AU7" s="117" t="s">
        <v>278</v>
      </c>
      <c r="AV7" s="117" t="s">
        <v>279</v>
      </c>
      <c r="AW7" s="117" t="s">
        <v>280</v>
      </c>
      <c r="AX7" s="117" t="s">
        <v>281</v>
      </c>
      <c r="AY7" s="117" t="s">
        <v>282</v>
      </c>
      <c r="AZ7" s="117" t="s">
        <v>283</v>
      </c>
      <c r="BA7" s="117" t="s">
        <v>284</v>
      </c>
      <c r="BB7" s="117" t="s">
        <v>285</v>
      </c>
      <c r="BC7" s="117" t="s">
        <v>286</v>
      </c>
      <c r="BD7" s="117" t="s">
        <v>287</v>
      </c>
      <c r="BE7" s="117" t="s">
        <v>288</v>
      </c>
      <c r="BF7" s="117" t="s">
        <v>289</v>
      </c>
      <c r="BG7" s="117" t="s">
        <v>290</v>
      </c>
      <c r="BH7" s="117" t="s">
        <v>291</v>
      </c>
      <c r="BI7" s="117" t="s">
        <v>292</v>
      </c>
      <c r="BJ7" s="117" t="s">
        <v>293</v>
      </c>
      <c r="BK7" s="117" t="s">
        <v>294</v>
      </c>
      <c r="BL7" s="117" t="s">
        <v>295</v>
      </c>
      <c r="BM7" s="117" t="s">
        <v>296</v>
      </c>
      <c r="BN7" s="117" t="s">
        <v>297</v>
      </c>
      <c r="BO7" s="117" t="s">
        <v>298</v>
      </c>
      <c r="BP7" s="117" t="s">
        <v>299</v>
      </c>
      <c r="BQ7" s="117" t="s">
        <v>300</v>
      </c>
      <c r="BR7" s="117" t="s">
        <v>806</v>
      </c>
      <c r="BS7" s="117" t="s">
        <v>301</v>
      </c>
      <c r="BT7" s="117" t="s">
        <v>302</v>
      </c>
      <c r="BU7" s="117" t="s">
        <v>303</v>
      </c>
      <c r="BV7" s="117" t="s">
        <v>304</v>
      </c>
      <c r="BW7" s="117" t="s">
        <v>305</v>
      </c>
      <c r="BX7" s="117" t="s">
        <v>306</v>
      </c>
      <c r="BY7" s="117" t="s">
        <v>307</v>
      </c>
      <c r="BZ7" s="117" t="s">
        <v>308</v>
      </c>
      <c r="CA7" s="117" t="s">
        <v>309</v>
      </c>
      <c r="CB7" s="117" t="s">
        <v>659</v>
      </c>
      <c r="CC7" s="117" t="s">
        <v>310</v>
      </c>
      <c r="CD7" s="117" t="s">
        <v>311</v>
      </c>
      <c r="CE7" s="117" t="s">
        <v>312</v>
      </c>
      <c r="CF7" s="117" t="s">
        <v>313</v>
      </c>
      <c r="CG7" s="117" t="s">
        <v>314</v>
      </c>
      <c r="CH7" s="117" t="s">
        <v>315</v>
      </c>
      <c r="CI7" s="117" t="s">
        <v>316</v>
      </c>
      <c r="CJ7" s="117" t="s">
        <v>317</v>
      </c>
      <c r="CK7" s="117" t="s">
        <v>318</v>
      </c>
      <c r="CL7" s="117" t="s">
        <v>319</v>
      </c>
      <c r="CM7" s="117" t="s">
        <v>320</v>
      </c>
      <c r="CN7" s="117" t="s">
        <v>321</v>
      </c>
      <c r="CO7" s="117" t="s">
        <v>322</v>
      </c>
      <c r="CP7" s="117" t="s">
        <v>323</v>
      </c>
      <c r="CQ7" s="117" t="s">
        <v>324</v>
      </c>
      <c r="CR7" s="117" t="s">
        <v>325</v>
      </c>
      <c r="CS7" s="117" t="s">
        <v>326</v>
      </c>
      <c r="CT7" s="117" t="s">
        <v>327</v>
      </c>
      <c r="CU7" s="117" t="s">
        <v>328</v>
      </c>
      <c r="CV7" s="117" t="s">
        <v>329</v>
      </c>
      <c r="CW7" s="117" t="s">
        <v>330</v>
      </c>
      <c r="CX7" s="117" t="s">
        <v>331</v>
      </c>
      <c r="CY7" s="117" t="s">
        <v>332</v>
      </c>
      <c r="CZ7" s="117" t="s">
        <v>333</v>
      </c>
      <c r="DA7" s="117" t="s">
        <v>334</v>
      </c>
      <c r="DB7" s="117" t="s">
        <v>335</v>
      </c>
      <c r="DC7" s="117" t="s">
        <v>336</v>
      </c>
      <c r="DD7" s="117" t="s">
        <v>1208</v>
      </c>
      <c r="DE7" s="117" t="s">
        <v>337</v>
      </c>
      <c r="DF7" s="117" t="s">
        <v>338</v>
      </c>
      <c r="DG7" s="117" t="s">
        <v>339</v>
      </c>
      <c r="DH7" s="117" t="s">
        <v>340</v>
      </c>
      <c r="DI7" s="117" t="s">
        <v>341</v>
      </c>
      <c r="DJ7" s="117" t="s">
        <v>342</v>
      </c>
      <c r="DK7" s="117" t="s">
        <v>343</v>
      </c>
      <c r="DL7" s="117" t="s">
        <v>344</v>
      </c>
      <c r="DM7" s="117" t="s">
        <v>345</v>
      </c>
      <c r="DN7" s="117" t="s">
        <v>346</v>
      </c>
      <c r="DO7" s="117" t="s">
        <v>347</v>
      </c>
      <c r="DP7" s="117" t="s">
        <v>348</v>
      </c>
      <c r="DQ7" s="117" t="s">
        <v>349</v>
      </c>
      <c r="DR7" s="117" t="s">
        <v>350</v>
      </c>
      <c r="DS7" s="117" t="s">
        <v>351</v>
      </c>
      <c r="DT7" s="117" t="s">
        <v>352</v>
      </c>
      <c r="DU7" s="117" t="s">
        <v>227</v>
      </c>
      <c r="DV7"/>
      <c r="DW7"/>
      <c r="DX7"/>
    </row>
    <row r="8" spans="1:128" s="441" customFormat="1" x14ac:dyDescent="0.3">
      <c r="A8" s="909" t="s">
        <v>164</v>
      </c>
      <c r="B8" s="441">
        <v>138079.85</v>
      </c>
      <c r="C8" s="441">
        <v>650781.01</v>
      </c>
      <c r="D8" s="441">
        <v>8091.96</v>
      </c>
      <c r="F8" s="441">
        <v>15077.75</v>
      </c>
      <c r="H8" s="441">
        <v>40231.050000000003</v>
      </c>
      <c r="I8" s="441">
        <v>145883.66999999998</v>
      </c>
      <c r="J8" s="441">
        <v>9549.75</v>
      </c>
      <c r="K8" s="441">
        <v>909047.05</v>
      </c>
      <c r="L8" s="441">
        <v>20356.39</v>
      </c>
      <c r="T8" s="441">
        <v>15657.3</v>
      </c>
      <c r="U8" s="441">
        <v>4880.1400000000003</v>
      </c>
      <c r="W8" s="441">
        <v>144054.54</v>
      </c>
      <c r="X8" s="441">
        <v>41481.22</v>
      </c>
      <c r="Z8" s="441">
        <v>345280</v>
      </c>
      <c r="AB8" s="441">
        <v>49974.58</v>
      </c>
      <c r="AD8" s="441">
        <v>40542.71</v>
      </c>
      <c r="AE8" s="441">
        <v>102271.59999999999</v>
      </c>
      <c r="AF8" s="441">
        <v>8750</v>
      </c>
      <c r="AH8" s="441">
        <v>192273.31</v>
      </c>
      <c r="AJ8" s="441">
        <v>724856.69</v>
      </c>
      <c r="AN8" s="441">
        <v>8400</v>
      </c>
      <c r="AQ8" s="441">
        <v>135668.9</v>
      </c>
      <c r="AR8" s="441">
        <v>401655.80000000005</v>
      </c>
      <c r="AS8" s="441">
        <v>36159.379999999997</v>
      </c>
      <c r="AT8" s="441">
        <v>65157.26999999999</v>
      </c>
      <c r="AU8" s="441">
        <v>49289.86</v>
      </c>
      <c r="AW8" s="441">
        <v>10000</v>
      </c>
      <c r="AY8" s="441">
        <v>22930</v>
      </c>
      <c r="AZ8" s="441">
        <v>11021.92</v>
      </c>
      <c r="BA8" s="441">
        <v>132230.44</v>
      </c>
      <c r="BB8" s="441">
        <v>69922.16</v>
      </c>
      <c r="BC8" s="441">
        <v>17956.39</v>
      </c>
      <c r="BD8" s="441">
        <v>11225.96</v>
      </c>
      <c r="BE8" s="441">
        <v>36795.81</v>
      </c>
      <c r="BK8" s="441">
        <v>41481.22</v>
      </c>
      <c r="BM8" s="441">
        <v>839235.64</v>
      </c>
      <c r="BN8" s="441">
        <v>130579.84999999999</v>
      </c>
      <c r="BP8" s="441">
        <v>345280</v>
      </c>
      <c r="BR8" s="441">
        <v>4935</v>
      </c>
      <c r="BU8" s="441">
        <v>41789</v>
      </c>
      <c r="BV8" s="441">
        <v>132950.59000000003</v>
      </c>
      <c r="BY8" s="441">
        <v>17956.39</v>
      </c>
      <c r="CA8" s="441">
        <v>36795.81</v>
      </c>
      <c r="CC8" s="441">
        <v>14744.060000000001</v>
      </c>
      <c r="CG8" s="441">
        <v>839235.64</v>
      </c>
      <c r="CH8" s="441">
        <v>172061.06999999998</v>
      </c>
      <c r="CJ8" s="441">
        <v>345280</v>
      </c>
      <c r="CM8" s="441">
        <v>4935</v>
      </c>
      <c r="CN8" s="441">
        <v>41789.379999999997</v>
      </c>
      <c r="CO8" s="441">
        <v>132950.59000000003</v>
      </c>
      <c r="CS8" s="441">
        <v>54752.2</v>
      </c>
      <c r="CU8" s="441">
        <v>14744.060000000001</v>
      </c>
      <c r="CY8" s="441">
        <v>880716.86</v>
      </c>
      <c r="DA8" s="441">
        <v>130579.84999999999</v>
      </c>
      <c r="DB8" s="441">
        <v>345280</v>
      </c>
      <c r="DF8" s="441">
        <v>4935</v>
      </c>
      <c r="DG8" s="441">
        <v>41789</v>
      </c>
      <c r="DH8" s="441">
        <v>145410.20000000001</v>
      </c>
      <c r="DK8" s="441">
        <v>17956.39</v>
      </c>
      <c r="DM8" s="441">
        <v>36795.81</v>
      </c>
      <c r="DP8" s="441">
        <v>2284.4499999999998</v>
      </c>
      <c r="DS8" s="441">
        <v>41481.22</v>
      </c>
      <c r="DT8" s="441">
        <v>839235.64</v>
      </c>
      <c r="DU8" s="441">
        <v>10313494.379999997</v>
      </c>
      <c r="DV8"/>
      <c r="DW8"/>
      <c r="DX8"/>
    </row>
    <row r="9" spans="1:128" s="444" customFormat="1" x14ac:dyDescent="0.3">
      <c r="A9" s="443" t="s">
        <v>8</v>
      </c>
      <c r="B9" s="444">
        <v>-14279.350000000002</v>
      </c>
      <c r="C9" s="444">
        <v>-14379.23</v>
      </c>
      <c r="D9" s="444">
        <v>-7750.91</v>
      </c>
      <c r="E9" s="444">
        <v>-514385.73999999993</v>
      </c>
      <c r="F9" s="444">
        <v>-12876.61</v>
      </c>
      <c r="G9" s="444">
        <v>-30189.420000000006</v>
      </c>
      <c r="H9" s="444">
        <v>-80032.450000000012</v>
      </c>
      <c r="I9" s="444">
        <v>-27618.849999999995</v>
      </c>
      <c r="J9" s="444">
        <v>-8205.3100000000013</v>
      </c>
      <c r="K9" s="444">
        <v>-165790.33000000005</v>
      </c>
      <c r="L9" s="444">
        <v>-166519.58999999997</v>
      </c>
      <c r="M9" s="444">
        <v>-44137.010000000009</v>
      </c>
      <c r="N9" s="444">
        <v>-198325.29974400002</v>
      </c>
      <c r="O9" s="444">
        <v>-209039.13959500004</v>
      </c>
      <c r="P9" s="444">
        <v>-24532.89</v>
      </c>
      <c r="Q9" s="444">
        <v>-68357.540000000008</v>
      </c>
      <c r="R9" s="444">
        <v>-14448.34</v>
      </c>
      <c r="S9" s="444">
        <v>-52682.95</v>
      </c>
      <c r="T9" s="444">
        <v>-54023.03994499999</v>
      </c>
      <c r="U9" s="444">
        <v>-1076.8400000000001</v>
      </c>
      <c r="V9" s="444">
        <v>-49227.369997000002</v>
      </c>
      <c r="W9" s="444">
        <v>-133017.26999999996</v>
      </c>
      <c r="X9" s="444">
        <v>-44847.069999999992</v>
      </c>
      <c r="Y9" s="444">
        <v>-6776.72</v>
      </c>
      <c r="Z9" s="444">
        <v>-17370.830000000002</v>
      </c>
      <c r="AA9" s="444">
        <v>-476385.67</v>
      </c>
      <c r="AB9" s="444">
        <v>-17529.910000000003</v>
      </c>
      <c r="AC9" s="444">
        <v>-41104.490000000005</v>
      </c>
      <c r="AD9" s="444">
        <v>-85049.319999999992</v>
      </c>
      <c r="AE9" s="444">
        <v>-3555.92</v>
      </c>
      <c r="AF9" s="444">
        <v>-8557.5400000000009</v>
      </c>
      <c r="AG9" s="444">
        <v>-3271.55</v>
      </c>
      <c r="AH9" s="444">
        <v>-201350.26999999987</v>
      </c>
      <c r="AI9" s="444">
        <v>-100198.12</v>
      </c>
      <c r="AJ9" s="444">
        <v>-104618.79000000001</v>
      </c>
      <c r="AK9" s="444">
        <v>-300937.90969800012</v>
      </c>
      <c r="AL9" s="444">
        <v>-74881.539999999994</v>
      </c>
      <c r="AM9" s="444">
        <v>-58623.610000000008</v>
      </c>
      <c r="AN9" s="444">
        <v>-21571.239999999998</v>
      </c>
      <c r="AO9" s="444">
        <v>-21244.1</v>
      </c>
      <c r="AP9" s="444">
        <v>-42934.170303000006</v>
      </c>
      <c r="AQ9" s="444">
        <v>-18923.760000000002</v>
      </c>
      <c r="AR9" s="444">
        <v>-214058.859486</v>
      </c>
      <c r="AS9" s="444">
        <v>-27851.500006000002</v>
      </c>
      <c r="AT9" s="444">
        <v>-5371.38</v>
      </c>
      <c r="AU9" s="444">
        <v>-5101.9399999999996</v>
      </c>
      <c r="AV9" s="444">
        <v>-17302.97</v>
      </c>
      <c r="AW9" s="444">
        <v>-508690.12999999995</v>
      </c>
      <c r="AX9" s="444">
        <v>-31658.28</v>
      </c>
      <c r="AY9" s="444">
        <v>-5080.1899999999996</v>
      </c>
      <c r="AZ9" s="444">
        <v>-85425.470000000016</v>
      </c>
      <c r="BA9" s="444">
        <v>-5600.2899999999991</v>
      </c>
      <c r="BB9" s="444">
        <v>-69450.429999999993</v>
      </c>
      <c r="BC9" s="444">
        <v>-319921.41999999958</v>
      </c>
      <c r="BD9" s="444">
        <v>-69551.039999999994</v>
      </c>
      <c r="BE9" s="444">
        <v>-13248.26</v>
      </c>
      <c r="BF9" s="444">
        <v>-277611.53999999998</v>
      </c>
      <c r="BG9" s="444">
        <v>-159356.06000000003</v>
      </c>
      <c r="BH9" s="444">
        <v>-255870.11000000002</v>
      </c>
      <c r="BI9" s="444">
        <v>-20985.45</v>
      </c>
      <c r="BJ9" s="444">
        <v>-22825.319999999996</v>
      </c>
      <c r="BK9" s="444">
        <v>-27586.04</v>
      </c>
      <c r="BL9" s="444">
        <v>-63235.460000000006</v>
      </c>
      <c r="BM9" s="444">
        <v>-245541.36000000002</v>
      </c>
      <c r="BN9" s="444">
        <v>-14338.619999999999</v>
      </c>
      <c r="BO9" s="444">
        <v>-900</v>
      </c>
      <c r="BP9" s="444">
        <v>-17235</v>
      </c>
      <c r="BQ9" s="444">
        <v>-505672.98</v>
      </c>
      <c r="BS9" s="444">
        <v>-5600</v>
      </c>
      <c r="BT9" s="444">
        <v>-2000</v>
      </c>
      <c r="BU9" s="444">
        <v>-129423.82</v>
      </c>
      <c r="BV9" s="444">
        <v>-6388.2</v>
      </c>
      <c r="BW9" s="444">
        <v>-40000</v>
      </c>
      <c r="BX9" s="444">
        <v>-317392.8600000001</v>
      </c>
      <c r="BY9" s="444">
        <v>-34446.25</v>
      </c>
      <c r="BZ9" s="444">
        <v>-58031.67</v>
      </c>
      <c r="CA9" s="444">
        <v>-345770.71</v>
      </c>
      <c r="CB9" s="444">
        <v>-50268.92</v>
      </c>
      <c r="CC9" s="444">
        <v>-1700</v>
      </c>
      <c r="CD9" s="444">
        <v>-27215</v>
      </c>
      <c r="CE9" s="444">
        <v>-61752.23</v>
      </c>
      <c r="CF9" s="444">
        <v>-500</v>
      </c>
      <c r="CG9" s="444">
        <v>-33098.129999999997</v>
      </c>
      <c r="CH9" s="444">
        <v>-227359.27999999997</v>
      </c>
      <c r="CI9" s="444">
        <v>-13389.99</v>
      </c>
      <c r="CJ9" s="444">
        <v>-6023.98</v>
      </c>
      <c r="CK9" s="444">
        <v>-9000</v>
      </c>
      <c r="CL9" s="444">
        <v>-389</v>
      </c>
      <c r="CM9" s="444">
        <v>-509495</v>
      </c>
      <c r="CN9" s="444">
        <v>-117788.82</v>
      </c>
      <c r="CP9" s="444">
        <v>-46388.2</v>
      </c>
      <c r="CQ9" s="444">
        <v>-39215</v>
      </c>
      <c r="CR9" s="444">
        <v>-365191.62999999971</v>
      </c>
      <c r="CS9" s="444">
        <v>-5996.67</v>
      </c>
      <c r="CT9" s="444">
        <v>-345770.71</v>
      </c>
      <c r="CU9" s="444">
        <v>-77483.92</v>
      </c>
      <c r="CV9" s="444">
        <v>-1700</v>
      </c>
      <c r="CW9" s="444">
        <v>-26037.659999999996</v>
      </c>
      <c r="CX9" s="444">
        <v>-35714.57</v>
      </c>
      <c r="CY9" s="444">
        <v>-516725.06999999989</v>
      </c>
      <c r="CZ9" s="444">
        <v>-12489.99</v>
      </c>
      <c r="DA9" s="444">
        <v>-900</v>
      </c>
      <c r="DB9" s="444">
        <v>-6412.98</v>
      </c>
      <c r="DC9" s="444">
        <v>-515735</v>
      </c>
      <c r="DD9" s="444">
        <v>-226.68</v>
      </c>
      <c r="DE9" s="444">
        <v>-760</v>
      </c>
      <c r="DF9" s="444">
        <v>-2000</v>
      </c>
      <c r="DG9" s="444">
        <v>-112188.82</v>
      </c>
      <c r="DI9" s="444">
        <v>-63623.199999999997</v>
      </c>
      <c r="DJ9" s="444">
        <v>-307392.85999999969</v>
      </c>
      <c r="DK9" s="444">
        <v>-17203.920000000002</v>
      </c>
      <c r="DL9" s="444">
        <v>-42449.85</v>
      </c>
      <c r="DM9" s="444">
        <v>-5996.67</v>
      </c>
      <c r="DN9" s="444">
        <v>-502711.15</v>
      </c>
      <c r="DO9" s="444">
        <v>-154533.39000000004</v>
      </c>
      <c r="DQ9" s="444">
        <v>-24000</v>
      </c>
      <c r="DR9" s="444">
        <v>-74967.23000000001</v>
      </c>
      <c r="DS9" s="444">
        <v>-500</v>
      </c>
      <c r="DT9" s="444">
        <v>-146848.42000000001</v>
      </c>
      <c r="DU9" s="444">
        <v>-11978295.558774006</v>
      </c>
      <c r="DV9"/>
      <c r="DW9"/>
      <c r="DX9"/>
    </row>
    <row r="10" spans="1:128" s="44" customFormat="1" x14ac:dyDescent="0.3">
      <c r="A10" s="43" t="s">
        <v>227</v>
      </c>
      <c r="B10" s="44">
        <v>123800.5</v>
      </c>
      <c r="C10" s="44">
        <v>636401.78</v>
      </c>
      <c r="D10" s="44">
        <v>341.05000000000018</v>
      </c>
      <c r="E10" s="44">
        <v>-514385.73999999993</v>
      </c>
      <c r="F10" s="44">
        <v>2201.1399999999994</v>
      </c>
      <c r="G10" s="44">
        <v>-30189.420000000006</v>
      </c>
      <c r="H10" s="44">
        <v>-39801.400000000009</v>
      </c>
      <c r="I10" s="44">
        <v>118264.81999999999</v>
      </c>
      <c r="J10" s="44">
        <v>1344.4399999999987</v>
      </c>
      <c r="K10" s="44">
        <v>743256.72</v>
      </c>
      <c r="L10" s="44">
        <v>-146163.19999999995</v>
      </c>
      <c r="M10" s="44">
        <v>-44137.010000000009</v>
      </c>
      <c r="N10" s="44">
        <v>-198325.29974400002</v>
      </c>
      <c r="O10" s="44">
        <v>-209039.13959500004</v>
      </c>
      <c r="P10" s="44">
        <v>-24532.89</v>
      </c>
      <c r="Q10" s="44">
        <v>-68357.540000000008</v>
      </c>
      <c r="R10" s="44">
        <v>-14448.34</v>
      </c>
      <c r="S10" s="44">
        <v>-52682.95</v>
      </c>
      <c r="T10" s="44">
        <v>-38365.739944999994</v>
      </c>
      <c r="U10" s="44">
        <v>3803.3</v>
      </c>
      <c r="V10" s="44">
        <v>-49227.369997000002</v>
      </c>
      <c r="W10" s="44">
        <v>11037.270000000048</v>
      </c>
      <c r="X10" s="44">
        <v>-3365.8499999999913</v>
      </c>
      <c r="Y10" s="44">
        <v>-6776.72</v>
      </c>
      <c r="Z10" s="44">
        <v>327909.17</v>
      </c>
      <c r="AA10" s="44">
        <v>-476385.67</v>
      </c>
      <c r="AB10" s="44">
        <v>32444.67</v>
      </c>
      <c r="AC10" s="44">
        <v>-41104.490000000005</v>
      </c>
      <c r="AD10" s="44">
        <v>-44506.609999999993</v>
      </c>
      <c r="AE10" s="44">
        <v>98715.68</v>
      </c>
      <c r="AF10" s="44">
        <v>192.45999999999913</v>
      </c>
      <c r="AG10" s="44">
        <v>-3271.55</v>
      </c>
      <c r="AH10" s="44">
        <v>-9076.9599999998754</v>
      </c>
      <c r="AI10" s="44">
        <v>-100198.12</v>
      </c>
      <c r="AJ10" s="44">
        <v>620237.89999999991</v>
      </c>
      <c r="AK10" s="44">
        <v>-300937.90969800012</v>
      </c>
      <c r="AL10" s="44">
        <v>-74881.539999999994</v>
      </c>
      <c r="AM10" s="44">
        <v>-58623.610000000008</v>
      </c>
      <c r="AN10" s="44">
        <v>-13171.239999999998</v>
      </c>
      <c r="AO10" s="44">
        <v>-21244.1</v>
      </c>
      <c r="AP10" s="44">
        <v>-42934.170303000006</v>
      </c>
      <c r="AQ10" s="44">
        <v>116745.13999999998</v>
      </c>
      <c r="AR10" s="44">
        <v>187596.94051400005</v>
      </c>
      <c r="AS10" s="44">
        <v>8307.8799939999953</v>
      </c>
      <c r="AT10" s="44">
        <v>59785.889999999992</v>
      </c>
      <c r="AU10" s="44">
        <v>44187.92</v>
      </c>
      <c r="AV10" s="44">
        <v>-17302.97</v>
      </c>
      <c r="AW10" s="44">
        <v>-498690.12999999995</v>
      </c>
      <c r="AX10" s="44">
        <v>-31658.28</v>
      </c>
      <c r="AY10" s="44">
        <v>17849.810000000001</v>
      </c>
      <c r="AZ10" s="44">
        <v>-74403.550000000017</v>
      </c>
      <c r="BA10" s="44">
        <v>126630.15000000001</v>
      </c>
      <c r="BB10" s="44">
        <v>471.73000000001048</v>
      </c>
      <c r="BC10" s="44">
        <v>-301965.02999999956</v>
      </c>
      <c r="BD10" s="44">
        <v>-58325.079999999994</v>
      </c>
      <c r="BE10" s="44">
        <v>23547.549999999996</v>
      </c>
      <c r="BF10" s="44">
        <v>-277611.53999999998</v>
      </c>
      <c r="BG10" s="44">
        <v>-159356.06000000003</v>
      </c>
      <c r="BH10" s="44">
        <v>-255870.11000000002</v>
      </c>
      <c r="BI10" s="44">
        <v>-20985.45</v>
      </c>
      <c r="BJ10" s="44">
        <v>-22825.319999999996</v>
      </c>
      <c r="BK10" s="44">
        <v>13895.18</v>
      </c>
      <c r="BL10" s="44">
        <v>-63235.460000000006</v>
      </c>
      <c r="BM10" s="44">
        <v>593694.28</v>
      </c>
      <c r="BN10" s="44">
        <v>116241.23</v>
      </c>
      <c r="BO10" s="44">
        <v>-900</v>
      </c>
      <c r="BP10" s="44">
        <v>328045</v>
      </c>
      <c r="BQ10" s="44">
        <v>-505672.98</v>
      </c>
      <c r="BR10" s="44">
        <v>4935</v>
      </c>
      <c r="BS10" s="44">
        <v>-5600</v>
      </c>
      <c r="BT10" s="44">
        <v>-2000</v>
      </c>
      <c r="BU10" s="44">
        <v>-87634.82</v>
      </c>
      <c r="BV10" s="44">
        <v>126562.39000000003</v>
      </c>
      <c r="BW10" s="44">
        <v>-40000</v>
      </c>
      <c r="BX10" s="44">
        <v>-317392.8600000001</v>
      </c>
      <c r="BY10" s="44">
        <v>-16489.86</v>
      </c>
      <c r="BZ10" s="44">
        <v>-58031.67</v>
      </c>
      <c r="CA10" s="44">
        <v>-308974.90000000002</v>
      </c>
      <c r="CB10" s="44">
        <v>-50268.92</v>
      </c>
      <c r="CC10" s="44">
        <v>13044.060000000001</v>
      </c>
      <c r="CD10" s="44">
        <v>-27215</v>
      </c>
      <c r="CE10" s="44">
        <v>-61752.23</v>
      </c>
      <c r="CF10" s="44">
        <v>-500</v>
      </c>
      <c r="CG10" s="44">
        <v>806137.51</v>
      </c>
      <c r="CH10" s="44">
        <v>-55298.209999999992</v>
      </c>
      <c r="CI10" s="44">
        <v>-13389.99</v>
      </c>
      <c r="CJ10" s="44">
        <v>339256.02</v>
      </c>
      <c r="CK10" s="44">
        <v>-9000</v>
      </c>
      <c r="CL10" s="44">
        <v>-389</v>
      </c>
      <c r="CM10" s="44">
        <v>-504560</v>
      </c>
      <c r="CN10" s="44">
        <v>-75999.44</v>
      </c>
      <c r="CO10" s="44">
        <v>132950.59000000003</v>
      </c>
      <c r="CP10" s="44">
        <v>-46388.2</v>
      </c>
      <c r="CQ10" s="44">
        <v>-39215</v>
      </c>
      <c r="CR10" s="44">
        <v>-365191.62999999971</v>
      </c>
      <c r="CS10" s="44">
        <v>48755.53</v>
      </c>
      <c r="CT10" s="44">
        <v>-345770.71</v>
      </c>
      <c r="CU10" s="44">
        <v>-62739.86</v>
      </c>
      <c r="CV10" s="44">
        <v>-1700</v>
      </c>
      <c r="CW10" s="44">
        <v>-26037.659999999996</v>
      </c>
      <c r="CX10" s="44">
        <v>-35714.57</v>
      </c>
      <c r="CY10" s="44">
        <v>363991.7900000001</v>
      </c>
      <c r="CZ10" s="44">
        <v>-12489.99</v>
      </c>
      <c r="DA10" s="44">
        <v>129679.84999999999</v>
      </c>
      <c r="DB10" s="44">
        <v>338867.02</v>
      </c>
      <c r="DC10" s="44">
        <v>-515735</v>
      </c>
      <c r="DD10" s="44">
        <v>-226.68</v>
      </c>
      <c r="DE10" s="44">
        <v>-760</v>
      </c>
      <c r="DF10" s="44">
        <v>2935</v>
      </c>
      <c r="DG10" s="44">
        <v>-70399.820000000007</v>
      </c>
      <c r="DH10" s="44">
        <v>145410.20000000001</v>
      </c>
      <c r="DI10" s="44">
        <v>-63623.199999999997</v>
      </c>
      <c r="DJ10" s="44">
        <v>-307392.85999999969</v>
      </c>
      <c r="DK10" s="44">
        <v>752.46999999999753</v>
      </c>
      <c r="DL10" s="44">
        <v>-42449.85</v>
      </c>
      <c r="DM10" s="44">
        <v>30799.14</v>
      </c>
      <c r="DN10" s="44">
        <v>-502711.15</v>
      </c>
      <c r="DO10" s="44">
        <v>-154533.39000000004</v>
      </c>
      <c r="DP10" s="44">
        <v>2284.4499999999998</v>
      </c>
      <c r="DQ10" s="44">
        <v>-24000</v>
      </c>
      <c r="DR10" s="44">
        <v>-74967.23000000001</v>
      </c>
      <c r="DS10" s="44">
        <v>40981.22</v>
      </c>
      <c r="DT10" s="44">
        <v>692387.22</v>
      </c>
      <c r="DU10" s="44">
        <v>-1664801.1787740085</v>
      </c>
      <c r="DV10"/>
      <c r="DW10"/>
      <c r="DX10"/>
    </row>
    <row r="13" spans="1:128" s="250" customFormat="1" x14ac:dyDescent="0.3">
      <c r="A13" s="52" t="s">
        <v>783</v>
      </c>
      <c r="B13" s="52">
        <f>C4+GETPIVOTDATA("VALOR",$A$6,"TIPO","RECEITAS","Dias (DATA)",183)+GETPIVOTDATA("VALOR",$A$6,"TIPO","DESPESAS","Dias (DATA)",183)</f>
        <v>161031.88</v>
      </c>
      <c r="C13" s="52">
        <f>B13+GETPIVOTDATA("VALOR",$A$6,"TIPO","RECEITAS","Dias (DATA)",184)+GETPIVOTDATA("VALOR",$A$6,"TIPO","DESPESAS","Dias (DATA)",184)</f>
        <v>797433.66</v>
      </c>
      <c r="D13" s="52">
        <f>C13+GETPIVOTDATA("VALOR",$A$6,"TIPO","RECEITAS","Dias (DATA)",185)+GETPIVOTDATA("VALOR",$A$6,"TIPO","DESPESAS","Dias (DATA)",185)</f>
        <v>797774.71</v>
      </c>
      <c r="E13" s="52">
        <f>D13+GETPIVOTDATA("VALOR",$A$6,"TIPO","RECEITAS","Dias (DATA)",186)+GETPIVOTDATA("VALOR",$A$6,"TIPO","DESPESAS","Dias (DATA)",186)</f>
        <v>283388.97000000003</v>
      </c>
      <c r="F13" s="52">
        <f>E13+GETPIVOTDATA("VALOR",$A$6,"TIPO","RECEITAS","Dias (DATA)",189)+GETPIVOTDATA("VALOR",$A$6,"TIPO","DESPESAS","Dias (DATA)",189)</f>
        <v>285590.11000000004</v>
      </c>
      <c r="G13" s="52">
        <f>F13+GETPIVOTDATA("VALOR",$A$6,"TIPO","RECEITAS","Dias (DATA)",190)+GETPIVOTDATA("VALOR",$A$6,"TIPO","DESPESAS","Dias (DATA)",190)</f>
        <v>255400.69000000003</v>
      </c>
      <c r="H13" s="52">
        <f>G13+GETPIVOTDATA("VALOR",$A$6,"TIPO","RECEITAS","Dias (DATA)",192)+GETPIVOTDATA("VALOR",$A$6,"TIPO","DESPESAS","Dias (DATA)",192)</f>
        <v>215599.29000000004</v>
      </c>
      <c r="I13" s="52">
        <f>H13+GETPIVOTDATA("VALOR",$A$6,"TIPO","RECEITAS","Dias (DATA)",193)+GETPIVOTDATA("VALOR",$A$6,"TIPO","DESPESAS","Dias (DATA)",193)</f>
        <v>333864.11000000004</v>
      </c>
      <c r="J13" s="52">
        <f>I13+GETPIVOTDATA("VALOR",$A$6,"TIPO","RECEITAS","Dias (DATA)",196)+GETPIVOTDATA("VALOR",$A$6,"TIPO","DESPESAS","Dias (DATA)",196)</f>
        <v>335208.55000000005</v>
      </c>
      <c r="K13" s="52">
        <f>J13+GETPIVOTDATA("VALOR",$A$6,"TIPO","RECEITAS","Dias (DATA)",197)+GETPIVOTDATA("VALOR",$A$6,"TIPO","DESPESAS","Dias (DATA)",197)</f>
        <v>1078465.27</v>
      </c>
      <c r="L13" s="52">
        <f>K13+GETPIVOTDATA("VALOR",$A$6,"TIPO","RECEITAS","Dias (DATA)",198)+GETPIVOTDATA("VALOR",$A$6,"TIPO","DESPESAS","Dias (DATA)",198)</f>
        <v>932302.07</v>
      </c>
      <c r="M13" s="52">
        <f>L13+GETPIVOTDATA("VALOR",$A$6,"TIPO","RECEITAS","Dias (DATA)",199)+GETPIVOTDATA("VALOR",$A$6,"TIPO","DESPESAS","Dias (DATA)",199)</f>
        <v>888165.05999999994</v>
      </c>
      <c r="N13" s="52">
        <f>M13+GETPIVOTDATA("VALOR",$A$6,"TIPO","RECEITAS","Dias (DATA)",200)+GETPIVOTDATA("VALOR",$A$6,"TIPO","DESPESAS","Dias (DATA)",200)</f>
        <v>689839.76025599986</v>
      </c>
      <c r="O13" s="52">
        <f>N13+GETPIVOTDATA("VALOR",$A$6,"TIPO","RECEITAS","Dias (DATA)",203)+GETPIVOTDATA("VALOR",$A$6,"TIPO","DESPESAS","Dias (DATA)",203)</f>
        <v>480800.62066099979</v>
      </c>
      <c r="P13" s="52">
        <f>O13+GETPIVOTDATA("VALOR",$A$6,"TIPO","RECEITAS","Dias (DATA)",204)+GETPIVOTDATA("VALOR",$A$6,"TIPO","DESPESAS","Dias (DATA)",204)</f>
        <v>456267.73066099978</v>
      </c>
      <c r="Q13" s="52">
        <f>PLANEJAMENTO1!P13+GETPIVOTDATA("VALOR",PLANEJAMENTO1!$A$6,"TIPO","RECEITAS","Dias (DATA)",205)+GETPIVOTDATA("VALOR",PLANEJAMENTO1!$A$6,"TIPO","DESPESAS","Dias (DATA)",205)</f>
        <v>387910.19066099974</v>
      </c>
      <c r="R13" s="52">
        <f>Q13+GETPIVOTDATA("VALOR",$A$6,"TIPO","RECEITAS","Dias (DATA)",206)+GETPIVOTDATA("VALOR",$A$6,"TIPO","DESPESAS","Dias (DATA)",206)</f>
        <v>373461.85066099971</v>
      </c>
      <c r="S13" s="52">
        <f>R13+GETPIVOTDATA("VALOR",$A$6,"TIPO","RECEITAS","Dias (DATA)",207)+GETPIVOTDATA("VALOR",$A$6,"TIPO","DESPESAS","Dias (DATA)",207)</f>
        <v>320778.9006609997</v>
      </c>
      <c r="T13" s="52">
        <f>S13+GETPIVOTDATA("VALOR",$A$6,"TIPO","RECEITAS","Dias (DATA)",210)+GETPIVOTDATA("VALOR",$A$6,"TIPO","DESPESAS","Dias (DATA)",210)</f>
        <v>282413.16071599972</v>
      </c>
      <c r="U13" s="52">
        <f>T13+GETPIVOTDATA("VALOR",$A$6,"TIPO","RECEITAS","Dias (DATA)",211)+GETPIVOTDATA("VALOR",$A$6,"TIPO","DESPESAS","Dias (DATA)",211)</f>
        <v>286216.46071599971</v>
      </c>
      <c r="V13" s="52">
        <f>U13+GETPIVOTDATA("VALOR",$A$6,"TIPO","RECEITAS","Dias (DATA)",212)+GETPIVOTDATA("VALOR",$A$6,"TIPO","DESPESAS","Dias (DATA)",212)</f>
        <v>236989.09071899971</v>
      </c>
      <c r="W13" s="52">
        <f>V13+GETPIVOTDATA("VALOR",$A$6,"TIPO","RECEITAS","Dias (DATA)",213)+GETPIVOTDATA("VALOR",$A$6,"TIPO","DESPESAS","Dias (DATA)",213)</f>
        <v>248026.36071899976</v>
      </c>
      <c r="X13" s="52">
        <f>W13+GETPIVOTDATA("VALOR",$A$6,"TIPO","RECEITAS","Dias (DATA)",214)+GETPIVOTDATA("VALOR",$A$6,"TIPO","DESPESAS","Dias (DATA)",214)</f>
        <v>244660.51071899972</v>
      </c>
      <c r="Y13" s="52">
        <f>X13+GETPIVOTDATA("VALOR",$A$6,"TIPO","RECEITAS","Dias (DATA)",217)+GETPIVOTDATA("VALOR",$A$6,"TIPO","DESPESAS","Dias (DATA)",217)</f>
        <v>237883.79071899972</v>
      </c>
      <c r="Z13" s="52">
        <f>Y13+GETPIVOTDATA("VALOR",$A$6,"TIPO","RECEITAS","Dias (DATA)",218)+GETPIVOTDATA("VALOR",$A$6,"TIPO","DESPESAS","Dias (DATA)",218)</f>
        <v>565792.96071899973</v>
      </c>
      <c r="AA13" s="456">
        <f>Z13+GETPIVOTDATA("VALOR",$A$6,"TIPO","RECEITAS","Dias (DATA)",219)+GETPIVOTDATA("VALOR",$A$6,"TIPO","DESPESAS","Dias (DATA)",219)</f>
        <v>89407.29071899975</v>
      </c>
      <c r="AB13" s="52">
        <f>AA13+GETPIVOTDATA("VALOR",$A$6,"TIPO","RECEITAS","Dias (DATA)",220)+GETPIVOTDATA("VALOR",$A$6,"TIPO","DESPESAS","Dias (DATA)",220)</f>
        <v>121851.96071899976</v>
      </c>
      <c r="AC13" s="52">
        <f>AB13+GETPIVOTDATA("VALOR",$A$6,"TIPO","RECEITAS","Dias (DATA)",221)+GETPIVOTDATA("VALOR",$A$6,"TIPO","DESPESAS","Dias (DATA)",221)</f>
        <v>80747.470718999757</v>
      </c>
      <c r="AD13" s="52">
        <f>AC13+GETPIVOTDATA("VALOR",$A$6,"TIPO","RECEITAS","Dias (DATA)",224)+GETPIVOTDATA("VALOR",$A$6,"TIPO","DESPESAS","Dias (DATA)",224)</f>
        <v>36240.860718999771</v>
      </c>
      <c r="AE13" s="52">
        <f>AD13+GETPIVOTDATA("VALOR",$A$6,"TIPO","RECEITAS","Dias (DATA)",225)+GETPIVOTDATA("VALOR",$A$6,"TIPO","DESPESAS","Dias (DATA)",225)</f>
        <v>134956.54071899975</v>
      </c>
      <c r="AF13" s="52">
        <f>AE13+GETPIVOTDATA("VALOR",$A$6,"TIPO","RECEITAS","Dias (DATA)",226)+GETPIVOTDATA("VALOR",$A$6,"TIPO","DESPESAS","Dias (DATA)",226)</f>
        <v>135149.00071899974</v>
      </c>
      <c r="AG13" s="52">
        <f>AF13+GETPIVOTDATA("VALOR",$A$6,"TIPO","RECEITAS","Dias (DATA)",227)+GETPIVOTDATA("VALOR",$A$6,"TIPO","DESPESAS","Dias (DATA)",227)</f>
        <v>131877.45071899975</v>
      </c>
      <c r="AH13" s="52">
        <f>AG13+GETPIVOTDATA("VALOR",$A$6,"TIPO","RECEITAS","Dias (DATA)",228)+GETPIVOTDATA("VALOR",$A$6,"TIPO","DESPESAS","Dias (DATA)",228)</f>
        <v>122800.49071899991</v>
      </c>
      <c r="AI13" s="52">
        <f>AH13+GETPIVOTDATA("VALOR",$A$6,"TIPO","RECEITAS","Dias (DATA)",231)+GETPIVOTDATA("VALOR",$A$6,"TIPO","DESPESAS","Dias (DATA)",231)</f>
        <v>22602.370718999911</v>
      </c>
      <c r="AJ13" s="52">
        <f>AI13+GETPIVOTDATA("VALOR",$A$6,"TIPO","RECEITAS","Dias (DATA)",232)+GETPIVOTDATA("VALOR",$A$6,"TIPO","DESPESAS","Dias (DATA)",232)</f>
        <v>642840.27071899979</v>
      </c>
      <c r="AK13" s="52">
        <f>AJ13+GETPIVOTDATA("VALOR",$A$6,"TIPO","RECEITAS","Dias (DATA)",233)+GETPIVOTDATA("VALOR",$A$6,"TIPO","DESPESAS","Dias (DATA)",233)</f>
        <v>341902.36102099967</v>
      </c>
      <c r="AL13" s="52">
        <f>AK13+GETPIVOTDATA("VALOR",$A$6,"TIPO","RECEITAS","Dias (DATA)",234)+GETPIVOTDATA("VALOR",$A$6,"TIPO","DESPESAS","Dias (DATA)",234)</f>
        <v>267020.82102099969</v>
      </c>
      <c r="AM13" s="52">
        <f>AL13+GETPIVOTDATA("VALOR",$A$6,"TIPO","RECEITAS","Dias (DATA)",235)+GETPIVOTDATA("VALOR",$A$6,"TIPO","DESPESAS","Dias (DATA)",235)</f>
        <v>208397.21102099968</v>
      </c>
      <c r="AN13" s="52">
        <f>AM13+GETPIVOTDATA("VALOR",$A$6,"TIPO","RECEITAS","Dias (DATA)",238)+GETPIVOTDATA("VALOR",$A$6,"TIPO","DESPESAS","Dias (DATA)",238)</f>
        <v>195225.97102099968</v>
      </c>
      <c r="AO13" s="52">
        <f>AN13+GETPIVOTDATA("VALOR",$A$6,"TIPO","RECEITAS","Dias (DATA)",239)+GETPIVOTDATA("VALOR",$A$6,"TIPO","DESPESAS","Dias (DATA)",239)</f>
        <v>173981.87102099968</v>
      </c>
      <c r="AP13" s="52">
        <f>AO13+GETPIVOTDATA("VALOR",$A$6,"TIPO","RECEITAS","Dias (DATA)",240)+GETPIVOTDATA("VALOR",$A$6,"TIPO","DESPESAS","Dias (DATA)",240)</f>
        <v>131047.70071799967</v>
      </c>
      <c r="AQ13" s="52">
        <f>AP13+GETPIVOTDATA("VALOR",$A$6,"TIPO","RECEITAS","Dias (DATA)",241)+GETPIVOTDATA("VALOR",$A$6,"TIPO","DESPESAS","Dias (DATA)",241)</f>
        <v>247792.84071799967</v>
      </c>
      <c r="AR13" s="52">
        <f>AQ13+GETPIVOTDATA("VALOR",$A$6,"TIPO","RECEITAS","Dias (DATA)",242)+GETPIVOTDATA("VALOR",$A$6,"TIPO","DESPESAS","Dias (DATA)",242)</f>
        <v>435389.78123199975</v>
      </c>
      <c r="AS13" s="52">
        <f>AR13+GETPIVOTDATA("VALOR",$A$6,"TIPO","RECEITAS","Dias (DATA)",245)+GETPIVOTDATA("VALOR",$A$6,"TIPO","DESPESAS","Dias (DATA)",245)</f>
        <v>443697.66122599976</v>
      </c>
      <c r="AT13" s="52">
        <f>AS13+GETPIVOTDATA("VALOR",$A$6,"TIPO","RECEITAS","Dias (DATA)",246)+GETPIVOTDATA("VALOR",$A$6,"TIPO","DESPESAS","Dias (DATA)",246)</f>
        <v>503483.55122599972</v>
      </c>
      <c r="AU13" s="52">
        <f>AT13+GETPIVOTDATA("VALOR",$A$6,"TIPO","RECEITAS","Dias (DATA)",247)+GETPIVOTDATA("VALOR",$A$6,"TIPO","DESPESAS","Dias (DATA)",247)</f>
        <v>547671.47122599976</v>
      </c>
      <c r="AV13" s="456">
        <f>AU13+GETPIVOTDATA("VALOR",$A$6,"TIPO","RECEITAS","Dias (DATA)",248)+GETPIVOTDATA("VALOR",$A$6,"TIPO","DESPESAS","Dias (DATA)",248)</f>
        <v>530368.50122599979</v>
      </c>
      <c r="AW13" s="456">
        <f>AV13+GETPIVOTDATA("VALOR",$A$6,"TIPO","RECEITAS","Dias (DATA)",249)+GETPIVOTDATA("VALOR",$A$6,"TIPO","DESPESAS","Dias (DATA)",249)</f>
        <v>31678.371225999843</v>
      </c>
      <c r="AX13" s="52">
        <f>AW13+GETPIVOTDATA("VALOR",$A$6,"TIPO","RECEITAS","Dias (DATA)",252)+GETPIVOTDATA("VALOR",$A$6,"TIPO","DESPESAS","Dias (DATA)",252)</f>
        <v>20.091225999844028</v>
      </c>
      <c r="AY13" s="780">
        <f>AX13+GETPIVOTDATA("VALOR",$A$6,"TIPO","RECEITAS","Dias (DATA)",253)+GETPIVOTDATA("VALOR",$A$6,"TIPO","DESPESAS","Dias (DATA)",253)</f>
        <v>17869.901225999845</v>
      </c>
      <c r="AZ13" s="52">
        <f>AY13+GETPIVOTDATA("VALOR",$A$6,"TIPO","RECEITAS","Dias (DATA)",254)+GETPIVOTDATA("VALOR",$A$6,"TIPO","DESPESAS","Dias (DATA)",254)</f>
        <v>-56533.648774000168</v>
      </c>
      <c r="BA13" s="52">
        <f>AZ13+GETPIVOTDATA("VALOR",$A$6,"TIPO","RECEITAS","Dias (DATA)",255)+GETPIVOTDATA("VALOR",$A$6,"TIPO","DESPESAS","Dias (DATA)",255)</f>
        <v>70096.501225999833</v>
      </c>
      <c r="BB13" s="52">
        <f>BA13+GETPIVOTDATA("VALOR",$A$6,"TIPO","RECEITAS","Dias (DATA)",256)+GETPIVOTDATA("VALOR",$A$6,"TIPO","DESPESAS","Dias (DATA)",256)</f>
        <v>70568.231225999829</v>
      </c>
      <c r="BC13" s="52">
        <f>BB13+GETPIVOTDATA("VALOR",$A$6,"TIPO","RECEITAS","Dias (DATA)",260)+GETPIVOTDATA("VALOR",$A$6,"TIPO","DESPESAS","Dias (DATA)",260)</f>
        <v>-231396.79877399973</v>
      </c>
      <c r="BD13" s="52">
        <f>BC13+GETPIVOTDATA("VALOR",$A$6,"TIPO","RECEITAS","Dias (DATA)",261)+GETPIVOTDATA("VALOR",$A$6,"TIPO","DESPESAS","Dias (DATA)",261)</f>
        <v>-289721.87877399975</v>
      </c>
      <c r="BE13" s="52">
        <f>BD13+GETPIVOTDATA("VALOR",$A$6,"TIPO","RECEITAS","Dias (DATA)",262)+GETPIVOTDATA("VALOR",$A$6,"TIPO","DESPESAS","Dias (DATA)",262)</f>
        <v>-266174.32877399976</v>
      </c>
      <c r="BF13" s="52">
        <f>BE13+GETPIVOTDATA("VALOR",$A$6,"TIPO","RECEITAS","Dias (DATA)",263)+GETPIVOTDATA("VALOR",$A$6,"TIPO","DESPESAS","Dias (DATA)",263)</f>
        <v>-543785.86877399974</v>
      </c>
      <c r="BG13" s="52">
        <f>BF13+GETPIVOTDATA("VALOR",$A$6,"TIPO","RECEITAS","Dias (DATA)",266)+GETPIVOTDATA("VALOR",$A$6,"TIPO","DESPESAS","Dias (DATA)",266)</f>
        <v>-703141.9287739998</v>
      </c>
      <c r="BH13" s="52">
        <f>BG13+GETPIVOTDATA("VALOR",$A$6,"TIPO","RECEITAS","Dias (DATA)",267)+GETPIVOTDATA("VALOR",$A$6,"TIPO","DESPESAS","Dias (DATA)",267)</f>
        <v>-959012.03877399978</v>
      </c>
      <c r="BI13" s="52">
        <f>BH13+GETPIVOTDATA("VALOR",$A$6,"TIPO","RECEITAS","Dias (DATA)",268)+GETPIVOTDATA("VALOR",$A$6,"TIPO","DESPESAS","Dias (DATA)",268)</f>
        <v>-979997.48877399974</v>
      </c>
      <c r="BJ13" s="52">
        <f>BI13+GETPIVOTDATA("VALOR",$A$6,"TIPO","RECEITAS","Dias (DATA)",269)+GETPIVOTDATA("VALOR",$A$6,"TIPO","DESPESAS","Dias (DATA)",269)</f>
        <v>-1002822.8087739997</v>
      </c>
      <c r="BK13" s="52">
        <f>BJ13+GETPIVOTDATA("VALOR",$A$6,"TIPO","RECEITAS","Dias (DATA)",270)+GETPIVOTDATA("VALOR",$A$6,"TIPO","DESPESAS","Dias (DATA)",270)</f>
        <v>-988927.62877399975</v>
      </c>
      <c r="BL13" s="52">
        <f>BK13+GETPIVOTDATA("VALOR",$A$6,"TIPO","RECEITAS","Dias (DATA)",273)+GETPIVOTDATA("VALOR",$A$6,"TIPO","DESPESAS","Dias (DATA)",273)</f>
        <v>-1052163.0887739998</v>
      </c>
      <c r="BM13" s="52">
        <f>BL13+GETPIVOTDATA("VALOR",$A$6,"TIPO","RECEITAS","Dias (DATA)",274)+GETPIVOTDATA("VALOR",$A$6,"TIPO","DESPESAS","Dias (DATA)",274)</f>
        <v>-458468.8087739998</v>
      </c>
      <c r="BN13" s="52">
        <f>BM13+GETPIVOTDATA("VALOR",$A$6,"TIPO","RECEITAS","Dias (DATA)",275)+GETPIVOTDATA("VALOR",$A$6,"TIPO","DESPESAS","Dias (DATA)",275)</f>
        <v>-342227.57877399982</v>
      </c>
      <c r="BO13" s="763">
        <f>BN13+GETPIVOTDATA("VALOR",$A$6,"TIPO","RECEITAS","Dias (DATA)",276)+GETPIVOTDATA("VALOR",$A$6,"TIPO","DESPESAS","Dias (DATA)",276)</f>
        <v>-343127.57877399982</v>
      </c>
      <c r="BP13" s="52">
        <f>BO13+GETPIVOTDATA("VALOR",$A$6,"TIPO","RECEITAS","Dias (DATA)",275)+GETPIVOTDATA("VALOR",$A$6,"TIPO","DESPESAS","Dias (DATA)",275)</f>
        <v>-226886.34877399984</v>
      </c>
      <c r="BQ13" s="52">
        <f>BP13+GETPIVOTDATA("VALOR",$A$6,"TIPO","RECEITAS","Dias (DATA)",276)+GETPIVOTDATA("VALOR",$A$6,"TIPO","DESPESAS","Dias (DATA)",276)</f>
        <v>-227786.34877399984</v>
      </c>
      <c r="BR13" s="442">
        <f>BQ13+GETPIVOTDATA("VALOR",$A$6,"TIPO","RECEITAS","Dias (DATA)",277)+GETPIVOTDATA("VALOR",$A$6,"TIPO","DESPESAS","Dias (DATA)",277)</f>
        <v>100258.65122600016</v>
      </c>
      <c r="BS13" s="52">
        <f>BR13+GETPIVOTDATA("VALOR",$A$6,"TIPO","RECEITAS","Dias (DATA)",280)+GETPIVOTDATA("VALOR",$A$6,"TIPO","DESPESAS","Dias (DATA)",280)</f>
        <v>-405414.32877399982</v>
      </c>
      <c r="BT13" s="52">
        <f>BS13+GETPIVOTDATA("VALOR",$A$6,"TIPO","RECEITAS","Dias (DATA)",281)+GETPIVOTDATA("VALOR",$A$6,"TIPO","DESPESAS","Dias (DATA)",281)</f>
        <v>-400479.32877399982</v>
      </c>
      <c r="BU13" s="52">
        <f>BT13+GETPIVOTDATA("VALOR",$A$6,"TIPO","RECEITAS","Dias (DATA)",282)+GETPIVOTDATA("VALOR",$A$6,"TIPO","DESPESAS","Dias (DATA)",282)</f>
        <v>-406079.32877399982</v>
      </c>
      <c r="BV13" s="52">
        <f>BU13+GETPIVOTDATA("VALOR",$A$6,"TIPO","RECEITAS","Dias (DATA)",283)+GETPIVOTDATA("VALOR",$A$6,"TIPO","DESPESAS","Dias (DATA)",283)</f>
        <v>-408079.32877399982</v>
      </c>
      <c r="BW13" s="52">
        <f>BV13+GETPIVOTDATA("VALOR",$A$6,"TIPO","RECEITAS","Dias (DATA)",284)+GETPIVOTDATA("VALOR",$A$6,"TIPO","DESPESAS","Dias (DATA)",284)</f>
        <v>-495714.14877399983</v>
      </c>
      <c r="BX13" s="52">
        <f>BW13+GETPIVOTDATA("VALOR",$A$6,"TIPO","RECEITAS","Dias (DATA)",289)+GETPIVOTDATA("VALOR",$A$6,"TIPO","DESPESAS","Dias (DATA)",289)</f>
        <v>-813107.00877399999</v>
      </c>
      <c r="BY13" s="52">
        <f>BX13+GETPIVOTDATA("VALOR",$A$6,"TIPO","RECEITAS","Dias (DATA)",290)+GETPIVOTDATA("VALOR",$A$6,"TIPO","DESPESAS","Dias (DATA)",290)</f>
        <v>-829596.86877399997</v>
      </c>
      <c r="BZ13" s="52">
        <f>BY13+GETPIVOTDATA("VALOR",$A$6,"TIPO","RECEITAS","Dias (DATA)",291)+GETPIVOTDATA("VALOR",$A$6,"TIPO","DESPESAS","Dias (DATA)",291)</f>
        <v>-887628.53877400002</v>
      </c>
      <c r="CA13" s="52">
        <f>BZ13+GETPIVOTDATA("VALOR",$A$6,"TIPO","RECEITAS","Dias (DATA)",294)+GETPIVOTDATA("VALOR",$A$6,"TIPO","DESPESAS","Dias (DATA)",294)</f>
        <v>-1196603.4387739999</v>
      </c>
      <c r="CB13" s="52">
        <f>CA13+GETPIVOTDATA("VALOR",$A$6,"TIPO","RECEITAS","Dias (DATA)",295)+GETPIVOTDATA("VALOR",$A$6,"TIPO","DESPESAS","Dias (DATA)",295)</f>
        <v>-1246872.3587739998</v>
      </c>
      <c r="CC13" s="52">
        <f>CB13+GETPIVOTDATA("VALOR",$A$6,"TIPO","RECEITAS","Dias (DATA)",296)+GETPIVOTDATA("VALOR",$A$6,"TIPO","DESPESAS","Dias (DATA)",296)</f>
        <v>-1233828.2987739998</v>
      </c>
      <c r="CD13" s="52">
        <f>CC13+GETPIVOTDATA("VALOR",$A$6,"TIPO","RECEITAS","Dias (DATA)",298)+GETPIVOTDATA("VALOR",$A$6,"TIPO","DESPESAS","Dias (DATA)",298)</f>
        <v>-1261043.2987739998</v>
      </c>
      <c r="CE13" s="52">
        <f>CD13+GETPIVOTDATA("VALOR",$A$6,"TIPO","RECEITAS","Dias (DATA)",301)+GETPIVOTDATA("VALOR",$A$6,"TIPO","DESPESAS","Dias (DATA)",301)</f>
        <v>-1322795.5287739998</v>
      </c>
      <c r="CF13" s="52">
        <f>CE13+GETPIVOTDATA("VALOR",$A$6,"TIPO","RECEITAS","Dias (DATA)",303)+GETPIVOTDATA("VALOR",$A$6,"TIPO","DESPESAS","Dias (DATA)",303)</f>
        <v>-1323295.5287739998</v>
      </c>
      <c r="CG13" s="52">
        <f>CF13+GETPIVOTDATA("VALOR",$A$6,"TIPO","RECEITAS","Dias (DATA)",304)+GETPIVOTDATA("VALOR",$A$6,"TIPO","DESPESAS","Dias (DATA)",304)</f>
        <v>-517158.01877399976</v>
      </c>
      <c r="CH13" s="52">
        <f>CG13+GETPIVOTDATA("VALOR",$A$6,"TIPO","RECEITAS","Dias (DATA)",305)+GETPIVOTDATA("VALOR",$A$6,"TIPO","DESPESAS","Dias (DATA)",305)</f>
        <v>-572456.22877399973</v>
      </c>
      <c r="CI13" s="52">
        <f>CH13+GETPIVOTDATA("VALOR",$A$6,"TIPO","RECEITAS","Dias (DATA)",308)+GETPIVOTDATA("VALOR",$A$6,"TIPO","DESPESAS","Dias (DATA)",308)</f>
        <v>-585846.21877399972</v>
      </c>
      <c r="CJ13" s="52">
        <f>CI13+GETPIVOTDATA("VALOR",$A$6,"TIPO","RECEITAS","Dias (DATA)",309)+GETPIVOTDATA("VALOR",$A$6,"TIPO","DESPESAS","Dias (DATA)",309)</f>
        <v>-246590.19877399973</v>
      </c>
      <c r="CK13" s="52">
        <f>CJ13+GETPIVOTDATA("VALOR",$A$6,"TIPO","RECEITAS","Dias (DATA)",310)+GETPIVOTDATA("VALOR",$A$6,"TIPO","DESPESAS","Dias (DATA)",310)</f>
        <v>-255590.19877399973</v>
      </c>
      <c r="CL13" s="52">
        <f>CK13+GETPIVOTDATA("VALOR",$A$6,"TIPO","RECEITAS","Dias (DATA)",311)+GETPIVOTDATA("VALOR",$A$6,"TIPO","DESPESAS","Dias (DATA)",311)</f>
        <v>-255979.19877399973</v>
      </c>
      <c r="CM13" s="52">
        <f>CL13+GETPIVOTDATA("VALOR",$A$6,"TIPO","RECEITAS","Dias (DATA)",312)+GETPIVOTDATA("VALOR",$A$6,"TIPO","DESPESAS","Dias (DATA)",312)</f>
        <v>-760539.1987739997</v>
      </c>
      <c r="CN13" s="442">
        <f>CM13+GETPIVOTDATA("VALOR",$A$6,"TIPO","RECEITAS","Dias (DATA)",315)+GETPIVOTDATA("VALOR",$A$6,"TIPO","DESPESAS","Dias (DATA)",315)</f>
        <v>-836538.63877399964</v>
      </c>
      <c r="CO13" s="52">
        <f>CN13+GETPIVOTDATA("VALOR",$A$6,"TIPO","RECEITAS","Dias (DATA)",316)+GETPIVOTDATA("VALOR",$A$6,"TIPO","DESPESAS","Dias (DATA)",316)</f>
        <v>-703588.04877399956</v>
      </c>
      <c r="CP13" s="52">
        <f>CO13+GETPIVOTDATA("VALOR",$A$6,"TIPO","RECEITAS","Dias (DATA)",318)+GETPIVOTDATA("VALOR",$A$6,"TIPO","DESPESAS","Dias (DATA)",318)</f>
        <v>-749976.24877399951</v>
      </c>
      <c r="CQ13" s="52">
        <f>CP13+GETPIVOTDATA("VALOR",$A$6,"TIPO","RECEITAS","Dias (DATA)",319)+GETPIVOTDATA("VALOR",$A$6,"TIPO","DESPESAS","Dias (DATA)",319)</f>
        <v>-789191.24877399951</v>
      </c>
      <c r="CR13" s="52">
        <f>CQ13+GETPIVOTDATA("VALOR",$A$6,"TIPO","RECEITAS","Dias (DATA)",322)+GETPIVOTDATA("VALOR",$A$6,"TIPO","DESPESAS","Dias (DATA)",322)</f>
        <v>-1154382.8787739992</v>
      </c>
      <c r="CS13" s="52">
        <f>CR13+GETPIVOTDATA("VALOR",$A$6,"TIPO","RECEITAS","Dias (DATA)",323)+GETPIVOTDATA("VALOR",$A$6,"TIPO","DESPESAS","Dias (DATA)",323)</f>
        <v>-1105627.3487739991</v>
      </c>
      <c r="CT13" s="52">
        <f>CS13+GETPIVOTDATA("VALOR",$A$6,"TIPO","RECEITAS","Dias (DATA)",325)+GETPIVOTDATA("VALOR",$A$6,"TIPO","DESPESAS","Dias (DATA)",325)</f>
        <v>-1451398.0587739991</v>
      </c>
      <c r="CU13" s="52">
        <f>CT13+GETPIVOTDATA("VALOR",$A$6,"TIPO","RECEITAS","Dias (DATA)",326)+GETPIVOTDATA("VALOR",$A$6,"TIPO","DESPESAS","Dias (DATA)",326)</f>
        <v>-1514137.918773999</v>
      </c>
      <c r="CV13" s="52">
        <f>CU13+GETPIVOTDATA("VALOR",$A$6,"TIPO","RECEITAS","Dias (DATA)",329)+GETPIVOTDATA("VALOR",$A$6,"TIPO","DESPESAS","Dias (DATA)",329)</f>
        <v>-1515837.918773999</v>
      </c>
      <c r="CW13" s="52">
        <f>CV13+GETPIVOTDATA("VALOR",$A$6,"TIPO","RECEITAS","Dias (DATA)",330)+GETPIVOTDATA("VALOR",$A$6,"TIPO","DESPESAS","Dias (DATA)",330)</f>
        <v>-1541875.5787739989</v>
      </c>
      <c r="CX13" s="52">
        <f>CW13+GETPIVOTDATA("VALOR",$A$6,"TIPO","RECEITAS","Dias (DATA)",331)+GETPIVOTDATA("VALOR",$A$6,"TIPO","DESPESAS","Dias (DATA)",331)</f>
        <v>-1577590.148773999</v>
      </c>
      <c r="CY13" s="52">
        <f>CX13+GETPIVOTDATA("VALOR",$A$6,"TIPO","RECEITAS","Dias (DATA)",333)+GETPIVOTDATA("VALOR",$A$6,"TIPO","DESPESAS","Dias (DATA)",333)</f>
        <v>-1213598.3587739989</v>
      </c>
      <c r="CZ13" s="52">
        <f>CY13+GETPIVOTDATA("VALOR",$A$6,"TIPO","RECEITAS","Dias (DATA)",336)+GETPIVOTDATA("VALOR",$A$6,"TIPO","DESPESAS","Dias (DATA)",336)</f>
        <v>-1226088.3487739989</v>
      </c>
      <c r="DA13" s="52">
        <f>CZ13+GETPIVOTDATA("VALOR",$A$6,"TIPO","RECEITAS","Dias (DATA)",337)+GETPIVOTDATA("VALOR",$A$6,"TIPO","DESPESAS","Dias (DATA)",337)</f>
        <v>-1096408.4987739988</v>
      </c>
      <c r="DB13" s="52">
        <f>DA13+GETPIVOTDATA("VALOR",$A$6,"TIPO","RECEITAS","Dias (DATA)",339)+GETPIVOTDATA("VALOR",$A$6,"TIPO","DESPESAS","Dias (DATA)",339)</f>
        <v>-757541.4787739988</v>
      </c>
      <c r="DC13" s="52">
        <f>DB13+GETPIVOTDATA("VALOR",$A$6,"TIPO","RECEITAS","Dias (DATA)",340)+GETPIVOTDATA("VALOR",$A$6,"TIPO","DESPESAS","Dias (DATA)",340)</f>
        <v>-1273276.4787739988</v>
      </c>
      <c r="DD13" s="442">
        <f>DC13+GETPIVOTDATA("VALOR",$A$6,"TIPO","RECEITAS","Dias (DATA)",343)+GETPIVOTDATA("VALOR",$A$6,"TIPO","DESPESAS","Dias (DATA)",343)</f>
        <v>-1274036.4787739988</v>
      </c>
      <c r="DE13" s="52">
        <f>DD13+GETPIVOTDATA("VALOR",$A$6,"TIPO","RECEITAS","Dias (DATA)",344)+GETPIVOTDATA("VALOR",$A$6,"TIPO","DESPESAS","Dias (DATA)",344)</f>
        <v>-1271101.4787739988</v>
      </c>
      <c r="DF13" s="52">
        <f>DE13+GETPIVOTDATA("VALOR",$A$6,"TIPO","RECEITAS","Dias (DATA)",345)+GETPIVOTDATA("VALOR",$A$6,"TIPO","DESPESAS","Dias (DATA)",345)</f>
        <v>-1341501.2987739989</v>
      </c>
      <c r="DG13" s="52">
        <f>DF13+GETPIVOTDATA("VALOR",$A$6,"TIPO","RECEITAS","Dias (DATA)",346)+GETPIVOTDATA("VALOR",$A$6,"TIPO","DESPESAS","Dias (DATA)",346)</f>
        <v>-1196091.0987739989</v>
      </c>
      <c r="DH13" s="52">
        <f>DG13+GETPIVOTDATA("VALOR",$A$6,"TIPO","RECEITAS","Dias (DATA)",347)+GETPIVOTDATA("VALOR",$A$6,"TIPO","DESPESAS","Dias (DATA)",347)</f>
        <v>-1259714.2987739989</v>
      </c>
      <c r="DI13" s="52">
        <f>DH13+GETPIVOTDATA("VALOR",$A$6,"TIPO","RECEITAS","Dias (DATA)",350)+GETPIVOTDATA("VALOR",$A$6,"TIPO","DESPESAS","Dias (DATA)",350)</f>
        <v>-1567107.1587739985</v>
      </c>
      <c r="DJ13" s="52">
        <f>DI13+GETPIVOTDATA("VALOR",$A$6,"TIPO","RECEITAS","Dias (DATA)",351)+GETPIVOTDATA("VALOR",$A$6,"TIPO","DESPESAS","Dias (DATA)",351)</f>
        <v>-1566354.6887739985</v>
      </c>
      <c r="DK13" s="52">
        <f>DJ13+GETPIVOTDATA("VALOR",$A$6,"TIPO","RECEITAS","Dias (DATA)",352)+GETPIVOTDATA("VALOR",$A$6,"TIPO","DESPESAS","Dias (DATA)",352)</f>
        <v>-1608804.5387739986</v>
      </c>
      <c r="DL13" s="52">
        <f>DK13+GETPIVOTDATA("VALOR",$A$6,"TIPO","RECEITAS","Dias (DATA)",353)+GETPIVOTDATA("VALOR",$A$6,"TIPO","DESPESAS","Dias (DATA)",353)</f>
        <v>-1578005.3987739985</v>
      </c>
      <c r="DM13" s="52">
        <f>DL13+GETPIVOTDATA("VALOR",$A$6,"TIPO","RECEITAS","Dias (DATA)",354)+GETPIVOTDATA("VALOR",$A$6,"TIPO","DESPESAS","Dias (DATA)",354)</f>
        <v>-2080716.5487739984</v>
      </c>
      <c r="DN13" s="52">
        <f>DM13+GETPIVOTDATA("VALOR",$A$6,"TIPO","RECEITAS","Dias (DATA)",357)+GETPIVOTDATA("VALOR",$A$6,"TIPO","DESPESAS","Dias (DATA)",357)</f>
        <v>-2235249.9387739985</v>
      </c>
      <c r="DO13" s="52">
        <f>DN13+GETPIVOTDATA("VALOR",$A$6,"TIPO","RECEITAS","Dias (DATA)",358)+GETPIVOTDATA("VALOR",$A$6,"TIPO","DESPESAS","Dias (DATA)",358)</f>
        <v>-2232965.4887739983</v>
      </c>
      <c r="DP13" s="52">
        <f>DO13+GETPIVOTDATA("VALOR",$A$6,"TIPO","RECEITAS","Dias (DATA)",359)+GETPIVOTDATA("VALOR",$A$6,"TIPO","DESPESAS","Dias (DATA)",359)</f>
        <v>-2256965.4887739983</v>
      </c>
      <c r="DQ13" s="52">
        <f>DP13+GETPIVOTDATA("VALOR",$A$6,"TIPO","RECEITAS","Dias (DATA)",361)+GETPIVOTDATA("VALOR",$A$6,"TIPO","DESPESAS","Dias (DATA)",361)</f>
        <v>-2331932.7187739983</v>
      </c>
      <c r="DR13" s="52">
        <f>DQ13+GETPIVOTDATA("VALOR",$A$6,"TIPO","RECEITAS","Dias (DATA)",364)+GETPIVOTDATA("VALOR",$A$6,"TIPO","DESPESAS","Dias (DATA)",364)</f>
        <v>-2290951.4987739981</v>
      </c>
      <c r="DS13" s="52">
        <f>DR13+GETPIVOTDATA("VALOR",$A$6,"TIPO","RECEITAS","Dias (DATA)",365)+GETPIVOTDATA("VALOR",$A$6,"TIPO","DESPESAS","Dias (DATA)",365)</f>
        <v>-1598564.2787739979</v>
      </c>
      <c r="DT13" s="52">
        <f>DS13+GETPIVOTDATA("VALOR",$A$6,"TIPO","RECEITAS","Dias (DATA)",365)+GETPIVOTDATA("VALOR",$A$6,"TIPO","DESPESAS","Dias (DATA)",365)</f>
        <v>-906177.05877399794</v>
      </c>
    </row>
    <row r="14" spans="1:128" s="123" customFormat="1" x14ac:dyDescent="0.3">
      <c r="B14" s="446">
        <f>C4+GETPIVOTDATA("VALOR",$A$6,"TIPO","RECEITAS","Dias (DATA)",183)+GETPIVOTDATA("VALOR",$A$6,"TIPO","DESPESAS","Dias (DATA)",183)</f>
        <v>161031.88</v>
      </c>
      <c r="C14" s="446">
        <f>B14+GETPIVOTDATA("VALOR",$A$6,"TIPO","RECEITAS","Dias (DATA)",184)+GETPIVOTDATA("VALOR",$A$6,"TIPO","DESPESAS","Dias (DATA)",184)</f>
        <v>797433.66</v>
      </c>
      <c r="D14" s="446">
        <f>C14+GETPIVOTDATA("VALOR",$A$6,"TIPO","RECEITAS","Dias (DATA)",185)+GETPIVOTDATA("VALOR",$A$6,"TIPO","DESPESAS","Dias (DATA)",185)</f>
        <v>797774.71</v>
      </c>
      <c r="E14" s="446">
        <f>D14+GETPIVOTDATA("VALOR",$A$6,"TIPO","RECEITAS","Dias (DATA)",186)+GETPIVOTDATA("VALOR",$A$6,"TIPO","DESPESAS","Dias (DATA)",186)</f>
        <v>283388.97000000003</v>
      </c>
      <c r="F14" s="446">
        <f>E14+GETPIVOTDATA("VALOR",$A$6,"TIPO","RECEITAS","Dias (DATA)",189)+GETPIVOTDATA("VALOR",$A$6,"TIPO","DESPESAS","Dias (DATA)",189)</f>
        <v>285590.11000000004</v>
      </c>
      <c r="G14" s="446">
        <f>F14+GETPIVOTDATA("VALOR",$A$6,"TIPO","RECEITAS","Dias (DATA)",190)+GETPIVOTDATA("VALOR",$A$6,"TIPO","DESPESAS","Dias (DATA)",190)</f>
        <v>255400.69000000003</v>
      </c>
      <c r="H14" s="446">
        <f>G14+GETPIVOTDATA("VALOR",$A$6,"TIPO","RECEITAS","Dias (DATA)",192)+GETPIVOTDATA("VALOR",$A$6,"TIPO","DESPESAS","Dias (DATA)",192)</f>
        <v>215599.29000000004</v>
      </c>
      <c r="I14" s="446">
        <f>H14+GETPIVOTDATA("VALOR",$A$6,"TIPO","RECEITAS","Dias (DATA)",193)+GETPIVOTDATA("VALOR",$A$6,"TIPO","DESPESAS","Dias (DATA)",193)</f>
        <v>333864.11000000004</v>
      </c>
      <c r="J14" s="446">
        <f>I14+GETPIVOTDATA("VALOR",$A$6,"TIPO","RECEITAS","Dias (DATA)",196)+GETPIVOTDATA("VALOR",$A$6,"TIPO","DESPESAS","Dias (DATA)",196)</f>
        <v>335208.55000000005</v>
      </c>
      <c r="K14" s="446">
        <f>J14+GETPIVOTDATA("VALOR",$A$6,"TIPO","RECEITAS","Dias (DATA)",197)+GETPIVOTDATA("VALOR",$A$6,"TIPO","DESPESAS","Dias (DATA)",197)</f>
        <v>1078465.27</v>
      </c>
      <c r="L14" s="446">
        <f>K14+GETPIVOTDATA("VALOR",$A$6,"TIPO","RECEITAS","Dias (DATA)",198)+GETPIVOTDATA("VALOR",$A$6,"TIPO","DESPESAS","Dias (DATA)",198)</f>
        <v>932302.07</v>
      </c>
      <c r="M14" s="446">
        <f>L14+GETPIVOTDATA("VALOR",$A$6,"TIPO","RECEITAS","Dias (DATA)",199)+GETPIVOTDATA("VALOR",$A$6,"TIPO","DESPESAS","Dias (DATA)",199)</f>
        <v>888165.05999999994</v>
      </c>
      <c r="N14" s="446">
        <f>M14+GETPIVOTDATA("VALOR",$A$6,"TIPO","RECEITAS","Dias (DATA)",200)+GETPIVOTDATA("VALOR",$A$6,"TIPO","DESPESAS","Dias (DATA)",200)</f>
        <v>689839.76025599986</v>
      </c>
      <c r="O14" s="446">
        <f>N14+GETPIVOTDATA("VALOR",$A$6,"TIPO","RECEITAS","Dias (DATA)",203)+GETPIVOTDATA("VALOR",$A$6,"TIPO","DESPESAS","Dias (DATA)",203)</f>
        <v>480800.62066099979</v>
      </c>
      <c r="P14" s="446">
        <f>O14+GETPIVOTDATA("VALOR",$A$6,"TIPO","RECEITAS","Dias (DATA)",204)+GETPIVOTDATA("VALOR",$A$6,"TIPO","DESPESAS","Dias (DATA)",204)</f>
        <v>456267.73066099978</v>
      </c>
      <c r="Q14" s="446">
        <f>P14+GETPIVOTDATA("VALOR",$A$6,"TIPO","RECEITAS","Dias (DATA)",205)+GETPIVOTDATA("VALOR",$A$6,"TIPO","DESPESAS","Dias (DATA)",205)</f>
        <v>387910.19066099974</v>
      </c>
      <c r="R14" s="446">
        <f>Q14+GETPIVOTDATA("VALOR",$A$6,"TIPO","RECEITAS","Dias (DATA)",206)+GETPIVOTDATA("VALOR",$A$6,"TIPO","DESPESAS","Dias (DATA)",206)</f>
        <v>373461.85066099971</v>
      </c>
      <c r="S14" s="446">
        <f>R14+GETPIVOTDATA("VALOR",$A$6,"TIPO","RECEITAS","Dias (DATA)",207)+GETPIVOTDATA("VALOR",$A$6,"TIPO","DESPESAS","Dias (DATA)",207)</f>
        <v>320778.9006609997</v>
      </c>
      <c r="T14" s="446">
        <f>S14+GETPIVOTDATA("VALOR",$A$6,"TIPO","RECEITAS","Dias (DATA)",210)+GETPIVOTDATA("VALOR",$A$6,"TIPO","DESPESAS","Dias (DATA)",210)</f>
        <v>282413.16071599972</v>
      </c>
      <c r="U14" s="446">
        <f>T14+GETPIVOTDATA("VALOR",$A$6,"TIPO","RECEITAS","Dias (DATA)",211)+GETPIVOTDATA("VALOR",$A$6,"TIPO","DESPESAS","Dias (DATA)",211)</f>
        <v>286216.46071599971</v>
      </c>
      <c r="V14" s="446">
        <f>U14+GETPIVOTDATA("VALOR",$A$6,"TIPO","RECEITAS","Dias (DATA)",212)+GETPIVOTDATA("VALOR",$A$6,"TIPO","DESPESAS","Dias (DATA)",212)</f>
        <v>236989.09071899971</v>
      </c>
      <c r="W14" s="446">
        <f>V14+GETPIVOTDATA("VALOR",$A$6,"TIPO","RECEITAS","Dias (DATA)",213)+GETPIVOTDATA("VALOR",$A$6,"TIPO","DESPESAS","Dias (DATA)",213)</f>
        <v>248026.36071899976</v>
      </c>
      <c r="X14" s="446">
        <f>W14+GETPIVOTDATA("VALOR",$A$6,"TIPO","RECEITAS","Dias (DATA)",214)+GETPIVOTDATA("VALOR",$A$6,"TIPO","DESPESAS","Dias (DATA)",214)</f>
        <v>244660.51071899972</v>
      </c>
      <c r="Y14" s="446">
        <f>X14+GETPIVOTDATA("VALOR",$A$6,"TIPO","RECEITAS","Dias (DATA)",217)+GETPIVOTDATA("VALOR",$A$6,"TIPO","DESPESAS","Dias (DATA)",217)</f>
        <v>237883.79071899972</v>
      </c>
      <c r="Z14" s="446">
        <f>Y14+GETPIVOTDATA("VALOR",$A$6,"TIPO","RECEITAS","Dias (DATA)",218)+GETPIVOTDATA("VALOR",$A$6,"TIPO","DESPESAS","Dias (DATA)",218)</f>
        <v>565792.96071899973</v>
      </c>
      <c r="AA14" s="49">
        <f>Z14+GETPIVOTDATA("VALOR",$A$6,"TIPO","RECEITAS","Dias (DATA)",219)+GETPIVOTDATA("VALOR",$A$6,"TIPO","DESPESAS","Dias (DATA)",219)</f>
        <v>89407.29071899975</v>
      </c>
      <c r="AB14" s="446">
        <f>AA14+GETPIVOTDATA("VALOR",$A$6,"TIPO","RECEITAS","Dias (DATA)",220)+GETPIVOTDATA("VALOR",$A$6,"TIPO","DESPESAS","Dias (DATA)",220)</f>
        <v>121851.96071899976</v>
      </c>
      <c r="AC14" s="446">
        <f>AB14+GETPIVOTDATA("VALOR",$A$6,"TIPO","RECEITAS","Dias (DATA)",221)+GETPIVOTDATA("VALOR",$A$6,"TIPO","DESPESAS","Dias (DATA)",221)</f>
        <v>80747.470718999757</v>
      </c>
      <c r="AD14" s="446">
        <f>AC14+GETPIVOTDATA("VALOR",$A$6,"TIPO","RECEITAS","Dias (DATA)",224)+GETPIVOTDATA("VALOR",$A$6,"TIPO","DESPESAS","Dias (DATA)",224)</f>
        <v>36240.860718999771</v>
      </c>
      <c r="AE14" s="446">
        <f>AD14+GETPIVOTDATA("VALOR",$A$6,"TIPO","RECEITAS","Dias (DATA)",225)+GETPIVOTDATA("VALOR",$A$6,"TIPO","DESPESAS","Dias (DATA)",225)</f>
        <v>134956.54071899975</v>
      </c>
      <c r="AF14" s="446">
        <f>AE14+GETPIVOTDATA("VALOR",$A$6,"TIPO","RECEITAS","Dias (DATA)",226)+GETPIVOTDATA("VALOR",$A$6,"TIPO","DESPESAS","Dias (DATA)",226)</f>
        <v>135149.00071899974</v>
      </c>
      <c r="AG14" s="446">
        <f>AF14+GETPIVOTDATA("VALOR",$A$6,"TIPO","RECEITAS","Dias (DATA)",227)+GETPIVOTDATA("VALOR",$A$6,"TIPO","DESPESAS","Dias (DATA)",227)</f>
        <v>131877.45071899975</v>
      </c>
      <c r="AH14" s="446">
        <f>AG14+GETPIVOTDATA("VALOR",$A$6,"TIPO","RECEITAS","Dias (DATA)",228)+GETPIVOTDATA("VALOR",$A$6,"TIPO","DESPESAS","Dias (DATA)",228)</f>
        <v>122800.49071899991</v>
      </c>
      <c r="AI14" s="446">
        <f>AH14+GETPIVOTDATA("VALOR",$A$6,"TIPO","RECEITAS","Dias (DATA)",231)+GETPIVOTDATA("VALOR",$A$6,"TIPO","DESPESAS","Dias (DATA)",231)</f>
        <v>22602.370718999911</v>
      </c>
      <c r="AJ14" s="446">
        <f>AI14+GETPIVOTDATA("VALOR",$A$6,"TIPO","RECEITAS","Dias (DATA)",232)+GETPIVOTDATA("VALOR",$A$6,"TIPO","DESPESAS","Dias (DATA)",232)</f>
        <v>642840.27071899979</v>
      </c>
      <c r="AK14" s="446">
        <f>AJ14+GETPIVOTDATA("VALOR",$A$6,"TIPO","RECEITAS","Dias (DATA)",233)+GETPIVOTDATA("VALOR",$A$6,"TIPO","DESPESAS","Dias (DATA)",233)</f>
        <v>341902.36102099967</v>
      </c>
      <c r="AL14" s="446">
        <f>AK14+GETPIVOTDATA("VALOR",$A$6,"TIPO","RECEITAS","Dias (DATA)",234)+GETPIVOTDATA("VALOR",$A$6,"TIPO","DESPESAS","Dias (DATA)",234)</f>
        <v>267020.82102099969</v>
      </c>
      <c r="AM14" s="446">
        <f>AL14+GETPIVOTDATA("VALOR",$A$6,"TIPO","RECEITAS","Dias (DATA)",235)+GETPIVOTDATA("VALOR",$A$6,"TIPO","DESPESAS","Dias (DATA)",235)</f>
        <v>208397.21102099968</v>
      </c>
      <c r="AN14" s="446">
        <f>AM14+GETPIVOTDATA("VALOR",$A$6,"TIPO","RECEITAS","Dias (DATA)",238)+GETPIVOTDATA("VALOR",$A$6,"TIPO","DESPESAS","Dias (DATA)",238)</f>
        <v>195225.97102099968</v>
      </c>
      <c r="AO14" s="446">
        <f>AN14+GETPIVOTDATA("VALOR",$A$6,"TIPO","RECEITAS","Dias (DATA)",239)+GETPIVOTDATA("VALOR",$A$6,"TIPO","DESPESAS","Dias (DATA)",239)</f>
        <v>173981.87102099968</v>
      </c>
      <c r="AP14" s="446">
        <f>AO14+GETPIVOTDATA("VALOR",$A$6,"TIPO","RECEITAS","Dias (DATA)",240)+GETPIVOTDATA("VALOR",$A$6,"TIPO","DESPESAS","Dias (DATA)",240)</f>
        <v>131047.70071799967</v>
      </c>
      <c r="AQ14" s="446">
        <f>AP14+GETPIVOTDATA("VALOR",$A$6,"TIPO","RECEITAS","Dias (DATA)",241)+GETPIVOTDATA("VALOR",$A$6,"TIPO","DESPESAS","Dias (DATA)",241)</f>
        <v>247792.84071799967</v>
      </c>
      <c r="AR14" s="446">
        <f>AQ14+GETPIVOTDATA("VALOR",$A$6,"TIPO","RECEITAS","Dias (DATA)",242)+GETPIVOTDATA("VALOR",$A$6,"TIPO","DESPESAS","Dias (DATA)",242)</f>
        <v>435389.78123199975</v>
      </c>
      <c r="AS14" s="446">
        <f>AR14+GETPIVOTDATA("VALOR",$A$6,"TIPO","RECEITAS","Dias (DATA)",245)+GETPIVOTDATA("VALOR",$A$6,"TIPO","DESPESAS","Dias (DATA)",245)</f>
        <v>443697.66122599976</v>
      </c>
      <c r="AT14" s="446">
        <f>AS14+GETPIVOTDATA("VALOR",$A$6,"TIPO","RECEITAS","Dias (DATA)",246)+GETPIVOTDATA("VALOR",$A$6,"TIPO","DESPESAS","Dias (DATA)",246)</f>
        <v>503483.55122599972</v>
      </c>
      <c r="AU14" s="446">
        <f>AT14+GETPIVOTDATA("VALOR",$A$6,"TIPO","RECEITAS","Dias (DATA)",247)+GETPIVOTDATA("VALOR",$A$6,"TIPO","DESPESAS","Dias (DATA)",247)</f>
        <v>547671.47122599976</v>
      </c>
      <c r="AV14" s="815">
        <f>AU14+GETPIVOTDATA("VALOR",$A$6,"TIPO","RECEITAS","Dias (DATA)",248)+GETPIVOTDATA("VALOR",$A$6,"TIPO","DESPESAS","Dias (DATA)",248)</f>
        <v>530368.50122599979</v>
      </c>
      <c r="AW14" s="446">
        <f>AV14+GETPIVOTDATA("VALOR",$A$6,"TIPO","RECEITAS","Dias (DATA)",249)+GETPIVOTDATA("VALOR",$A$6,"TIPO","DESPESAS","Dias (DATA)",249)</f>
        <v>31678.371225999843</v>
      </c>
      <c r="AX14" s="446">
        <f>AW14+GETPIVOTDATA("VALOR",$A$6,"TIPO","RECEITAS","Dias (DATA)",252)+GETPIVOTDATA("VALOR",$A$6,"TIPO","DESPESAS","Dias (DATA)",252)</f>
        <v>20.091225999844028</v>
      </c>
      <c r="AY14" s="446">
        <f>AX14+GETPIVOTDATA("VALOR",$A$6,"TIPO","RECEITAS","Dias (DATA)",253)+GETPIVOTDATA("VALOR",$A$6,"TIPO","DESPESAS","Dias (DATA)",253)</f>
        <v>17869.901225999845</v>
      </c>
      <c r="AZ14" s="446">
        <f>AY14+GETPIVOTDATA("VALOR",$A$6,"TIPO","RECEITAS","Dias (DATA)",254)+GETPIVOTDATA("VALOR",$A$6,"TIPO","DESPESAS","Dias (DATA)",254)</f>
        <v>-56533.648774000168</v>
      </c>
      <c r="BA14" s="446">
        <f>AZ14+GETPIVOTDATA("VALOR",$A$6,"TIPO","RECEITAS","Dias (DATA)",255)+GETPIVOTDATA("VALOR",$A$6,"TIPO","DESPESAS","Dias (DATA)",255)</f>
        <v>70096.501225999833</v>
      </c>
      <c r="BB14" s="446">
        <f>BA14+GETPIVOTDATA("VALOR",$A$6,"TIPO","RECEITAS","Dias (DATA)",256)+GETPIVOTDATA("VALOR",$A$6,"TIPO","DESPESAS","Dias (DATA)",256)</f>
        <v>70568.231225999829</v>
      </c>
      <c r="BC14" s="446">
        <f>BB14+GETPIVOTDATA("VALOR",$A$6,"TIPO","RECEITAS","Dias (DATA)",260)+GETPIVOTDATA("VALOR",$A$6,"TIPO","DESPESAS","Dias (DATA)",260)</f>
        <v>-231396.79877399973</v>
      </c>
      <c r="BD14" s="446">
        <f>BC13+GETPIVOTDATA("VALOR",$A$6,"TIPO","RECEITAS","Dias (DATA)",261)+GETPIVOTDATA("VALOR",$A$6,"TIPO","DESPESAS","Dias (DATA)",261)</f>
        <v>-289721.87877399975</v>
      </c>
      <c r="BE14" s="446">
        <f>BD14+GETPIVOTDATA("VALOR",$A$6,"TIPO","RECEITAS","Dias (DATA)",262)+GETPIVOTDATA("VALOR",$A$6,"TIPO","DESPESAS","Dias (DATA)",262)</f>
        <v>-266174.32877399976</v>
      </c>
      <c r="BF14" s="446">
        <f>BE13+GETPIVOTDATA("VALOR",$A$6,"TIPO","RECEITAS","Dias (DATA)",263)+GETPIVOTDATA("VALOR",$A$6,"TIPO","DESPESAS","Dias (DATA)",263)</f>
        <v>-543785.86877399974</v>
      </c>
      <c r="BG14" s="446">
        <f>BF14+GETPIVOTDATA("VALOR",$A$6,"TIPO","RECEITAS","Dias (DATA)",266)+GETPIVOTDATA("VALOR",$A$6,"TIPO","DESPESAS","Dias (DATA)",266)</f>
        <v>-703141.9287739998</v>
      </c>
      <c r="BH14" s="446">
        <f>BG13+GETPIVOTDATA("VALOR",$A$6,"TIPO","RECEITAS","Dias (DATA)",267)+GETPIVOTDATA("VALOR",$A$6,"TIPO","DESPESAS","Dias (DATA)",267)</f>
        <v>-959012.03877399978</v>
      </c>
      <c r="BI14" s="446">
        <f>BH13+GETPIVOTDATA("VALOR",$A$6,"TIPO","RECEITAS","Dias (DATA)",268)+GETPIVOTDATA("VALOR",$A$6,"TIPO","DESPESAS","Dias (DATA)",268)</f>
        <v>-979997.48877399974</v>
      </c>
      <c r="BJ14" s="446">
        <f>BI14+GETPIVOTDATA("VALOR",$A$6,"TIPO","RECEITAS","Dias (DATA)",269)+GETPIVOTDATA("VALOR",$A$6,"TIPO","DESPESAS","Dias (DATA)",269)</f>
        <v>-1002822.8087739997</v>
      </c>
      <c r="BK14" s="446">
        <f>BJ14+GETPIVOTDATA("VALOR",$A$6,"TIPO","RECEITAS","Dias (DATA)",270)+GETPIVOTDATA("VALOR",$A$6,"TIPO","DESPESAS","Dias (DATA)",270)</f>
        <v>-988927.62877399975</v>
      </c>
      <c r="BL14" s="446">
        <f>BK14+GETPIVOTDATA("VALOR",$A$6,"TIPO","RECEITAS","Dias (DATA)",273)+GETPIVOTDATA("VALOR",$A$6,"TIPO","DESPESAS","Dias (DATA)",273)</f>
        <v>-1052163.0887739998</v>
      </c>
      <c r="BM14" s="446">
        <f>BL14+GETPIVOTDATA("VALOR",$A$6,"TIPO","RECEITAS","Dias (DATA)",274)+GETPIVOTDATA("VALOR",$A$6,"TIPO","DESPESAS","Dias (DATA)",274)</f>
        <v>-458468.8087739998</v>
      </c>
      <c r="BN14" s="446">
        <f>BM14+GETPIVOTDATA("VALOR",$A$6,"TIPO","RECEITAS","Dias (DATA)",275)+GETPIVOTDATA("VALOR",$A$6,"TIPO","DESPESAS","Dias (DATA)",275)</f>
        <v>-342227.57877399982</v>
      </c>
      <c r="BO14" s="446">
        <f>BN14+GETPIVOTDATA("VALOR",$A$6,"TIPO","RECEITAS","Dias (DATA)",276)+GETPIVOTDATA("VALOR",$A$6,"TIPO","DESPESAS","Dias (DATA)",276)</f>
        <v>-343127.57877399982</v>
      </c>
      <c r="BP14" s="446">
        <f>BO14+GETPIVOTDATA("VALOR",$A$6,"TIPO","RECEITAS","Dias (DATA)",275)+GETPIVOTDATA("VALOR",$A$6,"TIPO","DESPESAS","Dias (DATA)",275)</f>
        <v>-226886.34877399984</v>
      </c>
      <c r="BQ14" s="446">
        <f>BP14+GETPIVOTDATA("VALOR",$A$6,"TIPO","RECEITAS","Dias (DATA)",276)+GETPIVOTDATA("VALOR",$A$6,"TIPO","DESPESAS","Dias (DATA)",276)</f>
        <v>-227786.34877399984</v>
      </c>
      <c r="BR14" s="446">
        <f>BQ14+GETPIVOTDATA("VALOR",$A$6,"TIPO","RECEITAS","Dias (DATA)",277)+GETPIVOTDATA("VALOR",$A$6,"TIPO","DESPESAS","Dias (DATA)",277)</f>
        <v>100258.65122600016</v>
      </c>
      <c r="BS14" s="446">
        <f>BR14+GETPIVOTDATA("VALOR",$A$6,"TIPO","RECEITAS","Dias (DATA)",280)+GETPIVOTDATA("VALOR",$A$6,"TIPO","DESPESAS","Dias (DATA)",280)</f>
        <v>-405414.32877399982</v>
      </c>
      <c r="BT14" s="446">
        <f>BS14+GETPIVOTDATA("VALOR",$A$6,"TIPO","RECEITAS","Dias (DATA)",281)+GETPIVOTDATA("VALOR",$A$6,"TIPO","DESPESAS","Dias (DATA)",281)</f>
        <v>-400479.32877399982</v>
      </c>
      <c r="BU14" s="446">
        <f>BT14+GETPIVOTDATA("VALOR",$A$6,"TIPO","RECEITAS","Dias (DATA)",282)+GETPIVOTDATA("VALOR",$A$6,"TIPO","DESPESAS","Dias (DATA)",282)</f>
        <v>-406079.32877399982</v>
      </c>
      <c r="BV14" s="446"/>
      <c r="BW14" s="446"/>
      <c r="BX14" s="446"/>
      <c r="BY14" s="446"/>
      <c r="BZ14" s="446"/>
      <c r="CA14" s="446"/>
      <c r="CB14" s="446"/>
      <c r="CC14" s="446"/>
      <c r="CD14" s="446"/>
      <c r="CE14" s="446"/>
      <c r="CF14" s="446"/>
      <c r="CG14" s="446"/>
      <c r="CH14" s="446"/>
      <c r="CI14" s="446"/>
      <c r="CJ14" s="446"/>
      <c r="CK14" s="446"/>
      <c r="CL14" s="446"/>
      <c r="CM14" s="446"/>
      <c r="CN14" s="446"/>
      <c r="CO14" s="446"/>
      <c r="CP14" s="446"/>
      <c r="CQ14" s="446"/>
      <c r="CR14" s="446"/>
      <c r="CS14" s="446"/>
      <c r="CT14" s="446"/>
      <c r="CU14" s="446"/>
      <c r="CV14" s="446"/>
      <c r="CW14" s="446"/>
      <c r="CX14" s="446"/>
      <c r="CY14" s="446"/>
      <c r="CZ14" s="446"/>
      <c r="DA14" s="446"/>
      <c r="DB14" s="446"/>
      <c r="DC14" s="446"/>
      <c r="DD14" s="446"/>
      <c r="DE14" s="446"/>
      <c r="DF14" s="446"/>
      <c r="DG14" s="446"/>
      <c r="DH14" s="446"/>
      <c r="DI14" s="446"/>
      <c r="DJ14" s="446"/>
      <c r="DK14" s="446"/>
      <c r="DL14" s="446"/>
      <c r="DM14" s="446"/>
      <c r="DN14" s="446"/>
      <c r="DO14" s="446"/>
      <c r="DP14" s="446"/>
      <c r="DQ14" s="446"/>
      <c r="DR14" s="446"/>
      <c r="DS14" s="446"/>
      <c r="DT14" s="446"/>
    </row>
    <row r="15" spans="1:128" x14ac:dyDescent="0.3">
      <c r="AL15" s="9"/>
      <c r="AU15" s="9">
        <f>AT13+GETPIVOTDATA("VALOR",$A$6,"TIPO","RECEITAS","Dias (DATA)",247)+GETPIVOTDATA("VALOR",$A$6,"TIPO","DESPESAS","Dias (DATA)",247)</f>
        <v>547671.47122599976</v>
      </c>
      <c r="AV15" s="9">
        <f>AU13+GETPIVOTDATA("VALOR",$A$6,"TIPO","RECEITAS","Dias (DATA)",248)+GETPIVOTDATA("VALOR",$A$6,"TIPO","DESPESAS","Dias (DATA)",248)</f>
        <v>530368.50122599979</v>
      </c>
      <c r="AW15" s="9">
        <f>AV13+GETPIVOTDATA("VALOR",$A$6,"TIPO","RECEITAS","Dias (DATA)",249)+GETPIVOTDATA("VALOR",$A$6,"TIPO","DESPESAS","Dias (DATA)",249)</f>
        <v>31678.371225999843</v>
      </c>
      <c r="AX15" s="9">
        <f>AW13+GETPIVOTDATA("VALOR",$A$6,"TIPO","RECEITAS","Dias (DATA)",252)+GETPIVOTDATA("VALOR",$A$6,"TIPO","DESPESAS","Dias (DATA)",252)</f>
        <v>20.091225999844028</v>
      </c>
      <c r="AY15" s="9">
        <f>AX13+GETPIVOTDATA("VALOR",$A$6,"TIPO","RECEITAS","Dias (DATA)",253)+GETPIVOTDATA("VALOR",$A$6,"TIPO","DESPESAS","Dias (DATA)",253)</f>
        <v>17869.901225999845</v>
      </c>
      <c r="AZ15" s="9">
        <f>AY13+GETPIVOTDATA("VALOR",$A$6,"TIPO","RECEITAS","Dias (DATA)",254)+GETPIVOTDATA("VALOR",$A$6,"TIPO","DESPESAS","Dias (DATA)",254)</f>
        <v>-56533.648774000168</v>
      </c>
      <c r="BA15" s="9">
        <f>AZ13+GETPIVOTDATA("VALOR",$A$6,"TIPO","RECEITAS","Dias (DATA)",255)+GETPIVOTDATA("VALOR",$A$6,"TIPO","DESPESAS","Dias (DATA)",255)</f>
        <v>70096.501225999833</v>
      </c>
      <c r="BB15" s="9">
        <f>BA13+GETPIVOTDATA("VALOR",$A$6,"TIPO","RECEITAS","Dias (DATA)",256)+GETPIVOTDATA("VALOR",$A$6,"TIPO","DESPESAS","Dias (DATA)",256)</f>
        <v>70568.231225999829</v>
      </c>
      <c r="BC15" s="9">
        <f>BB13+GETPIVOTDATA("VALOR",$A$6,"TIPO","RECEITAS","Dias (DATA)",260)+GETPIVOTDATA("VALOR",$A$6,"TIPO","DESPESAS","Dias (DATA)",260)</f>
        <v>-231396.79877399973</v>
      </c>
      <c r="BD15" s="9">
        <f>BC13+GETPIVOTDATA("VALOR",$A$6,"TIPO","RECEITAS","Dias (DATA)",261)+GETPIVOTDATA("VALOR",$A$6,"TIPO","DESPESAS","Dias (DATA)",261)</f>
        <v>-289721.87877399975</v>
      </c>
      <c r="BE15" s="9">
        <f>BD13+GETPIVOTDATA("VALOR",$A$6,"TIPO","RECEITAS","Dias (DATA)",262)+GETPIVOTDATA("VALOR",$A$6,"TIPO","DESPESAS","Dias (DATA)",262)</f>
        <v>-266174.32877399976</v>
      </c>
      <c r="BF15" s="9">
        <f>BE13+GETPIVOTDATA("VALOR",$A$6,"TIPO","RECEITAS","Dias (DATA)",263)+GETPIVOTDATA("VALOR",$A$6,"TIPO","DESPESAS","Dias (DATA)",263)</f>
        <v>-543785.86877399974</v>
      </c>
      <c r="BG15" s="9">
        <f>BF15+GETPIVOTDATA("VALOR",$A$6,"TIPO","RECEITAS","Dias (DATA)",266)+GETPIVOTDATA("VALOR",$A$6,"TIPO","DESPESAS","Dias (DATA)",266)</f>
        <v>-703141.9287739998</v>
      </c>
      <c r="BH15" s="9">
        <f>BG15+GETPIVOTDATA("VALOR",$A$6,"TIPO","RECEITAS","Dias (DATA)",267)+GETPIVOTDATA("VALOR",$A$6,"TIPO","DESPESAS","Dias (DATA)",267)</f>
        <v>-959012.03877399978</v>
      </c>
      <c r="BI15" s="9">
        <f>BH13+GETPIVOTDATA("VALOR",$A$6,"TIPO","RECEITAS","Dias (DATA)",268)+GETPIVOTDATA("VALOR",$A$6,"TIPO","DESPESAS","Dias (DATA)",268)</f>
        <v>-979997.48877399974</v>
      </c>
      <c r="BJ15" s="9">
        <f>BI15+GETPIVOTDATA("VALOR",$A$6,"TIPO","RECEITAS","Dias (DATA)",269)+GETPIVOTDATA("VALOR",$A$6,"TIPO","DESPESAS","Dias (DATA)",269)</f>
        <v>-1002822.8087739997</v>
      </c>
      <c r="BK15" s="9">
        <f>BJ13+GETPIVOTDATA("VALOR",$A$6,"TIPO","RECEITAS","Dias (DATA)",270)+GETPIVOTDATA("VALOR",$A$6,"TIPO","DESPESAS","Dias (DATA)",270)</f>
        <v>-988927.62877399975</v>
      </c>
      <c r="BL15" s="9">
        <f>BK13+GETPIVOTDATA("VALOR",$A$6,"TIPO","RECEITAS","Dias (DATA)",273)+GETPIVOTDATA("VALOR",$A$6,"TIPO","DESPESAS","Dias (DATA)",273)</f>
        <v>-1052163.0887739998</v>
      </c>
      <c r="BM15" s="9">
        <f>BL13+GETPIVOTDATA("VALOR",$A$6,"TIPO","RECEITAS","Dias (DATA)",274)+GETPIVOTDATA("VALOR",$A$6,"TIPO","DESPESAS","Dias (DATA)",274)</f>
        <v>-458468.8087739998</v>
      </c>
      <c r="BN15" s="9">
        <f>BM13+GETPIVOTDATA("VALOR",$A$6,"TIPO","RECEITAS","Dias (DATA)",275)+GETPIVOTDATA("VALOR",$A$6,"TIPO","DESPESAS","Dias (DATA)",275)</f>
        <v>-342227.57877399982</v>
      </c>
    </row>
    <row r="16" spans="1:128" x14ac:dyDescent="0.3">
      <c r="D16" s="9"/>
      <c r="AT16" s="9"/>
      <c r="AU16" s="9"/>
      <c r="BN16" s="9"/>
    </row>
    <row r="17" spans="11:125" x14ac:dyDescent="0.3">
      <c r="DT17" s="44">
        <v>285000</v>
      </c>
      <c r="DU17" t="s">
        <v>177</v>
      </c>
    </row>
    <row r="18" spans="11:125" ht="16.8" customHeight="1" x14ac:dyDescent="0.3">
      <c r="K18" s="9"/>
      <c r="CE18" s="9"/>
      <c r="CF18" s="9"/>
      <c r="DT18" s="44">
        <v>180000</v>
      </c>
      <c r="DU18" t="s">
        <v>79</v>
      </c>
    </row>
    <row r="19" spans="11:125" ht="13.8" customHeight="1" x14ac:dyDescent="0.3">
      <c r="K19" s="9"/>
      <c r="CE19" s="9"/>
      <c r="CF19" s="9"/>
      <c r="DT19" s="44">
        <v>300000</v>
      </c>
      <c r="DU19" t="s">
        <v>784</v>
      </c>
    </row>
    <row r="20" spans="11:125" ht="13.8" customHeight="1" x14ac:dyDescent="0.3">
      <c r="K20" s="9"/>
      <c r="CE20" s="9"/>
      <c r="CF20" s="9"/>
      <c r="DT20" s="44">
        <v>300000</v>
      </c>
      <c r="DU20" t="s">
        <v>784</v>
      </c>
    </row>
    <row r="21" spans="11:125" x14ac:dyDescent="0.3">
      <c r="CD21" s="455"/>
      <c r="CE21" s="9"/>
      <c r="CF21" s="9"/>
      <c r="DT21" s="44">
        <v>420000</v>
      </c>
      <c r="DU21" t="s">
        <v>785</v>
      </c>
    </row>
    <row r="22" spans="11:125" x14ac:dyDescent="0.3">
      <c r="CE22" s="9"/>
      <c r="CF22" s="9"/>
      <c r="DT22" s="9">
        <f>SUM(DT11:DT21)</f>
        <v>578822.94122600206</v>
      </c>
    </row>
    <row r="23" spans="11:125" x14ac:dyDescent="0.3">
      <c r="CD23" s="455"/>
      <c r="CE23" s="9"/>
      <c r="CF23" s="9"/>
      <c r="DT23" s="44">
        <v>420000</v>
      </c>
      <c r="DU23" t="s">
        <v>785</v>
      </c>
    </row>
    <row r="24" spans="11:125" x14ac:dyDescent="0.3">
      <c r="CE24" s="9"/>
      <c r="CF24" s="9"/>
      <c r="DT24" s="9">
        <f>SUM(DT16:DT23)</f>
        <v>2483822.9412260018</v>
      </c>
    </row>
    <row r="25" spans="11:125" ht="13.8" customHeight="1" x14ac:dyDescent="0.3">
      <c r="K25" s="9"/>
      <c r="CE25" s="9"/>
      <c r="CF25" s="9"/>
      <c r="DT25" s="44">
        <v>300000</v>
      </c>
      <c r="DU25" t="s">
        <v>784</v>
      </c>
    </row>
    <row r="26" spans="11:125" x14ac:dyDescent="0.3">
      <c r="CD26" s="455"/>
      <c r="CE26" s="9"/>
      <c r="CF26" s="9"/>
      <c r="DT26" s="44">
        <v>420000</v>
      </c>
      <c r="DU26" t="s">
        <v>785</v>
      </c>
    </row>
    <row r="27" spans="11:125" x14ac:dyDescent="0.3">
      <c r="CE27" s="9"/>
      <c r="CF27" s="9"/>
      <c r="DT27" s="9">
        <f>SUM(DT16:DT26)</f>
        <v>5687645.8824520037</v>
      </c>
    </row>
    <row r="28" spans="11:125" ht="13.8" customHeight="1" x14ac:dyDescent="0.3">
      <c r="K28" s="9"/>
      <c r="CE28" s="9"/>
      <c r="CF28" s="9"/>
      <c r="DT28" s="44">
        <v>300000</v>
      </c>
      <c r="DU28" t="s">
        <v>784</v>
      </c>
    </row>
    <row r="29" spans="11:125" x14ac:dyDescent="0.3">
      <c r="CD29" s="455"/>
      <c r="CE29" s="9"/>
      <c r="CF29" s="9"/>
      <c r="DT29" s="44">
        <v>420000</v>
      </c>
      <c r="DU29" t="s">
        <v>785</v>
      </c>
    </row>
    <row r="30" spans="11:125" x14ac:dyDescent="0.3">
      <c r="CE30" s="9"/>
      <c r="CF30" s="9"/>
      <c r="DT30" s="9">
        <f>SUM(DT17:DT29)</f>
        <v>12095291.764904007</v>
      </c>
    </row>
    <row r="31" spans="11:125" ht="13.8" customHeight="1" x14ac:dyDescent="0.3">
      <c r="K31" s="9"/>
      <c r="CE31" s="9"/>
      <c r="CF31" s="9"/>
      <c r="DT31" s="44">
        <v>300000</v>
      </c>
      <c r="DU31" t="s">
        <v>784</v>
      </c>
    </row>
    <row r="32" spans="11:125" x14ac:dyDescent="0.3">
      <c r="CD32" s="455"/>
      <c r="CE32" s="9"/>
      <c r="CF32" s="9"/>
      <c r="DT32" s="44">
        <v>420000</v>
      </c>
      <c r="DU32" t="s">
        <v>785</v>
      </c>
    </row>
    <row r="33" spans="48:124" x14ac:dyDescent="0.3">
      <c r="CE33" s="9"/>
      <c r="CF33" s="9"/>
      <c r="DT33" s="9">
        <f>SUM(DT17:DT32)</f>
        <v>24910583.529808015</v>
      </c>
    </row>
    <row r="34" spans="48:124" x14ac:dyDescent="0.3">
      <c r="CE34" s="9"/>
      <c r="CF34" s="9"/>
    </row>
    <row r="35" spans="48:124" x14ac:dyDescent="0.3">
      <c r="AV35" s="9">
        <v>1478270</v>
      </c>
      <c r="AW35" s="724">
        <v>633000</v>
      </c>
      <c r="CE35" s="9"/>
      <c r="CF35" s="9"/>
    </row>
    <row r="36" spans="48:124" x14ac:dyDescent="0.3">
      <c r="AV36" s="9"/>
      <c r="AW36" s="724">
        <v>706000</v>
      </c>
    </row>
    <row r="37" spans="48:124" x14ac:dyDescent="0.3">
      <c r="AW37" s="724">
        <f>SUM(AW35:AW36)</f>
        <v>1339000</v>
      </c>
    </row>
    <row r="38" spans="48:124" x14ac:dyDescent="0.3">
      <c r="AW38" s="446">
        <f>AW37-AV35</f>
        <v>-139270</v>
      </c>
    </row>
  </sheetData>
  <mergeCells count="1">
    <mergeCell ref="A1:H2"/>
  </mergeCells>
  <conditionalFormatting sqref="A13:XFD13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4B40-E8E1-46B0-BB6B-C562BE7750C0}">
  <sheetPr filterMode="1"/>
  <dimension ref="A1:M2444"/>
  <sheetViews>
    <sheetView showGridLines="0" tabSelected="1" topLeftCell="C768" zoomScale="93" zoomScaleNormal="93" workbookViewId="0">
      <selection activeCell="D1508" sqref="D1508"/>
    </sheetView>
  </sheetViews>
  <sheetFormatPr defaultRowHeight="13.8" x14ac:dyDescent="0.3"/>
  <cols>
    <col min="1" max="1" width="17.88671875" style="697" customWidth="1"/>
    <col min="2" max="2" width="15" style="698" customWidth="1"/>
    <col min="3" max="3" width="24.44140625" style="295" customWidth="1"/>
    <col min="4" max="4" width="132.33203125" style="817" customWidth="1"/>
    <col min="5" max="5" width="16.5546875" style="699" customWidth="1"/>
    <col min="6" max="6" width="14.77734375" style="700" customWidth="1"/>
    <col min="7" max="7" width="27.77734375" style="700" customWidth="1"/>
    <col min="8" max="8" width="31.21875" style="295" bestFit="1" customWidth="1"/>
    <col min="9" max="11" width="8.88671875" style="295"/>
    <col min="12" max="12" width="12" style="295" bestFit="1" customWidth="1"/>
    <col min="13" max="13" width="9" style="295" bestFit="1" customWidth="1"/>
    <col min="14" max="16384" width="8.88671875" style="295"/>
  </cols>
  <sheetData>
    <row r="1" spans="1:7" x14ac:dyDescent="0.3">
      <c r="A1" s="275" t="s">
        <v>0</v>
      </c>
      <c r="B1" s="275" t="s">
        <v>1209</v>
      </c>
      <c r="C1" s="200" t="s">
        <v>1</v>
      </c>
      <c r="D1" s="124" t="s">
        <v>2</v>
      </c>
      <c r="E1" s="129" t="s">
        <v>3</v>
      </c>
      <c r="F1" s="137" t="s">
        <v>4</v>
      </c>
      <c r="G1" s="311" t="s">
        <v>5</v>
      </c>
    </row>
    <row r="2" spans="1:7" s="291" customFormat="1" hidden="1" x14ac:dyDescent="0.3">
      <c r="A2" s="337">
        <v>45861</v>
      </c>
      <c r="B2" s="46" t="s">
        <v>211</v>
      </c>
      <c r="C2" s="445" t="s">
        <v>6</v>
      </c>
      <c r="D2" s="261" t="s">
        <v>567</v>
      </c>
      <c r="E2" s="357">
        <v>-252.95</v>
      </c>
      <c r="F2" s="262" t="s">
        <v>8</v>
      </c>
      <c r="G2" s="47" t="s">
        <v>9</v>
      </c>
    </row>
    <row r="3" spans="1:7" s="291" customFormat="1" ht="12.6" hidden="1" customHeight="1" x14ac:dyDescent="0.3">
      <c r="A3" s="287">
        <v>45861</v>
      </c>
      <c r="B3" s="10" t="s">
        <v>211</v>
      </c>
      <c r="C3" s="12" t="s">
        <v>6</v>
      </c>
      <c r="D3" s="13" t="s">
        <v>569</v>
      </c>
      <c r="E3" s="21">
        <v>-259.85000000000002</v>
      </c>
      <c r="F3" s="25" t="s">
        <v>8</v>
      </c>
      <c r="G3" s="14" t="s">
        <v>9</v>
      </c>
    </row>
    <row r="4" spans="1:7" s="291" customFormat="1" hidden="1" x14ac:dyDescent="0.3">
      <c r="A4" s="287">
        <v>45861</v>
      </c>
      <c r="B4" s="10" t="s">
        <v>211</v>
      </c>
      <c r="C4" s="12" t="s">
        <v>6</v>
      </c>
      <c r="D4" s="13" t="s">
        <v>568</v>
      </c>
      <c r="E4" s="21">
        <v>-83.43</v>
      </c>
      <c r="F4" s="25" t="s">
        <v>8</v>
      </c>
      <c r="G4" s="14" t="s">
        <v>9</v>
      </c>
    </row>
    <row r="5" spans="1:7" s="291" customFormat="1" hidden="1" x14ac:dyDescent="0.3">
      <c r="A5" s="287">
        <v>45861</v>
      </c>
      <c r="B5" s="10" t="s">
        <v>211</v>
      </c>
      <c r="C5" s="12" t="s">
        <v>6</v>
      </c>
      <c r="D5" s="13" t="s">
        <v>568</v>
      </c>
      <c r="E5" s="21">
        <v>-168.11</v>
      </c>
      <c r="F5" s="25" t="s">
        <v>8</v>
      </c>
      <c r="G5" s="14" t="s">
        <v>9</v>
      </c>
    </row>
    <row r="6" spans="1:7" s="291" customFormat="1" ht="13.2" hidden="1" customHeight="1" x14ac:dyDescent="0.3">
      <c r="A6" s="287">
        <v>45839</v>
      </c>
      <c r="B6" s="10" t="s">
        <v>211</v>
      </c>
      <c r="C6" s="13" t="s">
        <v>13</v>
      </c>
      <c r="D6" s="13" t="s">
        <v>14</v>
      </c>
      <c r="E6" s="21">
        <v>-1500</v>
      </c>
      <c r="F6" s="25" t="s">
        <v>8</v>
      </c>
      <c r="G6" s="214" t="s">
        <v>15</v>
      </c>
    </row>
    <row r="7" spans="1:7" s="291" customFormat="1" hidden="1" x14ac:dyDescent="0.3">
      <c r="A7" s="287">
        <v>45842</v>
      </c>
      <c r="B7" s="10" t="s">
        <v>211</v>
      </c>
      <c r="C7" s="13" t="s">
        <v>17</v>
      </c>
      <c r="D7" s="13" t="s">
        <v>18</v>
      </c>
      <c r="E7" s="21">
        <v>-16869.599999999999</v>
      </c>
      <c r="F7" s="25" t="s">
        <v>8</v>
      </c>
      <c r="G7" s="14" t="s">
        <v>19</v>
      </c>
    </row>
    <row r="8" spans="1:7" s="319" customFormat="1" hidden="1" x14ac:dyDescent="0.3">
      <c r="A8" s="98">
        <v>45841</v>
      </c>
      <c r="B8" s="97" t="s">
        <v>211</v>
      </c>
      <c r="C8" s="200" t="s">
        <v>17</v>
      </c>
      <c r="D8" s="200" t="s">
        <v>421</v>
      </c>
      <c r="E8" s="100">
        <v>5807.51</v>
      </c>
      <c r="F8" s="110" t="s">
        <v>164</v>
      </c>
      <c r="G8" s="137" t="s">
        <v>165</v>
      </c>
    </row>
    <row r="9" spans="1:7" s="319" customFormat="1" hidden="1" x14ac:dyDescent="0.3">
      <c r="A9" s="98">
        <v>45840</v>
      </c>
      <c r="B9" s="97" t="s">
        <v>211</v>
      </c>
      <c r="C9" s="200" t="s">
        <v>17</v>
      </c>
      <c r="D9" s="200" t="s">
        <v>421</v>
      </c>
      <c r="E9" s="100">
        <v>291731.96000000002</v>
      </c>
      <c r="F9" s="110" t="s">
        <v>164</v>
      </c>
      <c r="G9" s="137" t="s">
        <v>165</v>
      </c>
    </row>
    <row r="10" spans="1:7" s="291" customFormat="1" hidden="1" x14ac:dyDescent="0.3">
      <c r="A10" s="205">
        <v>45840</v>
      </c>
      <c r="B10" s="10" t="s">
        <v>211</v>
      </c>
      <c r="C10" s="26" t="s">
        <v>44</v>
      </c>
      <c r="D10" s="26" t="s">
        <v>423</v>
      </c>
      <c r="E10" s="19">
        <v>-1709.15</v>
      </c>
      <c r="F10" s="25" t="s">
        <v>8</v>
      </c>
      <c r="G10" s="303" t="s">
        <v>233</v>
      </c>
    </row>
    <row r="11" spans="1:7" s="291" customFormat="1" hidden="1" x14ac:dyDescent="0.3">
      <c r="A11" s="205">
        <v>45840</v>
      </c>
      <c r="B11" s="10" t="s">
        <v>211</v>
      </c>
      <c r="C11" s="26" t="s">
        <v>72</v>
      </c>
      <c r="D11" s="26" t="s">
        <v>425</v>
      </c>
      <c r="E11" s="19">
        <v>-1330</v>
      </c>
      <c r="F11" s="25" t="s">
        <v>8</v>
      </c>
      <c r="G11" s="14" t="s">
        <v>207</v>
      </c>
    </row>
    <row r="12" spans="1:7" s="291" customFormat="1" hidden="1" x14ac:dyDescent="0.3">
      <c r="A12" s="285">
        <v>45840</v>
      </c>
      <c r="B12" s="286" t="s">
        <v>211</v>
      </c>
      <c r="C12" s="268" t="s">
        <v>31</v>
      </c>
      <c r="D12" s="268" t="s">
        <v>371</v>
      </c>
      <c r="E12" s="270">
        <v>-282.07</v>
      </c>
      <c r="F12" s="25" t="s">
        <v>8</v>
      </c>
      <c r="G12" s="303" t="s">
        <v>76</v>
      </c>
    </row>
    <row r="13" spans="1:7" s="291" customFormat="1" hidden="1" x14ac:dyDescent="0.3">
      <c r="A13" s="205">
        <v>45840</v>
      </c>
      <c r="B13" s="10" t="s">
        <v>211</v>
      </c>
      <c r="C13" s="26" t="s">
        <v>25</v>
      </c>
      <c r="D13" s="26" t="s">
        <v>359</v>
      </c>
      <c r="E13" s="19">
        <v>-21.33</v>
      </c>
      <c r="F13" s="25" t="s">
        <v>8</v>
      </c>
      <c r="G13" s="64" t="s">
        <v>76</v>
      </c>
    </row>
    <row r="14" spans="1:7" s="291" customFormat="1" hidden="1" x14ac:dyDescent="0.3">
      <c r="A14" s="205">
        <v>45840</v>
      </c>
      <c r="B14" s="10" t="s">
        <v>211</v>
      </c>
      <c r="C14" s="26" t="s">
        <v>72</v>
      </c>
      <c r="D14" s="26" t="s">
        <v>357</v>
      </c>
      <c r="E14" s="19">
        <v>-163</v>
      </c>
      <c r="F14" s="25" t="s">
        <v>8</v>
      </c>
      <c r="G14" s="64" t="s">
        <v>207</v>
      </c>
    </row>
    <row r="15" spans="1:7" s="289" customFormat="1" hidden="1" x14ac:dyDescent="0.3">
      <c r="A15" s="66">
        <v>45840</v>
      </c>
      <c r="B15" s="59" t="s">
        <v>211</v>
      </c>
      <c r="C15" s="63" t="s">
        <v>25</v>
      </c>
      <c r="D15" s="63" t="s">
        <v>376</v>
      </c>
      <c r="E15" s="67">
        <v>-99</v>
      </c>
      <c r="F15" s="60" t="s">
        <v>8</v>
      </c>
      <c r="G15" s="64" t="s">
        <v>83</v>
      </c>
    </row>
    <row r="16" spans="1:7" s="289" customFormat="1" hidden="1" x14ac:dyDescent="0.3">
      <c r="A16" s="66">
        <v>45840</v>
      </c>
      <c r="B16" s="59" t="s">
        <v>211</v>
      </c>
      <c r="C16" s="63" t="s">
        <v>25</v>
      </c>
      <c r="D16" s="63" t="s">
        <v>372</v>
      </c>
      <c r="E16" s="67">
        <v>-377.6</v>
      </c>
      <c r="F16" s="60" t="s">
        <v>8</v>
      </c>
      <c r="G16" s="64" t="s">
        <v>83</v>
      </c>
    </row>
    <row r="17" spans="1:8" s="289" customFormat="1" hidden="1" x14ac:dyDescent="0.3">
      <c r="A17" s="66">
        <v>45840</v>
      </c>
      <c r="B17" s="59" t="s">
        <v>211</v>
      </c>
      <c r="C17" s="63" t="s">
        <v>17</v>
      </c>
      <c r="D17" s="63" t="s">
        <v>377</v>
      </c>
      <c r="E17" s="67">
        <v>-165</v>
      </c>
      <c r="F17" s="60" t="s">
        <v>8</v>
      </c>
      <c r="G17" s="64" t="s">
        <v>83</v>
      </c>
    </row>
    <row r="18" spans="1:8" s="291" customFormat="1" hidden="1" x14ac:dyDescent="0.3">
      <c r="A18" s="287">
        <v>45842</v>
      </c>
      <c r="B18" s="10" t="s">
        <v>211</v>
      </c>
      <c r="C18" s="12" t="s">
        <v>6</v>
      </c>
      <c r="D18" s="13" t="s">
        <v>23</v>
      </c>
      <c r="E18" s="21">
        <v>-3809.98</v>
      </c>
      <c r="F18" s="25" t="s">
        <v>8</v>
      </c>
      <c r="G18" s="14" t="s">
        <v>24</v>
      </c>
    </row>
    <row r="19" spans="1:8" s="291" customFormat="1" hidden="1" x14ac:dyDescent="0.3">
      <c r="A19" s="287">
        <v>45842</v>
      </c>
      <c r="B19" s="10" t="s">
        <v>211</v>
      </c>
      <c r="C19" s="13" t="s">
        <v>25</v>
      </c>
      <c r="D19" s="13" t="s">
        <v>28</v>
      </c>
      <c r="E19" s="21">
        <v>-389</v>
      </c>
      <c r="F19" s="25" t="s">
        <v>8</v>
      </c>
      <c r="G19" s="214" t="s">
        <v>29</v>
      </c>
    </row>
    <row r="20" spans="1:8" s="291" customFormat="1" hidden="1" x14ac:dyDescent="0.3">
      <c r="A20" s="287">
        <v>45842</v>
      </c>
      <c r="B20" s="10" t="s">
        <v>211</v>
      </c>
      <c r="C20" s="13" t="s">
        <v>25</v>
      </c>
      <c r="D20" s="13" t="s">
        <v>450</v>
      </c>
      <c r="E20" s="21">
        <v>-389</v>
      </c>
      <c r="F20" s="25" t="s">
        <v>8</v>
      </c>
      <c r="G20" s="214" t="s">
        <v>29</v>
      </c>
    </row>
    <row r="21" spans="1:8" s="291" customFormat="1" hidden="1" x14ac:dyDescent="0.3">
      <c r="A21" s="287">
        <v>45842</v>
      </c>
      <c r="B21" s="10" t="s">
        <v>211</v>
      </c>
      <c r="C21" s="13" t="s">
        <v>33</v>
      </c>
      <c r="D21" s="13" t="s">
        <v>450</v>
      </c>
      <c r="E21" s="21">
        <v>-389</v>
      </c>
      <c r="F21" s="25" t="s">
        <v>8</v>
      </c>
      <c r="G21" s="214" t="s">
        <v>29</v>
      </c>
    </row>
    <row r="22" spans="1:8" s="291" customFormat="1" hidden="1" x14ac:dyDescent="0.3">
      <c r="A22" s="287">
        <v>45845</v>
      </c>
      <c r="B22" s="10" t="s">
        <v>211</v>
      </c>
      <c r="C22" s="271" t="s">
        <v>31</v>
      </c>
      <c r="D22" s="18" t="s">
        <v>38</v>
      </c>
      <c r="E22" s="21">
        <v>-613.47</v>
      </c>
      <c r="F22" s="25" t="s">
        <v>8</v>
      </c>
      <c r="G22" s="20" t="s">
        <v>39</v>
      </c>
    </row>
    <row r="23" spans="1:8" s="291" customFormat="1" hidden="1" x14ac:dyDescent="0.3">
      <c r="A23" s="287">
        <v>45842</v>
      </c>
      <c r="B23" s="10" t="s">
        <v>211</v>
      </c>
      <c r="C23" s="13" t="s">
        <v>6</v>
      </c>
      <c r="D23" s="13" t="s">
        <v>40</v>
      </c>
      <c r="E23" s="21">
        <v>-460657.26</v>
      </c>
      <c r="F23" s="25" t="s">
        <v>8</v>
      </c>
      <c r="G23" s="14" t="s">
        <v>41</v>
      </c>
    </row>
    <row r="24" spans="1:8" s="291" customFormat="1" hidden="1" x14ac:dyDescent="0.3">
      <c r="A24" s="287">
        <v>45842</v>
      </c>
      <c r="B24" s="10" t="s">
        <v>211</v>
      </c>
      <c r="C24" s="13" t="s">
        <v>433</v>
      </c>
      <c r="D24" s="13" t="s">
        <v>42</v>
      </c>
      <c r="E24" s="21">
        <v>-500</v>
      </c>
      <c r="F24" s="25" t="s">
        <v>8</v>
      </c>
      <c r="G24" s="14" t="s">
        <v>41</v>
      </c>
    </row>
    <row r="25" spans="1:8" s="291" customFormat="1" hidden="1" x14ac:dyDescent="0.3">
      <c r="A25" s="287">
        <v>45842</v>
      </c>
      <c r="B25" s="10" t="s">
        <v>211</v>
      </c>
      <c r="C25" s="13" t="s">
        <v>6</v>
      </c>
      <c r="D25" s="13" t="s">
        <v>451</v>
      </c>
      <c r="E25" s="21">
        <v>-1974.52</v>
      </c>
      <c r="F25" s="25" t="s">
        <v>8</v>
      </c>
      <c r="G25" s="14" t="s">
        <v>41</v>
      </c>
    </row>
    <row r="26" spans="1:8" hidden="1" x14ac:dyDescent="0.3">
      <c r="A26" s="473">
        <v>45852</v>
      </c>
      <c r="B26" s="74" t="s">
        <v>211</v>
      </c>
      <c r="C26" s="185" t="s">
        <v>44</v>
      </c>
      <c r="D26" s="474" t="s">
        <v>818</v>
      </c>
      <c r="E26" s="54">
        <v>2800.33</v>
      </c>
      <c r="F26" s="93" t="s">
        <v>164</v>
      </c>
      <c r="G26" s="476" t="s">
        <v>165</v>
      </c>
    </row>
    <row r="27" spans="1:8" hidden="1" x14ac:dyDescent="0.3">
      <c r="A27" s="473">
        <v>45852</v>
      </c>
      <c r="B27" s="74" t="s">
        <v>211</v>
      </c>
      <c r="C27" s="185" t="s">
        <v>44</v>
      </c>
      <c r="D27" s="474" t="s">
        <v>819</v>
      </c>
      <c r="E27" s="54">
        <v>1709.15</v>
      </c>
      <c r="F27" s="93" t="s">
        <v>164</v>
      </c>
      <c r="G27" s="476" t="s">
        <v>233</v>
      </c>
    </row>
    <row r="28" spans="1:8" hidden="1" x14ac:dyDescent="0.3">
      <c r="A28" s="473">
        <v>45840</v>
      </c>
      <c r="B28" s="74" t="s">
        <v>211</v>
      </c>
      <c r="C28" s="474" t="s">
        <v>30</v>
      </c>
      <c r="D28" s="474" t="s">
        <v>817</v>
      </c>
      <c r="E28" s="680">
        <v>6599.4</v>
      </c>
      <c r="F28" s="93" t="s">
        <v>164</v>
      </c>
      <c r="G28" s="476" t="s">
        <v>165</v>
      </c>
    </row>
    <row r="29" spans="1:8" hidden="1" x14ac:dyDescent="0.3">
      <c r="A29" s="473">
        <v>45852</v>
      </c>
      <c r="B29" s="74" t="s">
        <v>211</v>
      </c>
      <c r="C29" s="474" t="s">
        <v>30</v>
      </c>
      <c r="D29" s="474" t="s">
        <v>817</v>
      </c>
      <c r="E29" s="475">
        <v>5040.2700000000004</v>
      </c>
      <c r="F29" s="93" t="s">
        <v>164</v>
      </c>
      <c r="G29" s="476" t="s">
        <v>165</v>
      </c>
    </row>
    <row r="30" spans="1:8" s="291" customFormat="1" hidden="1" x14ac:dyDescent="0.3">
      <c r="A30" s="287">
        <v>45852</v>
      </c>
      <c r="B30" s="10" t="s">
        <v>211</v>
      </c>
      <c r="C30" s="17" t="s">
        <v>44</v>
      </c>
      <c r="D30" s="26" t="s">
        <v>214</v>
      </c>
      <c r="E30" s="19">
        <v>-5670.51</v>
      </c>
      <c r="F30" s="25" t="s">
        <v>8</v>
      </c>
      <c r="G30" s="20" t="s">
        <v>46</v>
      </c>
    </row>
    <row r="31" spans="1:8" s="291" customFormat="1" hidden="1" x14ac:dyDescent="0.3">
      <c r="A31" s="323">
        <v>45845</v>
      </c>
      <c r="B31" s="50" t="s">
        <v>211</v>
      </c>
      <c r="C31" s="362" t="s">
        <v>13</v>
      </c>
      <c r="D31" s="259" t="s">
        <v>463</v>
      </c>
      <c r="E31" s="324">
        <v>-2980</v>
      </c>
      <c r="F31" s="51" t="s">
        <v>8</v>
      </c>
      <c r="G31" s="68" t="s">
        <v>27</v>
      </c>
      <c r="H31" s="295"/>
    </row>
    <row r="32" spans="1:8" s="291" customFormat="1" ht="13.2" hidden="1" customHeight="1" x14ac:dyDescent="0.3">
      <c r="A32" s="287">
        <v>45849</v>
      </c>
      <c r="B32" s="10" t="s">
        <v>211</v>
      </c>
      <c r="C32" s="13" t="s">
        <v>17</v>
      </c>
      <c r="D32" s="13" t="s">
        <v>18</v>
      </c>
      <c r="E32" s="21">
        <v>-16200</v>
      </c>
      <c r="F32" s="25" t="s">
        <v>8</v>
      </c>
      <c r="G32" s="14" t="s">
        <v>19</v>
      </c>
    </row>
    <row r="33" spans="1:7" s="289" customFormat="1" hidden="1" x14ac:dyDescent="0.3">
      <c r="A33" s="363">
        <v>45848</v>
      </c>
      <c r="B33" s="339" t="s">
        <v>211</v>
      </c>
      <c r="C33" s="340" t="s">
        <v>31</v>
      </c>
      <c r="D33" s="340" t="s">
        <v>495</v>
      </c>
      <c r="E33" s="341">
        <v>-494.62</v>
      </c>
      <c r="F33" s="262" t="s">
        <v>8</v>
      </c>
      <c r="G33" s="213" t="s">
        <v>51</v>
      </c>
    </row>
    <row r="34" spans="1:7" s="289" customFormat="1" ht="13.2" hidden="1" customHeight="1" x14ac:dyDescent="0.3">
      <c r="A34" s="288">
        <v>45848</v>
      </c>
      <c r="B34" s="59" t="s">
        <v>211</v>
      </c>
      <c r="C34" s="63" t="s">
        <v>6</v>
      </c>
      <c r="D34" s="63" t="s">
        <v>495</v>
      </c>
      <c r="E34" s="67">
        <v>-883.25</v>
      </c>
      <c r="F34" s="25" t="s">
        <v>8</v>
      </c>
      <c r="G34" s="62" t="s">
        <v>51</v>
      </c>
    </row>
    <row r="35" spans="1:7" s="289" customFormat="1" hidden="1" x14ac:dyDescent="0.3">
      <c r="A35" s="288">
        <v>45848</v>
      </c>
      <c r="B35" s="59" t="s">
        <v>211</v>
      </c>
      <c r="C35" s="63" t="s">
        <v>44</v>
      </c>
      <c r="D35" s="63" t="s">
        <v>495</v>
      </c>
      <c r="E35" s="67">
        <v>-847.92</v>
      </c>
      <c r="F35" s="25" t="s">
        <v>8</v>
      </c>
      <c r="G35" s="62" t="s">
        <v>51</v>
      </c>
    </row>
    <row r="36" spans="1:7" s="289" customFormat="1" hidden="1" x14ac:dyDescent="0.3">
      <c r="A36" s="288">
        <v>45848</v>
      </c>
      <c r="B36" s="59" t="s">
        <v>211</v>
      </c>
      <c r="C36" s="63" t="s">
        <v>25</v>
      </c>
      <c r="D36" s="63" t="s">
        <v>495</v>
      </c>
      <c r="E36" s="67">
        <v>-2084.4699999999998</v>
      </c>
      <c r="F36" s="25" t="s">
        <v>8</v>
      </c>
      <c r="G36" s="62" t="s">
        <v>51</v>
      </c>
    </row>
    <row r="37" spans="1:7" s="289" customFormat="1" hidden="1" x14ac:dyDescent="0.3">
      <c r="A37" s="288">
        <v>45848</v>
      </c>
      <c r="B37" s="59" t="s">
        <v>211</v>
      </c>
      <c r="C37" s="63" t="s">
        <v>33</v>
      </c>
      <c r="D37" s="63" t="s">
        <v>495</v>
      </c>
      <c r="E37" s="67">
        <v>-600.61</v>
      </c>
      <c r="F37" s="25" t="s">
        <v>8</v>
      </c>
      <c r="G37" s="62" t="s">
        <v>51</v>
      </c>
    </row>
    <row r="38" spans="1:7" s="289" customFormat="1" hidden="1" x14ac:dyDescent="0.3">
      <c r="A38" s="288">
        <v>45848</v>
      </c>
      <c r="B38" s="59" t="s">
        <v>211</v>
      </c>
      <c r="C38" s="63" t="s">
        <v>106</v>
      </c>
      <c r="D38" s="63" t="s">
        <v>495</v>
      </c>
      <c r="E38" s="67">
        <v>-635.94000000000005</v>
      </c>
      <c r="F38" s="25" t="s">
        <v>8</v>
      </c>
      <c r="G38" s="62" t="s">
        <v>51</v>
      </c>
    </row>
    <row r="39" spans="1:7" s="289" customFormat="1" hidden="1" x14ac:dyDescent="0.3">
      <c r="A39" s="288">
        <v>45848</v>
      </c>
      <c r="B39" s="59" t="s">
        <v>211</v>
      </c>
      <c r="C39" s="63" t="s">
        <v>32</v>
      </c>
      <c r="D39" s="63" t="s">
        <v>495</v>
      </c>
      <c r="E39" s="67">
        <v>-1342.54</v>
      </c>
      <c r="F39" s="25" t="s">
        <v>8</v>
      </c>
      <c r="G39" s="62" t="s">
        <v>51</v>
      </c>
    </row>
    <row r="40" spans="1:7" s="289" customFormat="1" hidden="1" x14ac:dyDescent="0.3">
      <c r="A40" s="288">
        <v>45848</v>
      </c>
      <c r="B40" s="59" t="s">
        <v>211</v>
      </c>
      <c r="C40" s="63" t="s">
        <v>72</v>
      </c>
      <c r="D40" s="63" t="s">
        <v>495</v>
      </c>
      <c r="E40" s="67">
        <v>-777.26</v>
      </c>
      <c r="F40" s="25" t="s">
        <v>8</v>
      </c>
      <c r="G40" s="62" t="s">
        <v>51</v>
      </c>
    </row>
    <row r="41" spans="1:7" s="289" customFormat="1" hidden="1" x14ac:dyDescent="0.3">
      <c r="A41" s="288">
        <v>45848</v>
      </c>
      <c r="B41" s="59" t="s">
        <v>211</v>
      </c>
      <c r="C41" s="63" t="s">
        <v>17</v>
      </c>
      <c r="D41" s="63" t="s">
        <v>495</v>
      </c>
      <c r="E41" s="67">
        <v>-459.29</v>
      </c>
      <c r="F41" s="25" t="s">
        <v>8</v>
      </c>
      <c r="G41" s="62" t="s">
        <v>51</v>
      </c>
    </row>
    <row r="42" spans="1:7" s="291" customFormat="1" ht="13.2" hidden="1" customHeight="1" x14ac:dyDescent="0.3">
      <c r="A42" s="287">
        <v>45848</v>
      </c>
      <c r="B42" s="10" t="s">
        <v>211</v>
      </c>
      <c r="C42" s="24" t="s">
        <v>6</v>
      </c>
      <c r="D42" s="13" t="s">
        <v>52</v>
      </c>
      <c r="E42" s="67">
        <v>-421.26</v>
      </c>
      <c r="F42" s="25" t="s">
        <v>8</v>
      </c>
      <c r="G42" s="14" t="s">
        <v>53</v>
      </c>
    </row>
    <row r="43" spans="1:7" s="291" customFormat="1" hidden="1" x14ac:dyDescent="0.3">
      <c r="A43" s="287">
        <v>45848</v>
      </c>
      <c r="B43" s="10" t="s">
        <v>211</v>
      </c>
      <c r="C43" s="24" t="s">
        <v>17</v>
      </c>
      <c r="D43" s="13" t="s">
        <v>512</v>
      </c>
      <c r="E43" s="21">
        <v>-10500</v>
      </c>
      <c r="F43" s="51" t="s">
        <v>8</v>
      </c>
      <c r="G43" s="68" t="s">
        <v>57</v>
      </c>
    </row>
    <row r="44" spans="1:7" s="291" customFormat="1" hidden="1" x14ac:dyDescent="0.3">
      <c r="A44" s="287">
        <v>45860</v>
      </c>
      <c r="B44" s="10" t="s">
        <v>211</v>
      </c>
      <c r="C44" s="24" t="s">
        <v>13</v>
      </c>
      <c r="D44" s="13" t="s">
        <v>658</v>
      </c>
      <c r="E44" s="21">
        <v>-40</v>
      </c>
      <c r="F44" s="25" t="s">
        <v>8</v>
      </c>
      <c r="G44" s="14" t="s">
        <v>55</v>
      </c>
    </row>
    <row r="45" spans="1:7" s="291" customFormat="1" hidden="1" x14ac:dyDescent="0.3">
      <c r="A45" s="287">
        <v>45848</v>
      </c>
      <c r="B45" s="10" t="s">
        <v>211</v>
      </c>
      <c r="C45" s="24" t="s">
        <v>31</v>
      </c>
      <c r="D45" s="13" t="s">
        <v>504</v>
      </c>
      <c r="E45" s="21">
        <v>-1000</v>
      </c>
      <c r="F45" s="262" t="s">
        <v>8</v>
      </c>
      <c r="G45" s="47" t="s">
        <v>59</v>
      </c>
    </row>
    <row r="46" spans="1:7" s="291" customFormat="1" hidden="1" x14ac:dyDescent="0.3">
      <c r="A46" s="287">
        <v>45854</v>
      </c>
      <c r="B46" s="10" t="s">
        <v>211</v>
      </c>
      <c r="C46" s="24" t="s">
        <v>31</v>
      </c>
      <c r="D46" s="13" t="s">
        <v>563</v>
      </c>
      <c r="E46" s="21">
        <v>-2000</v>
      </c>
      <c r="F46" s="25" t="s">
        <v>8</v>
      </c>
      <c r="G46" s="14" t="s">
        <v>59</v>
      </c>
    </row>
    <row r="47" spans="1:7" s="291" customFormat="1" hidden="1" x14ac:dyDescent="0.3">
      <c r="A47" s="287">
        <v>45848</v>
      </c>
      <c r="B47" s="10" t="s">
        <v>211</v>
      </c>
      <c r="C47" s="24" t="s">
        <v>95</v>
      </c>
      <c r="D47" s="13" t="s">
        <v>60</v>
      </c>
      <c r="E47" s="21">
        <v>-5590.46</v>
      </c>
      <c r="F47" s="25" t="s">
        <v>8</v>
      </c>
      <c r="G47" s="14" t="s">
        <v>59</v>
      </c>
    </row>
    <row r="48" spans="1:7" s="291" customFormat="1" hidden="1" x14ac:dyDescent="0.3">
      <c r="A48" s="287">
        <v>45848</v>
      </c>
      <c r="B48" s="10" t="s">
        <v>211</v>
      </c>
      <c r="C48" s="24" t="s">
        <v>44</v>
      </c>
      <c r="D48" s="13" t="s">
        <v>61</v>
      </c>
      <c r="E48" s="21">
        <v>-9146.82</v>
      </c>
      <c r="F48" s="14" t="s">
        <v>8</v>
      </c>
      <c r="G48" s="14" t="s">
        <v>62</v>
      </c>
    </row>
    <row r="49" spans="1:8" s="291" customFormat="1" hidden="1" x14ac:dyDescent="0.3">
      <c r="A49" s="287">
        <v>45848</v>
      </c>
      <c r="B49" s="10" t="s">
        <v>211</v>
      </c>
      <c r="C49" s="24" t="s">
        <v>6</v>
      </c>
      <c r="D49" s="13" t="s">
        <v>63</v>
      </c>
      <c r="E49" s="67">
        <v>-5896.35</v>
      </c>
      <c r="F49" s="25" t="s">
        <v>8</v>
      </c>
      <c r="G49" s="14" t="s">
        <v>64</v>
      </c>
    </row>
    <row r="50" spans="1:8" s="291" customFormat="1" hidden="1" x14ac:dyDescent="0.3">
      <c r="A50" s="287">
        <v>45848</v>
      </c>
      <c r="B50" s="10" t="s">
        <v>211</v>
      </c>
      <c r="C50" s="27" t="s">
        <v>65</v>
      </c>
      <c r="D50" s="13" t="s">
        <v>509</v>
      </c>
      <c r="E50" s="21">
        <v>-441.64</v>
      </c>
      <c r="F50" s="25" t="s">
        <v>8</v>
      </c>
      <c r="G50" s="14" t="s">
        <v>39</v>
      </c>
    </row>
    <row r="51" spans="1:8" s="291" customFormat="1" hidden="1" x14ac:dyDescent="0.3">
      <c r="A51" s="287">
        <v>45848</v>
      </c>
      <c r="B51" s="10" t="s">
        <v>211</v>
      </c>
      <c r="C51" s="12" t="s">
        <v>67</v>
      </c>
      <c r="D51" s="13" t="s">
        <v>68</v>
      </c>
      <c r="E51" s="21">
        <v>-553.25</v>
      </c>
      <c r="F51" s="25" t="s">
        <v>8</v>
      </c>
      <c r="G51" s="214" t="s">
        <v>69</v>
      </c>
    </row>
    <row r="52" spans="1:8" s="291" customFormat="1" hidden="1" x14ac:dyDescent="0.3">
      <c r="A52" s="287">
        <v>45848</v>
      </c>
      <c r="B52" s="10" t="s">
        <v>211</v>
      </c>
      <c r="C52" s="17" t="s">
        <v>6</v>
      </c>
      <c r="D52" s="18" t="s">
        <v>70</v>
      </c>
      <c r="E52" s="19">
        <v>-545.78</v>
      </c>
      <c r="F52" s="25" t="s">
        <v>8</v>
      </c>
      <c r="G52" s="20" t="s">
        <v>71</v>
      </c>
    </row>
    <row r="53" spans="1:8" s="291" customFormat="1" hidden="1" x14ac:dyDescent="0.3">
      <c r="A53" s="337">
        <v>45853</v>
      </c>
      <c r="B53" s="46" t="s">
        <v>211</v>
      </c>
      <c r="C53" s="260" t="s">
        <v>6</v>
      </c>
      <c r="D53" s="260" t="s">
        <v>545</v>
      </c>
      <c r="E53" s="357">
        <v>-82400.03</v>
      </c>
      <c r="F53" s="47" t="s">
        <v>8</v>
      </c>
      <c r="G53" s="47" t="s">
        <v>41</v>
      </c>
      <c r="H53" s="305"/>
    </row>
    <row r="54" spans="1:8" s="291" customFormat="1" hidden="1" x14ac:dyDescent="0.3">
      <c r="A54" s="287">
        <v>45854</v>
      </c>
      <c r="B54" s="10" t="s">
        <v>211</v>
      </c>
      <c r="C54" s="26" t="s">
        <v>17</v>
      </c>
      <c r="D54" s="26" t="s">
        <v>547</v>
      </c>
      <c r="E54" s="19">
        <v>-18300</v>
      </c>
      <c r="F54" s="25" t="s">
        <v>8</v>
      </c>
      <c r="G54" s="14" t="s">
        <v>79</v>
      </c>
      <c r="H54" s="305"/>
    </row>
    <row r="55" spans="1:8" s="291" customFormat="1" hidden="1" x14ac:dyDescent="0.3">
      <c r="A55" s="287">
        <v>45854</v>
      </c>
      <c r="B55" s="10" t="s">
        <v>211</v>
      </c>
      <c r="C55" s="26" t="s">
        <v>17</v>
      </c>
      <c r="D55" s="26" t="s">
        <v>548</v>
      </c>
      <c r="E55" s="19">
        <v>-3700</v>
      </c>
      <c r="F55" s="25" t="s">
        <v>8</v>
      </c>
      <c r="G55" s="14" t="s">
        <v>79</v>
      </c>
      <c r="H55" s="305"/>
    </row>
    <row r="56" spans="1:8" s="291" customFormat="1" hidden="1" x14ac:dyDescent="0.3">
      <c r="A56" s="287">
        <v>45854</v>
      </c>
      <c r="B56" s="10" t="s">
        <v>211</v>
      </c>
      <c r="C56" s="26" t="s">
        <v>17</v>
      </c>
      <c r="D56" s="26" t="s">
        <v>549</v>
      </c>
      <c r="E56" s="19">
        <v>-900</v>
      </c>
      <c r="F56" s="25" t="s">
        <v>8</v>
      </c>
      <c r="G56" s="14" t="s">
        <v>79</v>
      </c>
      <c r="H56" s="305"/>
    </row>
    <row r="57" spans="1:8" s="291" customFormat="1" hidden="1" x14ac:dyDescent="0.3">
      <c r="A57" s="287">
        <v>45854</v>
      </c>
      <c r="B57" s="10" t="s">
        <v>211</v>
      </c>
      <c r="C57" s="26" t="s">
        <v>17</v>
      </c>
      <c r="D57" s="26" t="s">
        <v>550</v>
      </c>
      <c r="E57" s="19">
        <v>-12600</v>
      </c>
      <c r="F57" s="25" t="s">
        <v>8</v>
      </c>
      <c r="G57" s="14" t="s">
        <v>79</v>
      </c>
      <c r="H57" s="305"/>
    </row>
    <row r="58" spans="1:8" s="291" customFormat="1" hidden="1" x14ac:dyDescent="0.3">
      <c r="A58" s="287">
        <v>45854</v>
      </c>
      <c r="B58" s="10" t="s">
        <v>211</v>
      </c>
      <c r="C58" s="24" t="s">
        <v>6</v>
      </c>
      <c r="D58" s="13" t="s">
        <v>546</v>
      </c>
      <c r="E58" s="21">
        <v>-88560.88</v>
      </c>
      <c r="F58" s="25" t="s">
        <v>8</v>
      </c>
      <c r="G58" s="14" t="s">
        <v>19</v>
      </c>
    </row>
    <row r="59" spans="1:8" s="291" customFormat="1" hidden="1" x14ac:dyDescent="0.3">
      <c r="A59" s="287">
        <v>45853</v>
      </c>
      <c r="B59" s="10" t="s">
        <v>211</v>
      </c>
      <c r="C59" s="26" t="s">
        <v>25</v>
      </c>
      <c r="D59" s="26" t="s">
        <v>392</v>
      </c>
      <c r="E59" s="19">
        <v>-456.72</v>
      </c>
      <c r="F59" s="14" t="s">
        <v>8</v>
      </c>
      <c r="G59" s="20" t="s">
        <v>19</v>
      </c>
    </row>
    <row r="60" spans="1:8" s="291" customFormat="1" hidden="1" x14ac:dyDescent="0.3">
      <c r="A60" s="287">
        <v>45853</v>
      </c>
      <c r="B60" s="10" t="s">
        <v>211</v>
      </c>
      <c r="C60" s="26" t="s">
        <v>17</v>
      </c>
      <c r="D60" s="26" t="s">
        <v>85</v>
      </c>
      <c r="E60" s="19">
        <v>-456.72</v>
      </c>
      <c r="F60" s="14" t="s">
        <v>8</v>
      </c>
      <c r="G60" s="20" t="s">
        <v>19</v>
      </c>
    </row>
    <row r="61" spans="1:8" s="291" customFormat="1" hidden="1" x14ac:dyDescent="0.3">
      <c r="A61" s="287">
        <v>45853</v>
      </c>
      <c r="B61" s="10" t="s">
        <v>211</v>
      </c>
      <c r="C61" s="26" t="s">
        <v>17</v>
      </c>
      <c r="D61" s="26" t="s">
        <v>519</v>
      </c>
      <c r="E61" s="19">
        <v>-456.72</v>
      </c>
      <c r="F61" s="14" t="s">
        <v>8</v>
      </c>
      <c r="G61" s="20" t="s">
        <v>19</v>
      </c>
    </row>
    <row r="62" spans="1:8" s="291" customFormat="1" hidden="1" x14ac:dyDescent="0.3">
      <c r="A62" s="287">
        <v>45853</v>
      </c>
      <c r="B62" s="10" t="s">
        <v>211</v>
      </c>
      <c r="C62" s="26" t="s">
        <v>17</v>
      </c>
      <c r="D62" s="26" t="s">
        <v>26</v>
      </c>
      <c r="E62" s="19">
        <v>-415.2</v>
      </c>
      <c r="F62" s="14" t="s">
        <v>8</v>
      </c>
      <c r="G62" s="20" t="s">
        <v>19</v>
      </c>
    </row>
    <row r="63" spans="1:8" s="291" customFormat="1" hidden="1" x14ac:dyDescent="0.3">
      <c r="A63" s="287">
        <v>45853</v>
      </c>
      <c r="B63" s="10" t="s">
        <v>211</v>
      </c>
      <c r="C63" s="26" t="s">
        <v>17</v>
      </c>
      <c r="D63" s="26" t="s">
        <v>520</v>
      </c>
      <c r="E63" s="19">
        <v>-373.68</v>
      </c>
      <c r="F63" s="14" t="s">
        <v>8</v>
      </c>
      <c r="G63" s="20" t="s">
        <v>19</v>
      </c>
    </row>
    <row r="64" spans="1:8" s="291" customFormat="1" hidden="1" x14ac:dyDescent="0.3">
      <c r="A64" s="287">
        <v>45853</v>
      </c>
      <c r="B64" s="10" t="s">
        <v>211</v>
      </c>
      <c r="C64" s="26" t="s">
        <v>17</v>
      </c>
      <c r="D64" s="26" t="s">
        <v>521</v>
      </c>
      <c r="E64" s="19">
        <v>-456.72</v>
      </c>
      <c r="F64" s="14" t="s">
        <v>8</v>
      </c>
      <c r="G64" s="20" t="s">
        <v>19</v>
      </c>
    </row>
    <row r="65" spans="1:7" s="291" customFormat="1" hidden="1" x14ac:dyDescent="0.3">
      <c r="A65" s="287">
        <v>45853</v>
      </c>
      <c r="B65" s="10" t="s">
        <v>211</v>
      </c>
      <c r="C65" s="26" t="s">
        <v>17</v>
      </c>
      <c r="D65" s="26" t="s">
        <v>522</v>
      </c>
      <c r="E65" s="19">
        <v>-456.72</v>
      </c>
      <c r="F65" s="14" t="s">
        <v>8</v>
      </c>
      <c r="G65" s="20" t="s">
        <v>19</v>
      </c>
    </row>
    <row r="66" spans="1:7" s="291" customFormat="1" hidden="1" x14ac:dyDescent="0.3">
      <c r="A66" s="287">
        <v>45853</v>
      </c>
      <c r="B66" s="10" t="s">
        <v>211</v>
      </c>
      <c r="C66" s="26" t="s">
        <v>6</v>
      </c>
      <c r="D66" s="26" t="s">
        <v>502</v>
      </c>
      <c r="E66" s="19">
        <v>-267</v>
      </c>
      <c r="F66" s="14" t="s">
        <v>8</v>
      </c>
      <c r="G66" s="14" t="s">
        <v>83</v>
      </c>
    </row>
    <row r="67" spans="1:7" s="291" customFormat="1" hidden="1" x14ac:dyDescent="0.3">
      <c r="A67" s="287">
        <v>45853</v>
      </c>
      <c r="B67" s="10" t="s">
        <v>211</v>
      </c>
      <c r="C67" s="26" t="s">
        <v>32</v>
      </c>
      <c r="D67" s="26" t="s">
        <v>812</v>
      </c>
      <c r="E67" s="19">
        <v>-196.8</v>
      </c>
      <c r="F67" s="14" t="s">
        <v>8</v>
      </c>
      <c r="G67" s="14" t="s">
        <v>83</v>
      </c>
    </row>
    <row r="68" spans="1:7" s="291" customFormat="1" hidden="1" x14ac:dyDescent="0.3">
      <c r="A68" s="287">
        <v>45853</v>
      </c>
      <c r="B68" s="10" t="s">
        <v>211</v>
      </c>
      <c r="C68" s="26" t="s">
        <v>25</v>
      </c>
      <c r="D68" s="26" t="s">
        <v>454</v>
      </c>
      <c r="E68" s="19">
        <v>-177</v>
      </c>
      <c r="F68" s="25" t="s">
        <v>8</v>
      </c>
      <c r="G68" s="14" t="s">
        <v>83</v>
      </c>
    </row>
    <row r="69" spans="1:7" s="291" customFormat="1" hidden="1" x14ac:dyDescent="0.3">
      <c r="A69" s="287">
        <v>45853</v>
      </c>
      <c r="B69" s="10" t="s">
        <v>211</v>
      </c>
      <c r="C69" s="26" t="s">
        <v>25</v>
      </c>
      <c r="D69" s="26" t="s">
        <v>523</v>
      </c>
      <c r="E69" s="19">
        <v>-165.2</v>
      </c>
      <c r="F69" s="25" t="s">
        <v>8</v>
      </c>
      <c r="G69" s="14" t="s">
        <v>83</v>
      </c>
    </row>
    <row r="70" spans="1:7" s="291" customFormat="1" hidden="1" x14ac:dyDescent="0.3">
      <c r="A70" s="287">
        <v>45853</v>
      </c>
      <c r="B70" s="10" t="s">
        <v>211</v>
      </c>
      <c r="C70" s="26" t="s">
        <v>25</v>
      </c>
      <c r="D70" s="26" t="s">
        <v>524</v>
      </c>
      <c r="E70" s="19">
        <v>-346.5</v>
      </c>
      <c r="F70" s="25" t="s">
        <v>8</v>
      </c>
      <c r="G70" s="14" t="s">
        <v>83</v>
      </c>
    </row>
    <row r="71" spans="1:7" s="291" customFormat="1" hidden="1" x14ac:dyDescent="0.3">
      <c r="A71" s="287">
        <v>45853</v>
      </c>
      <c r="B71" s="10" t="s">
        <v>211</v>
      </c>
      <c r="C71" s="26" t="s">
        <v>25</v>
      </c>
      <c r="D71" s="26" t="s">
        <v>392</v>
      </c>
      <c r="E71" s="19">
        <v>-304</v>
      </c>
      <c r="F71" s="25" t="s">
        <v>8</v>
      </c>
      <c r="G71" s="14" t="s">
        <v>83</v>
      </c>
    </row>
    <row r="72" spans="1:7" s="291" customFormat="1" hidden="1" x14ac:dyDescent="0.3">
      <c r="A72" s="287">
        <v>45853</v>
      </c>
      <c r="B72" s="10" t="s">
        <v>211</v>
      </c>
      <c r="C72" s="26" t="s">
        <v>25</v>
      </c>
      <c r="D72" s="26" t="s">
        <v>525</v>
      </c>
      <c r="E72" s="19">
        <v>-271</v>
      </c>
      <c r="F72" s="25" t="s">
        <v>8</v>
      </c>
      <c r="G72" s="14" t="s">
        <v>83</v>
      </c>
    </row>
    <row r="73" spans="1:7" s="291" customFormat="1" hidden="1" x14ac:dyDescent="0.3">
      <c r="A73" s="287">
        <v>45853</v>
      </c>
      <c r="B73" s="10" t="s">
        <v>211</v>
      </c>
      <c r="C73" s="26" t="s">
        <v>72</v>
      </c>
      <c r="D73" s="26" t="s">
        <v>526</v>
      </c>
      <c r="E73" s="19">
        <v>-110</v>
      </c>
      <c r="F73" s="25" t="s">
        <v>8</v>
      </c>
      <c r="G73" s="14" t="s">
        <v>83</v>
      </c>
    </row>
    <row r="74" spans="1:7" s="291" customFormat="1" hidden="1" x14ac:dyDescent="0.3">
      <c r="A74" s="287">
        <v>45853</v>
      </c>
      <c r="B74" s="10" t="s">
        <v>211</v>
      </c>
      <c r="C74" s="26" t="s">
        <v>17</v>
      </c>
      <c r="D74" s="26" t="s">
        <v>527</v>
      </c>
      <c r="E74" s="19">
        <v>-261.8</v>
      </c>
      <c r="F74" s="25" t="s">
        <v>8</v>
      </c>
      <c r="G74" s="14" t="s">
        <v>83</v>
      </c>
    </row>
    <row r="75" spans="1:7" s="291" customFormat="1" hidden="1" x14ac:dyDescent="0.3">
      <c r="A75" s="287">
        <v>45853</v>
      </c>
      <c r="B75" s="10" t="s">
        <v>211</v>
      </c>
      <c r="C75" s="26" t="s">
        <v>17</v>
      </c>
      <c r="D75" s="26" t="s">
        <v>528</v>
      </c>
      <c r="E75" s="19">
        <v>-342</v>
      </c>
      <c r="F75" s="25" t="s">
        <v>8</v>
      </c>
      <c r="G75" s="14" t="s">
        <v>83</v>
      </c>
    </row>
    <row r="76" spans="1:7" s="291" customFormat="1" hidden="1" x14ac:dyDescent="0.3">
      <c r="A76" s="287">
        <v>45853</v>
      </c>
      <c r="B76" s="10" t="s">
        <v>211</v>
      </c>
      <c r="C76" s="26" t="s">
        <v>17</v>
      </c>
      <c r="D76" s="26" t="s">
        <v>85</v>
      </c>
      <c r="E76" s="19">
        <v>-300</v>
      </c>
      <c r="F76" s="25" t="s">
        <v>8</v>
      </c>
      <c r="G76" s="14" t="s">
        <v>83</v>
      </c>
    </row>
    <row r="77" spans="1:7" s="291" customFormat="1" hidden="1" x14ac:dyDescent="0.3">
      <c r="A77" s="287">
        <v>45853</v>
      </c>
      <c r="B77" s="10" t="s">
        <v>211</v>
      </c>
      <c r="C77" s="26" t="s">
        <v>17</v>
      </c>
      <c r="D77" s="26" t="s">
        <v>520</v>
      </c>
      <c r="E77" s="19">
        <v>-90</v>
      </c>
      <c r="F77" s="25" t="s">
        <v>8</v>
      </c>
      <c r="G77" s="14" t="s">
        <v>83</v>
      </c>
    </row>
    <row r="78" spans="1:7" s="291" customFormat="1" hidden="1" x14ac:dyDescent="0.3">
      <c r="A78" s="287">
        <v>45853</v>
      </c>
      <c r="B78" s="10" t="s">
        <v>211</v>
      </c>
      <c r="C78" s="26" t="s">
        <v>17</v>
      </c>
      <c r="D78" s="26" t="s">
        <v>522</v>
      </c>
      <c r="E78" s="19">
        <v>-32.549999999999997</v>
      </c>
      <c r="F78" s="25" t="s">
        <v>8</v>
      </c>
      <c r="G78" s="14" t="s">
        <v>83</v>
      </c>
    </row>
    <row r="79" spans="1:7" s="291" customFormat="1" hidden="1" x14ac:dyDescent="0.3">
      <c r="A79" s="287">
        <v>45853</v>
      </c>
      <c r="B79" s="10" t="s">
        <v>211</v>
      </c>
      <c r="C79" s="26" t="s">
        <v>17</v>
      </c>
      <c r="D79" s="26" t="s">
        <v>529</v>
      </c>
      <c r="E79" s="19">
        <v>-275</v>
      </c>
      <c r="F79" s="25" t="s">
        <v>8</v>
      </c>
      <c r="G79" s="14" t="s">
        <v>83</v>
      </c>
    </row>
    <row r="80" spans="1:7" s="291" customFormat="1" hidden="1" x14ac:dyDescent="0.3">
      <c r="A80" s="287">
        <v>45853</v>
      </c>
      <c r="B80" s="10" t="s">
        <v>211</v>
      </c>
      <c r="C80" s="26" t="s">
        <v>17</v>
      </c>
      <c r="D80" s="26" t="s">
        <v>521</v>
      </c>
      <c r="E80" s="19">
        <v>-110</v>
      </c>
      <c r="F80" s="25" t="s">
        <v>8</v>
      </c>
      <c r="G80" s="14" t="s">
        <v>83</v>
      </c>
    </row>
    <row r="81" spans="1:7" s="291" customFormat="1" hidden="1" x14ac:dyDescent="0.3">
      <c r="A81" s="287">
        <v>45853</v>
      </c>
      <c r="B81" s="10" t="s">
        <v>211</v>
      </c>
      <c r="C81" s="26" t="s">
        <v>17</v>
      </c>
      <c r="D81" s="26" t="s">
        <v>519</v>
      </c>
      <c r="E81" s="19">
        <v>-110</v>
      </c>
      <c r="F81" s="25" t="s">
        <v>8</v>
      </c>
      <c r="G81" s="14" t="s">
        <v>83</v>
      </c>
    </row>
    <row r="82" spans="1:7" s="291" customFormat="1" hidden="1" x14ac:dyDescent="0.3">
      <c r="A82" s="287">
        <v>45853</v>
      </c>
      <c r="B82" s="10" t="s">
        <v>211</v>
      </c>
      <c r="C82" s="26" t="s">
        <v>17</v>
      </c>
      <c r="D82" s="26" t="s">
        <v>26</v>
      </c>
      <c r="E82" s="19">
        <v>-90</v>
      </c>
      <c r="F82" s="25" t="s">
        <v>8</v>
      </c>
      <c r="G82" s="14" t="s">
        <v>83</v>
      </c>
    </row>
    <row r="83" spans="1:7" s="291" customFormat="1" hidden="1" x14ac:dyDescent="0.3">
      <c r="A83" s="287">
        <v>45853</v>
      </c>
      <c r="B83" s="10" t="s">
        <v>211</v>
      </c>
      <c r="C83" s="26" t="s">
        <v>17</v>
      </c>
      <c r="D83" s="26" t="s">
        <v>810</v>
      </c>
      <c r="E83" s="19">
        <v>-140</v>
      </c>
      <c r="F83" s="25" t="s">
        <v>8</v>
      </c>
      <c r="G83" s="14" t="s">
        <v>83</v>
      </c>
    </row>
    <row r="84" spans="1:7" s="291" customFormat="1" hidden="1" x14ac:dyDescent="0.3">
      <c r="A84" s="287">
        <v>45853</v>
      </c>
      <c r="B84" s="10" t="s">
        <v>211</v>
      </c>
      <c r="C84" s="26" t="s">
        <v>17</v>
      </c>
      <c r="D84" s="26" t="s">
        <v>811</v>
      </c>
      <c r="E84" s="19">
        <v>-222</v>
      </c>
      <c r="F84" s="25" t="s">
        <v>8</v>
      </c>
      <c r="G84" s="14" t="s">
        <v>83</v>
      </c>
    </row>
    <row r="85" spans="1:7" s="291" customFormat="1" hidden="1" x14ac:dyDescent="0.3">
      <c r="A85" s="287">
        <v>45853</v>
      </c>
      <c r="B85" s="10" t="s">
        <v>211</v>
      </c>
      <c r="C85" s="24" t="s">
        <v>17</v>
      </c>
      <c r="D85" s="24" t="s">
        <v>84</v>
      </c>
      <c r="E85" s="21">
        <v>-20498.98</v>
      </c>
      <c r="F85" s="25" t="s">
        <v>8</v>
      </c>
      <c r="G85" s="14" t="s">
        <v>59</v>
      </c>
    </row>
    <row r="86" spans="1:7" s="291" customFormat="1" hidden="1" x14ac:dyDescent="0.3">
      <c r="A86" s="287">
        <v>45853</v>
      </c>
      <c r="B86" s="10" t="s">
        <v>211</v>
      </c>
      <c r="C86" s="17" t="s">
        <v>17</v>
      </c>
      <c r="D86" s="26" t="s">
        <v>85</v>
      </c>
      <c r="E86" s="21">
        <v>-144.68</v>
      </c>
      <c r="F86" s="14" t="s">
        <v>8</v>
      </c>
      <c r="G86" s="14" t="s">
        <v>86</v>
      </c>
    </row>
    <row r="87" spans="1:7" s="291" customFormat="1" hidden="1" x14ac:dyDescent="0.3">
      <c r="A87" s="287">
        <v>45853</v>
      </c>
      <c r="B87" s="10" t="s">
        <v>211</v>
      </c>
      <c r="C87" s="13" t="s">
        <v>13</v>
      </c>
      <c r="D87" s="24" t="s">
        <v>537</v>
      </c>
      <c r="E87" s="21">
        <v>-1375</v>
      </c>
      <c r="F87" s="14" t="s">
        <v>8</v>
      </c>
      <c r="G87" s="14" t="s">
        <v>41</v>
      </c>
    </row>
    <row r="88" spans="1:7" s="291" customFormat="1" hidden="1" x14ac:dyDescent="0.3">
      <c r="A88" s="287">
        <v>45853</v>
      </c>
      <c r="B88" s="10" t="s">
        <v>211</v>
      </c>
      <c r="C88" s="12" t="s">
        <v>89</v>
      </c>
      <c r="D88" s="24" t="s">
        <v>536</v>
      </c>
      <c r="E88" s="21">
        <v>-2281.6999999999998</v>
      </c>
      <c r="F88" s="14" t="s">
        <v>8</v>
      </c>
      <c r="G88" s="14" t="s">
        <v>41</v>
      </c>
    </row>
    <row r="89" spans="1:7" s="291" customFormat="1" hidden="1" x14ac:dyDescent="0.3">
      <c r="A89" s="287">
        <v>45853</v>
      </c>
      <c r="B89" s="10" t="s">
        <v>211</v>
      </c>
      <c r="C89" s="24" t="s">
        <v>6</v>
      </c>
      <c r="D89" s="24" t="s">
        <v>91</v>
      </c>
      <c r="E89" s="21">
        <v>-6276.28</v>
      </c>
      <c r="F89" s="14" t="s">
        <v>8</v>
      </c>
      <c r="G89" s="14" t="s">
        <v>64</v>
      </c>
    </row>
    <row r="90" spans="1:7" s="291" customFormat="1" hidden="1" x14ac:dyDescent="0.3">
      <c r="A90" s="287">
        <v>45853</v>
      </c>
      <c r="B90" s="10" t="s">
        <v>211</v>
      </c>
      <c r="C90" s="24" t="s">
        <v>17</v>
      </c>
      <c r="D90" s="24" t="s">
        <v>544</v>
      </c>
      <c r="E90" s="21">
        <v>-10605.99</v>
      </c>
      <c r="F90" s="25" t="s">
        <v>8</v>
      </c>
      <c r="G90" s="14" t="s">
        <v>93</v>
      </c>
    </row>
    <row r="91" spans="1:7" s="291" customFormat="1" hidden="1" x14ac:dyDescent="0.3">
      <c r="A91" s="287">
        <v>45853</v>
      </c>
      <c r="B91" s="10" t="s">
        <v>211</v>
      </c>
      <c r="C91" s="17" t="s">
        <v>31</v>
      </c>
      <c r="D91" s="22" t="s">
        <v>684</v>
      </c>
      <c r="E91" s="21">
        <v>-2225.21</v>
      </c>
      <c r="F91" s="25" t="s">
        <v>8</v>
      </c>
      <c r="G91" s="214" t="s">
        <v>93</v>
      </c>
    </row>
    <row r="92" spans="1:7" s="291" customFormat="1" hidden="1" x14ac:dyDescent="0.3">
      <c r="A92" s="287">
        <v>45853</v>
      </c>
      <c r="B92" s="10" t="s">
        <v>211</v>
      </c>
      <c r="C92" s="27" t="s">
        <v>25</v>
      </c>
      <c r="D92" s="330" t="s">
        <v>684</v>
      </c>
      <c r="E92" s="324">
        <v>-1248.99</v>
      </c>
      <c r="F92" s="25" t="s">
        <v>8</v>
      </c>
      <c r="G92" s="214" t="s">
        <v>93</v>
      </c>
    </row>
    <row r="93" spans="1:7" s="291" customFormat="1" hidden="1" x14ac:dyDescent="0.3">
      <c r="A93" s="287">
        <v>45860</v>
      </c>
      <c r="B93" s="10" t="s">
        <v>211</v>
      </c>
      <c r="C93" s="26" t="s">
        <v>31</v>
      </c>
      <c r="D93" s="17" t="s">
        <v>553</v>
      </c>
      <c r="E93" s="235">
        <v>-928.72</v>
      </c>
      <c r="F93" s="233" t="s">
        <v>8</v>
      </c>
      <c r="G93" s="20" t="s">
        <v>51</v>
      </c>
    </row>
    <row r="94" spans="1:7" s="291" customFormat="1" hidden="1" x14ac:dyDescent="0.3">
      <c r="A94" s="287">
        <v>45860</v>
      </c>
      <c r="B94" s="10" t="s">
        <v>211</v>
      </c>
      <c r="C94" s="26" t="s">
        <v>6</v>
      </c>
      <c r="D94" s="17" t="s">
        <v>553</v>
      </c>
      <c r="E94" s="235">
        <v>-517.94000000000005</v>
      </c>
      <c r="F94" s="233" t="s">
        <v>8</v>
      </c>
      <c r="G94" s="20" t="s">
        <v>51</v>
      </c>
    </row>
    <row r="95" spans="1:7" s="291" customFormat="1" hidden="1" x14ac:dyDescent="0.3">
      <c r="A95" s="287">
        <v>45860</v>
      </c>
      <c r="B95" s="10" t="s">
        <v>211</v>
      </c>
      <c r="C95" s="26" t="s">
        <v>44</v>
      </c>
      <c r="D95" s="17" t="s">
        <v>553</v>
      </c>
      <c r="E95" s="235">
        <v>-339.33</v>
      </c>
      <c r="F95" s="233" t="s">
        <v>8</v>
      </c>
      <c r="G95" s="20" t="s">
        <v>51</v>
      </c>
    </row>
    <row r="96" spans="1:7" s="291" customFormat="1" hidden="1" x14ac:dyDescent="0.3">
      <c r="A96" s="287">
        <v>45860</v>
      </c>
      <c r="B96" s="10" t="s">
        <v>211</v>
      </c>
      <c r="C96" s="26" t="s">
        <v>25</v>
      </c>
      <c r="D96" s="17" t="s">
        <v>553</v>
      </c>
      <c r="E96" s="235">
        <v>-910.87</v>
      </c>
      <c r="F96" s="233" t="s">
        <v>8</v>
      </c>
      <c r="G96" s="20" t="s">
        <v>51</v>
      </c>
    </row>
    <row r="97" spans="1:8" s="291" customFormat="1" hidden="1" x14ac:dyDescent="0.3">
      <c r="A97" s="287">
        <v>45860</v>
      </c>
      <c r="B97" s="10" t="s">
        <v>211</v>
      </c>
      <c r="C97" s="26" t="s">
        <v>33</v>
      </c>
      <c r="D97" s="17" t="s">
        <v>553</v>
      </c>
      <c r="E97" s="235">
        <v>-232.18</v>
      </c>
      <c r="F97" s="233" t="s">
        <v>8</v>
      </c>
      <c r="G97" s="20" t="s">
        <v>51</v>
      </c>
    </row>
    <row r="98" spans="1:8" s="291" customFormat="1" hidden="1" x14ac:dyDescent="0.3">
      <c r="A98" s="287">
        <v>45860</v>
      </c>
      <c r="B98" s="10" t="s">
        <v>211</v>
      </c>
      <c r="C98" s="26" t="s">
        <v>106</v>
      </c>
      <c r="D98" s="17" t="s">
        <v>553</v>
      </c>
      <c r="E98" s="235">
        <v>-232.18</v>
      </c>
      <c r="F98" s="233" t="s">
        <v>8</v>
      </c>
      <c r="G98" s="20" t="s">
        <v>51</v>
      </c>
    </row>
    <row r="99" spans="1:8" s="291" customFormat="1" hidden="1" x14ac:dyDescent="0.3">
      <c r="A99" s="287">
        <v>45860</v>
      </c>
      <c r="B99" s="10" t="s">
        <v>211</v>
      </c>
      <c r="C99" s="26" t="s">
        <v>32</v>
      </c>
      <c r="D99" s="17" t="s">
        <v>553</v>
      </c>
      <c r="E99" s="235">
        <v>-71.430000000000007</v>
      </c>
      <c r="F99" s="233" t="s">
        <v>8</v>
      </c>
      <c r="G99" s="20" t="s">
        <v>51</v>
      </c>
    </row>
    <row r="100" spans="1:8" s="291" customFormat="1" hidden="1" x14ac:dyDescent="0.3">
      <c r="A100" s="287">
        <v>45860</v>
      </c>
      <c r="B100" s="10" t="s">
        <v>211</v>
      </c>
      <c r="C100" s="26" t="s">
        <v>72</v>
      </c>
      <c r="D100" s="17" t="s">
        <v>553</v>
      </c>
      <c r="E100" s="235">
        <v>-125.01</v>
      </c>
      <c r="F100" s="233" t="s">
        <v>8</v>
      </c>
      <c r="G100" s="20" t="s">
        <v>51</v>
      </c>
    </row>
    <row r="101" spans="1:8" s="291" customFormat="1" hidden="1" x14ac:dyDescent="0.3">
      <c r="A101" s="205">
        <v>45849</v>
      </c>
      <c r="B101" s="10" t="s">
        <v>211</v>
      </c>
      <c r="C101" s="17" t="s">
        <v>72</v>
      </c>
      <c r="D101" s="202" t="s">
        <v>681</v>
      </c>
      <c r="E101" s="204">
        <v>-1200</v>
      </c>
      <c r="F101" s="232" t="s">
        <v>8</v>
      </c>
      <c r="G101" s="232" t="s">
        <v>27</v>
      </c>
    </row>
    <row r="102" spans="1:8" s="291" customFormat="1" hidden="1" x14ac:dyDescent="0.3">
      <c r="A102" s="287">
        <v>45860</v>
      </c>
      <c r="B102" s="50" t="s">
        <v>211</v>
      </c>
      <c r="C102" s="243" t="s">
        <v>17</v>
      </c>
      <c r="D102" s="17" t="s">
        <v>553</v>
      </c>
      <c r="E102" s="235">
        <v>-357.2</v>
      </c>
      <c r="F102" s="572" t="s">
        <v>8</v>
      </c>
      <c r="G102" s="232" t="s">
        <v>51</v>
      </c>
      <c r="H102" s="295"/>
    </row>
    <row r="103" spans="1:8" s="291" customFormat="1" ht="13.8" hidden="1" customHeight="1" x14ac:dyDescent="0.3">
      <c r="A103" s="323">
        <v>45849</v>
      </c>
      <c r="B103" s="50" t="s">
        <v>211</v>
      </c>
      <c r="C103" s="243" t="s">
        <v>17</v>
      </c>
      <c r="D103" s="259" t="s">
        <v>415</v>
      </c>
      <c r="E103" s="324">
        <v>-535.1</v>
      </c>
      <c r="F103" s="51" t="s">
        <v>8</v>
      </c>
      <c r="G103" s="68" t="s">
        <v>69</v>
      </c>
      <c r="H103" s="295"/>
    </row>
    <row r="104" spans="1:8" s="291" customFormat="1" hidden="1" x14ac:dyDescent="0.3">
      <c r="A104" s="287">
        <v>45853</v>
      </c>
      <c r="B104" s="10" t="s">
        <v>211</v>
      </c>
      <c r="C104" s="24" t="s">
        <v>6</v>
      </c>
      <c r="D104" s="13" t="s">
        <v>600</v>
      </c>
      <c r="E104" s="21">
        <v>-2012.45</v>
      </c>
      <c r="F104" s="25" t="s">
        <v>8</v>
      </c>
      <c r="G104" s="20" t="s">
        <v>46</v>
      </c>
    </row>
    <row r="105" spans="1:8" s="291" customFormat="1" hidden="1" x14ac:dyDescent="0.3">
      <c r="A105" s="337">
        <v>45853</v>
      </c>
      <c r="B105" s="46" t="s">
        <v>211</v>
      </c>
      <c r="C105" s="261" t="s">
        <v>6</v>
      </c>
      <c r="D105" s="260" t="s">
        <v>94</v>
      </c>
      <c r="E105" s="357">
        <v>-171.1</v>
      </c>
      <c r="F105" s="262" t="s">
        <v>8</v>
      </c>
      <c r="G105" s="372" t="s">
        <v>29</v>
      </c>
    </row>
    <row r="106" spans="1:8" s="291" customFormat="1" hidden="1" x14ac:dyDescent="0.3">
      <c r="A106" s="337">
        <v>45853</v>
      </c>
      <c r="B106" s="46" t="s">
        <v>211</v>
      </c>
      <c r="C106" s="261" t="s">
        <v>44</v>
      </c>
      <c r="D106" s="260" t="s">
        <v>94</v>
      </c>
      <c r="E106" s="357">
        <v>-171.1</v>
      </c>
      <c r="F106" s="262" t="s">
        <v>8</v>
      </c>
      <c r="G106" s="372" t="s">
        <v>29</v>
      </c>
    </row>
    <row r="107" spans="1:8" s="291" customFormat="1" hidden="1" x14ac:dyDescent="0.3">
      <c r="A107" s="337">
        <v>45853</v>
      </c>
      <c r="B107" s="46" t="s">
        <v>211</v>
      </c>
      <c r="C107" s="261" t="s">
        <v>13</v>
      </c>
      <c r="D107" s="260" t="s">
        <v>94</v>
      </c>
      <c r="E107" s="357">
        <v>-171.1</v>
      </c>
      <c r="F107" s="262" t="s">
        <v>8</v>
      </c>
      <c r="G107" s="372" t="s">
        <v>29</v>
      </c>
    </row>
    <row r="108" spans="1:8" s="291" customFormat="1" hidden="1" x14ac:dyDescent="0.3">
      <c r="A108" s="337">
        <v>45853</v>
      </c>
      <c r="B108" s="46" t="s">
        <v>211</v>
      </c>
      <c r="C108" s="261" t="s">
        <v>686</v>
      </c>
      <c r="D108" s="260" t="s">
        <v>94</v>
      </c>
      <c r="E108" s="357">
        <v>-171.1</v>
      </c>
      <c r="F108" s="262" t="s">
        <v>8</v>
      </c>
      <c r="G108" s="372" t="s">
        <v>29</v>
      </c>
    </row>
    <row r="109" spans="1:8" s="291" customFormat="1" hidden="1" x14ac:dyDescent="0.3">
      <c r="A109" s="287">
        <v>45853</v>
      </c>
      <c r="B109" s="10" t="s">
        <v>211</v>
      </c>
      <c r="C109" s="13" t="s">
        <v>31</v>
      </c>
      <c r="D109" s="24" t="s">
        <v>94</v>
      </c>
      <c r="E109" s="21">
        <v>-171.1</v>
      </c>
      <c r="F109" s="25" t="s">
        <v>8</v>
      </c>
      <c r="G109" s="214" t="s">
        <v>29</v>
      </c>
    </row>
    <row r="110" spans="1:8" s="291" customFormat="1" hidden="1" x14ac:dyDescent="0.3">
      <c r="A110" s="287">
        <v>45853</v>
      </c>
      <c r="B110" s="10" t="s">
        <v>211</v>
      </c>
      <c r="C110" s="13" t="s">
        <v>65</v>
      </c>
      <c r="D110" s="24" t="s">
        <v>94</v>
      </c>
      <c r="E110" s="21">
        <v>-171.1</v>
      </c>
      <c r="F110" s="25" t="s">
        <v>8</v>
      </c>
      <c r="G110" s="214" t="s">
        <v>29</v>
      </c>
    </row>
    <row r="111" spans="1:8" s="291" customFormat="1" ht="13.2" hidden="1" customHeight="1" x14ac:dyDescent="0.3">
      <c r="A111" s="287">
        <v>45853</v>
      </c>
      <c r="B111" s="10" t="s">
        <v>211</v>
      </c>
      <c r="C111" s="17" t="s">
        <v>17</v>
      </c>
      <c r="D111" s="24" t="s">
        <v>94</v>
      </c>
      <c r="E111" s="21">
        <v>-171.1</v>
      </c>
      <c r="F111" s="25" t="s">
        <v>8</v>
      </c>
      <c r="G111" s="214" t="s">
        <v>29</v>
      </c>
    </row>
    <row r="112" spans="1:8" s="291" customFormat="1" hidden="1" x14ac:dyDescent="0.3">
      <c r="A112" s="287">
        <v>45853</v>
      </c>
      <c r="B112" s="10" t="s">
        <v>211</v>
      </c>
      <c r="C112" s="17" t="s">
        <v>685</v>
      </c>
      <c r="D112" s="24" t="s">
        <v>94</v>
      </c>
      <c r="E112" s="21">
        <v>-171.1</v>
      </c>
      <c r="F112" s="25" t="s">
        <v>8</v>
      </c>
      <c r="G112" s="214" t="s">
        <v>29</v>
      </c>
    </row>
    <row r="113" spans="1:7" s="291" customFormat="1" hidden="1" x14ac:dyDescent="0.3">
      <c r="A113" s="287">
        <v>45853</v>
      </c>
      <c r="B113" s="10" t="s">
        <v>211</v>
      </c>
      <c r="C113" s="17" t="s">
        <v>30</v>
      </c>
      <c r="D113" s="24" t="s">
        <v>94</v>
      </c>
      <c r="E113" s="21">
        <v>-171.1</v>
      </c>
      <c r="F113" s="25" t="s">
        <v>8</v>
      </c>
      <c r="G113" s="214" t="s">
        <v>29</v>
      </c>
    </row>
    <row r="114" spans="1:7" s="291" customFormat="1" hidden="1" x14ac:dyDescent="0.3">
      <c r="A114" s="287">
        <v>45853</v>
      </c>
      <c r="B114" s="10" t="s">
        <v>211</v>
      </c>
      <c r="C114" s="17" t="s">
        <v>95</v>
      </c>
      <c r="D114" s="24" t="s">
        <v>94</v>
      </c>
      <c r="E114" s="21">
        <v>-171.1</v>
      </c>
      <c r="F114" s="25" t="s">
        <v>8</v>
      </c>
      <c r="G114" s="214" t="s">
        <v>29</v>
      </c>
    </row>
    <row r="115" spans="1:7" s="291" customFormat="1" hidden="1" x14ac:dyDescent="0.3">
      <c r="A115" s="287">
        <v>45853</v>
      </c>
      <c r="B115" s="10" t="s">
        <v>211</v>
      </c>
      <c r="C115" s="17" t="s">
        <v>33</v>
      </c>
      <c r="D115" s="24" t="s">
        <v>94</v>
      </c>
      <c r="E115" s="21">
        <v>-171.1</v>
      </c>
      <c r="F115" s="25" t="s">
        <v>8</v>
      </c>
      <c r="G115" s="214" t="s">
        <v>29</v>
      </c>
    </row>
    <row r="116" spans="1:7" s="291" customFormat="1" hidden="1" x14ac:dyDescent="0.3">
      <c r="A116" s="287">
        <v>45853</v>
      </c>
      <c r="B116" s="10" t="s">
        <v>211</v>
      </c>
      <c r="C116" s="17" t="s">
        <v>96</v>
      </c>
      <c r="D116" s="24" t="s">
        <v>94</v>
      </c>
      <c r="E116" s="21">
        <v>-171.1</v>
      </c>
      <c r="F116" s="25" t="s">
        <v>8</v>
      </c>
      <c r="G116" s="214" t="s">
        <v>29</v>
      </c>
    </row>
    <row r="117" spans="1:7" s="291" customFormat="1" hidden="1" x14ac:dyDescent="0.3">
      <c r="A117" s="287">
        <v>45853</v>
      </c>
      <c r="B117" s="10" t="s">
        <v>211</v>
      </c>
      <c r="C117" s="17" t="s">
        <v>32</v>
      </c>
      <c r="D117" s="24" t="s">
        <v>94</v>
      </c>
      <c r="E117" s="21">
        <v>-171.1</v>
      </c>
      <c r="F117" s="25" t="s">
        <v>8</v>
      </c>
      <c r="G117" s="214" t="s">
        <v>29</v>
      </c>
    </row>
    <row r="118" spans="1:7" s="291" customFormat="1" hidden="1" x14ac:dyDescent="0.3">
      <c r="A118" s="287">
        <v>45853</v>
      </c>
      <c r="B118" s="10" t="s">
        <v>211</v>
      </c>
      <c r="C118" s="17" t="s">
        <v>34</v>
      </c>
      <c r="D118" s="24" t="s">
        <v>94</v>
      </c>
      <c r="E118" s="21">
        <v>-171.1</v>
      </c>
      <c r="F118" s="25" t="s">
        <v>8</v>
      </c>
      <c r="G118" s="214" t="s">
        <v>29</v>
      </c>
    </row>
    <row r="119" spans="1:7" s="291" customFormat="1" hidden="1" x14ac:dyDescent="0.3">
      <c r="A119" s="287">
        <v>45856</v>
      </c>
      <c r="B119" s="10" t="s">
        <v>211</v>
      </c>
      <c r="C119" s="27" t="s">
        <v>65</v>
      </c>
      <c r="D119" s="24" t="s">
        <v>97</v>
      </c>
      <c r="E119" s="21">
        <v>-768.94</v>
      </c>
      <c r="F119" s="14" t="s">
        <v>8</v>
      </c>
      <c r="G119" s="214" t="s">
        <v>39</v>
      </c>
    </row>
    <row r="120" spans="1:7" s="291" customFormat="1" hidden="1" x14ac:dyDescent="0.3">
      <c r="A120" s="287">
        <v>45854</v>
      </c>
      <c r="B120" s="10" t="s">
        <v>211</v>
      </c>
      <c r="C120" s="24" t="s">
        <v>6</v>
      </c>
      <c r="D120" s="13" t="s">
        <v>551</v>
      </c>
      <c r="E120" s="67">
        <v>-6748.2</v>
      </c>
      <c r="F120" s="25" t="s">
        <v>8</v>
      </c>
      <c r="G120" s="14" t="s">
        <v>99</v>
      </c>
    </row>
    <row r="121" spans="1:7" s="291" customFormat="1" hidden="1" x14ac:dyDescent="0.3">
      <c r="A121" s="287">
        <v>45856</v>
      </c>
      <c r="B121" s="10" t="s">
        <v>211</v>
      </c>
      <c r="C121" s="24" t="s">
        <v>25</v>
      </c>
      <c r="D121" s="13" t="s">
        <v>557</v>
      </c>
      <c r="E121" s="67">
        <v>-553.59</v>
      </c>
      <c r="F121" s="25" t="s">
        <v>8</v>
      </c>
      <c r="G121" s="14" t="s">
        <v>55</v>
      </c>
    </row>
    <row r="122" spans="1:7" s="291" customFormat="1" hidden="1" x14ac:dyDescent="0.3">
      <c r="A122" s="287">
        <v>45856</v>
      </c>
      <c r="B122" s="10" t="s">
        <v>211</v>
      </c>
      <c r="C122" s="24" t="s">
        <v>25</v>
      </c>
      <c r="D122" s="13" t="s">
        <v>682</v>
      </c>
      <c r="E122" s="67">
        <v>-916.89</v>
      </c>
      <c r="F122" s="25" t="s">
        <v>8</v>
      </c>
      <c r="G122" s="14" t="s">
        <v>153</v>
      </c>
    </row>
    <row r="123" spans="1:7" s="291" customFormat="1" hidden="1" x14ac:dyDescent="0.3">
      <c r="A123" s="287">
        <v>45855</v>
      </c>
      <c r="B123" s="10" t="s">
        <v>211</v>
      </c>
      <c r="C123" s="24" t="s">
        <v>6</v>
      </c>
      <c r="D123" s="13" t="s">
        <v>100</v>
      </c>
      <c r="E123" s="21">
        <v>-138.56</v>
      </c>
      <c r="F123" s="25" t="s">
        <v>8</v>
      </c>
      <c r="G123" s="14" t="s">
        <v>101</v>
      </c>
    </row>
    <row r="124" spans="1:7" s="291" customFormat="1" hidden="1" x14ac:dyDescent="0.3">
      <c r="A124" s="287">
        <v>45855</v>
      </c>
      <c r="B124" s="10" t="s">
        <v>211</v>
      </c>
      <c r="C124" s="24" t="s">
        <v>6</v>
      </c>
      <c r="D124" s="13" t="s">
        <v>102</v>
      </c>
      <c r="E124" s="21">
        <v>-138.56</v>
      </c>
      <c r="F124" s="25" t="s">
        <v>8</v>
      </c>
      <c r="G124" s="14" t="s">
        <v>101</v>
      </c>
    </row>
    <row r="125" spans="1:7" s="291" customFormat="1" hidden="1" x14ac:dyDescent="0.3">
      <c r="A125" s="287">
        <v>45855</v>
      </c>
      <c r="B125" s="10" t="s">
        <v>211</v>
      </c>
      <c r="C125" s="24" t="s">
        <v>6</v>
      </c>
      <c r="D125" s="13" t="s">
        <v>103</v>
      </c>
      <c r="E125" s="21">
        <v>-138.56</v>
      </c>
      <c r="F125" s="25" t="s">
        <v>8</v>
      </c>
      <c r="G125" s="14" t="s">
        <v>101</v>
      </c>
    </row>
    <row r="126" spans="1:7" s="291" customFormat="1" hidden="1" x14ac:dyDescent="0.3">
      <c r="A126" s="287">
        <v>45855</v>
      </c>
      <c r="B126" s="10" t="s">
        <v>211</v>
      </c>
      <c r="C126" s="24" t="s">
        <v>6</v>
      </c>
      <c r="D126" s="13" t="s">
        <v>104</v>
      </c>
      <c r="E126" s="21">
        <v>-138.56</v>
      </c>
      <c r="F126" s="25" t="s">
        <v>8</v>
      </c>
      <c r="G126" s="14" t="s">
        <v>101</v>
      </c>
    </row>
    <row r="127" spans="1:7" s="291" customFormat="1" hidden="1" x14ac:dyDescent="0.3">
      <c r="A127" s="287">
        <v>45853</v>
      </c>
      <c r="B127" s="10" t="s">
        <v>211</v>
      </c>
      <c r="C127" s="12" t="s">
        <v>32</v>
      </c>
      <c r="D127" s="24" t="s">
        <v>105</v>
      </c>
      <c r="E127" s="19">
        <v>-261.68</v>
      </c>
      <c r="F127" s="14" t="s">
        <v>8</v>
      </c>
      <c r="G127" s="14" t="s">
        <v>69</v>
      </c>
    </row>
    <row r="128" spans="1:7" s="291" customFormat="1" hidden="1" x14ac:dyDescent="0.3">
      <c r="A128" s="287">
        <v>45853</v>
      </c>
      <c r="B128" s="10" t="s">
        <v>211</v>
      </c>
      <c r="C128" s="12" t="s">
        <v>106</v>
      </c>
      <c r="D128" s="24" t="s">
        <v>105</v>
      </c>
      <c r="E128" s="21">
        <v>-300</v>
      </c>
      <c r="F128" s="14" t="s">
        <v>8</v>
      </c>
      <c r="G128" s="14" t="s">
        <v>69</v>
      </c>
    </row>
    <row r="129" spans="1:7" s="291" customFormat="1" hidden="1" x14ac:dyDescent="0.3">
      <c r="A129" s="287">
        <v>45853</v>
      </c>
      <c r="B129" s="10" t="s">
        <v>211</v>
      </c>
      <c r="C129" s="12" t="s">
        <v>35</v>
      </c>
      <c r="D129" s="24" t="s">
        <v>105</v>
      </c>
      <c r="E129" s="21">
        <v>-300</v>
      </c>
      <c r="F129" s="14" t="s">
        <v>8</v>
      </c>
      <c r="G129" s="14" t="s">
        <v>69</v>
      </c>
    </row>
    <row r="130" spans="1:7" s="291" customFormat="1" hidden="1" x14ac:dyDescent="0.3">
      <c r="A130" s="287">
        <v>45853</v>
      </c>
      <c r="B130" s="10" t="s">
        <v>211</v>
      </c>
      <c r="C130" s="12" t="s">
        <v>107</v>
      </c>
      <c r="D130" s="24" t="s">
        <v>105</v>
      </c>
      <c r="E130" s="21">
        <v>-300</v>
      </c>
      <c r="F130" s="14" t="s">
        <v>8</v>
      </c>
      <c r="G130" s="14" t="s">
        <v>69</v>
      </c>
    </row>
    <row r="131" spans="1:7" s="291" customFormat="1" hidden="1" x14ac:dyDescent="0.3">
      <c r="A131" s="287">
        <v>45853</v>
      </c>
      <c r="B131" s="10" t="s">
        <v>211</v>
      </c>
      <c r="C131" s="12" t="s">
        <v>108</v>
      </c>
      <c r="D131" s="24" t="s">
        <v>105</v>
      </c>
      <c r="E131" s="19">
        <v>-294.32</v>
      </c>
      <c r="F131" s="14" t="s">
        <v>8</v>
      </c>
      <c r="G131" s="14" t="s">
        <v>69</v>
      </c>
    </row>
    <row r="132" spans="1:7" s="291" customFormat="1" hidden="1" x14ac:dyDescent="0.3">
      <c r="A132" s="287">
        <v>45853</v>
      </c>
      <c r="B132" s="10" t="s">
        <v>211</v>
      </c>
      <c r="C132" s="12" t="s">
        <v>72</v>
      </c>
      <c r="D132" s="24" t="s">
        <v>105</v>
      </c>
      <c r="E132" s="21">
        <v>-300</v>
      </c>
      <c r="F132" s="14" t="s">
        <v>8</v>
      </c>
      <c r="G132" s="14" t="s">
        <v>69</v>
      </c>
    </row>
    <row r="133" spans="1:7" s="291" customFormat="1" hidden="1" x14ac:dyDescent="0.3">
      <c r="A133" s="287">
        <v>45853</v>
      </c>
      <c r="B133" s="10" t="s">
        <v>211</v>
      </c>
      <c r="C133" s="12" t="s">
        <v>109</v>
      </c>
      <c r="D133" s="24" t="s">
        <v>105</v>
      </c>
      <c r="E133" s="21">
        <v>-300</v>
      </c>
      <c r="F133" s="14" t="s">
        <v>8</v>
      </c>
      <c r="G133" s="14" t="s">
        <v>69</v>
      </c>
    </row>
    <row r="134" spans="1:7" s="291" customFormat="1" hidden="1" x14ac:dyDescent="0.3">
      <c r="A134" s="287">
        <v>45853</v>
      </c>
      <c r="B134" s="10" t="s">
        <v>211</v>
      </c>
      <c r="C134" s="12" t="s">
        <v>110</v>
      </c>
      <c r="D134" s="24" t="s">
        <v>105</v>
      </c>
      <c r="E134" s="21">
        <v>-350</v>
      </c>
      <c r="F134" s="14" t="s">
        <v>8</v>
      </c>
      <c r="G134" s="14" t="s">
        <v>69</v>
      </c>
    </row>
    <row r="135" spans="1:7" s="291" customFormat="1" hidden="1" x14ac:dyDescent="0.3">
      <c r="A135" s="287">
        <v>45853</v>
      </c>
      <c r="B135" s="10" t="s">
        <v>211</v>
      </c>
      <c r="C135" s="12" t="s">
        <v>111</v>
      </c>
      <c r="D135" s="24" t="s">
        <v>105</v>
      </c>
      <c r="E135" s="21">
        <v>-373.51</v>
      </c>
      <c r="F135" s="14" t="s">
        <v>8</v>
      </c>
      <c r="G135" s="14" t="s">
        <v>69</v>
      </c>
    </row>
    <row r="136" spans="1:7" s="291" customFormat="1" hidden="1" x14ac:dyDescent="0.3">
      <c r="A136" s="287">
        <v>45855</v>
      </c>
      <c r="B136" s="10" t="s">
        <v>211</v>
      </c>
      <c r="C136" s="24" t="s">
        <v>13</v>
      </c>
      <c r="D136" s="13" t="s">
        <v>554</v>
      </c>
      <c r="E136" s="21">
        <v>-4169.6000000000004</v>
      </c>
      <c r="F136" s="25" t="s">
        <v>8</v>
      </c>
      <c r="G136" s="14" t="s">
        <v>74</v>
      </c>
    </row>
    <row r="137" spans="1:7" s="291" customFormat="1" hidden="1" x14ac:dyDescent="0.3">
      <c r="A137" s="287">
        <v>45855</v>
      </c>
      <c r="B137" s="10" t="s">
        <v>211</v>
      </c>
      <c r="C137" s="24" t="s">
        <v>13</v>
      </c>
      <c r="D137" s="13" t="s">
        <v>555</v>
      </c>
      <c r="E137" s="21">
        <v>-4169.6000000000004</v>
      </c>
      <c r="F137" s="25" t="s">
        <v>8</v>
      </c>
      <c r="G137" s="14" t="s">
        <v>74</v>
      </c>
    </row>
    <row r="138" spans="1:7" s="291" customFormat="1" ht="14.4" hidden="1" customHeight="1" x14ac:dyDescent="0.3">
      <c r="A138" s="287">
        <v>45855</v>
      </c>
      <c r="B138" s="10" t="s">
        <v>211</v>
      </c>
      <c r="C138" s="24" t="s">
        <v>13</v>
      </c>
      <c r="D138" s="13" t="s">
        <v>556</v>
      </c>
      <c r="E138" s="21">
        <v>-4276.45</v>
      </c>
      <c r="F138" s="25" t="s">
        <v>8</v>
      </c>
      <c r="G138" s="14" t="s">
        <v>74</v>
      </c>
    </row>
    <row r="139" spans="1:7" s="291" customFormat="1" hidden="1" x14ac:dyDescent="0.3">
      <c r="A139" s="287">
        <v>45859</v>
      </c>
      <c r="B139" s="10" t="s">
        <v>211</v>
      </c>
      <c r="C139" s="24" t="s">
        <v>17</v>
      </c>
      <c r="D139" s="13" t="s">
        <v>18</v>
      </c>
      <c r="E139" s="21">
        <v>-16200</v>
      </c>
      <c r="F139" s="25" t="s">
        <v>8</v>
      </c>
      <c r="G139" s="14" t="s">
        <v>19</v>
      </c>
    </row>
    <row r="140" spans="1:7" s="291" customFormat="1" ht="15" hidden="1" customHeight="1" x14ac:dyDescent="0.3">
      <c r="A140" s="287">
        <v>45855</v>
      </c>
      <c r="B140" s="10" t="s">
        <v>211</v>
      </c>
      <c r="C140" s="24" t="s">
        <v>17</v>
      </c>
      <c r="D140" s="13" t="s">
        <v>556</v>
      </c>
      <c r="E140" s="21">
        <v>-6435.72</v>
      </c>
      <c r="F140" s="25" t="s">
        <v>8</v>
      </c>
      <c r="G140" s="14" t="s">
        <v>74</v>
      </c>
    </row>
    <row r="141" spans="1:7" s="306" customFormat="1" ht="15" hidden="1" customHeight="1" x14ac:dyDescent="0.3">
      <c r="A141" s="287">
        <v>45855</v>
      </c>
      <c r="B141" s="10" t="s">
        <v>211</v>
      </c>
      <c r="C141" s="30" t="s">
        <v>708</v>
      </c>
      <c r="D141" s="13" t="s">
        <v>711</v>
      </c>
      <c r="E141" s="507">
        <v>-223.28</v>
      </c>
      <c r="F141" s="25" t="s">
        <v>8</v>
      </c>
      <c r="G141" s="14" t="s">
        <v>114</v>
      </c>
    </row>
    <row r="142" spans="1:7" s="306" customFormat="1" ht="15" hidden="1" customHeight="1" x14ac:dyDescent="0.3">
      <c r="A142" s="287">
        <v>45855</v>
      </c>
      <c r="B142" s="10" t="s">
        <v>211</v>
      </c>
      <c r="C142" s="30" t="s">
        <v>884</v>
      </c>
      <c r="D142" s="13" t="s">
        <v>711</v>
      </c>
      <c r="E142" s="235">
        <v>-714.08</v>
      </c>
      <c r="F142" s="25" t="s">
        <v>8</v>
      </c>
      <c r="G142" s="14" t="s">
        <v>114</v>
      </c>
    </row>
    <row r="143" spans="1:7" s="306" customFormat="1" ht="15" hidden="1" customHeight="1" x14ac:dyDescent="0.3">
      <c r="A143" s="287">
        <v>45855</v>
      </c>
      <c r="B143" s="10" t="s">
        <v>211</v>
      </c>
      <c r="C143" s="30" t="s">
        <v>35</v>
      </c>
      <c r="D143" s="13" t="s">
        <v>711</v>
      </c>
      <c r="E143" s="235">
        <v>-247.03</v>
      </c>
      <c r="F143" s="25" t="s">
        <v>8</v>
      </c>
      <c r="G143" s="14" t="s">
        <v>114</v>
      </c>
    </row>
    <row r="144" spans="1:7" s="306" customFormat="1" ht="15" hidden="1" customHeight="1" x14ac:dyDescent="0.3">
      <c r="A144" s="287">
        <v>45855</v>
      </c>
      <c r="B144" s="10" t="s">
        <v>211</v>
      </c>
      <c r="C144" s="30" t="s">
        <v>89</v>
      </c>
      <c r="D144" s="13" t="s">
        <v>711</v>
      </c>
      <c r="E144" s="235">
        <v>-853.8</v>
      </c>
      <c r="F144" s="25" t="s">
        <v>8</v>
      </c>
      <c r="G144" s="14" t="s">
        <v>114</v>
      </c>
    </row>
    <row r="145" spans="1:7" s="306" customFormat="1" ht="15" hidden="1" customHeight="1" x14ac:dyDescent="0.3">
      <c r="A145" s="287">
        <v>45855</v>
      </c>
      <c r="B145" s="10" t="s">
        <v>211</v>
      </c>
      <c r="C145" s="30" t="s">
        <v>709</v>
      </c>
      <c r="D145" s="13" t="s">
        <v>711</v>
      </c>
      <c r="E145" s="235">
        <v>-731.98</v>
      </c>
      <c r="F145" s="25" t="s">
        <v>8</v>
      </c>
      <c r="G145" s="14" t="s">
        <v>114</v>
      </c>
    </row>
    <row r="146" spans="1:7" s="306" customFormat="1" ht="15" hidden="1" customHeight="1" x14ac:dyDescent="0.3">
      <c r="A146" s="287">
        <v>45855</v>
      </c>
      <c r="B146" s="10" t="s">
        <v>211</v>
      </c>
      <c r="C146" s="30" t="s">
        <v>33</v>
      </c>
      <c r="D146" s="13" t="s">
        <v>711</v>
      </c>
      <c r="E146" s="235">
        <v>-405.11</v>
      </c>
      <c r="F146" s="25" t="s">
        <v>8</v>
      </c>
      <c r="G146" s="14" t="s">
        <v>114</v>
      </c>
    </row>
    <row r="147" spans="1:7" s="306" customFormat="1" ht="15" hidden="1" customHeight="1" x14ac:dyDescent="0.3">
      <c r="A147" s="287">
        <v>45855</v>
      </c>
      <c r="B147" s="10" t="s">
        <v>211</v>
      </c>
      <c r="C147" s="30" t="s">
        <v>72</v>
      </c>
      <c r="D147" s="13" t="s">
        <v>711</v>
      </c>
      <c r="E147" s="235">
        <v>-455.06</v>
      </c>
      <c r="F147" s="25" t="s">
        <v>8</v>
      </c>
      <c r="G147" s="14" t="s">
        <v>114</v>
      </c>
    </row>
    <row r="148" spans="1:7" s="306" customFormat="1" ht="15" hidden="1" customHeight="1" x14ac:dyDescent="0.3">
      <c r="A148" s="323">
        <v>45855</v>
      </c>
      <c r="B148" s="50" t="s">
        <v>211</v>
      </c>
      <c r="C148" s="508" t="s">
        <v>710</v>
      </c>
      <c r="D148" s="259" t="s">
        <v>711</v>
      </c>
      <c r="E148" s="509">
        <v>-505</v>
      </c>
      <c r="F148" s="51" t="s">
        <v>8</v>
      </c>
      <c r="G148" s="68" t="s">
        <v>114</v>
      </c>
    </row>
    <row r="149" spans="1:7" s="306" customFormat="1" ht="14.4" hidden="1" customHeight="1" x14ac:dyDescent="0.3">
      <c r="A149" s="287">
        <v>45855</v>
      </c>
      <c r="B149" s="10" t="s">
        <v>211</v>
      </c>
      <c r="C149" s="30" t="s">
        <v>110</v>
      </c>
      <c r="D149" s="13" t="s">
        <v>711</v>
      </c>
      <c r="E149" s="235">
        <v>-47.48</v>
      </c>
      <c r="F149" s="25" t="s">
        <v>8</v>
      </c>
      <c r="G149" s="14" t="s">
        <v>114</v>
      </c>
    </row>
    <row r="150" spans="1:7" s="514" customFormat="1" hidden="1" x14ac:dyDescent="0.3">
      <c r="A150" s="521">
        <v>45866</v>
      </c>
      <c r="B150" s="522" t="s">
        <v>211</v>
      </c>
      <c r="C150" s="587" t="s">
        <v>6</v>
      </c>
      <c r="D150" s="588" t="s">
        <v>115</v>
      </c>
      <c r="E150" s="523">
        <v>-35714.57</v>
      </c>
      <c r="F150" s="563" t="s">
        <v>8</v>
      </c>
      <c r="G150" s="551" t="s">
        <v>46</v>
      </c>
    </row>
    <row r="151" spans="1:7" s="291" customFormat="1" hidden="1" x14ac:dyDescent="0.3">
      <c r="A151" s="287">
        <v>45855</v>
      </c>
      <c r="B151" s="10" t="s">
        <v>211</v>
      </c>
      <c r="C151" s="24" t="s">
        <v>6</v>
      </c>
      <c r="D151" s="13" t="s">
        <v>117</v>
      </c>
      <c r="E151" s="21">
        <v>-11371.26</v>
      </c>
      <c r="F151" s="25" t="s">
        <v>8</v>
      </c>
      <c r="G151" s="14" t="s">
        <v>51</v>
      </c>
    </row>
    <row r="152" spans="1:7" s="306" customFormat="1" hidden="1" x14ac:dyDescent="0.3">
      <c r="A152" s="287">
        <v>45862</v>
      </c>
      <c r="B152" s="10" t="s">
        <v>211</v>
      </c>
      <c r="C152" s="30" t="s">
        <v>708</v>
      </c>
      <c r="D152" s="267" t="s">
        <v>757</v>
      </c>
      <c r="E152" s="235">
        <v>-403.79</v>
      </c>
      <c r="F152" s="25" t="s">
        <v>8</v>
      </c>
      <c r="G152" s="14" t="s">
        <v>51</v>
      </c>
    </row>
    <row r="153" spans="1:7" s="306" customFormat="1" ht="27.6" hidden="1" x14ac:dyDescent="0.3">
      <c r="A153" s="287">
        <v>45862</v>
      </c>
      <c r="B153" s="10" t="s">
        <v>211</v>
      </c>
      <c r="C153" s="30" t="s">
        <v>692</v>
      </c>
      <c r="D153" s="267" t="s">
        <v>757</v>
      </c>
      <c r="E153" s="235">
        <v>-930.47</v>
      </c>
      <c r="F153" s="25" t="s">
        <v>8</v>
      </c>
      <c r="G153" s="14" t="s">
        <v>51</v>
      </c>
    </row>
    <row r="154" spans="1:7" s="306" customFormat="1" hidden="1" x14ac:dyDescent="0.3">
      <c r="A154" s="287">
        <v>45862</v>
      </c>
      <c r="B154" s="10" t="s">
        <v>211</v>
      </c>
      <c r="C154" s="30" t="s">
        <v>709</v>
      </c>
      <c r="D154" s="267" t="s">
        <v>757</v>
      </c>
      <c r="E154" s="235">
        <v>-333.56</v>
      </c>
      <c r="F154" s="25" t="s">
        <v>8</v>
      </c>
      <c r="G154" s="14" t="s">
        <v>51</v>
      </c>
    </row>
    <row r="155" spans="1:7" s="306" customFormat="1" hidden="1" x14ac:dyDescent="0.3">
      <c r="A155" s="287">
        <v>45862</v>
      </c>
      <c r="B155" s="10" t="s">
        <v>211</v>
      </c>
      <c r="C155" s="30" t="s">
        <v>67</v>
      </c>
      <c r="D155" s="267" t="s">
        <v>757</v>
      </c>
      <c r="E155" s="235">
        <v>-158</v>
      </c>
      <c r="F155" s="25" t="s">
        <v>8</v>
      </c>
      <c r="G155" s="14" t="s">
        <v>51</v>
      </c>
    </row>
    <row r="156" spans="1:7" s="306" customFormat="1" hidden="1" x14ac:dyDescent="0.3">
      <c r="A156" s="287">
        <v>45862</v>
      </c>
      <c r="B156" s="10" t="s">
        <v>211</v>
      </c>
      <c r="C156" s="30" t="s">
        <v>756</v>
      </c>
      <c r="D156" s="267" t="s">
        <v>757</v>
      </c>
      <c r="E156" s="235">
        <v>-105.34</v>
      </c>
      <c r="F156" s="25" t="s">
        <v>8</v>
      </c>
      <c r="G156" s="14" t="s">
        <v>51</v>
      </c>
    </row>
    <row r="157" spans="1:7" s="306" customFormat="1" hidden="1" x14ac:dyDescent="0.3">
      <c r="A157" s="287">
        <v>45862</v>
      </c>
      <c r="B157" s="10" t="s">
        <v>211</v>
      </c>
      <c r="C157" s="30" t="s">
        <v>6</v>
      </c>
      <c r="D157" s="267" t="s">
        <v>757</v>
      </c>
      <c r="E157" s="235">
        <v>-509.12</v>
      </c>
      <c r="F157" s="25" t="s">
        <v>8</v>
      </c>
      <c r="G157" s="14" t="s">
        <v>51</v>
      </c>
    </row>
    <row r="158" spans="1:7" s="306" customFormat="1" hidden="1" x14ac:dyDescent="0.3">
      <c r="A158" s="287">
        <v>45862</v>
      </c>
      <c r="B158" s="10" t="s">
        <v>211</v>
      </c>
      <c r="C158" s="30" t="s">
        <v>13</v>
      </c>
      <c r="D158" s="267" t="s">
        <v>757</v>
      </c>
      <c r="E158" s="235">
        <v>-1053.3599999999999</v>
      </c>
      <c r="F158" s="25" t="s">
        <v>8</v>
      </c>
      <c r="G158" s="14" t="s">
        <v>51</v>
      </c>
    </row>
    <row r="159" spans="1:7" s="306" customFormat="1" hidden="1" x14ac:dyDescent="0.3">
      <c r="A159" s="287">
        <v>45862</v>
      </c>
      <c r="B159" s="10" t="s">
        <v>211</v>
      </c>
      <c r="C159" s="30" t="s">
        <v>710</v>
      </c>
      <c r="D159" s="13" t="s">
        <v>757</v>
      </c>
      <c r="E159" s="235">
        <v>-70.22</v>
      </c>
      <c r="F159" s="25" t="s">
        <v>8</v>
      </c>
      <c r="G159" s="14" t="s">
        <v>51</v>
      </c>
    </row>
    <row r="160" spans="1:7" s="306" customFormat="1" hidden="1" x14ac:dyDescent="0.3">
      <c r="A160" s="287">
        <v>45862</v>
      </c>
      <c r="B160" s="50" t="s">
        <v>211</v>
      </c>
      <c r="C160" s="30" t="s">
        <v>109</v>
      </c>
      <c r="D160" s="13" t="s">
        <v>757</v>
      </c>
      <c r="E160" s="235">
        <v>-245.78</v>
      </c>
      <c r="F160" s="25" t="s">
        <v>8</v>
      </c>
      <c r="G160" s="68" t="s">
        <v>51</v>
      </c>
    </row>
    <row r="161" spans="1:7" s="291" customFormat="1" hidden="1" x14ac:dyDescent="0.3">
      <c r="A161" s="287">
        <v>45855</v>
      </c>
      <c r="B161" s="10" t="s">
        <v>211</v>
      </c>
      <c r="C161" s="24" t="s">
        <v>17</v>
      </c>
      <c r="D161" s="13" t="s">
        <v>119</v>
      </c>
      <c r="E161" s="21">
        <v>-5300</v>
      </c>
      <c r="F161" s="25" t="s">
        <v>8</v>
      </c>
      <c r="G161" s="14" t="s">
        <v>53</v>
      </c>
    </row>
    <row r="162" spans="1:7" s="291" customFormat="1" hidden="1" x14ac:dyDescent="0.3">
      <c r="A162" s="287">
        <v>45856</v>
      </c>
      <c r="B162" s="10" t="s">
        <v>211</v>
      </c>
      <c r="C162" s="17" t="s">
        <v>13</v>
      </c>
      <c r="D162" s="13" t="s">
        <v>560</v>
      </c>
      <c r="E162" s="21">
        <v>-660.75</v>
      </c>
      <c r="F162" s="25" t="s">
        <v>8</v>
      </c>
      <c r="G162" s="20" t="s">
        <v>46</v>
      </c>
    </row>
    <row r="163" spans="1:7" s="291" customFormat="1" hidden="1" x14ac:dyDescent="0.3">
      <c r="A163" s="287">
        <v>45856</v>
      </c>
      <c r="B163" s="10" t="s">
        <v>211</v>
      </c>
      <c r="C163" s="17" t="s">
        <v>13</v>
      </c>
      <c r="D163" s="13" t="s">
        <v>559</v>
      </c>
      <c r="E163" s="21">
        <v>-5173.13</v>
      </c>
      <c r="F163" s="25" t="s">
        <v>8</v>
      </c>
      <c r="G163" s="20" t="s">
        <v>46</v>
      </c>
    </row>
    <row r="164" spans="1:7" s="291" customFormat="1" hidden="1" x14ac:dyDescent="0.3">
      <c r="A164" s="287">
        <v>45859</v>
      </c>
      <c r="B164" s="10" t="s">
        <v>211</v>
      </c>
      <c r="C164" s="24" t="s">
        <v>6</v>
      </c>
      <c r="D164" s="13" t="s">
        <v>830</v>
      </c>
      <c r="E164" s="21">
        <v>-15860.65</v>
      </c>
      <c r="F164" s="25" t="s">
        <v>8</v>
      </c>
      <c r="G164" s="14" t="s">
        <v>122</v>
      </c>
    </row>
    <row r="165" spans="1:7" s="291" customFormat="1" hidden="1" x14ac:dyDescent="0.3">
      <c r="A165" s="287">
        <v>45862</v>
      </c>
      <c r="B165" s="10" t="s">
        <v>211</v>
      </c>
      <c r="C165" s="17" t="s">
        <v>17</v>
      </c>
      <c r="D165" s="13" t="s">
        <v>123</v>
      </c>
      <c r="E165" s="19">
        <v>-711.2</v>
      </c>
      <c r="F165" s="25" t="s">
        <v>8</v>
      </c>
      <c r="G165" s="14" t="s">
        <v>19</v>
      </c>
    </row>
    <row r="166" spans="1:7" s="291" customFormat="1" hidden="1" x14ac:dyDescent="0.3">
      <c r="A166" s="287">
        <v>45859</v>
      </c>
      <c r="B166" s="10" t="s">
        <v>211</v>
      </c>
      <c r="C166" s="17" t="s">
        <v>17</v>
      </c>
      <c r="D166" s="13" t="s">
        <v>124</v>
      </c>
      <c r="E166" s="67">
        <v>-1046.6400000000001</v>
      </c>
      <c r="F166" s="25" t="s">
        <v>8</v>
      </c>
      <c r="G166" s="14" t="s">
        <v>69</v>
      </c>
    </row>
    <row r="167" spans="1:7" s="291" customFormat="1" hidden="1" x14ac:dyDescent="0.3">
      <c r="A167" s="287">
        <v>45859</v>
      </c>
      <c r="B167" s="10" t="s">
        <v>211</v>
      </c>
      <c r="C167" s="13" t="s">
        <v>6</v>
      </c>
      <c r="D167" s="13" t="s">
        <v>125</v>
      </c>
      <c r="E167" s="21">
        <v>-39.799999999999997</v>
      </c>
      <c r="F167" s="25" t="s">
        <v>8</v>
      </c>
      <c r="G167" s="14" t="s">
        <v>69</v>
      </c>
    </row>
    <row r="168" spans="1:7" s="291" customFormat="1" hidden="1" x14ac:dyDescent="0.3">
      <c r="A168" s="287">
        <v>45856</v>
      </c>
      <c r="B168" s="10" t="s">
        <v>211</v>
      </c>
      <c r="C168" s="24" t="s">
        <v>6</v>
      </c>
      <c r="D168" s="13" t="s">
        <v>126</v>
      </c>
      <c r="E168" s="21">
        <v>-17301.96</v>
      </c>
      <c r="F168" s="25" t="s">
        <v>8</v>
      </c>
      <c r="G168" s="257" t="s">
        <v>127</v>
      </c>
    </row>
    <row r="169" spans="1:7" s="291" customFormat="1" ht="15" hidden="1" customHeight="1" x14ac:dyDescent="0.3">
      <c r="A169" s="287">
        <v>45856</v>
      </c>
      <c r="B169" s="10" t="s">
        <v>211</v>
      </c>
      <c r="C169" s="17" t="s">
        <v>17</v>
      </c>
      <c r="D169" s="18" t="s">
        <v>899</v>
      </c>
      <c r="E169" s="21">
        <v>-13903.62</v>
      </c>
      <c r="F169" s="25" t="s">
        <v>8</v>
      </c>
      <c r="G169" s="257" t="s">
        <v>127</v>
      </c>
    </row>
    <row r="170" spans="1:7" s="291" customFormat="1" hidden="1" x14ac:dyDescent="0.3">
      <c r="A170" s="323">
        <v>45856</v>
      </c>
      <c r="B170" s="50" t="s">
        <v>211</v>
      </c>
      <c r="C170" s="24" t="s">
        <v>6</v>
      </c>
      <c r="D170" s="203" t="s">
        <v>900</v>
      </c>
      <c r="E170" s="324">
        <v>-1773.62</v>
      </c>
      <c r="F170" s="51" t="s">
        <v>8</v>
      </c>
      <c r="G170" s="335" t="s">
        <v>127</v>
      </c>
    </row>
    <row r="171" spans="1:7" s="291" customFormat="1" hidden="1" x14ac:dyDescent="0.3">
      <c r="A171" s="287">
        <v>45856</v>
      </c>
      <c r="B171" s="10" t="s">
        <v>211</v>
      </c>
      <c r="C171" s="26" t="s">
        <v>31</v>
      </c>
      <c r="D171" s="26" t="s">
        <v>786</v>
      </c>
      <c r="E171" s="19">
        <v>-10844.25</v>
      </c>
      <c r="F171" s="25" t="s">
        <v>8</v>
      </c>
      <c r="G171" s="257" t="s">
        <v>127</v>
      </c>
    </row>
    <row r="172" spans="1:7" s="291" customFormat="1" hidden="1" x14ac:dyDescent="0.3">
      <c r="A172" s="287">
        <v>45856</v>
      </c>
      <c r="B172" s="10" t="s">
        <v>211</v>
      </c>
      <c r="C172" s="26" t="s">
        <v>6</v>
      </c>
      <c r="D172" s="26" t="s">
        <v>787</v>
      </c>
      <c r="E172" s="19">
        <v>-3612.96</v>
      </c>
      <c r="F172" s="25" t="s">
        <v>8</v>
      </c>
      <c r="G172" s="257" t="s">
        <v>127</v>
      </c>
    </row>
    <row r="173" spans="1:7" s="291" customFormat="1" hidden="1" x14ac:dyDescent="0.3">
      <c r="A173" s="287">
        <v>45856</v>
      </c>
      <c r="B173" s="10" t="s">
        <v>211</v>
      </c>
      <c r="C173" s="26" t="s">
        <v>44</v>
      </c>
      <c r="D173" s="26" t="s">
        <v>788</v>
      </c>
      <c r="E173" s="19">
        <v>-4669.5600000000004</v>
      </c>
      <c r="F173" s="25" t="s">
        <v>8</v>
      </c>
      <c r="G173" s="257" t="s">
        <v>127</v>
      </c>
    </row>
    <row r="174" spans="1:7" s="291" customFormat="1" hidden="1" x14ac:dyDescent="0.3">
      <c r="A174" s="287">
        <v>45856</v>
      </c>
      <c r="B174" s="10" t="s">
        <v>211</v>
      </c>
      <c r="C174" s="26" t="s">
        <v>25</v>
      </c>
      <c r="D174" s="26" t="s">
        <v>789</v>
      </c>
      <c r="E174" s="19">
        <v>-9585.3799999999992</v>
      </c>
      <c r="F174" s="25" t="s">
        <v>8</v>
      </c>
      <c r="G174" s="257" t="s">
        <v>127</v>
      </c>
    </row>
    <row r="175" spans="1:7" s="291" customFormat="1" hidden="1" x14ac:dyDescent="0.3">
      <c r="A175" s="287">
        <v>45856</v>
      </c>
      <c r="B175" s="10" t="s">
        <v>211</v>
      </c>
      <c r="C175" s="26" t="s">
        <v>33</v>
      </c>
      <c r="D175" s="26" t="s">
        <v>790</v>
      </c>
      <c r="E175" s="19">
        <v>-5389.73</v>
      </c>
      <c r="F175" s="25" t="s">
        <v>8</v>
      </c>
      <c r="G175" s="257" t="s">
        <v>127</v>
      </c>
    </row>
    <row r="176" spans="1:7" s="291" customFormat="1" hidden="1" x14ac:dyDescent="0.3">
      <c r="A176" s="287">
        <v>45856</v>
      </c>
      <c r="B176" s="10" t="s">
        <v>211</v>
      </c>
      <c r="C176" s="26" t="s">
        <v>106</v>
      </c>
      <c r="D176" s="26" t="s">
        <v>792</v>
      </c>
      <c r="E176" s="19">
        <v>-2822.7</v>
      </c>
      <c r="F176" s="25" t="s">
        <v>8</v>
      </c>
      <c r="G176" s="257" t="s">
        <v>127</v>
      </c>
    </row>
    <row r="177" spans="1:7" s="291" customFormat="1" hidden="1" x14ac:dyDescent="0.3">
      <c r="A177" s="287">
        <v>45856</v>
      </c>
      <c r="B177" s="10" t="s">
        <v>211</v>
      </c>
      <c r="C177" s="26" t="s">
        <v>32</v>
      </c>
      <c r="D177" s="26" t="s">
        <v>791</v>
      </c>
      <c r="E177" s="19">
        <v>-9747.2900000000009</v>
      </c>
      <c r="F177" s="25" t="s">
        <v>8</v>
      </c>
      <c r="G177" s="257" t="s">
        <v>127</v>
      </c>
    </row>
    <row r="178" spans="1:7" s="291" customFormat="1" hidden="1" x14ac:dyDescent="0.3">
      <c r="A178" s="287">
        <v>45856</v>
      </c>
      <c r="B178" s="10" t="s">
        <v>211</v>
      </c>
      <c r="C178" s="26" t="s">
        <v>72</v>
      </c>
      <c r="D178" s="26" t="s">
        <v>793</v>
      </c>
      <c r="E178" s="573">
        <v>-3316.36</v>
      </c>
      <c r="F178" s="25" t="s">
        <v>8</v>
      </c>
      <c r="G178" s="257" t="s">
        <v>127</v>
      </c>
    </row>
    <row r="179" spans="1:7" s="291" customFormat="1" hidden="1" x14ac:dyDescent="0.3">
      <c r="A179" s="287">
        <v>45856</v>
      </c>
      <c r="B179" s="10" t="s">
        <v>211</v>
      </c>
      <c r="C179" s="26" t="s">
        <v>17</v>
      </c>
      <c r="D179" s="26" t="s">
        <v>794</v>
      </c>
      <c r="E179" s="19">
        <v>-1814.02</v>
      </c>
      <c r="F179" s="25" t="s">
        <v>8</v>
      </c>
      <c r="G179" s="257" t="s">
        <v>127</v>
      </c>
    </row>
    <row r="180" spans="1:7" s="291" customFormat="1" ht="12" hidden="1" customHeight="1" x14ac:dyDescent="0.3">
      <c r="A180" s="287">
        <v>45856</v>
      </c>
      <c r="B180" s="10" t="s">
        <v>211</v>
      </c>
      <c r="C180" s="26" t="s">
        <v>31</v>
      </c>
      <c r="D180" s="26" t="s">
        <v>795</v>
      </c>
      <c r="E180" s="19">
        <v>-9471.3700000000008</v>
      </c>
      <c r="F180" s="25" t="s">
        <v>8</v>
      </c>
      <c r="G180" s="257" t="s">
        <v>127</v>
      </c>
    </row>
    <row r="181" spans="1:7" s="291" customFormat="1" hidden="1" x14ac:dyDescent="0.3">
      <c r="A181" s="287">
        <v>45856</v>
      </c>
      <c r="B181" s="10" t="s">
        <v>211</v>
      </c>
      <c r="C181" s="26" t="s">
        <v>6</v>
      </c>
      <c r="D181" s="26" t="s">
        <v>796</v>
      </c>
      <c r="E181" s="19">
        <v>-10100.56</v>
      </c>
      <c r="F181" s="25" t="s">
        <v>8</v>
      </c>
      <c r="G181" s="257" t="s">
        <v>127</v>
      </c>
    </row>
    <row r="182" spans="1:7" s="291" customFormat="1" hidden="1" x14ac:dyDescent="0.3">
      <c r="A182" s="287">
        <v>45856</v>
      </c>
      <c r="B182" s="10" t="s">
        <v>211</v>
      </c>
      <c r="C182" s="26" t="s">
        <v>44</v>
      </c>
      <c r="D182" s="26" t="s">
        <v>797</v>
      </c>
      <c r="E182" s="19">
        <v>-4196.1499999999996</v>
      </c>
      <c r="F182" s="25" t="s">
        <v>8</v>
      </c>
      <c r="G182" s="257" t="s">
        <v>127</v>
      </c>
    </row>
    <row r="183" spans="1:7" s="291" customFormat="1" hidden="1" x14ac:dyDescent="0.3">
      <c r="A183" s="287">
        <v>45856</v>
      </c>
      <c r="B183" s="10" t="s">
        <v>211</v>
      </c>
      <c r="C183" s="26" t="s">
        <v>25</v>
      </c>
      <c r="D183" s="26" t="s">
        <v>798</v>
      </c>
      <c r="E183" s="19">
        <v>-7126.8</v>
      </c>
      <c r="F183" s="25" t="s">
        <v>8</v>
      </c>
      <c r="G183" s="257" t="s">
        <v>127</v>
      </c>
    </row>
    <row r="184" spans="1:7" s="291" customFormat="1" hidden="1" x14ac:dyDescent="0.3">
      <c r="A184" s="287">
        <v>45856</v>
      </c>
      <c r="B184" s="10" t="s">
        <v>211</v>
      </c>
      <c r="C184" s="26" t="s">
        <v>33</v>
      </c>
      <c r="D184" s="26" t="s">
        <v>799</v>
      </c>
      <c r="E184" s="19">
        <v>-2239.33</v>
      </c>
      <c r="F184" s="25" t="s">
        <v>8</v>
      </c>
      <c r="G184" s="257" t="s">
        <v>127</v>
      </c>
    </row>
    <row r="185" spans="1:7" s="291" customFormat="1" hidden="1" x14ac:dyDescent="0.3">
      <c r="A185" s="287">
        <v>45856</v>
      </c>
      <c r="B185" s="10" t="s">
        <v>211</v>
      </c>
      <c r="C185" s="26" t="s">
        <v>32</v>
      </c>
      <c r="D185" s="26" t="s">
        <v>800</v>
      </c>
      <c r="E185" s="19">
        <v>-7005.46</v>
      </c>
      <c r="F185" s="25" t="s">
        <v>8</v>
      </c>
      <c r="G185" s="257" t="s">
        <v>127</v>
      </c>
    </row>
    <row r="186" spans="1:7" s="291" customFormat="1" hidden="1" x14ac:dyDescent="0.3">
      <c r="A186" s="287">
        <v>45856</v>
      </c>
      <c r="B186" s="10" t="s">
        <v>211</v>
      </c>
      <c r="C186" s="26" t="s">
        <v>72</v>
      </c>
      <c r="D186" s="26" t="s">
        <v>801</v>
      </c>
      <c r="E186" s="19">
        <v>-2104.9</v>
      </c>
      <c r="F186" s="25" t="s">
        <v>8</v>
      </c>
      <c r="G186" s="257" t="s">
        <v>127</v>
      </c>
    </row>
    <row r="187" spans="1:7" s="291" customFormat="1" hidden="1" x14ac:dyDescent="0.3">
      <c r="A187" s="287">
        <v>45856</v>
      </c>
      <c r="B187" s="10" t="s">
        <v>211</v>
      </c>
      <c r="C187" s="26" t="s">
        <v>17</v>
      </c>
      <c r="D187" s="26" t="s">
        <v>802</v>
      </c>
      <c r="E187" s="497">
        <v>-7440.24</v>
      </c>
      <c r="F187" s="25" t="s">
        <v>8</v>
      </c>
      <c r="G187" s="257" t="s">
        <v>127</v>
      </c>
    </row>
    <row r="188" spans="1:7" s="291" customFormat="1" hidden="1" x14ac:dyDescent="0.3">
      <c r="A188" s="287">
        <v>45859</v>
      </c>
      <c r="B188" s="10" t="s">
        <v>211</v>
      </c>
      <c r="C188" s="24" t="s">
        <v>6</v>
      </c>
      <c r="D188" s="259" t="s">
        <v>561</v>
      </c>
      <c r="E188" s="324">
        <v>-76710</v>
      </c>
      <c r="F188" s="25" t="s">
        <v>8</v>
      </c>
      <c r="G188" s="14" t="s">
        <v>27</v>
      </c>
    </row>
    <row r="189" spans="1:7" s="291" customFormat="1" ht="13.2" hidden="1" customHeight="1" x14ac:dyDescent="0.3">
      <c r="A189" s="287">
        <v>45861</v>
      </c>
      <c r="B189" s="10" t="s">
        <v>211</v>
      </c>
      <c r="C189" s="24" t="s">
        <v>6</v>
      </c>
      <c r="D189" s="13" t="s">
        <v>831</v>
      </c>
      <c r="E189" s="21">
        <v>-4720</v>
      </c>
      <c r="F189" s="574" t="s">
        <v>8</v>
      </c>
      <c r="G189" s="14" t="s">
        <v>27</v>
      </c>
    </row>
    <row r="190" spans="1:7" s="291" customFormat="1" hidden="1" x14ac:dyDescent="0.3">
      <c r="A190" s="287">
        <v>45859</v>
      </c>
      <c r="B190" s="10" t="s">
        <v>211</v>
      </c>
      <c r="C190" s="24" t="s">
        <v>25</v>
      </c>
      <c r="D190" s="12" t="s">
        <v>574</v>
      </c>
      <c r="E190" s="21">
        <v>-2955.36</v>
      </c>
      <c r="F190" s="25" t="s">
        <v>8</v>
      </c>
      <c r="G190" s="214" t="s">
        <v>156</v>
      </c>
    </row>
    <row r="191" spans="1:7" s="289" customFormat="1" hidden="1" x14ac:dyDescent="0.3">
      <c r="A191" s="288">
        <v>45861</v>
      </c>
      <c r="B191" s="59" t="s">
        <v>211</v>
      </c>
      <c r="C191" s="26" t="s">
        <v>44</v>
      </c>
      <c r="D191" s="26" t="s">
        <v>964</v>
      </c>
      <c r="E191" s="19">
        <v>-879.16</v>
      </c>
      <c r="F191" s="25" t="s">
        <v>8</v>
      </c>
      <c r="G191" s="64" t="s">
        <v>233</v>
      </c>
    </row>
    <row r="192" spans="1:7" s="289" customFormat="1" hidden="1" x14ac:dyDescent="0.3">
      <c r="A192" s="287">
        <v>45861</v>
      </c>
      <c r="B192" s="10" t="s">
        <v>211</v>
      </c>
      <c r="C192" s="26" t="s">
        <v>44</v>
      </c>
      <c r="D192" s="26" t="s">
        <v>963</v>
      </c>
      <c r="E192" s="19">
        <v>-1093.9000000000001</v>
      </c>
      <c r="F192" s="25" t="s">
        <v>8</v>
      </c>
      <c r="G192" s="64" t="s">
        <v>233</v>
      </c>
    </row>
    <row r="193" spans="1:7" s="289" customFormat="1" ht="13.2" hidden="1" customHeight="1" x14ac:dyDescent="0.3">
      <c r="A193" s="288">
        <v>45859</v>
      </c>
      <c r="B193" s="59" t="s">
        <v>211</v>
      </c>
      <c r="C193" s="12" t="s">
        <v>6</v>
      </c>
      <c r="D193" s="63" t="s">
        <v>828</v>
      </c>
      <c r="E193" s="67">
        <v>-50000</v>
      </c>
      <c r="F193" s="25" t="s">
        <v>8</v>
      </c>
      <c r="G193" s="64" t="s">
        <v>189</v>
      </c>
    </row>
    <row r="194" spans="1:7" s="291" customFormat="1" hidden="1" x14ac:dyDescent="0.3">
      <c r="A194" s="287">
        <v>45861</v>
      </c>
      <c r="B194" s="10" t="s">
        <v>211</v>
      </c>
      <c r="C194" s="26" t="s">
        <v>72</v>
      </c>
      <c r="D194" s="26" t="s">
        <v>365</v>
      </c>
      <c r="E194" s="19">
        <v>-194.79</v>
      </c>
      <c r="F194" s="25" t="s">
        <v>8</v>
      </c>
      <c r="G194" s="20" t="s">
        <v>76</v>
      </c>
    </row>
    <row r="195" spans="1:7" s="289" customFormat="1" hidden="1" x14ac:dyDescent="0.3">
      <c r="A195" s="287">
        <v>45861</v>
      </c>
      <c r="B195" s="10" t="s">
        <v>211</v>
      </c>
      <c r="C195" s="26" t="s">
        <v>72</v>
      </c>
      <c r="D195" s="26" t="s">
        <v>965</v>
      </c>
      <c r="E195" s="19">
        <v>-1800.31</v>
      </c>
      <c r="F195" s="25" t="s">
        <v>8</v>
      </c>
      <c r="G195" s="64" t="s">
        <v>233</v>
      </c>
    </row>
    <row r="196" spans="1:7" s="289" customFormat="1" hidden="1" x14ac:dyDescent="0.3">
      <c r="A196" s="287">
        <v>45861</v>
      </c>
      <c r="B196" s="10" t="s">
        <v>211</v>
      </c>
      <c r="C196" s="26" t="s">
        <v>6</v>
      </c>
      <c r="D196" s="26" t="s">
        <v>880</v>
      </c>
      <c r="E196" s="19">
        <v>-11132.93</v>
      </c>
      <c r="F196" s="51" t="s">
        <v>8</v>
      </c>
      <c r="G196" s="575" t="s">
        <v>83</v>
      </c>
    </row>
    <row r="197" spans="1:7" s="289" customFormat="1" hidden="1" x14ac:dyDescent="0.3">
      <c r="A197" s="287">
        <v>45861</v>
      </c>
      <c r="B197" s="10" t="s">
        <v>211</v>
      </c>
      <c r="C197" s="26" t="s">
        <v>44</v>
      </c>
      <c r="D197" s="26" t="s">
        <v>880</v>
      </c>
      <c r="E197" s="19">
        <v>-2223.9</v>
      </c>
      <c r="F197" s="25" t="s">
        <v>8</v>
      </c>
      <c r="G197" s="64" t="s">
        <v>83</v>
      </c>
    </row>
    <row r="198" spans="1:7" s="289" customFormat="1" hidden="1" x14ac:dyDescent="0.3">
      <c r="A198" s="287">
        <v>45861</v>
      </c>
      <c r="B198" s="10" t="s">
        <v>211</v>
      </c>
      <c r="C198" s="26" t="s">
        <v>33</v>
      </c>
      <c r="D198" s="26" t="s">
        <v>880</v>
      </c>
      <c r="E198" s="19">
        <v>-217.38</v>
      </c>
      <c r="F198" s="25" t="s">
        <v>8</v>
      </c>
      <c r="G198" s="64" t="s">
        <v>83</v>
      </c>
    </row>
    <row r="199" spans="1:7" s="289" customFormat="1" hidden="1" x14ac:dyDescent="0.3">
      <c r="A199" s="287">
        <v>45861</v>
      </c>
      <c r="B199" s="10" t="s">
        <v>211</v>
      </c>
      <c r="C199" s="26" t="s">
        <v>106</v>
      </c>
      <c r="D199" s="26" t="s">
        <v>880</v>
      </c>
      <c r="E199" s="19">
        <v>-1076.56</v>
      </c>
      <c r="F199" s="25" t="s">
        <v>8</v>
      </c>
      <c r="G199" s="64" t="s">
        <v>83</v>
      </c>
    </row>
    <row r="200" spans="1:7" s="289" customFormat="1" hidden="1" x14ac:dyDescent="0.3">
      <c r="A200" s="287">
        <v>45861</v>
      </c>
      <c r="B200" s="10" t="s">
        <v>211</v>
      </c>
      <c r="C200" s="26" t="s">
        <v>32</v>
      </c>
      <c r="D200" s="26" t="s">
        <v>880</v>
      </c>
      <c r="E200" s="19">
        <v>-5876.56</v>
      </c>
      <c r="F200" s="25" t="s">
        <v>8</v>
      </c>
      <c r="G200" s="64" t="s">
        <v>83</v>
      </c>
    </row>
    <row r="201" spans="1:7" s="289" customFormat="1" hidden="1" x14ac:dyDescent="0.3">
      <c r="A201" s="287">
        <v>45861</v>
      </c>
      <c r="B201" s="10" t="s">
        <v>211</v>
      </c>
      <c r="C201" s="26" t="s">
        <v>72</v>
      </c>
      <c r="D201" s="26" t="s">
        <v>880</v>
      </c>
      <c r="E201" s="19">
        <v>-1627.95</v>
      </c>
      <c r="F201" s="25" t="s">
        <v>8</v>
      </c>
      <c r="G201" s="64" t="s">
        <v>83</v>
      </c>
    </row>
    <row r="202" spans="1:7" s="289" customFormat="1" hidden="1" x14ac:dyDescent="0.3">
      <c r="A202" s="287">
        <v>45861</v>
      </c>
      <c r="B202" s="10" t="s">
        <v>211</v>
      </c>
      <c r="C202" s="26" t="s">
        <v>17</v>
      </c>
      <c r="D202" s="26" t="s">
        <v>880</v>
      </c>
      <c r="E202" s="19">
        <v>-22056.55</v>
      </c>
      <c r="F202" s="25" t="s">
        <v>8</v>
      </c>
      <c r="G202" s="64" t="s">
        <v>83</v>
      </c>
    </row>
    <row r="203" spans="1:7" s="289" customFormat="1" hidden="1" x14ac:dyDescent="0.3">
      <c r="A203" s="287">
        <v>45860</v>
      </c>
      <c r="B203" s="59" t="s">
        <v>211</v>
      </c>
      <c r="C203" s="17" t="s">
        <v>17</v>
      </c>
      <c r="D203" s="13" t="s">
        <v>565</v>
      </c>
      <c r="E203" s="21">
        <v>-1560.68</v>
      </c>
      <c r="F203" s="576" t="s">
        <v>8</v>
      </c>
      <c r="G203" s="62" t="s">
        <v>135</v>
      </c>
    </row>
    <row r="204" spans="1:7" s="289" customFormat="1" hidden="1" x14ac:dyDescent="0.3">
      <c r="A204" s="827">
        <v>45890</v>
      </c>
      <c r="B204" s="828" t="s">
        <v>212</v>
      </c>
      <c r="C204" s="814" t="s">
        <v>6</v>
      </c>
      <c r="D204" s="829" t="s">
        <v>865</v>
      </c>
      <c r="E204" s="830">
        <v>-50000</v>
      </c>
      <c r="F204" s="51" t="s">
        <v>8</v>
      </c>
      <c r="G204" s="575" t="s">
        <v>189</v>
      </c>
    </row>
    <row r="205" spans="1:7" s="289" customFormat="1" hidden="1" x14ac:dyDescent="0.3">
      <c r="A205" s="288">
        <v>45919</v>
      </c>
      <c r="B205" s="59" t="s">
        <v>213</v>
      </c>
      <c r="C205" s="12" t="s">
        <v>6</v>
      </c>
      <c r="D205" s="63" t="s">
        <v>866</v>
      </c>
      <c r="E205" s="67">
        <v>-50000</v>
      </c>
      <c r="F205" s="25" t="s">
        <v>8</v>
      </c>
      <c r="G205" s="64" t="s">
        <v>189</v>
      </c>
    </row>
    <row r="206" spans="1:7" s="289" customFormat="1" hidden="1" x14ac:dyDescent="0.3">
      <c r="A206" s="363">
        <v>45951</v>
      </c>
      <c r="B206" s="339" t="s">
        <v>216</v>
      </c>
      <c r="C206" s="445" t="s">
        <v>6</v>
      </c>
      <c r="D206" s="340" t="s">
        <v>867</v>
      </c>
      <c r="E206" s="341">
        <v>-50000</v>
      </c>
      <c r="F206" s="262" t="s">
        <v>8</v>
      </c>
      <c r="G206" s="342" t="s">
        <v>189</v>
      </c>
    </row>
    <row r="207" spans="1:7" s="289" customFormat="1" hidden="1" x14ac:dyDescent="0.3">
      <c r="A207" s="288">
        <v>45982</v>
      </c>
      <c r="B207" s="59" t="s">
        <v>217</v>
      </c>
      <c r="C207" s="12" t="s">
        <v>6</v>
      </c>
      <c r="D207" s="63" t="s">
        <v>868</v>
      </c>
      <c r="E207" s="67">
        <v>-50000</v>
      </c>
      <c r="F207" s="25" t="s">
        <v>8</v>
      </c>
      <c r="G207" s="64" t="s">
        <v>189</v>
      </c>
    </row>
    <row r="208" spans="1:7" s="289" customFormat="1" hidden="1" x14ac:dyDescent="0.3">
      <c r="A208" s="288">
        <v>46010</v>
      </c>
      <c r="B208" s="252" t="s">
        <v>221</v>
      </c>
      <c r="C208" s="12" t="s">
        <v>6</v>
      </c>
      <c r="D208" s="496" t="s">
        <v>631</v>
      </c>
      <c r="E208" s="67">
        <v>-65000</v>
      </c>
      <c r="F208" s="25" t="s">
        <v>8</v>
      </c>
      <c r="G208" s="64" t="s">
        <v>189</v>
      </c>
    </row>
    <row r="209" spans="1:7" s="291" customFormat="1" hidden="1" x14ac:dyDescent="0.3">
      <c r="A209" s="287">
        <v>45859</v>
      </c>
      <c r="B209" s="10" t="s">
        <v>211</v>
      </c>
      <c r="C209" s="26" t="s">
        <v>17</v>
      </c>
      <c r="D209" s="26" t="s">
        <v>829</v>
      </c>
      <c r="E209" s="19">
        <v>-268.92</v>
      </c>
      <c r="F209" s="25" t="s">
        <v>8</v>
      </c>
      <c r="G209" s="64" t="s">
        <v>189</v>
      </c>
    </row>
    <row r="210" spans="1:7" s="291" customFormat="1" hidden="1" x14ac:dyDescent="0.3">
      <c r="A210" s="287">
        <v>45859</v>
      </c>
      <c r="B210" s="10" t="s">
        <v>211</v>
      </c>
      <c r="C210" s="13" t="s">
        <v>65</v>
      </c>
      <c r="D210" s="13" t="s">
        <v>136</v>
      </c>
      <c r="E210" s="21">
        <v>-8937.32</v>
      </c>
      <c r="F210" s="25" t="s">
        <v>8</v>
      </c>
      <c r="G210" s="14" t="s">
        <v>39</v>
      </c>
    </row>
    <row r="211" spans="1:7" s="291" customFormat="1" hidden="1" x14ac:dyDescent="0.3">
      <c r="A211" s="287">
        <v>45863</v>
      </c>
      <c r="B211" s="10" t="s">
        <v>211</v>
      </c>
      <c r="C211" s="24" t="s">
        <v>17</v>
      </c>
      <c r="D211" s="24" t="s">
        <v>18</v>
      </c>
      <c r="E211" s="21">
        <v>-17235</v>
      </c>
      <c r="F211" s="25" t="s">
        <v>8</v>
      </c>
      <c r="G211" s="14" t="s">
        <v>19</v>
      </c>
    </row>
    <row r="212" spans="1:7" s="291" customFormat="1" hidden="1" x14ac:dyDescent="0.3">
      <c r="A212" s="205">
        <v>45863</v>
      </c>
      <c r="B212" s="10" t="s">
        <v>211</v>
      </c>
      <c r="C212" s="24" t="s">
        <v>44</v>
      </c>
      <c r="D212" s="24" t="s">
        <v>988</v>
      </c>
      <c r="E212" s="585">
        <v>-4943.53</v>
      </c>
      <c r="F212" s="25" t="s">
        <v>8</v>
      </c>
      <c r="G212" s="14" t="s">
        <v>64</v>
      </c>
    </row>
    <row r="213" spans="1:7" s="514" customFormat="1" hidden="1" x14ac:dyDescent="0.3">
      <c r="A213" s="515">
        <v>45866</v>
      </c>
      <c r="B213" s="511" t="s">
        <v>211</v>
      </c>
      <c r="C213" s="561" t="s">
        <v>760</v>
      </c>
      <c r="D213" s="562" t="s">
        <v>759</v>
      </c>
      <c r="E213" s="636">
        <v>-367.08</v>
      </c>
      <c r="F213" s="586" t="s">
        <v>8</v>
      </c>
      <c r="G213" s="519" t="s">
        <v>51</v>
      </c>
    </row>
    <row r="214" spans="1:7" s="514" customFormat="1" hidden="1" x14ac:dyDescent="0.3">
      <c r="A214" s="515">
        <v>45866</v>
      </c>
      <c r="B214" s="511" t="s">
        <v>211</v>
      </c>
      <c r="C214" s="561" t="s">
        <v>106</v>
      </c>
      <c r="D214" s="562" t="s">
        <v>759</v>
      </c>
      <c r="E214" s="636">
        <v>-303.24</v>
      </c>
      <c r="F214" s="586" t="s">
        <v>8</v>
      </c>
      <c r="G214" s="519" t="s">
        <v>51</v>
      </c>
    </row>
    <row r="215" spans="1:7" s="514" customFormat="1" hidden="1" x14ac:dyDescent="0.3">
      <c r="A215" s="515">
        <v>45866</v>
      </c>
      <c r="B215" s="511" t="s">
        <v>211</v>
      </c>
      <c r="C215" s="561" t="s">
        <v>761</v>
      </c>
      <c r="D215" s="562" t="s">
        <v>759</v>
      </c>
      <c r="E215" s="636">
        <v>-845.88</v>
      </c>
      <c r="F215" s="586" t="s">
        <v>8</v>
      </c>
      <c r="G215" s="519" t="s">
        <v>51</v>
      </c>
    </row>
    <row r="216" spans="1:7" s="514" customFormat="1" hidden="1" x14ac:dyDescent="0.3">
      <c r="A216" s="515">
        <v>45866</v>
      </c>
      <c r="B216" s="511" t="s">
        <v>211</v>
      </c>
      <c r="C216" s="561" t="s">
        <v>762</v>
      </c>
      <c r="D216" s="562" t="s">
        <v>759</v>
      </c>
      <c r="E216" s="636">
        <v>-143.63999999999999</v>
      </c>
      <c r="F216" s="586" t="s">
        <v>8</v>
      </c>
      <c r="G216" s="519" t="s">
        <v>51</v>
      </c>
    </row>
    <row r="217" spans="1:7" s="514" customFormat="1" hidden="1" x14ac:dyDescent="0.3">
      <c r="A217" s="515">
        <v>45866</v>
      </c>
      <c r="B217" s="511" t="s">
        <v>211</v>
      </c>
      <c r="C217" s="561" t="s">
        <v>6</v>
      </c>
      <c r="D217" s="562" t="s">
        <v>759</v>
      </c>
      <c r="E217" s="636">
        <v>-63.84</v>
      </c>
      <c r="F217" s="586" t="s">
        <v>8</v>
      </c>
      <c r="G217" s="519" t="s">
        <v>51</v>
      </c>
    </row>
    <row r="218" spans="1:7" s="514" customFormat="1" hidden="1" x14ac:dyDescent="0.3">
      <c r="A218" s="515">
        <v>45866</v>
      </c>
      <c r="B218" s="511" t="s">
        <v>211</v>
      </c>
      <c r="C218" s="561" t="s">
        <v>1032</v>
      </c>
      <c r="D218" s="562" t="s">
        <v>759</v>
      </c>
      <c r="E218" s="636">
        <v>-95.76</v>
      </c>
      <c r="F218" s="586" t="s">
        <v>8</v>
      </c>
      <c r="G218" s="519" t="s">
        <v>51</v>
      </c>
    </row>
    <row r="219" spans="1:7" s="514" customFormat="1" hidden="1" x14ac:dyDescent="0.3">
      <c r="A219" s="515">
        <v>45866</v>
      </c>
      <c r="B219" s="511" t="s">
        <v>211</v>
      </c>
      <c r="C219" s="561" t="s">
        <v>13</v>
      </c>
      <c r="D219" s="562" t="s">
        <v>759</v>
      </c>
      <c r="E219" s="636">
        <v>-957.6</v>
      </c>
      <c r="F219" s="586" t="s">
        <v>8</v>
      </c>
      <c r="G219" s="519" t="s">
        <v>51</v>
      </c>
    </row>
    <row r="220" spans="1:7" s="514" customFormat="1" hidden="1" x14ac:dyDescent="0.3">
      <c r="A220" s="515">
        <v>45866</v>
      </c>
      <c r="B220" s="511" t="s">
        <v>211</v>
      </c>
      <c r="C220" s="561" t="s">
        <v>710</v>
      </c>
      <c r="D220" s="562" t="s">
        <v>759</v>
      </c>
      <c r="E220" s="636">
        <v>-63.84</v>
      </c>
      <c r="F220" s="586" t="s">
        <v>8</v>
      </c>
      <c r="G220" s="519" t="s">
        <v>51</v>
      </c>
    </row>
    <row r="221" spans="1:7" s="514" customFormat="1" hidden="1" x14ac:dyDescent="0.3">
      <c r="A221" s="515">
        <v>45866</v>
      </c>
      <c r="B221" s="511" t="s">
        <v>211</v>
      </c>
      <c r="C221" s="561" t="s">
        <v>765</v>
      </c>
      <c r="D221" s="562" t="s">
        <v>759</v>
      </c>
      <c r="E221" s="636">
        <v>-223.44</v>
      </c>
      <c r="F221" s="586" t="s">
        <v>8</v>
      </c>
      <c r="G221" s="519" t="s">
        <v>51</v>
      </c>
    </row>
    <row r="222" spans="1:7" s="291" customFormat="1" hidden="1" x14ac:dyDescent="0.3">
      <c r="A222" s="205">
        <v>45862</v>
      </c>
      <c r="B222" s="10" t="s">
        <v>211</v>
      </c>
      <c r="C222" s="26" t="s">
        <v>31</v>
      </c>
      <c r="D222" s="26" t="s">
        <v>881</v>
      </c>
      <c r="E222" s="681">
        <v>-1262.8699999999999</v>
      </c>
      <c r="F222" s="25" t="s">
        <v>8</v>
      </c>
      <c r="G222" s="20" t="s">
        <v>76</v>
      </c>
    </row>
    <row r="223" spans="1:7" s="291" customFormat="1" hidden="1" x14ac:dyDescent="0.3">
      <c r="A223" s="205">
        <v>45862</v>
      </c>
      <c r="B223" s="10" t="s">
        <v>211</v>
      </c>
      <c r="C223" s="26" t="s">
        <v>17</v>
      </c>
      <c r="D223" s="26" t="s">
        <v>882</v>
      </c>
      <c r="E223" s="19">
        <v>-1580.18</v>
      </c>
      <c r="F223" s="25" t="s">
        <v>8</v>
      </c>
      <c r="G223" s="20" t="s">
        <v>76</v>
      </c>
    </row>
    <row r="224" spans="1:7" s="291" customFormat="1" hidden="1" x14ac:dyDescent="0.3">
      <c r="A224" s="205">
        <v>45862</v>
      </c>
      <c r="B224" s="10" t="s">
        <v>211</v>
      </c>
      <c r="C224" s="26" t="s">
        <v>17</v>
      </c>
      <c r="D224" s="26" t="s">
        <v>453</v>
      </c>
      <c r="E224" s="19">
        <v>-8.42</v>
      </c>
      <c r="F224" s="25" t="s">
        <v>8</v>
      </c>
      <c r="G224" s="20" t="s">
        <v>76</v>
      </c>
    </row>
    <row r="225" spans="1:7" s="291" customFormat="1" hidden="1" x14ac:dyDescent="0.3">
      <c r="A225" s="205">
        <v>45862</v>
      </c>
      <c r="B225" s="10" t="s">
        <v>211</v>
      </c>
      <c r="C225" s="26" t="s">
        <v>72</v>
      </c>
      <c r="D225" s="26" t="s">
        <v>975</v>
      </c>
      <c r="E225" s="497">
        <v>-357.72</v>
      </c>
      <c r="F225" s="64" t="s">
        <v>8</v>
      </c>
      <c r="G225" s="64" t="s">
        <v>233</v>
      </c>
    </row>
    <row r="226" spans="1:7" s="291" customFormat="1" hidden="1" x14ac:dyDescent="0.3">
      <c r="A226" s="205">
        <v>45863</v>
      </c>
      <c r="B226" s="10" t="s">
        <v>211</v>
      </c>
      <c r="C226" s="13" t="s">
        <v>17</v>
      </c>
      <c r="D226" s="24" t="s">
        <v>137</v>
      </c>
      <c r="E226" s="19">
        <v>-545.28</v>
      </c>
      <c r="F226" s="25" t="s">
        <v>8</v>
      </c>
      <c r="G226" s="14" t="s">
        <v>69</v>
      </c>
    </row>
    <row r="227" spans="1:7" s="291" customFormat="1" hidden="1" x14ac:dyDescent="0.3">
      <c r="A227" s="205">
        <v>45863</v>
      </c>
      <c r="B227" s="10" t="s">
        <v>211</v>
      </c>
      <c r="C227" s="24" t="s">
        <v>17</v>
      </c>
      <c r="D227" s="24" t="s">
        <v>571</v>
      </c>
      <c r="E227" s="21">
        <v>-154.9</v>
      </c>
      <c r="F227" s="25" t="s">
        <v>8</v>
      </c>
      <c r="G227" s="14" t="s">
        <v>139</v>
      </c>
    </row>
    <row r="228" spans="1:7" s="291" customFormat="1" ht="0.6" hidden="1" customHeight="1" x14ac:dyDescent="0.3">
      <c r="A228" s="205">
        <v>45863</v>
      </c>
      <c r="B228" s="10" t="s">
        <v>211</v>
      </c>
      <c r="C228" s="24" t="s">
        <v>17</v>
      </c>
      <c r="D228" s="24" t="s">
        <v>572</v>
      </c>
      <c r="E228" s="21">
        <v>-139.9</v>
      </c>
      <c r="F228" s="25" t="s">
        <v>8</v>
      </c>
      <c r="G228" s="14" t="s">
        <v>139</v>
      </c>
    </row>
    <row r="229" spans="1:7" s="514" customFormat="1" hidden="1" x14ac:dyDescent="0.3">
      <c r="A229" s="515">
        <v>45895</v>
      </c>
      <c r="B229" s="511" t="s">
        <v>212</v>
      </c>
      <c r="C229" s="599" t="s">
        <v>6</v>
      </c>
      <c r="D229" s="599" t="s">
        <v>1094</v>
      </c>
      <c r="E229" s="636">
        <v>-810.56</v>
      </c>
      <c r="F229" s="513" t="s">
        <v>8</v>
      </c>
      <c r="G229" s="519" t="s">
        <v>55</v>
      </c>
    </row>
    <row r="230" spans="1:7" s="514" customFormat="1" hidden="1" x14ac:dyDescent="0.3">
      <c r="A230" s="515">
        <v>45895</v>
      </c>
      <c r="B230" s="511" t="s">
        <v>212</v>
      </c>
      <c r="C230" s="599" t="s">
        <v>6</v>
      </c>
      <c r="D230" s="599" t="s">
        <v>1278</v>
      </c>
      <c r="E230" s="636">
        <v>-2014.2</v>
      </c>
      <c r="F230" s="513" t="s">
        <v>8</v>
      </c>
      <c r="G230" s="519" t="s">
        <v>55</v>
      </c>
    </row>
    <row r="231" spans="1:7" s="291" customFormat="1" hidden="1" x14ac:dyDescent="0.3">
      <c r="A231" s="205">
        <v>45863</v>
      </c>
      <c r="B231" s="10" t="s">
        <v>211</v>
      </c>
      <c r="C231" s="24" t="s">
        <v>25</v>
      </c>
      <c r="D231" s="24" t="s">
        <v>575</v>
      </c>
      <c r="E231" s="21">
        <v>-1925.16</v>
      </c>
      <c r="F231" s="25" t="s">
        <v>8</v>
      </c>
      <c r="G231" s="214" t="s">
        <v>156</v>
      </c>
    </row>
    <row r="232" spans="1:7" s="291" customFormat="1" hidden="1" x14ac:dyDescent="0.3">
      <c r="A232" s="287">
        <v>45856</v>
      </c>
      <c r="B232" s="10" t="s">
        <v>211</v>
      </c>
      <c r="C232" s="26" t="s">
        <v>25</v>
      </c>
      <c r="D232" s="26" t="s">
        <v>386</v>
      </c>
      <c r="E232" s="19">
        <v>-291</v>
      </c>
      <c r="F232" s="25" t="s">
        <v>8</v>
      </c>
      <c r="G232" s="20" t="s">
        <v>83</v>
      </c>
    </row>
    <row r="233" spans="1:7" s="291" customFormat="1" hidden="1" x14ac:dyDescent="0.3">
      <c r="A233" s="287">
        <v>45856</v>
      </c>
      <c r="B233" s="10" t="s">
        <v>211</v>
      </c>
      <c r="C233" s="26" t="s">
        <v>25</v>
      </c>
      <c r="D233" s="26" t="s">
        <v>873</v>
      </c>
      <c r="E233" s="19">
        <v>-108</v>
      </c>
      <c r="F233" s="25" t="s">
        <v>8</v>
      </c>
      <c r="G233" s="20" t="s">
        <v>83</v>
      </c>
    </row>
    <row r="234" spans="1:7" s="291" customFormat="1" hidden="1" x14ac:dyDescent="0.3">
      <c r="A234" s="287">
        <v>45856</v>
      </c>
      <c r="B234" s="10" t="s">
        <v>211</v>
      </c>
      <c r="C234" s="26" t="s">
        <v>25</v>
      </c>
      <c r="D234" s="26" t="s">
        <v>380</v>
      </c>
      <c r="E234" s="19">
        <v>-110.7</v>
      </c>
      <c r="F234" s="25" t="s">
        <v>8</v>
      </c>
      <c r="G234" s="20" t="s">
        <v>83</v>
      </c>
    </row>
    <row r="235" spans="1:7" s="291" customFormat="1" hidden="1" x14ac:dyDescent="0.3">
      <c r="A235" s="323">
        <v>45856</v>
      </c>
      <c r="B235" s="50" t="s">
        <v>211</v>
      </c>
      <c r="C235" s="243" t="s">
        <v>17</v>
      </c>
      <c r="D235" s="243" t="s">
        <v>468</v>
      </c>
      <c r="E235" s="204">
        <v>-160</v>
      </c>
      <c r="F235" s="51" t="s">
        <v>8</v>
      </c>
      <c r="G235" s="232" t="s">
        <v>83</v>
      </c>
    </row>
    <row r="236" spans="1:7" s="291" customFormat="1" hidden="1" x14ac:dyDescent="0.3">
      <c r="A236" s="287">
        <v>45861</v>
      </c>
      <c r="B236" s="10" t="s">
        <v>211</v>
      </c>
      <c r="C236" s="24" t="s">
        <v>17</v>
      </c>
      <c r="D236" s="13" t="s">
        <v>143</v>
      </c>
      <c r="E236" s="21">
        <v>-9980</v>
      </c>
      <c r="F236" s="25" t="s">
        <v>8</v>
      </c>
      <c r="G236" s="214" t="s">
        <v>59</v>
      </c>
    </row>
    <row r="237" spans="1:7" s="514" customFormat="1" hidden="1" x14ac:dyDescent="0.3">
      <c r="A237" s="515">
        <v>45869</v>
      </c>
      <c r="B237" s="511" t="s">
        <v>211</v>
      </c>
      <c r="C237" s="592" t="s">
        <v>31</v>
      </c>
      <c r="D237" s="592" t="s">
        <v>578</v>
      </c>
      <c r="E237" s="597">
        <v>-630</v>
      </c>
      <c r="F237" s="519" t="s">
        <v>8</v>
      </c>
      <c r="G237" s="597" t="s">
        <v>51</v>
      </c>
    </row>
    <row r="238" spans="1:7" s="514" customFormat="1" hidden="1" x14ac:dyDescent="0.3">
      <c r="A238" s="515">
        <v>45868</v>
      </c>
      <c r="B238" s="511" t="s">
        <v>211</v>
      </c>
      <c r="C238" s="609" t="s">
        <v>17</v>
      </c>
      <c r="D238" s="592" t="s">
        <v>145</v>
      </c>
      <c r="E238" s="597">
        <v>-1689.04</v>
      </c>
      <c r="F238" s="513" t="s">
        <v>8</v>
      </c>
      <c r="G238" s="607" t="s">
        <v>69</v>
      </c>
    </row>
    <row r="239" spans="1:7" s="514" customFormat="1" hidden="1" x14ac:dyDescent="0.3">
      <c r="A239" s="515">
        <v>45868</v>
      </c>
      <c r="B239" s="511" t="s">
        <v>211</v>
      </c>
      <c r="C239" s="609" t="s">
        <v>17</v>
      </c>
      <c r="D239" s="592" t="s">
        <v>145</v>
      </c>
      <c r="E239" s="597">
        <v>-2644.76</v>
      </c>
      <c r="F239" s="513" t="s">
        <v>8</v>
      </c>
      <c r="G239" s="607" t="s">
        <v>69</v>
      </c>
    </row>
    <row r="240" spans="1:7" s="291" customFormat="1" hidden="1" x14ac:dyDescent="0.3">
      <c r="A240" s="205">
        <v>45866</v>
      </c>
      <c r="B240" s="10" t="s">
        <v>211</v>
      </c>
      <c r="C240" s="24" t="s">
        <v>17</v>
      </c>
      <c r="D240" s="24" t="s">
        <v>143</v>
      </c>
      <c r="E240" s="21">
        <v>-9980</v>
      </c>
      <c r="F240" s="25" t="s">
        <v>8</v>
      </c>
      <c r="G240" s="214" t="s">
        <v>59</v>
      </c>
    </row>
    <row r="241" spans="1:7" s="514" customFormat="1" hidden="1" x14ac:dyDescent="0.3">
      <c r="A241" s="608">
        <v>45897</v>
      </c>
      <c r="B241" s="522" t="s">
        <v>212</v>
      </c>
      <c r="C241" s="792" t="s">
        <v>44</v>
      </c>
      <c r="D241" s="726" t="s">
        <v>1408</v>
      </c>
      <c r="E241" s="693">
        <v>-9520.2900000000009</v>
      </c>
      <c r="F241" s="727" t="s">
        <v>8</v>
      </c>
      <c r="G241" s="551" t="s">
        <v>233</v>
      </c>
    </row>
    <row r="242" spans="1:7" s="291" customFormat="1" x14ac:dyDescent="0.3">
      <c r="A242" s="252">
        <v>45912</v>
      </c>
      <c r="B242" s="252" t="s">
        <v>213</v>
      </c>
      <c r="C242" s="26" t="s">
        <v>168</v>
      </c>
      <c r="D242" s="18" t="s">
        <v>823</v>
      </c>
      <c r="E242" s="19">
        <v>-1500</v>
      </c>
      <c r="F242" s="25" t="s">
        <v>8</v>
      </c>
      <c r="G242" s="214" t="s">
        <v>156</v>
      </c>
    </row>
    <row r="243" spans="1:7" s="291" customFormat="1" x14ac:dyDescent="0.3">
      <c r="A243" s="252">
        <v>45912</v>
      </c>
      <c r="B243" s="252" t="s">
        <v>213</v>
      </c>
      <c r="C243" s="26" t="s">
        <v>168</v>
      </c>
      <c r="D243" s="18" t="s">
        <v>824</v>
      </c>
      <c r="E243" s="19">
        <v>-200</v>
      </c>
      <c r="F243" s="25" t="s">
        <v>8</v>
      </c>
      <c r="G243" s="214" t="s">
        <v>156</v>
      </c>
    </row>
    <row r="244" spans="1:7" s="291" customFormat="1" hidden="1" x14ac:dyDescent="0.3">
      <c r="A244" s="205">
        <v>45930</v>
      </c>
      <c r="B244" s="10" t="s">
        <v>213</v>
      </c>
      <c r="C244" s="26" t="s">
        <v>168</v>
      </c>
      <c r="D244" s="26" t="s">
        <v>823</v>
      </c>
      <c r="E244" s="19">
        <v>-1500</v>
      </c>
      <c r="F244" s="25" t="s">
        <v>8</v>
      </c>
      <c r="G244" s="214" t="s">
        <v>156</v>
      </c>
    </row>
    <row r="245" spans="1:7" s="291" customFormat="1" hidden="1" x14ac:dyDescent="0.3">
      <c r="A245" s="205">
        <v>45930</v>
      </c>
      <c r="B245" s="10" t="s">
        <v>213</v>
      </c>
      <c r="C245" s="26" t="s">
        <v>168</v>
      </c>
      <c r="D245" s="26" t="s">
        <v>824</v>
      </c>
      <c r="E245" s="19">
        <v>-200</v>
      </c>
      <c r="F245" s="25" t="s">
        <v>8</v>
      </c>
      <c r="G245" s="214" t="s">
        <v>156</v>
      </c>
    </row>
    <row r="246" spans="1:7" s="291" customFormat="1" hidden="1" x14ac:dyDescent="0.3">
      <c r="A246" s="226">
        <v>45961</v>
      </c>
      <c r="B246" s="46" t="s">
        <v>216</v>
      </c>
      <c r="C246" s="238" t="s">
        <v>168</v>
      </c>
      <c r="D246" s="238" t="s">
        <v>823</v>
      </c>
      <c r="E246" s="229">
        <v>-1500</v>
      </c>
      <c r="F246" s="262" t="s">
        <v>8</v>
      </c>
      <c r="G246" s="372" t="s">
        <v>156</v>
      </c>
    </row>
    <row r="247" spans="1:7" s="291" customFormat="1" hidden="1" x14ac:dyDescent="0.3">
      <c r="A247" s="205">
        <v>45961</v>
      </c>
      <c r="B247" s="10" t="s">
        <v>216</v>
      </c>
      <c r="C247" s="26" t="s">
        <v>168</v>
      </c>
      <c r="D247" s="26" t="s">
        <v>824</v>
      </c>
      <c r="E247" s="19">
        <v>-200</v>
      </c>
      <c r="F247" s="25" t="s">
        <v>8</v>
      </c>
      <c r="G247" s="214" t="s">
        <v>156</v>
      </c>
    </row>
    <row r="248" spans="1:7" s="291" customFormat="1" hidden="1" x14ac:dyDescent="0.3">
      <c r="A248" s="205">
        <v>45989</v>
      </c>
      <c r="B248" s="10" t="s">
        <v>217</v>
      </c>
      <c r="C248" s="26" t="s">
        <v>168</v>
      </c>
      <c r="D248" s="26" t="s">
        <v>823</v>
      </c>
      <c r="E248" s="19">
        <v>-1500</v>
      </c>
      <c r="F248" s="25" t="s">
        <v>8</v>
      </c>
      <c r="G248" s="214" t="s">
        <v>156</v>
      </c>
    </row>
    <row r="249" spans="1:7" s="291" customFormat="1" hidden="1" x14ac:dyDescent="0.3">
      <c r="A249" s="205">
        <v>45989</v>
      </c>
      <c r="B249" s="10" t="s">
        <v>217</v>
      </c>
      <c r="C249" s="26" t="s">
        <v>168</v>
      </c>
      <c r="D249" s="26" t="s">
        <v>824</v>
      </c>
      <c r="E249" s="19">
        <v>-200</v>
      </c>
      <c r="F249" s="25" t="s">
        <v>8</v>
      </c>
      <c r="G249" s="214" t="s">
        <v>156</v>
      </c>
    </row>
    <row r="250" spans="1:7" s="291" customFormat="1" hidden="1" x14ac:dyDescent="0.3">
      <c r="A250" s="205">
        <v>46021</v>
      </c>
      <c r="B250" s="10" t="s">
        <v>221</v>
      </c>
      <c r="C250" s="26" t="s">
        <v>168</v>
      </c>
      <c r="D250" s="26" t="s">
        <v>823</v>
      </c>
      <c r="E250" s="19">
        <v>-1500</v>
      </c>
      <c r="F250" s="25" t="s">
        <v>8</v>
      </c>
      <c r="G250" s="214" t="s">
        <v>156</v>
      </c>
    </row>
    <row r="251" spans="1:7" s="291" customFormat="1" hidden="1" x14ac:dyDescent="0.3">
      <c r="A251" s="205">
        <v>46021</v>
      </c>
      <c r="B251" s="10" t="s">
        <v>221</v>
      </c>
      <c r="C251" s="26" t="s">
        <v>168</v>
      </c>
      <c r="D251" s="26" t="s">
        <v>824</v>
      </c>
      <c r="E251" s="19">
        <v>-200</v>
      </c>
      <c r="F251" s="25" t="s">
        <v>8</v>
      </c>
      <c r="G251" s="214" t="s">
        <v>156</v>
      </c>
    </row>
    <row r="252" spans="1:7" s="291" customFormat="1" ht="27.6" hidden="1" x14ac:dyDescent="0.3">
      <c r="A252" s="205">
        <v>45870</v>
      </c>
      <c r="B252" s="10" t="s">
        <v>212</v>
      </c>
      <c r="C252" s="26" t="s">
        <v>25</v>
      </c>
      <c r="D252" s="18" t="s">
        <v>1275</v>
      </c>
      <c r="E252" s="19">
        <v>-111.89</v>
      </c>
      <c r="F252" s="25" t="s">
        <v>8</v>
      </c>
      <c r="G252" s="20" t="s">
        <v>945</v>
      </c>
    </row>
    <row r="253" spans="1:7" s="514" customFormat="1" hidden="1" x14ac:dyDescent="0.3">
      <c r="A253" s="515">
        <v>45869</v>
      </c>
      <c r="B253" s="511" t="s">
        <v>211</v>
      </c>
      <c r="C253" s="592" t="s">
        <v>31</v>
      </c>
      <c r="D253" s="592" t="s">
        <v>1012</v>
      </c>
      <c r="E253" s="512">
        <v>-2198.9</v>
      </c>
      <c r="F253" s="513" t="s">
        <v>8</v>
      </c>
      <c r="G253" s="518" t="s">
        <v>155</v>
      </c>
    </row>
    <row r="254" spans="1:7" s="514" customFormat="1" ht="13.8" hidden="1" customHeight="1" x14ac:dyDescent="0.3">
      <c r="A254" s="515">
        <v>45869</v>
      </c>
      <c r="B254" s="511" t="s">
        <v>211</v>
      </c>
      <c r="C254" s="592" t="s">
        <v>31</v>
      </c>
      <c r="D254" s="592" t="s">
        <v>946</v>
      </c>
      <c r="E254" s="512">
        <v>-2926.15</v>
      </c>
      <c r="F254" s="513" t="s">
        <v>8</v>
      </c>
      <c r="G254" s="518" t="s">
        <v>155</v>
      </c>
    </row>
    <row r="255" spans="1:7" s="514" customFormat="1" hidden="1" x14ac:dyDescent="0.3">
      <c r="A255" s="515">
        <v>45869</v>
      </c>
      <c r="B255" s="511" t="s">
        <v>211</v>
      </c>
      <c r="C255" s="592" t="s">
        <v>6</v>
      </c>
      <c r="D255" s="592" t="s">
        <v>947</v>
      </c>
      <c r="E255" s="512">
        <v>-2484.92</v>
      </c>
      <c r="F255" s="513" t="s">
        <v>8</v>
      </c>
      <c r="G255" s="518" t="s">
        <v>155</v>
      </c>
    </row>
    <row r="256" spans="1:7" s="514" customFormat="1" hidden="1" x14ac:dyDescent="0.3">
      <c r="A256" s="515">
        <v>45869</v>
      </c>
      <c r="B256" s="511" t="s">
        <v>211</v>
      </c>
      <c r="C256" s="592" t="s">
        <v>44</v>
      </c>
      <c r="D256" s="592" t="s">
        <v>948</v>
      </c>
      <c r="E256" s="512">
        <v>-3034.93</v>
      </c>
      <c r="F256" s="513" t="s">
        <v>8</v>
      </c>
      <c r="G256" s="518" t="s">
        <v>155</v>
      </c>
    </row>
    <row r="257" spans="1:7" s="514" customFormat="1" hidden="1" x14ac:dyDescent="0.3">
      <c r="A257" s="515">
        <v>45869</v>
      </c>
      <c r="B257" s="511" t="s">
        <v>211</v>
      </c>
      <c r="C257" s="592" t="s">
        <v>44</v>
      </c>
      <c r="D257" s="592" t="s">
        <v>949</v>
      </c>
      <c r="E257" s="512">
        <v>-2902.63</v>
      </c>
      <c r="F257" s="513" t="s">
        <v>8</v>
      </c>
      <c r="G257" s="518" t="s">
        <v>155</v>
      </c>
    </row>
    <row r="258" spans="1:7" s="514" customFormat="1" hidden="1" x14ac:dyDescent="0.3">
      <c r="A258" s="515">
        <v>45869</v>
      </c>
      <c r="B258" s="511" t="s">
        <v>211</v>
      </c>
      <c r="C258" s="592" t="s">
        <v>25</v>
      </c>
      <c r="D258" s="592" t="s">
        <v>950</v>
      </c>
      <c r="E258" s="512">
        <v>-3185.1</v>
      </c>
      <c r="F258" s="513" t="s">
        <v>8</v>
      </c>
      <c r="G258" s="518" t="s">
        <v>155</v>
      </c>
    </row>
    <row r="259" spans="1:7" s="514" customFormat="1" hidden="1" x14ac:dyDescent="0.3">
      <c r="A259" s="515">
        <v>45869</v>
      </c>
      <c r="B259" s="511" t="s">
        <v>211</v>
      </c>
      <c r="C259" s="592" t="s">
        <v>25</v>
      </c>
      <c r="D259" s="592" t="s">
        <v>951</v>
      </c>
      <c r="E259" s="512">
        <v>-2701.72</v>
      </c>
      <c r="F259" s="513" t="s">
        <v>8</v>
      </c>
      <c r="G259" s="518" t="s">
        <v>155</v>
      </c>
    </row>
    <row r="260" spans="1:7" s="514" customFormat="1" hidden="1" x14ac:dyDescent="0.3">
      <c r="A260" s="515">
        <v>45869</v>
      </c>
      <c r="B260" s="511" t="s">
        <v>211</v>
      </c>
      <c r="C260" s="592" t="s">
        <v>25</v>
      </c>
      <c r="D260" s="592" t="s">
        <v>952</v>
      </c>
      <c r="E260" s="512">
        <v>-2634.1</v>
      </c>
      <c r="F260" s="513" t="s">
        <v>8</v>
      </c>
      <c r="G260" s="518" t="s">
        <v>155</v>
      </c>
    </row>
    <row r="261" spans="1:7" s="514" customFormat="1" hidden="1" x14ac:dyDescent="0.3">
      <c r="A261" s="515">
        <v>45869</v>
      </c>
      <c r="B261" s="511" t="s">
        <v>211</v>
      </c>
      <c r="C261" s="592" t="s">
        <v>25</v>
      </c>
      <c r="D261" s="592" t="s">
        <v>953</v>
      </c>
      <c r="E261" s="512">
        <v>-2117.89</v>
      </c>
      <c r="F261" s="513" t="s">
        <v>8</v>
      </c>
      <c r="G261" s="518" t="s">
        <v>155</v>
      </c>
    </row>
    <row r="262" spans="1:7" s="514" customFormat="1" hidden="1" x14ac:dyDescent="0.3">
      <c r="A262" s="515">
        <v>45869</v>
      </c>
      <c r="B262" s="511" t="s">
        <v>211</v>
      </c>
      <c r="C262" s="592" t="s">
        <v>33</v>
      </c>
      <c r="D262" s="592" t="s">
        <v>954</v>
      </c>
      <c r="E262" s="512">
        <v>-2703.07</v>
      </c>
      <c r="F262" s="513" t="s">
        <v>8</v>
      </c>
      <c r="G262" s="518" t="s">
        <v>155</v>
      </c>
    </row>
    <row r="263" spans="1:7" s="514" customFormat="1" hidden="1" x14ac:dyDescent="0.3">
      <c r="A263" s="515">
        <v>45869</v>
      </c>
      <c r="B263" s="511" t="s">
        <v>211</v>
      </c>
      <c r="C263" s="592" t="s">
        <v>106</v>
      </c>
      <c r="D263" s="592" t="s">
        <v>955</v>
      </c>
      <c r="E263" s="512">
        <v>-2931.59</v>
      </c>
      <c r="F263" s="513" t="s">
        <v>8</v>
      </c>
      <c r="G263" s="646" t="s">
        <v>155</v>
      </c>
    </row>
    <row r="264" spans="1:7" s="514" customFormat="1" ht="13.2" hidden="1" customHeight="1" x14ac:dyDescent="0.3">
      <c r="A264" s="515">
        <v>45869</v>
      </c>
      <c r="B264" s="511" t="s">
        <v>211</v>
      </c>
      <c r="C264" s="592" t="s">
        <v>32</v>
      </c>
      <c r="D264" s="592" t="s">
        <v>956</v>
      </c>
      <c r="E264" s="512">
        <v>-2958.07</v>
      </c>
      <c r="F264" s="513" t="s">
        <v>8</v>
      </c>
      <c r="G264" s="646" t="s">
        <v>155</v>
      </c>
    </row>
    <row r="265" spans="1:7" s="514" customFormat="1" hidden="1" x14ac:dyDescent="0.3">
      <c r="A265" s="515">
        <v>45869</v>
      </c>
      <c r="B265" s="511" t="s">
        <v>211</v>
      </c>
      <c r="C265" s="592" t="s">
        <v>72</v>
      </c>
      <c r="D265" s="592" t="s">
        <v>957</v>
      </c>
      <c r="E265" s="512">
        <v>-2106.31</v>
      </c>
      <c r="F265" s="513" t="s">
        <v>8</v>
      </c>
      <c r="G265" s="646" t="s">
        <v>155</v>
      </c>
    </row>
    <row r="266" spans="1:7" s="514" customFormat="1" ht="15" hidden="1" customHeight="1" x14ac:dyDescent="0.3">
      <c r="A266" s="515">
        <v>45869</v>
      </c>
      <c r="B266" s="511" t="s">
        <v>211</v>
      </c>
      <c r="C266" s="592" t="s">
        <v>17</v>
      </c>
      <c r="D266" s="592" t="s">
        <v>85</v>
      </c>
      <c r="E266" s="512">
        <v>-4725</v>
      </c>
      <c r="F266" s="513" t="s">
        <v>8</v>
      </c>
      <c r="G266" s="646" t="s">
        <v>155</v>
      </c>
    </row>
    <row r="267" spans="1:7" s="514" customFormat="1" ht="15" hidden="1" customHeight="1" x14ac:dyDescent="0.3">
      <c r="A267" s="515">
        <v>45869</v>
      </c>
      <c r="B267" s="511" t="s">
        <v>211</v>
      </c>
      <c r="C267" s="592" t="s">
        <v>17</v>
      </c>
      <c r="D267" s="592" t="s">
        <v>1060</v>
      </c>
      <c r="E267" s="512">
        <v>-726.6</v>
      </c>
      <c r="F267" s="513" t="s">
        <v>8</v>
      </c>
      <c r="G267" s="518" t="s">
        <v>394</v>
      </c>
    </row>
    <row r="268" spans="1:7" s="514" customFormat="1" ht="15" hidden="1" customHeight="1" x14ac:dyDescent="0.3">
      <c r="A268" s="515">
        <v>45869</v>
      </c>
      <c r="B268" s="511" t="s">
        <v>211</v>
      </c>
      <c r="C268" s="592" t="s">
        <v>25</v>
      </c>
      <c r="D268" s="592" t="s">
        <v>1059</v>
      </c>
      <c r="E268" s="512">
        <v>-141.81</v>
      </c>
      <c r="F268" s="513" t="s">
        <v>8</v>
      </c>
      <c r="G268" s="646" t="s">
        <v>76</v>
      </c>
    </row>
    <row r="269" spans="1:7" s="514" customFormat="1" ht="15" hidden="1" customHeight="1" x14ac:dyDescent="0.3">
      <c r="A269" s="515">
        <v>45869</v>
      </c>
      <c r="B269" s="511" t="s">
        <v>211</v>
      </c>
      <c r="C269" s="592" t="s">
        <v>25</v>
      </c>
      <c r="D269" s="592" t="s">
        <v>1013</v>
      </c>
      <c r="E269" s="512">
        <v>-952.95</v>
      </c>
      <c r="F269" s="513" t="s">
        <v>8</v>
      </c>
      <c r="G269" s="646" t="s">
        <v>76</v>
      </c>
    </row>
    <row r="270" spans="1:7" s="514" customFormat="1" ht="15" hidden="1" customHeight="1" x14ac:dyDescent="0.3">
      <c r="A270" s="515">
        <v>45869</v>
      </c>
      <c r="B270" s="511" t="s">
        <v>211</v>
      </c>
      <c r="C270" s="592" t="s">
        <v>32</v>
      </c>
      <c r="D270" s="592" t="s">
        <v>1014</v>
      </c>
      <c r="E270" s="512">
        <v>-1987.42</v>
      </c>
      <c r="F270" s="513" t="s">
        <v>8</v>
      </c>
      <c r="G270" s="518" t="s">
        <v>76</v>
      </c>
    </row>
    <row r="271" spans="1:7" s="291" customFormat="1" ht="27.6" hidden="1" x14ac:dyDescent="0.3">
      <c r="A271" s="205">
        <v>45870</v>
      </c>
      <c r="B271" s="10" t="s">
        <v>212</v>
      </c>
      <c r="C271" s="26" t="s">
        <v>25</v>
      </c>
      <c r="D271" s="18" t="s">
        <v>1276</v>
      </c>
      <c r="E271" s="19">
        <v>-214.13</v>
      </c>
      <c r="F271" s="25" t="s">
        <v>8</v>
      </c>
      <c r="G271" s="20" t="s">
        <v>945</v>
      </c>
    </row>
    <row r="272" spans="1:7" s="514" customFormat="1" hidden="1" x14ac:dyDescent="0.3">
      <c r="A272" s="608">
        <v>45898</v>
      </c>
      <c r="B272" s="522" t="s">
        <v>212</v>
      </c>
      <c r="C272" s="726" t="s">
        <v>17</v>
      </c>
      <c r="D272" s="758" t="s">
        <v>958</v>
      </c>
      <c r="E272" s="693">
        <v>-1500</v>
      </c>
      <c r="F272" s="727" t="s">
        <v>8</v>
      </c>
      <c r="G272" s="551" t="s">
        <v>189</v>
      </c>
    </row>
    <row r="273" spans="1:7" s="291" customFormat="1" hidden="1" x14ac:dyDescent="0.3">
      <c r="A273" s="205">
        <v>45930</v>
      </c>
      <c r="B273" s="10" t="s">
        <v>213</v>
      </c>
      <c r="C273" s="26" t="s">
        <v>17</v>
      </c>
      <c r="D273" s="26" t="s">
        <v>959</v>
      </c>
      <c r="E273" s="19">
        <v>-1500</v>
      </c>
      <c r="F273" s="25" t="s">
        <v>8</v>
      </c>
      <c r="G273" s="20" t="s">
        <v>189</v>
      </c>
    </row>
    <row r="274" spans="1:7" s="291" customFormat="1" hidden="1" x14ac:dyDescent="0.3">
      <c r="A274" s="226">
        <v>45961</v>
      </c>
      <c r="B274" s="46" t="s">
        <v>216</v>
      </c>
      <c r="C274" s="238" t="s">
        <v>17</v>
      </c>
      <c r="D274" s="238" t="s">
        <v>960</v>
      </c>
      <c r="E274" s="229">
        <v>-1500</v>
      </c>
      <c r="F274" s="262" t="s">
        <v>8</v>
      </c>
      <c r="G274" s="168" t="s">
        <v>189</v>
      </c>
    </row>
    <row r="275" spans="1:7" s="291" customFormat="1" hidden="1" x14ac:dyDescent="0.3">
      <c r="A275" s="205">
        <v>45989</v>
      </c>
      <c r="B275" s="10" t="s">
        <v>217</v>
      </c>
      <c r="C275" s="26" t="s">
        <v>17</v>
      </c>
      <c r="D275" s="26" t="s">
        <v>961</v>
      </c>
      <c r="E275" s="19">
        <v>-1500</v>
      </c>
      <c r="F275" s="25" t="s">
        <v>8</v>
      </c>
      <c r="G275" s="20" t="s">
        <v>189</v>
      </c>
    </row>
    <row r="276" spans="1:7" s="291" customFormat="1" hidden="1" x14ac:dyDescent="0.3">
      <c r="A276" s="205">
        <v>46021</v>
      </c>
      <c r="B276" s="10" t="s">
        <v>221</v>
      </c>
      <c r="C276" s="26" t="s">
        <v>17</v>
      </c>
      <c r="D276" s="26" t="s">
        <v>962</v>
      </c>
      <c r="E276" s="19">
        <v>-1500</v>
      </c>
      <c r="F276" s="25" t="s">
        <v>8</v>
      </c>
      <c r="G276" s="20" t="s">
        <v>189</v>
      </c>
    </row>
    <row r="277" spans="1:7" s="514" customFormat="1" hidden="1" x14ac:dyDescent="0.3">
      <c r="A277" s="515">
        <v>45869</v>
      </c>
      <c r="B277" s="511" t="s">
        <v>211</v>
      </c>
      <c r="C277" s="592" t="s">
        <v>17</v>
      </c>
      <c r="D277" s="592" t="s">
        <v>944</v>
      </c>
      <c r="E277" s="512">
        <v>-1500</v>
      </c>
      <c r="F277" s="513" t="s">
        <v>8</v>
      </c>
      <c r="G277" s="518" t="s">
        <v>189</v>
      </c>
    </row>
    <row r="278" spans="1:7" s="514" customFormat="1" hidden="1" x14ac:dyDescent="0.3">
      <c r="A278" s="515">
        <v>45869</v>
      </c>
      <c r="B278" s="511" t="s">
        <v>211</v>
      </c>
      <c r="C278" s="592" t="s">
        <v>6</v>
      </c>
      <c r="D278" s="592" t="s">
        <v>832</v>
      </c>
      <c r="E278" s="512">
        <v>-2000</v>
      </c>
      <c r="F278" s="513" t="s">
        <v>8</v>
      </c>
      <c r="G278" s="518" t="s">
        <v>189</v>
      </c>
    </row>
    <row r="279" spans="1:7" s="514" customFormat="1" hidden="1" x14ac:dyDescent="0.3">
      <c r="A279" s="831">
        <v>45898</v>
      </c>
      <c r="B279" s="522" t="s">
        <v>212</v>
      </c>
      <c r="C279" s="726" t="s">
        <v>6</v>
      </c>
      <c r="D279" s="758" t="s">
        <v>833</v>
      </c>
      <c r="E279" s="693">
        <v>-2000</v>
      </c>
      <c r="F279" s="727" t="s">
        <v>8</v>
      </c>
      <c r="G279" s="551" t="s">
        <v>189</v>
      </c>
    </row>
    <row r="280" spans="1:7" s="291" customFormat="1" hidden="1" x14ac:dyDescent="0.3">
      <c r="A280" s="205">
        <v>45930</v>
      </c>
      <c r="B280" s="10" t="s">
        <v>213</v>
      </c>
      <c r="C280" s="26" t="s">
        <v>6</v>
      </c>
      <c r="D280" s="26" t="s">
        <v>834</v>
      </c>
      <c r="E280" s="19">
        <v>-2000</v>
      </c>
      <c r="F280" s="25" t="s">
        <v>8</v>
      </c>
      <c r="G280" s="20" t="s">
        <v>189</v>
      </c>
    </row>
    <row r="281" spans="1:7" s="291" customFormat="1" hidden="1" x14ac:dyDescent="0.3">
      <c r="A281" s="226">
        <v>45961</v>
      </c>
      <c r="B281" s="46" t="s">
        <v>216</v>
      </c>
      <c r="C281" s="238" t="s">
        <v>6</v>
      </c>
      <c r="D281" s="238" t="s">
        <v>835</v>
      </c>
      <c r="E281" s="229">
        <v>-2000</v>
      </c>
      <c r="F281" s="262" t="s">
        <v>8</v>
      </c>
      <c r="G281" s="168" t="s">
        <v>189</v>
      </c>
    </row>
    <row r="282" spans="1:7" s="291" customFormat="1" hidden="1" x14ac:dyDescent="0.3">
      <c r="A282" s="205">
        <v>45989</v>
      </c>
      <c r="B282" s="10" t="s">
        <v>217</v>
      </c>
      <c r="C282" s="26" t="s">
        <v>6</v>
      </c>
      <c r="D282" s="26" t="s">
        <v>836</v>
      </c>
      <c r="E282" s="19">
        <v>-2000</v>
      </c>
      <c r="F282" s="25" t="s">
        <v>8</v>
      </c>
      <c r="G282" s="20" t="s">
        <v>189</v>
      </c>
    </row>
    <row r="283" spans="1:7" s="291" customFormat="1" hidden="1" x14ac:dyDescent="0.3">
      <c r="A283" s="205">
        <v>46021</v>
      </c>
      <c r="B283" s="10" t="s">
        <v>221</v>
      </c>
      <c r="C283" s="26" t="s">
        <v>6</v>
      </c>
      <c r="D283" s="26" t="s">
        <v>837</v>
      </c>
      <c r="E283" s="19">
        <v>-2000</v>
      </c>
      <c r="F283" s="25" t="s">
        <v>8</v>
      </c>
      <c r="G283" s="20" t="s">
        <v>189</v>
      </c>
    </row>
    <row r="284" spans="1:7" s="514" customFormat="1" hidden="1" x14ac:dyDescent="0.3">
      <c r="A284" s="515">
        <v>45869</v>
      </c>
      <c r="B284" s="511" t="s">
        <v>211</v>
      </c>
      <c r="C284" s="592" t="s">
        <v>44</v>
      </c>
      <c r="D284" s="592" t="s">
        <v>592</v>
      </c>
      <c r="E284" s="512">
        <v>-875.98</v>
      </c>
      <c r="F284" s="513" t="s">
        <v>8</v>
      </c>
      <c r="G284" s="616" t="s">
        <v>207</v>
      </c>
    </row>
    <row r="285" spans="1:7" s="514" customFormat="1" hidden="1" x14ac:dyDescent="0.3">
      <c r="A285" s="515">
        <v>45869</v>
      </c>
      <c r="B285" s="511" t="s">
        <v>211</v>
      </c>
      <c r="C285" s="599" t="s">
        <v>17</v>
      </c>
      <c r="D285" s="600" t="s">
        <v>143</v>
      </c>
      <c r="E285" s="601">
        <v>-12331.74</v>
      </c>
      <c r="F285" s="513" t="s">
        <v>8</v>
      </c>
      <c r="G285" s="616" t="s">
        <v>59</v>
      </c>
    </row>
    <row r="286" spans="1:7" s="514" customFormat="1" ht="13.2" hidden="1" customHeight="1" x14ac:dyDescent="0.3">
      <c r="A286" s="515">
        <v>45869</v>
      </c>
      <c r="B286" s="511" t="s">
        <v>211</v>
      </c>
      <c r="C286" s="599" t="s">
        <v>6</v>
      </c>
      <c r="D286" s="599" t="s">
        <v>147</v>
      </c>
      <c r="E286" s="636">
        <v>-32356.7</v>
      </c>
      <c r="F286" s="513" t="s">
        <v>8</v>
      </c>
      <c r="G286" s="621" t="s">
        <v>127</v>
      </c>
    </row>
    <row r="287" spans="1:7" s="514" customFormat="1" hidden="1" x14ac:dyDescent="0.3">
      <c r="A287" s="515">
        <v>45869</v>
      </c>
      <c r="B287" s="511" t="s">
        <v>211</v>
      </c>
      <c r="C287" s="599" t="s">
        <v>6</v>
      </c>
      <c r="D287" s="599" t="s">
        <v>1023</v>
      </c>
      <c r="E287" s="512">
        <v>-6924.55</v>
      </c>
      <c r="F287" s="513" t="s">
        <v>8</v>
      </c>
      <c r="G287" s="607" t="s">
        <v>99</v>
      </c>
    </row>
    <row r="288" spans="1:7" s="514" customFormat="1" hidden="1" x14ac:dyDescent="0.3">
      <c r="A288" s="515">
        <v>45868</v>
      </c>
      <c r="B288" s="511" t="s">
        <v>211</v>
      </c>
      <c r="C288" s="599" t="s">
        <v>17</v>
      </c>
      <c r="D288" s="592" t="s">
        <v>149</v>
      </c>
      <c r="E288" s="601">
        <v>-1500</v>
      </c>
      <c r="F288" s="513" t="s">
        <v>8</v>
      </c>
      <c r="G288" s="607" t="s">
        <v>150</v>
      </c>
    </row>
    <row r="289" spans="1:8" s="291" customFormat="1" hidden="1" x14ac:dyDescent="0.3">
      <c r="A289" s="205">
        <v>45870</v>
      </c>
      <c r="B289" s="10" t="s">
        <v>212</v>
      </c>
      <c r="C289" s="24" t="s">
        <v>17</v>
      </c>
      <c r="D289" s="18" t="s">
        <v>1079</v>
      </c>
      <c r="E289" s="308">
        <v>-100</v>
      </c>
      <c r="F289" s="25" t="s">
        <v>8</v>
      </c>
      <c r="G289" s="216" t="s">
        <v>1078</v>
      </c>
    </row>
    <row r="290" spans="1:8" s="514" customFormat="1" hidden="1" x14ac:dyDescent="0.3">
      <c r="A290" s="515">
        <v>45868</v>
      </c>
      <c r="B290" s="511" t="s">
        <v>211</v>
      </c>
      <c r="C290" s="592" t="s">
        <v>72</v>
      </c>
      <c r="D290" s="592" t="s">
        <v>1042</v>
      </c>
      <c r="E290" s="597">
        <v>-387.74</v>
      </c>
      <c r="F290" s="513" t="s">
        <v>8</v>
      </c>
      <c r="G290" s="603" t="s">
        <v>207</v>
      </c>
    </row>
    <row r="291" spans="1:8" s="605" customFormat="1" ht="13.8" hidden="1" customHeight="1" x14ac:dyDescent="0.3">
      <c r="A291" s="832">
        <v>45868</v>
      </c>
      <c r="B291" s="833" t="s">
        <v>211</v>
      </c>
      <c r="C291" s="834" t="s">
        <v>72</v>
      </c>
      <c r="D291" s="834" t="s">
        <v>1040</v>
      </c>
      <c r="E291" s="835">
        <v>-1330</v>
      </c>
      <c r="F291" s="836" t="s">
        <v>8</v>
      </c>
      <c r="G291" s="835" t="s">
        <v>207</v>
      </c>
      <c r="H291" s="514"/>
    </row>
    <row r="292" spans="1:8" s="291" customFormat="1" hidden="1" x14ac:dyDescent="0.3">
      <c r="A292" s="205">
        <v>45923</v>
      </c>
      <c r="B292" s="252" t="s">
        <v>213</v>
      </c>
      <c r="C292" s="24" t="s">
        <v>17</v>
      </c>
      <c r="D292" s="26" t="s">
        <v>890</v>
      </c>
      <c r="E292" s="308">
        <v>-56900</v>
      </c>
      <c r="F292" s="25" t="s">
        <v>8</v>
      </c>
      <c r="G292" s="216" t="s">
        <v>156</v>
      </c>
    </row>
    <row r="293" spans="1:8" s="514" customFormat="1" ht="13.2" hidden="1" customHeight="1" x14ac:dyDescent="0.3">
      <c r="A293" s="768">
        <v>45869</v>
      </c>
      <c r="B293" s="859" t="s">
        <v>211</v>
      </c>
      <c r="C293" s="747" t="s">
        <v>17</v>
      </c>
      <c r="D293" s="860" t="s">
        <v>1057</v>
      </c>
      <c r="E293" s="861">
        <v>-6479.07</v>
      </c>
      <c r="F293" s="766" t="s">
        <v>8</v>
      </c>
      <c r="G293" s="862" t="s">
        <v>127</v>
      </c>
    </row>
    <row r="294" spans="1:8" s="514" customFormat="1" ht="12.6" hidden="1" customHeight="1" x14ac:dyDescent="0.3">
      <c r="A294" s="515">
        <v>45869</v>
      </c>
      <c r="B294" s="511" t="s">
        <v>211</v>
      </c>
      <c r="C294" s="599" t="s">
        <v>44</v>
      </c>
      <c r="D294" s="592" t="s">
        <v>883</v>
      </c>
      <c r="E294" s="601">
        <v>-547.91999999999996</v>
      </c>
      <c r="F294" s="513" t="s">
        <v>8</v>
      </c>
      <c r="G294" s="621" t="s">
        <v>127</v>
      </c>
    </row>
    <row r="295" spans="1:8" s="291" customFormat="1" ht="12.6" hidden="1" customHeight="1" x14ac:dyDescent="0.3">
      <c r="A295" s="205">
        <v>45862</v>
      </c>
      <c r="B295" s="10" t="s">
        <v>211</v>
      </c>
      <c r="C295" s="26" t="s">
        <v>6</v>
      </c>
      <c r="D295" s="26" t="s">
        <v>974</v>
      </c>
      <c r="E295" s="499">
        <v>-49.2</v>
      </c>
      <c r="F295" s="20" t="s">
        <v>8</v>
      </c>
      <c r="G295" s="20" t="s">
        <v>83</v>
      </c>
    </row>
    <row r="296" spans="1:8" s="291" customFormat="1" ht="12" hidden="1" customHeight="1" x14ac:dyDescent="0.3">
      <c r="A296" s="205">
        <v>45862</v>
      </c>
      <c r="B296" s="10" t="s">
        <v>211</v>
      </c>
      <c r="C296" s="26" t="s">
        <v>25</v>
      </c>
      <c r="D296" s="26" t="s">
        <v>932</v>
      </c>
      <c r="E296" s="497">
        <v>-118</v>
      </c>
      <c r="F296" s="20" t="s">
        <v>8</v>
      </c>
      <c r="G296" s="20" t="s">
        <v>83</v>
      </c>
    </row>
    <row r="297" spans="1:8" s="291" customFormat="1" ht="12.6" hidden="1" customHeight="1" x14ac:dyDescent="0.3">
      <c r="A297" s="205">
        <v>45862</v>
      </c>
      <c r="B297" s="10" t="s">
        <v>211</v>
      </c>
      <c r="C297" s="26" t="s">
        <v>17</v>
      </c>
      <c r="D297" s="26" t="s">
        <v>933</v>
      </c>
      <c r="E297" s="19">
        <v>-86.1</v>
      </c>
      <c r="F297" s="20" t="s">
        <v>8</v>
      </c>
      <c r="G297" s="20" t="s">
        <v>83</v>
      </c>
    </row>
    <row r="298" spans="1:8" s="514" customFormat="1" hidden="1" x14ac:dyDescent="0.3">
      <c r="A298" s="515">
        <v>45869</v>
      </c>
      <c r="B298" s="511" t="s">
        <v>211</v>
      </c>
      <c r="C298" s="599" t="s">
        <v>44</v>
      </c>
      <c r="D298" s="592" t="s">
        <v>1053</v>
      </c>
      <c r="E298" s="636">
        <v>-896.2</v>
      </c>
      <c r="F298" s="513" t="s">
        <v>8</v>
      </c>
      <c r="G298" s="621" t="s">
        <v>127</v>
      </c>
    </row>
    <row r="299" spans="1:8" s="514" customFormat="1" hidden="1" x14ac:dyDescent="0.3">
      <c r="A299" s="515">
        <v>45869</v>
      </c>
      <c r="B299" s="511" t="s">
        <v>211</v>
      </c>
      <c r="C299" s="599" t="s">
        <v>44</v>
      </c>
      <c r="D299" s="592" t="s">
        <v>1054</v>
      </c>
      <c r="E299" s="636">
        <v>-4167.3599999999997</v>
      </c>
      <c r="F299" s="513" t="s">
        <v>8</v>
      </c>
      <c r="G299" s="621" t="s">
        <v>127</v>
      </c>
    </row>
    <row r="300" spans="1:8" s="514" customFormat="1" hidden="1" x14ac:dyDescent="0.3">
      <c r="A300" s="515">
        <v>45869</v>
      </c>
      <c r="B300" s="511" t="s">
        <v>211</v>
      </c>
      <c r="C300" s="592" t="s">
        <v>6</v>
      </c>
      <c r="D300" s="592" t="s">
        <v>1055</v>
      </c>
      <c r="E300" s="636">
        <v>-1584.61</v>
      </c>
      <c r="F300" s="513" t="s">
        <v>8</v>
      </c>
      <c r="G300" s="621" t="s">
        <v>127</v>
      </c>
    </row>
    <row r="301" spans="1:8" s="514" customFormat="1" hidden="1" x14ac:dyDescent="0.3">
      <c r="A301" s="515">
        <v>45869</v>
      </c>
      <c r="B301" s="511" t="s">
        <v>211</v>
      </c>
      <c r="C301" s="600" t="s">
        <v>13</v>
      </c>
      <c r="D301" s="592" t="s">
        <v>1056</v>
      </c>
      <c r="E301" s="636">
        <v>-744.15</v>
      </c>
      <c r="F301" s="513" t="s">
        <v>8</v>
      </c>
      <c r="G301" s="621" t="s">
        <v>127</v>
      </c>
    </row>
    <row r="302" spans="1:8" s="514" customFormat="1" hidden="1" x14ac:dyDescent="0.3">
      <c r="A302" s="515">
        <v>45869</v>
      </c>
      <c r="B302" s="511" t="s">
        <v>211</v>
      </c>
      <c r="C302" s="592" t="s">
        <v>31</v>
      </c>
      <c r="D302" s="604" t="s">
        <v>1052</v>
      </c>
      <c r="E302" s="603">
        <v>-527.71</v>
      </c>
      <c r="F302" s="619" t="s">
        <v>8</v>
      </c>
      <c r="G302" s="620" t="s">
        <v>127</v>
      </c>
    </row>
    <row r="303" spans="1:8" s="514" customFormat="1" hidden="1" x14ac:dyDescent="0.3">
      <c r="A303" s="515">
        <v>45869</v>
      </c>
      <c r="B303" s="511" t="s">
        <v>211</v>
      </c>
      <c r="C303" s="527" t="s">
        <v>25</v>
      </c>
      <c r="D303" s="527" t="s">
        <v>896</v>
      </c>
      <c r="E303" s="618">
        <v>-511.22</v>
      </c>
      <c r="F303" s="619" t="s">
        <v>8</v>
      </c>
      <c r="G303" s="620" t="s">
        <v>127</v>
      </c>
    </row>
    <row r="304" spans="1:8" s="514" customFormat="1" hidden="1" x14ac:dyDescent="0.3">
      <c r="A304" s="515">
        <v>45869</v>
      </c>
      <c r="B304" s="511" t="s">
        <v>211</v>
      </c>
      <c r="C304" s="617" t="s">
        <v>17</v>
      </c>
      <c r="D304" s="527" t="s">
        <v>1058</v>
      </c>
      <c r="E304" s="618">
        <v>-4331.1099999999997</v>
      </c>
      <c r="F304" s="619" t="s">
        <v>8</v>
      </c>
      <c r="G304" s="620" t="s">
        <v>127</v>
      </c>
    </row>
    <row r="305" spans="1:8" s="514" customFormat="1" hidden="1" x14ac:dyDescent="0.3">
      <c r="A305" s="515">
        <v>45869</v>
      </c>
      <c r="B305" s="511" t="s">
        <v>211</v>
      </c>
      <c r="C305" s="617" t="s">
        <v>401</v>
      </c>
      <c r="D305" s="527" t="s">
        <v>897</v>
      </c>
      <c r="E305" s="618">
        <v>-521.20000000000005</v>
      </c>
      <c r="F305" s="619" t="s">
        <v>8</v>
      </c>
      <c r="G305" s="620" t="s">
        <v>127</v>
      </c>
    </row>
    <row r="306" spans="1:8" s="514" customFormat="1" hidden="1" x14ac:dyDescent="0.3">
      <c r="A306" s="515">
        <v>45869</v>
      </c>
      <c r="B306" s="511" t="s">
        <v>211</v>
      </c>
      <c r="C306" s="617" t="s">
        <v>33</v>
      </c>
      <c r="D306" s="527" t="s">
        <v>898</v>
      </c>
      <c r="E306" s="618">
        <v>-525.48</v>
      </c>
      <c r="F306" s="619" t="s">
        <v>8</v>
      </c>
      <c r="G306" s="620" t="s">
        <v>127</v>
      </c>
    </row>
    <row r="307" spans="1:8" s="514" customFormat="1" hidden="1" x14ac:dyDescent="0.3">
      <c r="A307" s="515">
        <v>45868</v>
      </c>
      <c r="B307" s="511" t="s">
        <v>211</v>
      </c>
      <c r="C307" s="600" t="s">
        <v>44</v>
      </c>
      <c r="D307" s="599" t="s">
        <v>161</v>
      </c>
      <c r="E307" s="601">
        <v>-1719.53</v>
      </c>
      <c r="F307" s="513" t="s">
        <v>8</v>
      </c>
      <c r="G307" s="607" t="s">
        <v>93</v>
      </c>
    </row>
    <row r="308" spans="1:8" s="514" customFormat="1" hidden="1" x14ac:dyDescent="0.3">
      <c r="A308" s="608">
        <v>45868</v>
      </c>
      <c r="B308" s="522" t="s">
        <v>211</v>
      </c>
      <c r="C308" s="600" t="s">
        <v>6</v>
      </c>
      <c r="D308" s="599" t="s">
        <v>161</v>
      </c>
      <c r="E308" s="601">
        <v>-1392.65</v>
      </c>
      <c r="F308" s="513" t="s">
        <v>8</v>
      </c>
      <c r="G308" s="607" t="s">
        <v>93</v>
      </c>
    </row>
    <row r="309" spans="1:8" hidden="1" x14ac:dyDescent="0.3">
      <c r="A309" s="135">
        <v>45839</v>
      </c>
      <c r="B309" s="97" t="s">
        <v>211</v>
      </c>
      <c r="C309" s="272" t="s">
        <v>162</v>
      </c>
      <c r="D309" s="53" t="s">
        <v>163</v>
      </c>
      <c r="E309" s="54">
        <v>900</v>
      </c>
      <c r="F309" s="322" t="s">
        <v>164</v>
      </c>
      <c r="G309" s="137" t="s">
        <v>165</v>
      </c>
      <c r="H309" s="282"/>
    </row>
    <row r="310" spans="1:8" hidden="1" x14ac:dyDescent="0.3">
      <c r="A310" s="135">
        <v>45839</v>
      </c>
      <c r="B310" s="97" t="s">
        <v>211</v>
      </c>
      <c r="C310" s="272" t="s">
        <v>162</v>
      </c>
      <c r="D310" s="53" t="s">
        <v>163</v>
      </c>
      <c r="E310" s="54">
        <v>23638.67</v>
      </c>
      <c r="F310" s="322" t="s">
        <v>164</v>
      </c>
      <c r="G310" s="137" t="s">
        <v>165</v>
      </c>
      <c r="H310" s="282"/>
    </row>
    <row r="311" spans="1:8" hidden="1" x14ac:dyDescent="0.3">
      <c r="A311" s="135">
        <v>45839</v>
      </c>
      <c r="B311" s="97" t="s">
        <v>211</v>
      </c>
      <c r="C311" s="272" t="s">
        <v>162</v>
      </c>
      <c r="D311" s="53" t="s">
        <v>163</v>
      </c>
      <c r="E311" s="54">
        <v>2700</v>
      </c>
      <c r="F311" s="322" t="s">
        <v>164</v>
      </c>
      <c r="G311" s="137" t="s">
        <v>165</v>
      </c>
      <c r="H311" s="282"/>
    </row>
    <row r="312" spans="1:8" hidden="1" x14ac:dyDescent="0.3">
      <c r="A312" s="135">
        <v>45839</v>
      </c>
      <c r="B312" s="97" t="s">
        <v>211</v>
      </c>
      <c r="C312" s="272" t="s">
        <v>166</v>
      </c>
      <c r="D312" s="53" t="s">
        <v>167</v>
      </c>
      <c r="E312" s="54">
        <v>18532.8</v>
      </c>
      <c r="F312" s="322" t="s">
        <v>164</v>
      </c>
      <c r="G312" s="137" t="s">
        <v>165</v>
      </c>
      <c r="H312" s="282"/>
    </row>
    <row r="313" spans="1:8" hidden="1" x14ac:dyDescent="0.3">
      <c r="A313" s="135">
        <v>45839</v>
      </c>
      <c r="B313" s="97" t="s">
        <v>211</v>
      </c>
      <c r="C313" s="272" t="s">
        <v>166</v>
      </c>
      <c r="D313" s="53" t="s">
        <v>167</v>
      </c>
      <c r="E313" s="54">
        <v>799.2</v>
      </c>
      <c r="F313" s="322" t="s">
        <v>164</v>
      </c>
      <c r="G313" s="137" t="s">
        <v>165</v>
      </c>
      <c r="H313" s="282"/>
    </row>
    <row r="314" spans="1:8" hidden="1" x14ac:dyDescent="0.3">
      <c r="A314" s="135">
        <v>45839</v>
      </c>
      <c r="B314" s="97" t="s">
        <v>211</v>
      </c>
      <c r="C314" s="272" t="s">
        <v>166</v>
      </c>
      <c r="D314" s="53" t="s">
        <v>167</v>
      </c>
      <c r="E314" s="54">
        <v>1200</v>
      </c>
      <c r="F314" s="322" t="s">
        <v>164</v>
      </c>
      <c r="G314" s="137" t="s">
        <v>165</v>
      </c>
      <c r="H314" s="282"/>
    </row>
    <row r="315" spans="1:8" hidden="1" x14ac:dyDescent="0.3">
      <c r="A315" s="135">
        <v>45839</v>
      </c>
      <c r="B315" s="97" t="s">
        <v>211</v>
      </c>
      <c r="C315" s="272" t="s">
        <v>168</v>
      </c>
      <c r="D315" s="53" t="s">
        <v>169</v>
      </c>
      <c r="E315" s="54">
        <v>22451.91</v>
      </c>
      <c r="F315" s="322" t="s">
        <v>164</v>
      </c>
      <c r="G315" s="137" t="s">
        <v>165</v>
      </c>
      <c r="H315" s="282"/>
    </row>
    <row r="316" spans="1:8" hidden="1" x14ac:dyDescent="0.3">
      <c r="A316" s="135">
        <v>45839</v>
      </c>
      <c r="B316" s="97" t="s">
        <v>211</v>
      </c>
      <c r="C316" s="272" t="s">
        <v>170</v>
      </c>
      <c r="D316" s="55" t="s">
        <v>171</v>
      </c>
      <c r="E316" s="54">
        <v>196</v>
      </c>
      <c r="F316" s="322" t="s">
        <v>164</v>
      </c>
      <c r="G316" s="137" t="s">
        <v>165</v>
      </c>
      <c r="H316" s="282"/>
    </row>
    <row r="317" spans="1:8" hidden="1" x14ac:dyDescent="0.3">
      <c r="A317" s="135">
        <v>45839</v>
      </c>
      <c r="B317" s="97" t="s">
        <v>211</v>
      </c>
      <c r="C317" s="272" t="s">
        <v>170</v>
      </c>
      <c r="D317" s="55" t="s">
        <v>171</v>
      </c>
      <c r="E317" s="54">
        <v>1500</v>
      </c>
      <c r="F317" s="322" t="s">
        <v>164</v>
      </c>
      <c r="G317" s="137" t="s">
        <v>165</v>
      </c>
      <c r="H317" s="282"/>
    </row>
    <row r="318" spans="1:8" hidden="1" x14ac:dyDescent="0.3">
      <c r="A318" s="135">
        <v>45839</v>
      </c>
      <c r="B318" s="97" t="s">
        <v>211</v>
      </c>
      <c r="C318" s="272" t="s">
        <v>170</v>
      </c>
      <c r="D318" s="55" t="s">
        <v>375</v>
      </c>
      <c r="E318" s="54">
        <v>1200</v>
      </c>
      <c r="F318" s="322" t="s">
        <v>164</v>
      </c>
      <c r="G318" s="137" t="s">
        <v>165</v>
      </c>
      <c r="H318" s="282"/>
    </row>
    <row r="319" spans="1:8" hidden="1" x14ac:dyDescent="0.3">
      <c r="A319" s="135">
        <v>45839</v>
      </c>
      <c r="B319" s="97" t="s">
        <v>211</v>
      </c>
      <c r="C319" s="272" t="s">
        <v>170</v>
      </c>
      <c r="D319" s="55" t="s">
        <v>375</v>
      </c>
      <c r="E319" s="54">
        <v>21852.37</v>
      </c>
      <c r="F319" s="322" t="s">
        <v>164</v>
      </c>
      <c r="G319" s="137" t="s">
        <v>165</v>
      </c>
      <c r="H319" s="282"/>
    </row>
    <row r="320" spans="1:8" hidden="1" x14ac:dyDescent="0.3">
      <c r="A320" s="135">
        <v>45839</v>
      </c>
      <c r="B320" s="97" t="s">
        <v>211</v>
      </c>
      <c r="C320" s="272" t="s">
        <v>170</v>
      </c>
      <c r="D320" s="56" t="s">
        <v>375</v>
      </c>
      <c r="E320" s="54">
        <v>4683.53</v>
      </c>
      <c r="F320" s="322" t="s">
        <v>164</v>
      </c>
      <c r="G320" s="137" t="s">
        <v>165</v>
      </c>
      <c r="H320" s="282"/>
    </row>
    <row r="321" spans="1:8" hidden="1" x14ac:dyDescent="0.3">
      <c r="A321" s="135">
        <v>45839</v>
      </c>
      <c r="B321" s="97" t="s">
        <v>211</v>
      </c>
      <c r="C321" s="272" t="s">
        <v>170</v>
      </c>
      <c r="D321" s="55" t="s">
        <v>171</v>
      </c>
      <c r="E321" s="54">
        <v>23943.3</v>
      </c>
      <c r="F321" s="322" t="s">
        <v>164</v>
      </c>
      <c r="G321" s="137" t="s">
        <v>165</v>
      </c>
      <c r="H321" s="282"/>
    </row>
    <row r="322" spans="1:8" hidden="1" x14ac:dyDescent="0.3">
      <c r="A322" s="135">
        <v>45839</v>
      </c>
      <c r="B322" s="97" t="s">
        <v>211</v>
      </c>
      <c r="C322" s="272" t="s">
        <v>170</v>
      </c>
      <c r="D322" s="55" t="s">
        <v>171</v>
      </c>
      <c r="E322" s="54">
        <v>14482.07</v>
      </c>
      <c r="F322" s="322" t="s">
        <v>164</v>
      </c>
      <c r="G322" s="137" t="s">
        <v>165</v>
      </c>
      <c r="H322" s="282"/>
    </row>
    <row r="323" spans="1:8" s="291" customFormat="1" hidden="1" x14ac:dyDescent="0.3">
      <c r="A323" s="337">
        <v>45848</v>
      </c>
      <c r="B323" s="46" t="s">
        <v>211</v>
      </c>
      <c r="C323" s="260" t="s">
        <v>13</v>
      </c>
      <c r="D323" s="228" t="s">
        <v>172</v>
      </c>
      <c r="E323" s="229">
        <v>-25275.45</v>
      </c>
      <c r="F323" s="262" t="s">
        <v>8</v>
      </c>
      <c r="G323" s="168" t="s">
        <v>27</v>
      </c>
      <c r="H323" s="295"/>
    </row>
    <row r="324" spans="1:8" s="284" customFormat="1" hidden="1" x14ac:dyDescent="0.3">
      <c r="A324" s="325">
        <v>45848</v>
      </c>
      <c r="B324" s="326" t="s">
        <v>211</v>
      </c>
      <c r="C324" s="327" t="s">
        <v>72</v>
      </c>
      <c r="D324" s="327" t="s">
        <v>235</v>
      </c>
      <c r="E324" s="328">
        <v>-968.52</v>
      </c>
      <c r="F324" s="51" t="s">
        <v>8</v>
      </c>
      <c r="G324" s="329" t="s">
        <v>233</v>
      </c>
      <c r="H324" s="295"/>
    </row>
    <row r="325" spans="1:8" hidden="1" x14ac:dyDescent="0.3">
      <c r="A325" s="135">
        <v>45848</v>
      </c>
      <c r="B325" s="97" t="s">
        <v>211</v>
      </c>
      <c r="C325" s="272" t="s">
        <v>173</v>
      </c>
      <c r="D325" s="200" t="s">
        <v>174</v>
      </c>
      <c r="E325" s="54">
        <v>40231.050000000003</v>
      </c>
      <c r="F325" s="322" t="s">
        <v>164</v>
      </c>
      <c r="G325" s="137" t="s">
        <v>165</v>
      </c>
    </row>
    <row r="326" spans="1:8" hidden="1" x14ac:dyDescent="0.3">
      <c r="A326" s="135">
        <v>45867</v>
      </c>
      <c r="B326" s="97" t="s">
        <v>211</v>
      </c>
      <c r="C326" s="272" t="s">
        <v>173</v>
      </c>
      <c r="D326" s="53" t="s">
        <v>175</v>
      </c>
      <c r="E326" s="126">
        <v>4880.1400000000003</v>
      </c>
      <c r="F326" s="322" t="s">
        <v>164</v>
      </c>
      <c r="G326" s="137" t="s">
        <v>165</v>
      </c>
      <c r="H326" s="282"/>
    </row>
    <row r="327" spans="1:8" hidden="1" x14ac:dyDescent="0.3">
      <c r="A327" s="135">
        <v>45849</v>
      </c>
      <c r="B327" s="97" t="s">
        <v>211</v>
      </c>
      <c r="C327" s="272" t="s">
        <v>170</v>
      </c>
      <c r="D327" s="53" t="s">
        <v>176</v>
      </c>
      <c r="E327" s="126">
        <v>1106.1400000000001</v>
      </c>
      <c r="F327" s="322" t="s">
        <v>164</v>
      </c>
      <c r="G327" s="137" t="s">
        <v>165</v>
      </c>
      <c r="H327" s="282"/>
    </row>
    <row r="328" spans="1:8" hidden="1" x14ac:dyDescent="0.3">
      <c r="A328" s="135">
        <v>45849</v>
      </c>
      <c r="B328" s="97" t="s">
        <v>211</v>
      </c>
      <c r="C328" s="272" t="s">
        <v>170</v>
      </c>
      <c r="D328" s="53" t="s">
        <v>176</v>
      </c>
      <c r="E328" s="126">
        <v>603.26</v>
      </c>
      <c r="F328" s="322" t="s">
        <v>164</v>
      </c>
      <c r="G328" s="137" t="s">
        <v>165</v>
      </c>
      <c r="H328" s="282"/>
    </row>
    <row r="329" spans="1:8" hidden="1" x14ac:dyDescent="0.3">
      <c r="A329" s="135">
        <v>45849</v>
      </c>
      <c r="B329" s="97" t="s">
        <v>211</v>
      </c>
      <c r="C329" s="272" t="s">
        <v>170</v>
      </c>
      <c r="D329" s="53" t="s">
        <v>176</v>
      </c>
      <c r="E329" s="126">
        <v>9631</v>
      </c>
      <c r="F329" s="322" t="s">
        <v>164</v>
      </c>
      <c r="G329" s="137" t="s">
        <v>165</v>
      </c>
      <c r="H329" s="320"/>
    </row>
    <row r="330" spans="1:8" hidden="1" x14ac:dyDescent="0.3">
      <c r="A330" s="135">
        <v>45849</v>
      </c>
      <c r="B330" s="97" t="s">
        <v>211</v>
      </c>
      <c r="C330" s="272" t="s">
        <v>177</v>
      </c>
      <c r="D330" s="53" t="s">
        <v>178</v>
      </c>
      <c r="E330" s="126">
        <v>257.81</v>
      </c>
      <c r="F330" s="322" t="s">
        <v>164</v>
      </c>
      <c r="G330" s="137" t="s">
        <v>165</v>
      </c>
      <c r="H330" s="320"/>
    </row>
    <row r="331" spans="1:8" hidden="1" x14ac:dyDescent="0.3">
      <c r="A331" s="135">
        <v>45849</v>
      </c>
      <c r="B331" s="97" t="s">
        <v>211</v>
      </c>
      <c r="C331" s="272" t="s">
        <v>177</v>
      </c>
      <c r="D331" s="53" t="s">
        <v>179</v>
      </c>
      <c r="E331" s="126">
        <v>680.03</v>
      </c>
      <c r="F331" s="322" t="s">
        <v>164</v>
      </c>
      <c r="G331" s="137" t="s">
        <v>165</v>
      </c>
      <c r="H331" s="320"/>
    </row>
    <row r="332" spans="1:8" hidden="1" x14ac:dyDescent="0.3">
      <c r="A332" s="135">
        <v>45849</v>
      </c>
      <c r="B332" s="97" t="s">
        <v>211</v>
      </c>
      <c r="C332" s="272" t="s">
        <v>31</v>
      </c>
      <c r="D332" s="53" t="s">
        <v>515</v>
      </c>
      <c r="E332" s="682">
        <v>2800.33</v>
      </c>
      <c r="F332" s="322" t="s">
        <v>164</v>
      </c>
      <c r="G332" s="137" t="s">
        <v>165</v>
      </c>
      <c r="H332" s="320"/>
    </row>
    <row r="333" spans="1:8" hidden="1" x14ac:dyDescent="0.3">
      <c r="A333" s="135">
        <v>45849</v>
      </c>
      <c r="B333" s="97" t="s">
        <v>211</v>
      </c>
      <c r="C333" s="272" t="s">
        <v>31</v>
      </c>
      <c r="D333" s="53" t="s">
        <v>515</v>
      </c>
      <c r="E333" s="54">
        <v>22930</v>
      </c>
      <c r="F333" s="322" t="s">
        <v>164</v>
      </c>
      <c r="G333" s="137" t="s">
        <v>165</v>
      </c>
      <c r="H333" s="320"/>
    </row>
    <row r="334" spans="1:8" hidden="1" x14ac:dyDescent="0.3">
      <c r="A334" s="135">
        <v>45849</v>
      </c>
      <c r="B334" s="97" t="s">
        <v>211</v>
      </c>
      <c r="C334" s="272" t="s">
        <v>180</v>
      </c>
      <c r="D334" s="53" t="s">
        <v>182</v>
      </c>
      <c r="E334" s="54">
        <v>496.96</v>
      </c>
      <c r="F334" s="322" t="s">
        <v>164</v>
      </c>
      <c r="G334" s="137" t="s">
        <v>516</v>
      </c>
      <c r="H334" s="320"/>
    </row>
    <row r="335" spans="1:8" hidden="1" x14ac:dyDescent="0.3">
      <c r="A335" s="135">
        <v>45849</v>
      </c>
      <c r="B335" s="97" t="s">
        <v>211</v>
      </c>
      <c r="C335" s="272" t="s">
        <v>25</v>
      </c>
      <c r="D335" s="53" t="s">
        <v>182</v>
      </c>
      <c r="E335" s="54">
        <v>7850</v>
      </c>
      <c r="F335" s="322" t="s">
        <v>164</v>
      </c>
      <c r="G335" s="137" t="s">
        <v>165</v>
      </c>
      <c r="H335" s="320"/>
    </row>
    <row r="336" spans="1:8" hidden="1" x14ac:dyDescent="0.3">
      <c r="A336" s="135">
        <v>45849</v>
      </c>
      <c r="B336" s="97" t="s">
        <v>211</v>
      </c>
      <c r="C336" s="272" t="s">
        <v>33</v>
      </c>
      <c r="D336" s="274" t="s">
        <v>804</v>
      </c>
      <c r="E336" s="54">
        <v>42961.04</v>
      </c>
      <c r="F336" s="322" t="s">
        <v>164</v>
      </c>
      <c r="G336" s="137" t="s">
        <v>516</v>
      </c>
      <c r="H336" s="320"/>
    </row>
    <row r="337" spans="1:8" hidden="1" x14ac:dyDescent="0.3">
      <c r="A337" s="135">
        <v>45849</v>
      </c>
      <c r="B337" s="97" t="s">
        <v>211</v>
      </c>
      <c r="C337" s="272" t="s">
        <v>180</v>
      </c>
      <c r="D337" s="274" t="s">
        <v>181</v>
      </c>
      <c r="E337" s="54">
        <v>24988.71</v>
      </c>
      <c r="F337" s="322" t="s">
        <v>164</v>
      </c>
      <c r="G337" s="137" t="s">
        <v>165</v>
      </c>
      <c r="H337" s="320"/>
    </row>
    <row r="338" spans="1:8" hidden="1" x14ac:dyDescent="0.3">
      <c r="A338" s="135">
        <v>45849</v>
      </c>
      <c r="B338" s="97" t="s">
        <v>211</v>
      </c>
      <c r="C338" s="272" t="s">
        <v>180</v>
      </c>
      <c r="D338" s="274" t="s">
        <v>181</v>
      </c>
      <c r="E338" s="54">
        <v>16834.330000000002</v>
      </c>
      <c r="F338" s="322" t="s">
        <v>164</v>
      </c>
      <c r="G338" s="137" t="s">
        <v>165</v>
      </c>
      <c r="H338" s="282"/>
    </row>
    <row r="339" spans="1:8" hidden="1" x14ac:dyDescent="0.3">
      <c r="A339" s="135">
        <v>45849</v>
      </c>
      <c r="B339" s="97" t="s">
        <v>211</v>
      </c>
      <c r="C339" s="272" t="s">
        <v>180</v>
      </c>
      <c r="D339" s="274" t="s">
        <v>181</v>
      </c>
      <c r="E339" s="54">
        <v>12459.61</v>
      </c>
      <c r="F339" s="322" t="s">
        <v>164</v>
      </c>
      <c r="G339" s="137" t="s">
        <v>165</v>
      </c>
      <c r="H339" s="320"/>
    </row>
    <row r="340" spans="1:8" hidden="1" x14ac:dyDescent="0.3">
      <c r="A340" s="135">
        <v>45841</v>
      </c>
      <c r="B340" s="97" t="s">
        <v>211</v>
      </c>
      <c r="C340" s="272" t="s">
        <v>180</v>
      </c>
      <c r="D340" s="274" t="s">
        <v>181</v>
      </c>
      <c r="E340" s="54">
        <v>2284.4499999999998</v>
      </c>
      <c r="F340" s="322" t="s">
        <v>164</v>
      </c>
      <c r="G340" s="137" t="s">
        <v>165</v>
      </c>
      <c r="H340" s="320"/>
    </row>
    <row r="341" spans="1:8" hidden="1" x14ac:dyDescent="0.3">
      <c r="A341" s="135">
        <v>45853</v>
      </c>
      <c r="B341" s="97" t="s">
        <v>211</v>
      </c>
      <c r="C341" s="272" t="s">
        <v>180</v>
      </c>
      <c r="D341" s="274" t="s">
        <v>181</v>
      </c>
      <c r="E341" s="54">
        <v>268.13</v>
      </c>
      <c r="F341" s="322" t="s">
        <v>164</v>
      </c>
      <c r="G341" s="137" t="s">
        <v>165</v>
      </c>
      <c r="H341" s="320"/>
    </row>
    <row r="342" spans="1:8" hidden="1" x14ac:dyDescent="0.3">
      <c r="A342" s="135">
        <v>45853</v>
      </c>
      <c r="B342" s="97" t="s">
        <v>211</v>
      </c>
      <c r="C342" s="272" t="s">
        <v>180</v>
      </c>
      <c r="D342" s="274" t="s">
        <v>181</v>
      </c>
      <c r="E342" s="54">
        <v>386</v>
      </c>
      <c r="F342" s="322" t="s">
        <v>164</v>
      </c>
      <c r="G342" s="137" t="s">
        <v>165</v>
      </c>
      <c r="H342" s="320"/>
    </row>
    <row r="343" spans="1:8" hidden="1" x14ac:dyDescent="0.3">
      <c r="A343" s="135">
        <v>45853</v>
      </c>
      <c r="B343" s="97" t="s">
        <v>211</v>
      </c>
      <c r="C343" s="272" t="s">
        <v>180</v>
      </c>
      <c r="D343" s="274" t="s">
        <v>181</v>
      </c>
      <c r="E343" s="54">
        <v>386</v>
      </c>
      <c r="F343" s="322" t="s">
        <v>164</v>
      </c>
      <c r="G343" s="137" t="s">
        <v>165</v>
      </c>
      <c r="H343" s="320"/>
    </row>
    <row r="344" spans="1:8" hidden="1" x14ac:dyDescent="0.3">
      <c r="A344" s="135">
        <v>45849</v>
      </c>
      <c r="B344" s="97" t="s">
        <v>211</v>
      </c>
      <c r="C344" s="272" t="s">
        <v>180</v>
      </c>
      <c r="D344" s="274" t="s">
        <v>181</v>
      </c>
      <c r="E344" s="54">
        <v>2284.4499999999998</v>
      </c>
      <c r="F344" s="322" t="s">
        <v>164</v>
      </c>
      <c r="G344" s="137" t="s">
        <v>165</v>
      </c>
      <c r="H344" s="320"/>
    </row>
    <row r="345" spans="1:8" hidden="1" x14ac:dyDescent="0.3">
      <c r="A345" s="135">
        <v>45840</v>
      </c>
      <c r="B345" s="97" t="s">
        <v>211</v>
      </c>
      <c r="C345" s="272" t="s">
        <v>17</v>
      </c>
      <c r="D345" s="53" t="s">
        <v>422</v>
      </c>
      <c r="E345" s="54">
        <v>352449.65</v>
      </c>
      <c r="F345" s="322" t="s">
        <v>164</v>
      </c>
      <c r="G345" s="137" t="s">
        <v>165</v>
      </c>
      <c r="H345" s="320"/>
    </row>
    <row r="346" spans="1:8" hidden="1" x14ac:dyDescent="0.3">
      <c r="A346" s="135">
        <v>45854</v>
      </c>
      <c r="B346" s="97" t="s">
        <v>211</v>
      </c>
      <c r="C346" s="272" t="s">
        <v>184</v>
      </c>
      <c r="D346" s="53" t="s">
        <v>185</v>
      </c>
      <c r="E346" s="54">
        <v>1200</v>
      </c>
      <c r="F346" s="322" t="s">
        <v>164</v>
      </c>
      <c r="G346" s="137" t="s">
        <v>165</v>
      </c>
      <c r="H346" s="320"/>
    </row>
    <row r="347" spans="1:8" s="319" customFormat="1" hidden="1" x14ac:dyDescent="0.3">
      <c r="A347" s="135">
        <v>45854</v>
      </c>
      <c r="B347" s="97" t="s">
        <v>211</v>
      </c>
      <c r="C347" s="272" t="s">
        <v>184</v>
      </c>
      <c r="D347" s="53" t="s">
        <v>864</v>
      </c>
      <c r="E347" s="577">
        <v>1200</v>
      </c>
      <c r="F347" s="322" t="s">
        <v>164</v>
      </c>
      <c r="G347" s="137" t="s">
        <v>165</v>
      </c>
      <c r="H347" s="320"/>
    </row>
    <row r="348" spans="1:8" hidden="1" x14ac:dyDescent="0.3">
      <c r="A348" s="135">
        <v>45854</v>
      </c>
      <c r="B348" s="97" t="s">
        <v>211</v>
      </c>
      <c r="C348" s="272" t="s">
        <v>184</v>
      </c>
      <c r="D348" s="53" t="s">
        <v>185</v>
      </c>
      <c r="E348" s="279">
        <v>17956.39</v>
      </c>
      <c r="F348" s="322" t="s">
        <v>164</v>
      </c>
      <c r="G348" s="137" t="s">
        <v>165</v>
      </c>
      <c r="H348" s="320"/>
    </row>
    <row r="349" spans="1:8" s="319" customFormat="1" hidden="1" x14ac:dyDescent="0.3">
      <c r="A349" s="135">
        <v>45876</v>
      </c>
      <c r="B349" s="97" t="s">
        <v>212</v>
      </c>
      <c r="C349" s="272" t="s">
        <v>166</v>
      </c>
      <c r="D349" s="53" t="s">
        <v>186</v>
      </c>
      <c r="E349" s="701">
        <v>36639.58</v>
      </c>
      <c r="F349" s="278" t="s">
        <v>164</v>
      </c>
      <c r="G349" s="137" t="s">
        <v>165</v>
      </c>
      <c r="H349" s="320"/>
    </row>
    <row r="350" spans="1:8" hidden="1" x14ac:dyDescent="0.3">
      <c r="A350" s="97">
        <v>45870</v>
      </c>
      <c r="B350" s="97" t="s">
        <v>212</v>
      </c>
      <c r="C350" s="272" t="s">
        <v>180</v>
      </c>
      <c r="D350" s="53" t="s">
        <v>187</v>
      </c>
      <c r="E350" s="126">
        <v>2373.8200000000002</v>
      </c>
      <c r="F350" s="322" t="s">
        <v>164</v>
      </c>
      <c r="G350" s="137" t="s">
        <v>165</v>
      </c>
      <c r="H350" s="282"/>
    </row>
    <row r="351" spans="1:8" hidden="1" x14ac:dyDescent="0.3">
      <c r="A351" s="97">
        <v>45870</v>
      </c>
      <c r="B351" s="97" t="s">
        <v>212</v>
      </c>
      <c r="C351" s="272" t="s">
        <v>180</v>
      </c>
      <c r="D351" s="53" t="s">
        <v>187</v>
      </c>
      <c r="E351" s="126">
        <v>5823.82</v>
      </c>
      <c r="F351" s="322" t="s">
        <v>164</v>
      </c>
      <c r="G351" s="137" t="s">
        <v>165</v>
      </c>
      <c r="H351" s="283"/>
    </row>
    <row r="352" spans="1:8" hidden="1" x14ac:dyDescent="0.3">
      <c r="A352" s="97">
        <v>45870</v>
      </c>
      <c r="B352" s="97" t="s">
        <v>212</v>
      </c>
      <c r="C352" s="272" t="s">
        <v>180</v>
      </c>
      <c r="D352" s="53" t="s">
        <v>187</v>
      </c>
      <c r="E352" s="126">
        <v>7526.95</v>
      </c>
      <c r="F352" s="322" t="s">
        <v>164</v>
      </c>
      <c r="G352" s="137" t="s">
        <v>165</v>
      </c>
      <c r="H352" s="282"/>
    </row>
    <row r="353" spans="1:8" hidden="1" x14ac:dyDescent="0.3">
      <c r="A353" s="97">
        <v>45870</v>
      </c>
      <c r="B353" s="97" t="s">
        <v>212</v>
      </c>
      <c r="C353" s="272" t="s">
        <v>180</v>
      </c>
      <c r="D353" s="53" t="s">
        <v>187</v>
      </c>
      <c r="E353" s="126">
        <v>25756.63</v>
      </c>
      <c r="F353" s="322" t="s">
        <v>164</v>
      </c>
      <c r="G353" s="137" t="s">
        <v>165</v>
      </c>
      <c r="H353" s="282"/>
    </row>
    <row r="354" spans="1:8" hidden="1" x14ac:dyDescent="0.3">
      <c r="A354" s="97">
        <v>45853</v>
      </c>
      <c r="B354" s="97" t="s">
        <v>211</v>
      </c>
      <c r="C354" s="272" t="s">
        <v>173</v>
      </c>
      <c r="D354" s="53" t="s">
        <v>683</v>
      </c>
      <c r="E354" s="280">
        <v>908006.92</v>
      </c>
      <c r="F354" s="322" t="s">
        <v>164</v>
      </c>
      <c r="G354" s="137" t="s">
        <v>165</v>
      </c>
      <c r="H354" s="282"/>
    </row>
    <row r="355" spans="1:8" s="291" customFormat="1" ht="12.6" hidden="1" customHeight="1" x14ac:dyDescent="0.3">
      <c r="A355" s="337">
        <v>45848</v>
      </c>
      <c r="B355" s="46" t="s">
        <v>211</v>
      </c>
      <c r="C355" s="238" t="s">
        <v>6</v>
      </c>
      <c r="D355" s="238" t="s">
        <v>48</v>
      </c>
      <c r="E355" s="229">
        <v>-232.71</v>
      </c>
      <c r="F355" s="262" t="s">
        <v>8</v>
      </c>
      <c r="G355" s="168" t="s">
        <v>49</v>
      </c>
      <c r="H355" s="295"/>
    </row>
    <row r="356" spans="1:8" s="291" customFormat="1" hidden="1" x14ac:dyDescent="0.3">
      <c r="A356" s="205">
        <v>45848</v>
      </c>
      <c r="B356" s="10" t="s">
        <v>211</v>
      </c>
      <c r="C356" s="17" t="s">
        <v>31</v>
      </c>
      <c r="D356" s="18" t="s">
        <v>514</v>
      </c>
      <c r="E356" s="19">
        <v>-2333</v>
      </c>
      <c r="F356" s="20" t="s">
        <v>8</v>
      </c>
      <c r="G356" s="20" t="s">
        <v>189</v>
      </c>
      <c r="H356" s="295"/>
    </row>
    <row r="357" spans="1:8" s="291" customFormat="1" hidden="1" x14ac:dyDescent="0.3">
      <c r="A357" s="205">
        <v>45848</v>
      </c>
      <c r="B357" s="10" t="s">
        <v>211</v>
      </c>
      <c r="C357" s="17" t="s">
        <v>31</v>
      </c>
      <c r="D357" s="18" t="s">
        <v>513</v>
      </c>
      <c r="E357" s="19">
        <v>-1000</v>
      </c>
      <c r="F357" s="20" t="s">
        <v>8</v>
      </c>
      <c r="G357" s="20" t="s">
        <v>189</v>
      </c>
      <c r="H357" s="295"/>
    </row>
    <row r="358" spans="1:8" s="291" customFormat="1" hidden="1" x14ac:dyDescent="0.3">
      <c r="A358" s="226">
        <v>45853</v>
      </c>
      <c r="B358" s="46" t="s">
        <v>211</v>
      </c>
      <c r="C358" s="237" t="s">
        <v>31</v>
      </c>
      <c r="D358" s="238" t="s">
        <v>541</v>
      </c>
      <c r="E358" s="229">
        <v>-1000</v>
      </c>
      <c r="F358" s="168" t="s">
        <v>8</v>
      </c>
      <c r="G358" s="168" t="s">
        <v>189</v>
      </c>
    </row>
    <row r="359" spans="1:8" s="526" customFormat="1" hidden="1" x14ac:dyDescent="0.3">
      <c r="A359" s="515">
        <v>45868</v>
      </c>
      <c r="B359" s="511" t="s">
        <v>211</v>
      </c>
      <c r="C359" s="592" t="s">
        <v>72</v>
      </c>
      <c r="D359" s="592" t="s">
        <v>1041</v>
      </c>
      <c r="E359" s="597">
        <v>-1800.31</v>
      </c>
      <c r="F359" s="513" t="s">
        <v>8</v>
      </c>
      <c r="G359" s="606" t="s">
        <v>233</v>
      </c>
      <c r="H359" s="514"/>
    </row>
    <row r="360" spans="1:8" s="526" customFormat="1" hidden="1" x14ac:dyDescent="0.3">
      <c r="A360" s="515">
        <v>45868</v>
      </c>
      <c r="B360" s="511" t="s">
        <v>211</v>
      </c>
      <c r="C360" s="592" t="s">
        <v>32</v>
      </c>
      <c r="D360" s="517" t="s">
        <v>1000</v>
      </c>
      <c r="E360" s="597">
        <v>-141</v>
      </c>
      <c r="F360" s="513" t="s">
        <v>8</v>
      </c>
      <c r="G360" s="518" t="s">
        <v>83</v>
      </c>
      <c r="H360" s="514"/>
    </row>
    <row r="361" spans="1:8" s="526" customFormat="1" hidden="1" x14ac:dyDescent="0.3">
      <c r="A361" s="515">
        <v>45869</v>
      </c>
      <c r="B361" s="511" t="s">
        <v>211</v>
      </c>
      <c r="C361" s="592" t="s">
        <v>17</v>
      </c>
      <c r="D361" s="517" t="s">
        <v>1001</v>
      </c>
      <c r="E361" s="597">
        <v>-260</v>
      </c>
      <c r="F361" s="513" t="s">
        <v>8</v>
      </c>
      <c r="G361" s="518" t="s">
        <v>83</v>
      </c>
      <c r="H361" s="514"/>
    </row>
    <row r="362" spans="1:8" s="526" customFormat="1" hidden="1" x14ac:dyDescent="0.3">
      <c r="A362" s="515">
        <v>45869</v>
      </c>
      <c r="B362" s="511" t="s">
        <v>211</v>
      </c>
      <c r="C362" s="592" t="s">
        <v>17</v>
      </c>
      <c r="D362" s="517" t="s">
        <v>1002</v>
      </c>
      <c r="E362" s="597">
        <v>-250</v>
      </c>
      <c r="F362" s="513" t="s">
        <v>8</v>
      </c>
      <c r="G362" s="518" t="s">
        <v>83</v>
      </c>
      <c r="H362" s="514"/>
    </row>
    <row r="363" spans="1:8" s="526" customFormat="1" hidden="1" x14ac:dyDescent="0.3">
      <c r="A363" s="515">
        <v>45869</v>
      </c>
      <c r="B363" s="511" t="s">
        <v>211</v>
      </c>
      <c r="C363" s="592" t="s">
        <v>17</v>
      </c>
      <c r="D363" s="517" t="s">
        <v>1003</v>
      </c>
      <c r="E363" s="597">
        <v>-180</v>
      </c>
      <c r="F363" s="513" t="s">
        <v>8</v>
      </c>
      <c r="G363" s="518" t="s">
        <v>83</v>
      </c>
      <c r="H363" s="514"/>
    </row>
    <row r="364" spans="1:8" s="526" customFormat="1" hidden="1" x14ac:dyDescent="0.3">
      <c r="A364" s="515">
        <v>45869</v>
      </c>
      <c r="B364" s="511" t="s">
        <v>211</v>
      </c>
      <c r="C364" s="592" t="s">
        <v>17</v>
      </c>
      <c r="D364" s="517" t="s">
        <v>1004</v>
      </c>
      <c r="E364" s="597">
        <v>-240</v>
      </c>
      <c r="F364" s="513" t="s">
        <v>8</v>
      </c>
      <c r="G364" s="518" t="s">
        <v>83</v>
      </c>
      <c r="H364" s="514"/>
    </row>
    <row r="365" spans="1:8" s="526" customFormat="1" ht="13.2" hidden="1" customHeight="1" x14ac:dyDescent="0.3">
      <c r="A365" s="515">
        <v>45869</v>
      </c>
      <c r="B365" s="511" t="s">
        <v>211</v>
      </c>
      <c r="C365" s="592" t="s">
        <v>17</v>
      </c>
      <c r="D365" s="517" t="s">
        <v>1005</v>
      </c>
      <c r="E365" s="597">
        <v>-180</v>
      </c>
      <c r="F365" s="513" t="s">
        <v>8</v>
      </c>
      <c r="G365" s="518" t="s">
        <v>83</v>
      </c>
      <c r="H365" s="514"/>
    </row>
    <row r="366" spans="1:8" s="526" customFormat="1" ht="13.2" hidden="1" customHeight="1" x14ac:dyDescent="0.3">
      <c r="A366" s="515">
        <v>45869</v>
      </c>
      <c r="B366" s="511" t="s">
        <v>211</v>
      </c>
      <c r="C366" s="592" t="s">
        <v>17</v>
      </c>
      <c r="D366" s="683" t="s">
        <v>1006</v>
      </c>
      <c r="E366" s="684">
        <v>-316.8</v>
      </c>
      <c r="F366" s="513" t="s">
        <v>8</v>
      </c>
      <c r="G366" s="518" t="s">
        <v>83</v>
      </c>
      <c r="H366" s="514"/>
    </row>
    <row r="367" spans="1:8" s="526" customFormat="1" hidden="1" x14ac:dyDescent="0.3">
      <c r="A367" s="515">
        <v>45869</v>
      </c>
      <c r="B367" s="511" t="s">
        <v>211</v>
      </c>
      <c r="C367" s="592" t="s">
        <v>17</v>
      </c>
      <c r="D367" s="683" t="s">
        <v>1007</v>
      </c>
      <c r="E367" s="597">
        <v>-264</v>
      </c>
      <c r="F367" s="513" t="s">
        <v>8</v>
      </c>
      <c r="G367" s="518" t="s">
        <v>83</v>
      </c>
      <c r="H367" s="514"/>
    </row>
    <row r="368" spans="1:8" s="526" customFormat="1" hidden="1" x14ac:dyDescent="0.3">
      <c r="A368" s="515">
        <v>45869</v>
      </c>
      <c r="B368" s="511" t="s">
        <v>211</v>
      </c>
      <c r="C368" s="592" t="s">
        <v>17</v>
      </c>
      <c r="D368" s="683" t="s">
        <v>1008</v>
      </c>
      <c r="E368" s="597">
        <v>-180</v>
      </c>
      <c r="F368" s="513" t="s">
        <v>8</v>
      </c>
      <c r="G368" s="518" t="s">
        <v>83</v>
      </c>
      <c r="H368" s="514"/>
    </row>
    <row r="369" spans="1:8" s="526" customFormat="1" hidden="1" x14ac:dyDescent="0.3">
      <c r="A369" s="515">
        <v>45869</v>
      </c>
      <c r="B369" s="511" t="s">
        <v>211</v>
      </c>
      <c r="C369" s="592" t="s">
        <v>17</v>
      </c>
      <c r="D369" s="683" t="s">
        <v>1009</v>
      </c>
      <c r="E369" s="597">
        <v>-190</v>
      </c>
      <c r="F369" s="513" t="s">
        <v>8</v>
      </c>
      <c r="G369" s="518" t="s">
        <v>83</v>
      </c>
      <c r="H369" s="514"/>
    </row>
    <row r="370" spans="1:8" s="526" customFormat="1" hidden="1" x14ac:dyDescent="0.3">
      <c r="A370" s="515">
        <v>45869</v>
      </c>
      <c r="B370" s="511" t="s">
        <v>211</v>
      </c>
      <c r="C370" s="592" t="s">
        <v>17</v>
      </c>
      <c r="D370" s="683" t="s">
        <v>1010</v>
      </c>
      <c r="E370" s="597">
        <v>-250</v>
      </c>
      <c r="F370" s="513" t="s">
        <v>8</v>
      </c>
      <c r="G370" s="518" t="s">
        <v>83</v>
      </c>
      <c r="H370" s="514"/>
    </row>
    <row r="371" spans="1:8" s="526" customFormat="1" hidden="1" x14ac:dyDescent="0.3">
      <c r="A371" s="515">
        <v>45869</v>
      </c>
      <c r="B371" s="511" t="s">
        <v>211</v>
      </c>
      <c r="C371" s="592" t="s">
        <v>17</v>
      </c>
      <c r="D371" s="683" t="s">
        <v>1011</v>
      </c>
      <c r="E371" s="684">
        <v>-152.32</v>
      </c>
      <c r="F371" s="513" t="s">
        <v>8</v>
      </c>
      <c r="G371" s="518" t="s">
        <v>83</v>
      </c>
      <c r="H371" s="514"/>
    </row>
    <row r="372" spans="1:8" s="289" customFormat="1" hidden="1" x14ac:dyDescent="0.3">
      <c r="A372" s="205">
        <v>45868</v>
      </c>
      <c r="B372" s="46" t="s">
        <v>211</v>
      </c>
      <c r="C372" s="685" t="s">
        <v>6</v>
      </c>
      <c r="D372" s="686" t="s">
        <v>999</v>
      </c>
      <c r="E372" s="230">
        <v>-178.79</v>
      </c>
      <c r="F372" s="25" t="s">
        <v>8</v>
      </c>
      <c r="G372" s="20" t="s">
        <v>71</v>
      </c>
      <c r="H372" s="291"/>
    </row>
    <row r="373" spans="1:8" s="526" customFormat="1" hidden="1" x14ac:dyDescent="0.3">
      <c r="A373" s="515">
        <v>45868</v>
      </c>
      <c r="B373" s="511" t="s">
        <v>211</v>
      </c>
      <c r="C373" s="592" t="s">
        <v>44</v>
      </c>
      <c r="D373" s="596" t="s">
        <v>141</v>
      </c>
      <c r="E373" s="597">
        <v>-535.99999700000001</v>
      </c>
      <c r="F373" s="513" t="s">
        <v>8</v>
      </c>
      <c r="G373" s="518" t="s">
        <v>142</v>
      </c>
      <c r="H373" s="514"/>
    </row>
    <row r="374" spans="1:8" s="514" customFormat="1" ht="13.2" hidden="1" customHeight="1" x14ac:dyDescent="0.3">
      <c r="A374" s="515">
        <v>45868</v>
      </c>
      <c r="B374" s="511" t="s">
        <v>211</v>
      </c>
      <c r="C374" s="592" t="s">
        <v>106</v>
      </c>
      <c r="D374" s="596" t="s">
        <v>997</v>
      </c>
      <c r="E374" s="597">
        <v>-1659.89</v>
      </c>
      <c r="F374" s="513" t="s">
        <v>8</v>
      </c>
      <c r="G374" s="518" t="s">
        <v>76</v>
      </c>
    </row>
    <row r="375" spans="1:8" s="514" customFormat="1" hidden="1" x14ac:dyDescent="0.3">
      <c r="A375" s="515">
        <v>45868</v>
      </c>
      <c r="B375" s="511" t="s">
        <v>211</v>
      </c>
      <c r="C375" s="592" t="s">
        <v>25</v>
      </c>
      <c r="D375" s="596" t="s">
        <v>998</v>
      </c>
      <c r="E375" s="597">
        <v>-2131.3000000000002</v>
      </c>
      <c r="F375" s="513" t="s">
        <v>8</v>
      </c>
      <c r="G375" s="518" t="s">
        <v>76</v>
      </c>
    </row>
    <row r="376" spans="1:8" s="514" customFormat="1" hidden="1" x14ac:dyDescent="0.3">
      <c r="A376" s="515">
        <v>45868</v>
      </c>
      <c r="B376" s="511" t="s">
        <v>211</v>
      </c>
      <c r="C376" s="516" t="s">
        <v>6</v>
      </c>
      <c r="D376" s="596" t="s">
        <v>581</v>
      </c>
      <c r="E376" s="597">
        <v>-6298.6</v>
      </c>
      <c r="F376" s="513" t="s">
        <v>8</v>
      </c>
      <c r="G376" s="597" t="s">
        <v>189</v>
      </c>
    </row>
    <row r="377" spans="1:8" s="291" customFormat="1" hidden="1" x14ac:dyDescent="0.3">
      <c r="A377" s="205">
        <v>45853</v>
      </c>
      <c r="B377" s="10" t="s">
        <v>211</v>
      </c>
      <c r="C377" s="17" t="s">
        <v>6</v>
      </c>
      <c r="D377" s="26" t="s">
        <v>540</v>
      </c>
      <c r="E377" s="19">
        <v>-10000</v>
      </c>
      <c r="F377" s="20" t="s">
        <v>8</v>
      </c>
      <c r="G377" s="20" t="s">
        <v>189</v>
      </c>
    </row>
    <row r="378" spans="1:8" s="291" customFormat="1" hidden="1" x14ac:dyDescent="0.3">
      <c r="A378" s="287">
        <v>45845</v>
      </c>
      <c r="B378" s="10" t="s">
        <v>211</v>
      </c>
      <c r="C378" s="271" t="s">
        <v>13</v>
      </c>
      <c r="D378" s="290" t="s">
        <v>460</v>
      </c>
      <c r="E378" s="293">
        <v>-1700</v>
      </c>
      <c r="F378" s="25" t="s">
        <v>8</v>
      </c>
      <c r="G378" s="14" t="s">
        <v>27</v>
      </c>
      <c r="H378" s="295"/>
    </row>
    <row r="379" spans="1:8" s="291" customFormat="1" hidden="1" x14ac:dyDescent="0.3">
      <c r="A379" s="287">
        <v>45845</v>
      </c>
      <c r="B379" s="10" t="s">
        <v>211</v>
      </c>
      <c r="C379" s="271" t="s">
        <v>13</v>
      </c>
      <c r="D379" s="290" t="s">
        <v>461</v>
      </c>
      <c r="E379" s="293">
        <v>-1000</v>
      </c>
      <c r="F379" s="25" t="s">
        <v>8</v>
      </c>
      <c r="G379" s="14" t="s">
        <v>27</v>
      </c>
      <c r="H379" s="295"/>
    </row>
    <row r="380" spans="1:8" s="291" customFormat="1" ht="15" hidden="1" customHeight="1" x14ac:dyDescent="0.3">
      <c r="A380" s="287">
        <v>45845</v>
      </c>
      <c r="B380" s="10" t="s">
        <v>211</v>
      </c>
      <c r="C380" s="271" t="s">
        <v>13</v>
      </c>
      <c r="D380" s="290" t="s">
        <v>462</v>
      </c>
      <c r="E380" s="293">
        <v>-600</v>
      </c>
      <c r="F380" s="25" t="s">
        <v>8</v>
      </c>
      <c r="G380" s="14" t="s">
        <v>27</v>
      </c>
      <c r="H380" s="295"/>
    </row>
    <row r="381" spans="1:8" s="291" customFormat="1" hidden="1" x14ac:dyDescent="0.3">
      <c r="A381" s="287">
        <v>45845</v>
      </c>
      <c r="B381" s="10" t="s">
        <v>211</v>
      </c>
      <c r="C381" s="271" t="s">
        <v>13</v>
      </c>
      <c r="D381" s="290" t="s">
        <v>456</v>
      </c>
      <c r="E381" s="293">
        <v>-900</v>
      </c>
      <c r="F381" s="25" t="s">
        <v>8</v>
      </c>
      <c r="G381" s="14" t="s">
        <v>27</v>
      </c>
      <c r="H381" s="295"/>
    </row>
    <row r="382" spans="1:8" s="291" customFormat="1" hidden="1" x14ac:dyDescent="0.3">
      <c r="A382" s="287">
        <v>45845</v>
      </c>
      <c r="B382" s="10" t="s">
        <v>211</v>
      </c>
      <c r="C382" s="271" t="s">
        <v>13</v>
      </c>
      <c r="D382" s="290" t="s">
        <v>457</v>
      </c>
      <c r="E382" s="293">
        <v>-900</v>
      </c>
      <c r="F382" s="25" t="s">
        <v>8</v>
      </c>
      <c r="G382" s="14" t="s">
        <v>27</v>
      </c>
      <c r="H382" s="295"/>
    </row>
    <row r="383" spans="1:8" s="291" customFormat="1" hidden="1" x14ac:dyDescent="0.3">
      <c r="A383" s="287">
        <v>45845</v>
      </c>
      <c r="B383" s="10" t="s">
        <v>211</v>
      </c>
      <c r="C383" s="271" t="s">
        <v>13</v>
      </c>
      <c r="D383" s="290" t="s">
        <v>458</v>
      </c>
      <c r="E383" s="293">
        <v>-1000</v>
      </c>
      <c r="F383" s="25" t="s">
        <v>8</v>
      </c>
      <c r="G383" s="14" t="s">
        <v>27</v>
      </c>
      <c r="H383" s="295"/>
    </row>
    <row r="384" spans="1:8" s="291" customFormat="1" hidden="1" x14ac:dyDescent="0.3">
      <c r="A384" s="287">
        <v>45846</v>
      </c>
      <c r="B384" s="10" t="s">
        <v>211</v>
      </c>
      <c r="C384" s="271" t="s">
        <v>13</v>
      </c>
      <c r="D384" s="290" t="s">
        <v>459</v>
      </c>
      <c r="E384" s="293">
        <v>-1020</v>
      </c>
      <c r="F384" s="25" t="s">
        <v>8</v>
      </c>
      <c r="G384" s="14" t="s">
        <v>27</v>
      </c>
      <c r="H384" s="295"/>
    </row>
    <row r="385" spans="1:8" s="291" customFormat="1" hidden="1" x14ac:dyDescent="0.3">
      <c r="A385" s="66">
        <v>45845</v>
      </c>
      <c r="B385" s="59" t="s">
        <v>211</v>
      </c>
      <c r="C385" s="63" t="s">
        <v>17</v>
      </c>
      <c r="D385" s="290" t="s">
        <v>464</v>
      </c>
      <c r="E385" s="293">
        <v>-159.4</v>
      </c>
      <c r="F385" s="25" t="s">
        <v>8</v>
      </c>
      <c r="G385" s="14" t="s">
        <v>22</v>
      </c>
      <c r="H385" s="295"/>
    </row>
    <row r="386" spans="1:8" s="289" customFormat="1" hidden="1" x14ac:dyDescent="0.3">
      <c r="A386" s="66">
        <v>45845</v>
      </c>
      <c r="B386" s="59" t="s">
        <v>211</v>
      </c>
      <c r="C386" s="63" t="s">
        <v>17</v>
      </c>
      <c r="D386" s="290" t="s">
        <v>393</v>
      </c>
      <c r="E386" s="67">
        <v>-708.24</v>
      </c>
      <c r="F386" s="64" t="s">
        <v>8</v>
      </c>
      <c r="G386" s="14" t="s">
        <v>19</v>
      </c>
      <c r="H386" s="295"/>
    </row>
    <row r="387" spans="1:8" s="289" customFormat="1" hidden="1" x14ac:dyDescent="0.3">
      <c r="A387" s="66">
        <v>45848</v>
      </c>
      <c r="B387" s="59" t="s">
        <v>211</v>
      </c>
      <c r="C387" s="63" t="s">
        <v>31</v>
      </c>
      <c r="D387" s="63" t="s">
        <v>395</v>
      </c>
      <c r="E387" s="67">
        <v>-295.72000000000003</v>
      </c>
      <c r="F387" s="64" t="s">
        <v>8</v>
      </c>
      <c r="G387" s="64" t="s">
        <v>37</v>
      </c>
      <c r="H387" s="295"/>
    </row>
    <row r="388" spans="1:8" s="291" customFormat="1" hidden="1" x14ac:dyDescent="0.3">
      <c r="A388" s="66">
        <v>45848</v>
      </c>
      <c r="B388" s="59" t="s">
        <v>211</v>
      </c>
      <c r="C388" s="63" t="s">
        <v>44</v>
      </c>
      <c r="D388" s="63" t="s">
        <v>395</v>
      </c>
      <c r="E388" s="67">
        <v>-215.21</v>
      </c>
      <c r="F388" s="64" t="s">
        <v>8</v>
      </c>
      <c r="G388" s="64" t="s">
        <v>37</v>
      </c>
      <c r="H388" s="295"/>
    </row>
    <row r="389" spans="1:8" s="291" customFormat="1" hidden="1" x14ac:dyDescent="0.3">
      <c r="A389" s="338">
        <v>45848</v>
      </c>
      <c r="B389" s="339" t="s">
        <v>211</v>
      </c>
      <c r="C389" s="340" t="s">
        <v>25</v>
      </c>
      <c r="D389" s="340" t="s">
        <v>395</v>
      </c>
      <c r="E389" s="341">
        <v>-364.95</v>
      </c>
      <c r="F389" s="342" t="s">
        <v>8</v>
      </c>
      <c r="G389" s="342" t="s">
        <v>37</v>
      </c>
      <c r="H389" s="295"/>
    </row>
    <row r="390" spans="1:8" s="289" customFormat="1" hidden="1" x14ac:dyDescent="0.3">
      <c r="A390" s="66">
        <v>45848</v>
      </c>
      <c r="B390" s="59" t="s">
        <v>211</v>
      </c>
      <c r="C390" s="63" t="s">
        <v>33</v>
      </c>
      <c r="D390" s="63" t="s">
        <v>395</v>
      </c>
      <c r="E390" s="67">
        <v>-395.23</v>
      </c>
      <c r="F390" s="64" t="s">
        <v>8</v>
      </c>
      <c r="G390" s="64" t="s">
        <v>37</v>
      </c>
      <c r="H390" s="295"/>
    </row>
    <row r="391" spans="1:8" s="289" customFormat="1" hidden="1" x14ac:dyDescent="0.3">
      <c r="A391" s="66">
        <v>45848</v>
      </c>
      <c r="B391" s="59" t="s">
        <v>211</v>
      </c>
      <c r="C391" s="63" t="s">
        <v>106</v>
      </c>
      <c r="D391" s="63" t="s">
        <v>395</v>
      </c>
      <c r="E391" s="67">
        <v>-376.91</v>
      </c>
      <c r="F391" s="64" t="s">
        <v>8</v>
      </c>
      <c r="G391" s="64" t="s">
        <v>37</v>
      </c>
    </row>
    <row r="392" spans="1:8" s="291" customFormat="1" hidden="1" x14ac:dyDescent="0.3">
      <c r="A392" s="66">
        <v>45848</v>
      </c>
      <c r="B392" s="59" t="s">
        <v>211</v>
      </c>
      <c r="C392" s="63" t="s">
        <v>17</v>
      </c>
      <c r="D392" s="63" t="s">
        <v>395</v>
      </c>
      <c r="E392" s="67">
        <v>-360.09</v>
      </c>
      <c r="F392" s="64" t="s">
        <v>8</v>
      </c>
      <c r="G392" s="64" t="s">
        <v>37</v>
      </c>
      <c r="H392" s="295"/>
    </row>
    <row r="393" spans="1:8" s="291" customFormat="1" hidden="1" x14ac:dyDescent="0.3">
      <c r="A393" s="66">
        <v>45845</v>
      </c>
      <c r="B393" s="59" t="s">
        <v>211</v>
      </c>
      <c r="C393" s="63" t="s">
        <v>25</v>
      </c>
      <c r="D393" s="290" t="s">
        <v>453</v>
      </c>
      <c r="E393" s="67">
        <v>-448</v>
      </c>
      <c r="F393" s="64" t="s">
        <v>8</v>
      </c>
      <c r="G393" s="64" t="s">
        <v>83</v>
      </c>
      <c r="H393" s="295"/>
    </row>
    <row r="394" spans="1:8" s="291" customFormat="1" hidden="1" x14ac:dyDescent="0.3">
      <c r="A394" s="66">
        <v>45845</v>
      </c>
      <c r="B394" s="59" t="s">
        <v>211</v>
      </c>
      <c r="C394" s="63" t="s">
        <v>25</v>
      </c>
      <c r="D394" s="290" t="s">
        <v>454</v>
      </c>
      <c r="E394" s="67">
        <v>-177</v>
      </c>
      <c r="F394" s="64" t="s">
        <v>8</v>
      </c>
      <c r="G394" s="64" t="s">
        <v>83</v>
      </c>
      <c r="H394" s="295"/>
    </row>
    <row r="395" spans="1:8" s="291" customFormat="1" hidden="1" x14ac:dyDescent="0.3">
      <c r="A395" s="66">
        <v>45845</v>
      </c>
      <c r="B395" s="59" t="s">
        <v>211</v>
      </c>
      <c r="C395" s="63" t="s">
        <v>25</v>
      </c>
      <c r="D395" s="290" t="s">
        <v>455</v>
      </c>
      <c r="E395" s="67">
        <v>-412.5</v>
      </c>
      <c r="F395" s="64" t="s">
        <v>8</v>
      </c>
      <c r="G395" s="64" t="s">
        <v>83</v>
      </c>
      <c r="H395" s="295"/>
    </row>
    <row r="396" spans="1:8" s="291" customFormat="1" hidden="1" x14ac:dyDescent="0.3">
      <c r="A396" s="66">
        <v>45845</v>
      </c>
      <c r="B396" s="59" t="s">
        <v>211</v>
      </c>
      <c r="C396" s="63" t="s">
        <v>25</v>
      </c>
      <c r="D396" s="290" t="s">
        <v>386</v>
      </c>
      <c r="E396" s="67">
        <v>-278</v>
      </c>
      <c r="F396" s="64" t="s">
        <v>8</v>
      </c>
      <c r="G396" s="64" t="s">
        <v>83</v>
      </c>
      <c r="H396" s="295"/>
    </row>
    <row r="397" spans="1:8" s="291" customFormat="1" hidden="1" x14ac:dyDescent="0.3">
      <c r="A397" s="205">
        <v>45845</v>
      </c>
      <c r="B397" s="10" t="s">
        <v>211</v>
      </c>
      <c r="C397" s="17" t="s">
        <v>6</v>
      </c>
      <c r="D397" s="18" t="s">
        <v>192</v>
      </c>
      <c r="E397" s="19">
        <v>-1000</v>
      </c>
      <c r="F397" s="20" t="s">
        <v>8</v>
      </c>
      <c r="G397" s="20" t="s">
        <v>189</v>
      </c>
      <c r="H397" s="295"/>
    </row>
    <row r="398" spans="1:8" s="291" customFormat="1" hidden="1" x14ac:dyDescent="0.3">
      <c r="A398" s="205">
        <v>45853</v>
      </c>
      <c r="B398" s="10" t="s">
        <v>211</v>
      </c>
      <c r="C398" s="17" t="s">
        <v>6</v>
      </c>
      <c r="D398" s="26" t="s">
        <v>538</v>
      </c>
      <c r="E398" s="19">
        <v>-2644</v>
      </c>
      <c r="F398" s="20" t="s">
        <v>8</v>
      </c>
      <c r="G398" s="20" t="s">
        <v>189</v>
      </c>
    </row>
    <row r="399" spans="1:8" s="291" customFormat="1" hidden="1" x14ac:dyDescent="0.3">
      <c r="A399" s="205">
        <v>45860</v>
      </c>
      <c r="B399" s="10" t="s">
        <v>211</v>
      </c>
      <c r="C399" s="17" t="s">
        <v>6</v>
      </c>
      <c r="D399" s="18" t="s">
        <v>564</v>
      </c>
      <c r="E399" s="19">
        <v>-960</v>
      </c>
      <c r="F399" s="20" t="s">
        <v>8</v>
      </c>
      <c r="G399" s="20" t="s">
        <v>189</v>
      </c>
      <c r="H399" s="282"/>
    </row>
    <row r="400" spans="1:8" s="514" customFormat="1" hidden="1" x14ac:dyDescent="0.3">
      <c r="A400" s="515">
        <v>45866</v>
      </c>
      <c r="B400" s="511" t="s">
        <v>211</v>
      </c>
      <c r="C400" s="516" t="s">
        <v>6</v>
      </c>
      <c r="D400" s="517" t="s">
        <v>576</v>
      </c>
      <c r="E400" s="512">
        <v>-2000</v>
      </c>
      <c r="F400" s="518" t="s">
        <v>8</v>
      </c>
      <c r="G400" s="518" t="s">
        <v>189</v>
      </c>
      <c r="H400" s="552"/>
    </row>
    <row r="401" spans="1:8" s="291" customFormat="1" hidden="1" x14ac:dyDescent="0.3">
      <c r="A401" s="205">
        <v>45854</v>
      </c>
      <c r="B401" s="10" t="s">
        <v>211</v>
      </c>
      <c r="C401" s="26" t="s">
        <v>17</v>
      </c>
      <c r="D401" s="26" t="s">
        <v>205</v>
      </c>
      <c r="E401" s="19">
        <v>-192</v>
      </c>
      <c r="F401" s="25" t="s">
        <v>8</v>
      </c>
      <c r="G401" s="20" t="s">
        <v>142</v>
      </c>
    </row>
    <row r="402" spans="1:8" s="284" customFormat="1" hidden="1" x14ac:dyDescent="0.3">
      <c r="A402" s="310">
        <v>45855</v>
      </c>
      <c r="B402" s="286" t="s">
        <v>211</v>
      </c>
      <c r="C402" s="268" t="s">
        <v>44</v>
      </c>
      <c r="D402" s="268" t="s">
        <v>861</v>
      </c>
      <c r="E402" s="270">
        <v>-1709.15</v>
      </c>
      <c r="F402" s="25" t="s">
        <v>8</v>
      </c>
      <c r="G402" s="303" t="s">
        <v>233</v>
      </c>
      <c r="H402" s="291"/>
    </row>
    <row r="403" spans="1:8" s="284" customFormat="1" hidden="1" x14ac:dyDescent="0.3">
      <c r="A403" s="310">
        <v>45854</v>
      </c>
      <c r="B403" s="286" t="s">
        <v>211</v>
      </c>
      <c r="C403" s="268" t="s">
        <v>44</v>
      </c>
      <c r="D403" s="268" t="s">
        <v>862</v>
      </c>
      <c r="E403" s="270">
        <v>-1709.15</v>
      </c>
      <c r="F403" s="25" t="s">
        <v>8</v>
      </c>
      <c r="G403" s="303" t="s">
        <v>233</v>
      </c>
      <c r="H403" s="291"/>
    </row>
    <row r="404" spans="1:8" s="289" customFormat="1" hidden="1" x14ac:dyDescent="0.3">
      <c r="A404" s="59">
        <v>45854</v>
      </c>
      <c r="B404" s="59" t="s">
        <v>211</v>
      </c>
      <c r="C404" s="63" t="s">
        <v>72</v>
      </c>
      <c r="D404" s="63" t="s">
        <v>858</v>
      </c>
      <c r="E404" s="67">
        <v>-1800.33</v>
      </c>
      <c r="F404" s="25" t="s">
        <v>8</v>
      </c>
      <c r="G404" s="64" t="s">
        <v>233</v>
      </c>
      <c r="H404" s="291"/>
    </row>
    <row r="405" spans="1:8" s="291" customFormat="1" hidden="1" x14ac:dyDescent="0.3">
      <c r="A405" s="205">
        <v>45854</v>
      </c>
      <c r="B405" s="10" t="s">
        <v>211</v>
      </c>
      <c r="C405" s="17" t="s">
        <v>6</v>
      </c>
      <c r="D405" s="18" t="s">
        <v>552</v>
      </c>
      <c r="E405" s="19">
        <v>-1551.29</v>
      </c>
      <c r="F405" s="20" t="s">
        <v>8</v>
      </c>
      <c r="G405" s="20" t="s">
        <v>189</v>
      </c>
    </row>
    <row r="406" spans="1:8" s="514" customFormat="1" hidden="1" x14ac:dyDescent="0.3">
      <c r="A406" s="515">
        <v>45868</v>
      </c>
      <c r="B406" s="511" t="s">
        <v>211</v>
      </c>
      <c r="C406" s="592" t="s">
        <v>6</v>
      </c>
      <c r="D406" s="596" t="s">
        <v>585</v>
      </c>
      <c r="E406" s="597">
        <v>-1000</v>
      </c>
      <c r="F406" s="513" t="s">
        <v>8</v>
      </c>
      <c r="G406" s="597" t="s">
        <v>189</v>
      </c>
    </row>
    <row r="407" spans="1:8" s="514" customFormat="1" hidden="1" x14ac:dyDescent="0.3">
      <c r="A407" s="515">
        <v>45868</v>
      </c>
      <c r="B407" s="511" t="s">
        <v>211</v>
      </c>
      <c r="C407" s="516" t="s">
        <v>6</v>
      </c>
      <c r="D407" s="596" t="s">
        <v>586</v>
      </c>
      <c r="E407" s="597">
        <v>-501.54</v>
      </c>
      <c r="F407" s="518" t="s">
        <v>8</v>
      </c>
      <c r="G407" s="597" t="s">
        <v>189</v>
      </c>
    </row>
    <row r="408" spans="1:8" s="514" customFormat="1" hidden="1" x14ac:dyDescent="0.3">
      <c r="A408" s="515">
        <v>45868</v>
      </c>
      <c r="B408" s="511" t="s">
        <v>211</v>
      </c>
      <c r="C408" s="516" t="s">
        <v>44</v>
      </c>
      <c r="D408" s="592" t="s">
        <v>587</v>
      </c>
      <c r="E408" s="597">
        <v>-2500</v>
      </c>
      <c r="F408" s="518" t="s">
        <v>8</v>
      </c>
      <c r="G408" s="597" t="s">
        <v>189</v>
      </c>
    </row>
    <row r="409" spans="1:8" s="291" customFormat="1" hidden="1" x14ac:dyDescent="0.3">
      <c r="A409" s="10">
        <v>45853</v>
      </c>
      <c r="B409" s="10" t="s">
        <v>211</v>
      </c>
      <c r="C409" s="27" t="s">
        <v>106</v>
      </c>
      <c r="D409" s="30" t="s">
        <v>542</v>
      </c>
      <c r="E409" s="235">
        <v>-2000</v>
      </c>
      <c r="F409" s="236" t="s">
        <v>8</v>
      </c>
      <c r="G409" s="236" t="s">
        <v>189</v>
      </c>
    </row>
    <row r="410" spans="1:8" s="291" customFormat="1" hidden="1" x14ac:dyDescent="0.3">
      <c r="A410" s="205">
        <v>45848</v>
      </c>
      <c r="B410" s="10" t="s">
        <v>211</v>
      </c>
      <c r="C410" s="26" t="s">
        <v>72</v>
      </c>
      <c r="D410" s="26" t="s">
        <v>209</v>
      </c>
      <c r="E410" s="19">
        <v>-1925</v>
      </c>
      <c r="F410" s="25" t="s">
        <v>8</v>
      </c>
      <c r="G410" s="20" t="s">
        <v>233</v>
      </c>
      <c r="H410" s="295"/>
    </row>
    <row r="411" spans="1:8" s="284" customFormat="1" ht="16.2" hidden="1" customHeight="1" x14ac:dyDescent="0.3">
      <c r="A411" s="205">
        <v>45848</v>
      </c>
      <c r="B411" s="286" t="s">
        <v>211</v>
      </c>
      <c r="C411" s="268" t="s">
        <v>44</v>
      </c>
      <c r="D411" s="268" t="s">
        <v>208</v>
      </c>
      <c r="E411" s="270">
        <v>-1709.15</v>
      </c>
      <c r="F411" s="25" t="s">
        <v>8</v>
      </c>
      <c r="G411" s="303" t="s">
        <v>233</v>
      </c>
      <c r="H411" s="295"/>
    </row>
    <row r="412" spans="1:8" s="291" customFormat="1" hidden="1" x14ac:dyDescent="0.3">
      <c r="A412" s="205">
        <v>45846</v>
      </c>
      <c r="B412" s="10" t="s">
        <v>211</v>
      </c>
      <c r="C412" s="17" t="s">
        <v>106</v>
      </c>
      <c r="D412" s="18" t="s">
        <v>484</v>
      </c>
      <c r="E412" s="19">
        <v>-2000</v>
      </c>
      <c r="F412" s="20" t="s">
        <v>8</v>
      </c>
      <c r="G412" s="20" t="s">
        <v>189</v>
      </c>
      <c r="H412" s="282"/>
    </row>
    <row r="413" spans="1:8" s="514" customFormat="1" hidden="1" x14ac:dyDescent="0.3">
      <c r="A413" s="515">
        <v>45868</v>
      </c>
      <c r="B413" s="511" t="s">
        <v>211</v>
      </c>
      <c r="C413" s="516" t="s">
        <v>17</v>
      </c>
      <c r="D413" s="592" t="s">
        <v>591</v>
      </c>
      <c r="E413" s="597">
        <v>-1916.67</v>
      </c>
      <c r="F413" s="518" t="s">
        <v>8</v>
      </c>
      <c r="G413" s="518" t="s">
        <v>189</v>
      </c>
    </row>
    <row r="414" spans="1:8" s="514" customFormat="1" hidden="1" x14ac:dyDescent="0.3">
      <c r="A414" s="515">
        <v>45868</v>
      </c>
      <c r="B414" s="511" t="s">
        <v>211</v>
      </c>
      <c r="C414" s="592" t="s">
        <v>6</v>
      </c>
      <c r="D414" s="592" t="s">
        <v>582</v>
      </c>
      <c r="E414" s="597">
        <v>-2200</v>
      </c>
      <c r="F414" s="518" t="s">
        <v>8</v>
      </c>
      <c r="G414" s="518" t="s">
        <v>189</v>
      </c>
    </row>
    <row r="415" spans="1:8" s="514" customFormat="1" hidden="1" x14ac:dyDescent="0.3">
      <c r="A415" s="515">
        <v>45868</v>
      </c>
      <c r="B415" s="511" t="s">
        <v>211</v>
      </c>
      <c r="C415" s="592" t="s">
        <v>6</v>
      </c>
      <c r="D415" s="592" t="s">
        <v>579</v>
      </c>
      <c r="E415" s="597">
        <v>-3836.54</v>
      </c>
      <c r="F415" s="518" t="s">
        <v>8</v>
      </c>
      <c r="G415" s="518" t="s">
        <v>189</v>
      </c>
    </row>
    <row r="416" spans="1:8" s="514" customFormat="1" hidden="1" x14ac:dyDescent="0.3">
      <c r="A416" s="515">
        <v>45868</v>
      </c>
      <c r="B416" s="511" t="s">
        <v>211</v>
      </c>
      <c r="C416" s="592" t="s">
        <v>6</v>
      </c>
      <c r="D416" s="592" t="s">
        <v>583</v>
      </c>
      <c r="E416" s="597">
        <v>-3200</v>
      </c>
      <c r="F416" s="518" t="s">
        <v>8</v>
      </c>
      <c r="G416" s="518" t="s">
        <v>189</v>
      </c>
    </row>
    <row r="417" spans="1:8" s="514" customFormat="1" hidden="1" x14ac:dyDescent="0.3">
      <c r="A417" s="515">
        <v>45868</v>
      </c>
      <c r="B417" s="511" t="s">
        <v>211</v>
      </c>
      <c r="C417" s="592" t="s">
        <v>6</v>
      </c>
      <c r="D417" s="592" t="s">
        <v>580</v>
      </c>
      <c r="E417" s="598">
        <v>-2000</v>
      </c>
      <c r="F417" s="518" t="s">
        <v>8</v>
      </c>
      <c r="G417" s="518" t="s">
        <v>189</v>
      </c>
    </row>
    <row r="418" spans="1:8" s="514" customFormat="1" hidden="1" x14ac:dyDescent="0.3">
      <c r="A418" s="515">
        <v>45868</v>
      </c>
      <c r="B418" s="511" t="s">
        <v>211</v>
      </c>
      <c r="C418" s="592" t="s">
        <v>17</v>
      </c>
      <c r="D418" s="592" t="s">
        <v>590</v>
      </c>
      <c r="E418" s="602">
        <v>-2872.37</v>
      </c>
      <c r="F418" s="518" t="s">
        <v>8</v>
      </c>
      <c r="G418" s="518" t="s">
        <v>189</v>
      </c>
    </row>
    <row r="419" spans="1:8" s="514" customFormat="1" hidden="1" x14ac:dyDescent="0.3">
      <c r="A419" s="515">
        <v>45868</v>
      </c>
      <c r="B419" s="511" t="s">
        <v>211</v>
      </c>
      <c r="C419" s="592" t="s">
        <v>6</v>
      </c>
      <c r="D419" s="592" t="s">
        <v>584</v>
      </c>
      <c r="E419" s="598">
        <v>-2500</v>
      </c>
      <c r="F419" s="518" t="s">
        <v>8</v>
      </c>
      <c r="G419" s="518" t="s">
        <v>189</v>
      </c>
    </row>
    <row r="420" spans="1:8" s="514" customFormat="1" hidden="1" x14ac:dyDescent="0.3">
      <c r="A420" s="515">
        <v>45868</v>
      </c>
      <c r="B420" s="511" t="s">
        <v>211</v>
      </c>
      <c r="C420" s="592" t="s">
        <v>33</v>
      </c>
      <c r="D420" s="596" t="s">
        <v>588</v>
      </c>
      <c r="E420" s="597">
        <v>-1000</v>
      </c>
      <c r="F420" s="518" t="s">
        <v>8</v>
      </c>
      <c r="G420" s="518" t="s">
        <v>189</v>
      </c>
    </row>
    <row r="421" spans="1:8" s="514" customFormat="1" hidden="1" x14ac:dyDescent="0.3">
      <c r="A421" s="515">
        <v>45868</v>
      </c>
      <c r="B421" s="511" t="s">
        <v>211</v>
      </c>
      <c r="C421" s="687" t="s">
        <v>17</v>
      </c>
      <c r="D421" s="688" t="s">
        <v>943</v>
      </c>
      <c r="E421" s="597">
        <v>-10.64</v>
      </c>
      <c r="F421" s="518" t="s">
        <v>8</v>
      </c>
      <c r="G421" s="518" t="s">
        <v>189</v>
      </c>
    </row>
    <row r="422" spans="1:8" s="514" customFormat="1" hidden="1" x14ac:dyDescent="0.3">
      <c r="A422" s="515">
        <v>45868</v>
      </c>
      <c r="B422" s="511" t="s">
        <v>211</v>
      </c>
      <c r="C422" s="592" t="s">
        <v>17</v>
      </c>
      <c r="D422" s="596" t="s">
        <v>938</v>
      </c>
      <c r="E422" s="597">
        <v>-880</v>
      </c>
      <c r="F422" s="518" t="s">
        <v>8</v>
      </c>
      <c r="G422" s="518" t="s">
        <v>189</v>
      </c>
    </row>
    <row r="423" spans="1:8" s="514" customFormat="1" hidden="1" x14ac:dyDescent="0.3">
      <c r="A423" s="831">
        <v>45898</v>
      </c>
      <c r="B423" s="522" t="s">
        <v>212</v>
      </c>
      <c r="C423" s="726" t="s">
        <v>17</v>
      </c>
      <c r="D423" s="758" t="s">
        <v>939</v>
      </c>
      <c r="E423" s="837">
        <v>-880</v>
      </c>
      <c r="F423" s="551" t="s">
        <v>8</v>
      </c>
      <c r="G423" s="551" t="s">
        <v>189</v>
      </c>
    </row>
    <row r="424" spans="1:8" s="291" customFormat="1" hidden="1" x14ac:dyDescent="0.3">
      <c r="A424" s="205">
        <v>45930</v>
      </c>
      <c r="B424" s="10" t="s">
        <v>213</v>
      </c>
      <c r="C424" s="26" t="s">
        <v>17</v>
      </c>
      <c r="D424" s="26" t="s">
        <v>940</v>
      </c>
      <c r="E424" s="19">
        <v>-880</v>
      </c>
      <c r="F424" s="20" t="s">
        <v>8</v>
      </c>
      <c r="G424" s="20" t="s">
        <v>189</v>
      </c>
    </row>
    <row r="425" spans="1:8" s="291" customFormat="1" hidden="1" x14ac:dyDescent="0.3">
      <c r="A425" s="226">
        <v>45960</v>
      </c>
      <c r="B425" s="46" t="s">
        <v>216</v>
      </c>
      <c r="C425" s="238" t="s">
        <v>17</v>
      </c>
      <c r="D425" s="238" t="s">
        <v>941</v>
      </c>
      <c r="E425" s="863">
        <v>-880</v>
      </c>
      <c r="F425" s="168" t="s">
        <v>8</v>
      </c>
      <c r="G425" s="168" t="s">
        <v>189</v>
      </c>
    </row>
    <row r="426" spans="1:8" s="291" customFormat="1" hidden="1" x14ac:dyDescent="0.3">
      <c r="A426" s="205">
        <v>45989</v>
      </c>
      <c r="B426" s="10" t="s">
        <v>217</v>
      </c>
      <c r="C426" s="26" t="s">
        <v>17</v>
      </c>
      <c r="D426" s="26" t="s">
        <v>942</v>
      </c>
      <c r="E426" s="499">
        <v>-880</v>
      </c>
      <c r="F426" s="20" t="s">
        <v>8</v>
      </c>
      <c r="G426" s="20" t="s">
        <v>189</v>
      </c>
    </row>
    <row r="427" spans="1:8" s="514" customFormat="1" hidden="1" x14ac:dyDescent="0.3">
      <c r="A427" s="515">
        <v>45868</v>
      </c>
      <c r="B427" s="511" t="s">
        <v>211</v>
      </c>
      <c r="C427" s="516" t="s">
        <v>17</v>
      </c>
      <c r="D427" s="592" t="s">
        <v>589</v>
      </c>
      <c r="E427" s="598">
        <v>-1400</v>
      </c>
      <c r="F427" s="518" t="s">
        <v>8</v>
      </c>
      <c r="G427" s="518" t="s">
        <v>189</v>
      </c>
    </row>
    <row r="428" spans="1:8" s="291" customFormat="1" hidden="1" x14ac:dyDescent="0.3">
      <c r="A428" s="201">
        <v>45839</v>
      </c>
      <c r="B428" s="50" t="s">
        <v>211</v>
      </c>
      <c r="C428" s="202" t="s">
        <v>17</v>
      </c>
      <c r="D428" s="203" t="s">
        <v>196</v>
      </c>
      <c r="E428" s="204">
        <v>-1848.63</v>
      </c>
      <c r="F428" s="232" t="s">
        <v>8</v>
      </c>
      <c r="G428" s="232" t="s">
        <v>189</v>
      </c>
      <c r="H428" s="282"/>
    </row>
    <row r="429" spans="1:8" s="291" customFormat="1" hidden="1" x14ac:dyDescent="0.3">
      <c r="A429" s="287">
        <v>45861</v>
      </c>
      <c r="B429" s="10" t="s">
        <v>211</v>
      </c>
      <c r="C429" s="26" t="s">
        <v>17</v>
      </c>
      <c r="D429" s="26" t="s">
        <v>927</v>
      </c>
      <c r="E429" s="19">
        <v>-560.52</v>
      </c>
      <c r="F429" s="25" t="s">
        <v>8</v>
      </c>
      <c r="G429" s="20" t="s">
        <v>19</v>
      </c>
      <c r="H429" s="209"/>
    </row>
    <row r="430" spans="1:8" s="291" customFormat="1" hidden="1" x14ac:dyDescent="0.3">
      <c r="A430" s="287">
        <v>45861</v>
      </c>
      <c r="B430" s="689" t="s">
        <v>211</v>
      </c>
      <c r="C430" s="18" t="s">
        <v>17</v>
      </c>
      <c r="D430" s="18" t="s">
        <v>928</v>
      </c>
      <c r="E430" s="690">
        <v>-107.69</v>
      </c>
      <c r="F430" s="25" t="s">
        <v>8</v>
      </c>
      <c r="G430" s="20" t="s">
        <v>99</v>
      </c>
      <c r="H430" s="209"/>
    </row>
    <row r="431" spans="1:8" s="291" customFormat="1" hidden="1" x14ac:dyDescent="0.3">
      <c r="A431" s="287">
        <v>45861</v>
      </c>
      <c r="B431" s="689" t="s">
        <v>211</v>
      </c>
      <c r="C431" s="18" t="s">
        <v>17</v>
      </c>
      <c r="D431" s="18" t="s">
        <v>929</v>
      </c>
      <c r="E431" s="690">
        <v>-123</v>
      </c>
      <c r="F431" s="25" t="s">
        <v>8</v>
      </c>
      <c r="G431" s="20" t="s">
        <v>99</v>
      </c>
      <c r="H431" s="209"/>
    </row>
    <row r="432" spans="1:8" s="291" customFormat="1" hidden="1" x14ac:dyDescent="0.3">
      <c r="A432" s="287">
        <v>45861</v>
      </c>
      <c r="B432" s="689" t="s">
        <v>211</v>
      </c>
      <c r="C432" s="26" t="s">
        <v>25</v>
      </c>
      <c r="D432" s="26" t="s">
        <v>931</v>
      </c>
      <c r="E432" s="19">
        <v>-118</v>
      </c>
      <c r="F432" s="25" t="s">
        <v>8</v>
      </c>
      <c r="G432" s="64" t="s">
        <v>83</v>
      </c>
      <c r="H432" s="209"/>
    </row>
    <row r="433" spans="1:8" s="291" customFormat="1" hidden="1" x14ac:dyDescent="0.3">
      <c r="A433" s="287">
        <v>45861</v>
      </c>
      <c r="B433" s="689" t="s">
        <v>211</v>
      </c>
      <c r="C433" s="26" t="s">
        <v>17</v>
      </c>
      <c r="D433" s="26" t="s">
        <v>930</v>
      </c>
      <c r="E433" s="19">
        <v>-124</v>
      </c>
      <c r="F433" s="25" t="s">
        <v>8</v>
      </c>
      <c r="G433" s="64" t="s">
        <v>83</v>
      </c>
      <c r="H433" s="209"/>
    </row>
    <row r="434" spans="1:8" s="291" customFormat="1" hidden="1" x14ac:dyDescent="0.3">
      <c r="A434" s="287">
        <v>45861</v>
      </c>
      <c r="B434" s="689" t="s">
        <v>211</v>
      </c>
      <c r="C434" s="26" t="s">
        <v>72</v>
      </c>
      <c r="D434" s="26" t="s">
        <v>966</v>
      </c>
      <c r="E434" s="19">
        <v>-500</v>
      </c>
      <c r="F434" s="25" t="s">
        <v>8</v>
      </c>
      <c r="G434" s="64" t="s">
        <v>27</v>
      </c>
      <c r="H434" s="209"/>
    </row>
    <row r="435" spans="1:8" s="291" customFormat="1" hidden="1" x14ac:dyDescent="0.3">
      <c r="A435" s="287">
        <v>45861</v>
      </c>
      <c r="B435" s="689" t="s">
        <v>211</v>
      </c>
      <c r="C435" s="26" t="s">
        <v>72</v>
      </c>
      <c r="D435" s="26" t="s">
        <v>967</v>
      </c>
      <c r="E435" s="19">
        <v>-290</v>
      </c>
      <c r="F435" s="25" t="s">
        <v>8</v>
      </c>
      <c r="G435" s="64" t="s">
        <v>27</v>
      </c>
      <c r="H435" s="209"/>
    </row>
    <row r="436" spans="1:8" s="291" customFormat="1" hidden="1" x14ac:dyDescent="0.3">
      <c r="A436" s="287">
        <v>45861</v>
      </c>
      <c r="B436" s="689" t="s">
        <v>211</v>
      </c>
      <c r="C436" s="26" t="s">
        <v>72</v>
      </c>
      <c r="D436" s="26" t="s">
        <v>968</v>
      </c>
      <c r="E436" s="19">
        <v>-700</v>
      </c>
      <c r="F436" s="25" t="s">
        <v>8</v>
      </c>
      <c r="G436" s="64" t="s">
        <v>27</v>
      </c>
      <c r="H436" s="209"/>
    </row>
    <row r="437" spans="1:8" s="291" customFormat="1" hidden="1" x14ac:dyDescent="0.3">
      <c r="A437" s="287">
        <v>45861</v>
      </c>
      <c r="B437" s="689" t="s">
        <v>211</v>
      </c>
      <c r="C437" s="26" t="s">
        <v>72</v>
      </c>
      <c r="D437" s="26" t="s">
        <v>969</v>
      </c>
      <c r="E437" s="19">
        <v>-450</v>
      </c>
      <c r="F437" s="25" t="s">
        <v>8</v>
      </c>
      <c r="G437" s="64" t="s">
        <v>27</v>
      </c>
      <c r="H437" s="209"/>
    </row>
    <row r="438" spans="1:8" s="291" customFormat="1" hidden="1" x14ac:dyDescent="0.3">
      <c r="A438" s="287">
        <v>45861</v>
      </c>
      <c r="B438" s="689" t="s">
        <v>211</v>
      </c>
      <c r="C438" s="26" t="s">
        <v>72</v>
      </c>
      <c r="D438" s="26" t="s">
        <v>970</v>
      </c>
      <c r="E438" s="19">
        <v>-900</v>
      </c>
      <c r="F438" s="25" t="s">
        <v>8</v>
      </c>
      <c r="G438" s="64" t="s">
        <v>27</v>
      </c>
      <c r="H438" s="209"/>
    </row>
    <row r="439" spans="1:8" s="291" customFormat="1" hidden="1" x14ac:dyDescent="0.3">
      <c r="A439" s="287">
        <v>45861</v>
      </c>
      <c r="B439" s="689" t="s">
        <v>211</v>
      </c>
      <c r="C439" s="26" t="s">
        <v>72</v>
      </c>
      <c r="D439" s="26" t="s">
        <v>971</v>
      </c>
      <c r="E439" s="19">
        <v>-500</v>
      </c>
      <c r="F439" s="25" t="s">
        <v>8</v>
      </c>
      <c r="G439" s="64" t="s">
        <v>27</v>
      </c>
      <c r="H439" s="209"/>
    </row>
    <row r="440" spans="1:8" s="291" customFormat="1" hidden="1" x14ac:dyDescent="0.3">
      <c r="A440" s="287">
        <v>45861</v>
      </c>
      <c r="B440" s="689" t="s">
        <v>211</v>
      </c>
      <c r="C440" s="26" t="s">
        <v>72</v>
      </c>
      <c r="D440" s="26" t="s">
        <v>972</v>
      </c>
      <c r="E440" s="19">
        <v>-340</v>
      </c>
      <c r="F440" s="25" t="s">
        <v>8</v>
      </c>
      <c r="G440" s="64" t="s">
        <v>27</v>
      </c>
      <c r="H440" s="209"/>
    </row>
    <row r="441" spans="1:8" s="291" customFormat="1" hidden="1" x14ac:dyDescent="0.3">
      <c r="A441" s="205">
        <v>45862</v>
      </c>
      <c r="B441" s="10" t="s">
        <v>211</v>
      </c>
      <c r="C441" s="26" t="s">
        <v>72</v>
      </c>
      <c r="D441" s="26" t="s">
        <v>977</v>
      </c>
      <c r="E441" s="19">
        <v>-12.3</v>
      </c>
      <c r="F441" s="20" t="s">
        <v>8</v>
      </c>
      <c r="G441" s="20" t="s">
        <v>83</v>
      </c>
      <c r="H441" s="209"/>
    </row>
    <row r="442" spans="1:8" s="291" customFormat="1" hidden="1" x14ac:dyDescent="0.3">
      <c r="A442" s="205">
        <v>45862</v>
      </c>
      <c r="B442" s="10" t="s">
        <v>211</v>
      </c>
      <c r="C442" s="26" t="s">
        <v>72</v>
      </c>
      <c r="D442" s="26" t="s">
        <v>978</v>
      </c>
      <c r="E442" s="19">
        <v>-12.3</v>
      </c>
      <c r="F442" s="20" t="s">
        <v>8</v>
      </c>
      <c r="G442" s="20" t="s">
        <v>83</v>
      </c>
      <c r="H442" s="209"/>
    </row>
    <row r="443" spans="1:8" s="291" customFormat="1" hidden="1" x14ac:dyDescent="0.3">
      <c r="A443" s="205">
        <v>45862</v>
      </c>
      <c r="B443" s="10" t="s">
        <v>211</v>
      </c>
      <c r="C443" s="26" t="s">
        <v>72</v>
      </c>
      <c r="D443" s="24" t="s">
        <v>903</v>
      </c>
      <c r="E443" s="235">
        <v>-187.42</v>
      </c>
      <c r="F443" s="25" t="s">
        <v>8</v>
      </c>
      <c r="G443" s="20" t="s">
        <v>74</v>
      </c>
      <c r="H443" s="209"/>
    </row>
    <row r="444" spans="1:8" s="291" customFormat="1" hidden="1" x14ac:dyDescent="0.3">
      <c r="A444" s="205">
        <v>45862</v>
      </c>
      <c r="B444" s="10" t="s">
        <v>211</v>
      </c>
      <c r="C444" s="244" t="s">
        <v>72</v>
      </c>
      <c r="D444" s="24" t="s">
        <v>904</v>
      </c>
      <c r="E444" s="235">
        <v>-4375.75</v>
      </c>
      <c r="F444" s="25" t="s">
        <v>8</v>
      </c>
      <c r="G444" s="20" t="s">
        <v>74</v>
      </c>
      <c r="H444" s="209"/>
    </row>
    <row r="445" spans="1:8" s="291" customFormat="1" hidden="1" x14ac:dyDescent="0.3">
      <c r="A445" s="287">
        <v>45860</v>
      </c>
      <c r="B445" s="10" t="s">
        <v>211</v>
      </c>
      <c r="C445" s="26" t="s">
        <v>72</v>
      </c>
      <c r="D445" s="24" t="s">
        <v>905</v>
      </c>
      <c r="E445" s="235">
        <v>-4831.93</v>
      </c>
      <c r="F445" s="25" t="s">
        <v>8</v>
      </c>
      <c r="G445" s="20" t="s">
        <v>74</v>
      </c>
      <c r="H445" s="209"/>
    </row>
    <row r="446" spans="1:8" s="291" customFormat="1" hidden="1" x14ac:dyDescent="0.3">
      <c r="A446" s="205">
        <v>45862</v>
      </c>
      <c r="B446" s="10" t="s">
        <v>211</v>
      </c>
      <c r="C446" s="244" t="s">
        <v>72</v>
      </c>
      <c r="D446" s="24" t="s">
        <v>906</v>
      </c>
      <c r="E446" s="235">
        <v>-468.58</v>
      </c>
      <c r="F446" s="25" t="s">
        <v>8</v>
      </c>
      <c r="G446" s="20" t="s">
        <v>74</v>
      </c>
      <c r="H446" s="209"/>
    </row>
    <row r="447" spans="1:8" s="291" customFormat="1" hidden="1" x14ac:dyDescent="0.3">
      <c r="A447" s="205">
        <v>45862</v>
      </c>
      <c r="B447" s="10" t="s">
        <v>211</v>
      </c>
      <c r="C447" s="26" t="s">
        <v>72</v>
      </c>
      <c r="D447" s="24" t="s">
        <v>907</v>
      </c>
      <c r="E447" s="235">
        <v>-1408.66</v>
      </c>
      <c r="F447" s="25" t="s">
        <v>8</v>
      </c>
      <c r="G447" s="20" t="s">
        <v>74</v>
      </c>
      <c r="H447" s="209"/>
    </row>
    <row r="448" spans="1:8" s="291" customFormat="1" hidden="1" x14ac:dyDescent="0.3">
      <c r="A448" s="287">
        <v>45856</v>
      </c>
      <c r="B448" s="10" t="s">
        <v>211</v>
      </c>
      <c r="C448" s="26" t="s">
        <v>72</v>
      </c>
      <c r="D448" s="26" t="s">
        <v>911</v>
      </c>
      <c r="E448" s="19">
        <v>-130.16</v>
      </c>
      <c r="F448" s="25" t="s">
        <v>8</v>
      </c>
      <c r="G448" s="20" t="s">
        <v>74</v>
      </c>
      <c r="H448" s="209"/>
    </row>
    <row r="449" spans="1:8" s="291" customFormat="1" hidden="1" x14ac:dyDescent="0.3">
      <c r="A449" s="205">
        <v>45854</v>
      </c>
      <c r="B449" s="10" t="s">
        <v>211</v>
      </c>
      <c r="C449" s="26" t="s">
        <v>25</v>
      </c>
      <c r="D449" s="26" t="s">
        <v>813</v>
      </c>
      <c r="E449" s="19">
        <v>-250.4</v>
      </c>
      <c r="F449" s="25" t="s">
        <v>8</v>
      </c>
      <c r="G449" s="20" t="s">
        <v>83</v>
      </c>
      <c r="H449" s="209"/>
    </row>
    <row r="450" spans="1:8" s="291" customFormat="1" hidden="1" x14ac:dyDescent="0.3">
      <c r="A450" s="287">
        <v>45854</v>
      </c>
      <c r="B450" s="10" t="s">
        <v>211</v>
      </c>
      <c r="C450" s="26" t="s">
        <v>25</v>
      </c>
      <c r="D450" s="26" t="s">
        <v>814</v>
      </c>
      <c r="E450" s="19">
        <v>-319.8</v>
      </c>
      <c r="F450" s="25" t="s">
        <v>8</v>
      </c>
      <c r="G450" s="20" t="s">
        <v>83</v>
      </c>
      <c r="H450" s="209"/>
    </row>
    <row r="451" spans="1:8" s="291" customFormat="1" hidden="1" x14ac:dyDescent="0.3">
      <c r="A451" s="287">
        <v>45855</v>
      </c>
      <c r="B451" s="10" t="s">
        <v>211</v>
      </c>
      <c r="C451" s="26" t="s">
        <v>25</v>
      </c>
      <c r="D451" s="26" t="s">
        <v>825</v>
      </c>
      <c r="E451" s="19">
        <v>-153.4</v>
      </c>
      <c r="F451" s="25" t="s">
        <v>8</v>
      </c>
      <c r="G451" s="20" t="s">
        <v>83</v>
      </c>
      <c r="H451" s="209"/>
    </row>
    <row r="452" spans="1:8" s="291" customFormat="1" hidden="1" x14ac:dyDescent="0.3">
      <c r="A452" s="287">
        <v>45855</v>
      </c>
      <c r="B452" s="10" t="s">
        <v>211</v>
      </c>
      <c r="C452" s="26" t="s">
        <v>25</v>
      </c>
      <c r="D452" s="26" t="s">
        <v>826</v>
      </c>
      <c r="E452" s="19">
        <v>-110</v>
      </c>
      <c r="F452" s="25" t="s">
        <v>8</v>
      </c>
      <c r="G452" s="20" t="s">
        <v>83</v>
      </c>
      <c r="H452" s="209"/>
    </row>
    <row r="453" spans="1:8" s="291" customFormat="1" hidden="1" x14ac:dyDescent="0.3">
      <c r="A453" s="287">
        <v>45855</v>
      </c>
      <c r="B453" s="10" t="s">
        <v>211</v>
      </c>
      <c r="C453" s="26" t="s">
        <v>25</v>
      </c>
      <c r="D453" s="26" t="s">
        <v>491</v>
      </c>
      <c r="E453" s="19">
        <v>-159.9</v>
      </c>
      <c r="F453" s="25" t="s">
        <v>8</v>
      </c>
      <c r="G453" s="20" t="s">
        <v>83</v>
      </c>
      <c r="H453" s="209"/>
    </row>
    <row r="454" spans="1:8" s="291" customFormat="1" hidden="1" x14ac:dyDescent="0.3">
      <c r="A454" s="287">
        <v>45855</v>
      </c>
      <c r="B454" s="10" t="s">
        <v>211</v>
      </c>
      <c r="C454" s="30" t="s">
        <v>708</v>
      </c>
      <c r="D454" s="26" t="s">
        <v>505</v>
      </c>
      <c r="E454" s="19">
        <v>-1500</v>
      </c>
      <c r="F454" s="25" t="s">
        <v>8</v>
      </c>
      <c r="G454" s="20" t="s">
        <v>15</v>
      </c>
      <c r="H454" s="209"/>
    </row>
    <row r="455" spans="1:8" s="291" customFormat="1" hidden="1" x14ac:dyDescent="0.3">
      <c r="A455" s="287">
        <v>45855</v>
      </c>
      <c r="B455" s="10" t="s">
        <v>211</v>
      </c>
      <c r="C455" s="26" t="s">
        <v>25</v>
      </c>
      <c r="D455" s="26" t="s">
        <v>870</v>
      </c>
      <c r="E455" s="19">
        <v>-44.87</v>
      </c>
      <c r="F455" s="25" t="s">
        <v>8</v>
      </c>
      <c r="G455" s="20" t="s">
        <v>871</v>
      </c>
      <c r="H455" s="209"/>
    </row>
    <row r="456" spans="1:8" s="291" customFormat="1" hidden="1" x14ac:dyDescent="0.3">
      <c r="A456" s="287">
        <v>45859</v>
      </c>
      <c r="B456" s="10" t="s">
        <v>211</v>
      </c>
      <c r="C456" s="26" t="s">
        <v>25</v>
      </c>
      <c r="D456" s="26" t="s">
        <v>869</v>
      </c>
      <c r="E456" s="19">
        <v>-150</v>
      </c>
      <c r="F456" s="25" t="s">
        <v>8</v>
      </c>
      <c r="G456" s="20" t="s">
        <v>27</v>
      </c>
      <c r="H456" s="209"/>
    </row>
    <row r="457" spans="1:8" s="514" customFormat="1" hidden="1" x14ac:dyDescent="0.3">
      <c r="A457" s="515">
        <v>45869</v>
      </c>
      <c r="B457" s="511" t="s">
        <v>211</v>
      </c>
      <c r="C457" s="592" t="s">
        <v>6</v>
      </c>
      <c r="D457" s="592" t="s">
        <v>525</v>
      </c>
      <c r="E457" s="512">
        <v>-310.5</v>
      </c>
      <c r="F457" s="513" t="s">
        <v>8</v>
      </c>
      <c r="G457" s="518" t="s">
        <v>83</v>
      </c>
    </row>
    <row r="458" spans="1:8" s="514" customFormat="1" hidden="1" x14ac:dyDescent="0.3">
      <c r="A458" s="515">
        <v>45869</v>
      </c>
      <c r="B458" s="511" t="s">
        <v>211</v>
      </c>
      <c r="C458" s="592" t="s">
        <v>25</v>
      </c>
      <c r="D458" s="592" t="s">
        <v>1015</v>
      </c>
      <c r="E458" s="512">
        <v>-210</v>
      </c>
      <c r="F458" s="513" t="s">
        <v>8</v>
      </c>
      <c r="G458" s="518" t="s">
        <v>83</v>
      </c>
    </row>
    <row r="459" spans="1:8" s="514" customFormat="1" hidden="1" x14ac:dyDescent="0.3">
      <c r="A459" s="515">
        <v>45869</v>
      </c>
      <c r="B459" s="511" t="s">
        <v>211</v>
      </c>
      <c r="C459" s="592" t="s">
        <v>25</v>
      </c>
      <c r="D459" s="592" t="s">
        <v>1016</v>
      </c>
      <c r="E459" s="512">
        <v>-110</v>
      </c>
      <c r="F459" s="513" t="s">
        <v>8</v>
      </c>
      <c r="G459" s="518" t="s">
        <v>83</v>
      </c>
    </row>
    <row r="460" spans="1:8" s="514" customFormat="1" hidden="1" x14ac:dyDescent="0.3">
      <c r="A460" s="515">
        <v>45869</v>
      </c>
      <c r="B460" s="511" t="s">
        <v>211</v>
      </c>
      <c r="C460" s="592" t="s">
        <v>25</v>
      </c>
      <c r="D460" s="592" t="s">
        <v>1017</v>
      </c>
      <c r="E460" s="512">
        <v>-319</v>
      </c>
      <c r="F460" s="513" t="s">
        <v>8</v>
      </c>
      <c r="G460" s="518" t="s">
        <v>83</v>
      </c>
    </row>
    <row r="461" spans="1:8" s="514" customFormat="1" hidden="1" x14ac:dyDescent="0.3">
      <c r="A461" s="515">
        <v>45869</v>
      </c>
      <c r="B461" s="511" t="s">
        <v>211</v>
      </c>
      <c r="C461" s="596" t="s">
        <v>25</v>
      </c>
      <c r="D461" s="592" t="s">
        <v>1018</v>
      </c>
      <c r="E461" s="512">
        <v>-219.2</v>
      </c>
      <c r="F461" s="513" t="s">
        <v>8</v>
      </c>
      <c r="G461" s="518" t="s">
        <v>83</v>
      </c>
    </row>
    <row r="462" spans="1:8" s="514" customFormat="1" hidden="1" x14ac:dyDescent="0.3">
      <c r="A462" s="515">
        <v>45869</v>
      </c>
      <c r="B462" s="511" t="s">
        <v>211</v>
      </c>
      <c r="C462" s="596" t="s">
        <v>17</v>
      </c>
      <c r="D462" s="592" t="s">
        <v>1019</v>
      </c>
      <c r="E462" s="512">
        <v>-575.4</v>
      </c>
      <c r="F462" s="513" t="s">
        <v>8</v>
      </c>
      <c r="G462" s="518" t="s">
        <v>83</v>
      </c>
    </row>
    <row r="463" spans="1:8" s="514" customFormat="1" hidden="1" x14ac:dyDescent="0.3">
      <c r="A463" s="515">
        <v>45869</v>
      </c>
      <c r="B463" s="511" t="s">
        <v>211</v>
      </c>
      <c r="C463" s="596" t="s">
        <v>17</v>
      </c>
      <c r="D463" s="592" t="s">
        <v>1020</v>
      </c>
      <c r="E463" s="512">
        <v>-100</v>
      </c>
      <c r="F463" s="513" t="s">
        <v>8</v>
      </c>
      <c r="G463" s="518" t="s">
        <v>83</v>
      </c>
    </row>
    <row r="464" spans="1:8" s="514" customFormat="1" hidden="1" x14ac:dyDescent="0.3">
      <c r="A464" s="515">
        <v>45869</v>
      </c>
      <c r="B464" s="511" t="s">
        <v>211</v>
      </c>
      <c r="C464" s="596" t="s">
        <v>17</v>
      </c>
      <c r="D464" s="592" t="s">
        <v>1021</v>
      </c>
      <c r="E464" s="512">
        <v>-275</v>
      </c>
      <c r="F464" s="513" t="s">
        <v>8</v>
      </c>
      <c r="G464" s="518" t="s">
        <v>83</v>
      </c>
    </row>
    <row r="465" spans="1:7" s="514" customFormat="1" hidden="1" x14ac:dyDescent="0.3">
      <c r="A465" s="515">
        <v>45869</v>
      </c>
      <c r="B465" s="511" t="s">
        <v>211</v>
      </c>
      <c r="C465" s="596" t="s">
        <v>17</v>
      </c>
      <c r="D465" s="592" t="s">
        <v>1022</v>
      </c>
      <c r="E465" s="512">
        <v>-110</v>
      </c>
      <c r="F465" s="513" t="s">
        <v>8</v>
      </c>
      <c r="G465" s="518" t="s">
        <v>83</v>
      </c>
    </row>
    <row r="466" spans="1:7" s="514" customFormat="1" hidden="1" x14ac:dyDescent="0.3">
      <c r="A466" s="515">
        <v>45869</v>
      </c>
      <c r="B466" s="511" t="s">
        <v>211</v>
      </c>
      <c r="C466" s="592" t="s">
        <v>25</v>
      </c>
      <c r="D466" s="592" t="s">
        <v>1033</v>
      </c>
      <c r="E466" s="512">
        <v>-304</v>
      </c>
      <c r="F466" s="513" t="s">
        <v>8</v>
      </c>
      <c r="G466" s="518" t="s">
        <v>83</v>
      </c>
    </row>
    <row r="467" spans="1:7" s="514" customFormat="1" hidden="1" x14ac:dyDescent="0.3">
      <c r="A467" s="515">
        <v>45869</v>
      </c>
      <c r="B467" s="511" t="s">
        <v>211</v>
      </c>
      <c r="C467" s="592" t="s">
        <v>25</v>
      </c>
      <c r="D467" s="592" t="s">
        <v>873</v>
      </c>
      <c r="E467" s="512">
        <v>-192</v>
      </c>
      <c r="F467" s="513" t="s">
        <v>8</v>
      </c>
      <c r="G467" s="518" t="s">
        <v>83</v>
      </c>
    </row>
    <row r="468" spans="1:7" s="514" customFormat="1" hidden="1" x14ac:dyDescent="0.3">
      <c r="A468" s="515">
        <v>45869</v>
      </c>
      <c r="B468" s="511" t="s">
        <v>211</v>
      </c>
      <c r="C468" s="592" t="s">
        <v>25</v>
      </c>
      <c r="D468" s="592" t="s">
        <v>429</v>
      </c>
      <c r="E468" s="512">
        <v>-150.4</v>
      </c>
      <c r="F468" s="513" t="s">
        <v>8</v>
      </c>
      <c r="G468" s="518" t="s">
        <v>83</v>
      </c>
    </row>
    <row r="469" spans="1:7" s="514" customFormat="1" hidden="1" x14ac:dyDescent="0.3">
      <c r="A469" s="515">
        <v>45869</v>
      </c>
      <c r="B469" s="511" t="s">
        <v>211</v>
      </c>
      <c r="C469" s="592" t="s">
        <v>72</v>
      </c>
      <c r="D469" s="592" t="s">
        <v>526</v>
      </c>
      <c r="E469" s="512">
        <v>-110</v>
      </c>
      <c r="F469" s="513" t="s">
        <v>8</v>
      </c>
      <c r="G469" s="518" t="s">
        <v>83</v>
      </c>
    </row>
    <row r="470" spans="1:7" s="514" customFormat="1" hidden="1" x14ac:dyDescent="0.3">
      <c r="A470" s="515">
        <v>45869</v>
      </c>
      <c r="B470" s="511" t="s">
        <v>211</v>
      </c>
      <c r="C470" s="592" t="s">
        <v>72</v>
      </c>
      <c r="D470" s="592" t="s">
        <v>87</v>
      </c>
      <c r="E470" s="512">
        <v>-231</v>
      </c>
      <c r="F470" s="513" t="s">
        <v>8</v>
      </c>
      <c r="G470" s="518" t="s">
        <v>83</v>
      </c>
    </row>
    <row r="471" spans="1:7" s="514" customFormat="1" hidden="1" x14ac:dyDescent="0.3">
      <c r="A471" s="515">
        <v>45869</v>
      </c>
      <c r="B471" s="511" t="s">
        <v>211</v>
      </c>
      <c r="C471" s="596" t="s">
        <v>17</v>
      </c>
      <c r="D471" s="592" t="s">
        <v>811</v>
      </c>
      <c r="E471" s="512">
        <v>-236.8</v>
      </c>
      <c r="F471" s="513" t="s">
        <v>8</v>
      </c>
      <c r="G471" s="518" t="s">
        <v>83</v>
      </c>
    </row>
    <row r="472" spans="1:7" s="514" customFormat="1" hidden="1" x14ac:dyDescent="0.3">
      <c r="A472" s="515">
        <v>45869</v>
      </c>
      <c r="B472" s="511" t="s">
        <v>211</v>
      </c>
      <c r="C472" s="596" t="s">
        <v>17</v>
      </c>
      <c r="D472" s="592" t="s">
        <v>1061</v>
      </c>
      <c r="E472" s="512">
        <v>-196.8</v>
      </c>
      <c r="F472" s="513" t="s">
        <v>8</v>
      </c>
      <c r="G472" s="518" t="s">
        <v>83</v>
      </c>
    </row>
    <row r="473" spans="1:7" s="514" customFormat="1" hidden="1" x14ac:dyDescent="0.3">
      <c r="A473" s="515">
        <v>45869</v>
      </c>
      <c r="B473" s="511" t="s">
        <v>211</v>
      </c>
      <c r="C473" s="688" t="s">
        <v>25</v>
      </c>
      <c r="D473" s="592" t="s">
        <v>386</v>
      </c>
      <c r="E473" s="512">
        <v>-203.7</v>
      </c>
      <c r="F473" s="513" t="s">
        <v>8</v>
      </c>
      <c r="G473" s="518" t="s">
        <v>83</v>
      </c>
    </row>
    <row r="474" spans="1:7" s="291" customFormat="1" hidden="1" x14ac:dyDescent="0.3">
      <c r="A474" s="205">
        <v>45854</v>
      </c>
      <c r="B474" s="10" t="s">
        <v>211</v>
      </c>
      <c r="C474" s="26" t="s">
        <v>32</v>
      </c>
      <c r="D474" s="26" t="s">
        <v>534</v>
      </c>
      <c r="E474" s="19">
        <v>-319.27</v>
      </c>
      <c r="F474" s="20" t="s">
        <v>8</v>
      </c>
      <c r="G474" s="20" t="s">
        <v>76</v>
      </c>
    </row>
    <row r="475" spans="1:7" s="291" customFormat="1" hidden="1" x14ac:dyDescent="0.3">
      <c r="A475" s="205">
        <v>45854</v>
      </c>
      <c r="B475" s="10" t="s">
        <v>211</v>
      </c>
      <c r="C475" s="26" t="s">
        <v>6</v>
      </c>
      <c r="D475" s="26" t="s">
        <v>673</v>
      </c>
      <c r="E475" s="19">
        <v>-1302</v>
      </c>
      <c r="F475" s="20" t="s">
        <v>8</v>
      </c>
      <c r="G475" s="20" t="s">
        <v>19</v>
      </c>
    </row>
    <row r="476" spans="1:7" s="291" customFormat="1" hidden="1" x14ac:dyDescent="0.3">
      <c r="A476" s="205">
        <v>45854</v>
      </c>
      <c r="B476" s="10" t="s">
        <v>211</v>
      </c>
      <c r="C476" s="26" t="s">
        <v>6</v>
      </c>
      <c r="D476" s="26" t="s">
        <v>848</v>
      </c>
      <c r="E476" s="19">
        <v>-2350</v>
      </c>
      <c r="F476" s="20" t="s">
        <v>8</v>
      </c>
      <c r="G476" s="20" t="s">
        <v>142</v>
      </c>
    </row>
    <row r="477" spans="1:7" s="291" customFormat="1" hidden="1" x14ac:dyDescent="0.3">
      <c r="A477" s="205">
        <v>45854</v>
      </c>
      <c r="B477" s="10" t="s">
        <v>211</v>
      </c>
      <c r="C477" s="26" t="s">
        <v>6</v>
      </c>
      <c r="D477" s="26" t="s">
        <v>849</v>
      </c>
      <c r="E477" s="19">
        <v>-3200</v>
      </c>
      <c r="F477" s="20" t="s">
        <v>8</v>
      </c>
      <c r="G477" s="20" t="s">
        <v>142</v>
      </c>
    </row>
    <row r="478" spans="1:7" s="291" customFormat="1" hidden="1" x14ac:dyDescent="0.3">
      <c r="A478" s="205">
        <v>45854</v>
      </c>
      <c r="B478" s="10" t="s">
        <v>211</v>
      </c>
      <c r="C478" s="63" t="s">
        <v>72</v>
      </c>
      <c r="D478" s="26" t="s">
        <v>678</v>
      </c>
      <c r="E478" s="19">
        <v>-600</v>
      </c>
      <c r="F478" s="20" t="s">
        <v>8</v>
      </c>
      <c r="G478" s="20" t="s">
        <v>27</v>
      </c>
    </row>
    <row r="479" spans="1:7" hidden="1" x14ac:dyDescent="0.3">
      <c r="A479" s="205">
        <v>45854</v>
      </c>
      <c r="B479" s="10" t="s">
        <v>211</v>
      </c>
      <c r="C479" s="63" t="s">
        <v>72</v>
      </c>
      <c r="D479" s="24" t="s">
        <v>677</v>
      </c>
      <c r="E479" s="21">
        <v>-800</v>
      </c>
      <c r="F479" s="20" t="s">
        <v>8</v>
      </c>
      <c r="G479" s="20" t="s">
        <v>27</v>
      </c>
    </row>
    <row r="480" spans="1:7" s="291" customFormat="1" hidden="1" x14ac:dyDescent="0.3">
      <c r="A480" s="205">
        <v>45854</v>
      </c>
      <c r="B480" s="10" t="s">
        <v>211</v>
      </c>
      <c r="C480" s="63" t="s">
        <v>72</v>
      </c>
      <c r="D480" s="26" t="s">
        <v>676</v>
      </c>
      <c r="E480" s="19">
        <v>-200</v>
      </c>
      <c r="F480" s="20" t="s">
        <v>8</v>
      </c>
      <c r="G480" s="20" t="s">
        <v>27</v>
      </c>
    </row>
    <row r="481" spans="1:7" s="291" customFormat="1" hidden="1" x14ac:dyDescent="0.3">
      <c r="A481" s="205">
        <v>45854</v>
      </c>
      <c r="B481" s="10" t="s">
        <v>211</v>
      </c>
      <c r="C481" s="63" t="s">
        <v>72</v>
      </c>
      <c r="D481" s="26" t="s">
        <v>675</v>
      </c>
      <c r="E481" s="19">
        <v>-1250</v>
      </c>
      <c r="F481" s="20" t="s">
        <v>8</v>
      </c>
      <c r="G481" s="20" t="s">
        <v>27</v>
      </c>
    </row>
    <row r="482" spans="1:7" s="291" customFormat="1" hidden="1" x14ac:dyDescent="0.3">
      <c r="A482" s="205">
        <v>45854</v>
      </c>
      <c r="B482" s="10" t="s">
        <v>211</v>
      </c>
      <c r="C482" s="63" t="s">
        <v>72</v>
      </c>
      <c r="D482" s="26" t="s">
        <v>674</v>
      </c>
      <c r="E482" s="19">
        <v>-1400</v>
      </c>
      <c r="F482" s="20" t="s">
        <v>8</v>
      </c>
      <c r="G482" s="20" t="s">
        <v>27</v>
      </c>
    </row>
    <row r="483" spans="1:7" s="291" customFormat="1" ht="15" hidden="1" customHeight="1" x14ac:dyDescent="0.3">
      <c r="A483" s="205">
        <v>45854</v>
      </c>
      <c r="B483" s="10" t="s">
        <v>211</v>
      </c>
      <c r="C483" s="17" t="s">
        <v>25</v>
      </c>
      <c r="D483" s="26" t="s">
        <v>860</v>
      </c>
      <c r="E483" s="19">
        <v>-840</v>
      </c>
      <c r="F483" s="20" t="s">
        <v>8</v>
      </c>
      <c r="G483" s="20" t="s">
        <v>101</v>
      </c>
    </row>
    <row r="484" spans="1:7" s="291" customFormat="1" hidden="1" x14ac:dyDescent="0.3">
      <c r="A484" s="205">
        <v>45854</v>
      </c>
      <c r="B484" s="10" t="s">
        <v>211</v>
      </c>
      <c r="C484" s="17" t="s">
        <v>31</v>
      </c>
      <c r="D484" s="18" t="s">
        <v>854</v>
      </c>
      <c r="E484" s="19">
        <v>-2247.35</v>
      </c>
      <c r="F484" s="14" t="s">
        <v>8</v>
      </c>
      <c r="G484" s="14" t="s">
        <v>86</v>
      </c>
    </row>
    <row r="485" spans="1:7" s="291" customFormat="1" hidden="1" x14ac:dyDescent="0.3">
      <c r="A485" s="288">
        <v>45859</v>
      </c>
      <c r="B485" s="59" t="s">
        <v>211</v>
      </c>
      <c r="C485" s="63" t="s">
        <v>6</v>
      </c>
      <c r="D485" s="496" t="s">
        <v>921</v>
      </c>
      <c r="E485" s="67">
        <v>-220</v>
      </c>
      <c r="F485" s="60" t="s">
        <v>8</v>
      </c>
      <c r="G485" s="62" t="s">
        <v>207</v>
      </c>
    </row>
    <row r="486" spans="1:7" s="291" customFormat="1" hidden="1" x14ac:dyDescent="0.3">
      <c r="A486" s="288">
        <v>45859</v>
      </c>
      <c r="B486" s="59" t="s">
        <v>211</v>
      </c>
      <c r="C486" s="63" t="s">
        <v>72</v>
      </c>
      <c r="D486" s="63" t="s">
        <v>916</v>
      </c>
      <c r="E486" s="67">
        <v>-1292.570109</v>
      </c>
      <c r="F486" s="60" t="s">
        <v>8</v>
      </c>
      <c r="G486" s="64" t="s">
        <v>233</v>
      </c>
    </row>
    <row r="487" spans="1:7" s="291" customFormat="1" hidden="1" x14ac:dyDescent="0.3">
      <c r="A487" s="66">
        <v>45859</v>
      </c>
      <c r="B487" s="59" t="s">
        <v>211</v>
      </c>
      <c r="C487" s="63" t="s">
        <v>6</v>
      </c>
      <c r="D487" s="63" t="s">
        <v>920</v>
      </c>
      <c r="E487" s="67">
        <v>-3619.3394859999999</v>
      </c>
      <c r="F487" s="60" t="s">
        <v>8</v>
      </c>
      <c r="G487" s="20" t="s">
        <v>142</v>
      </c>
    </row>
    <row r="488" spans="1:7" s="291" customFormat="1" ht="13.8" hidden="1" customHeight="1" x14ac:dyDescent="0.3">
      <c r="A488" s="66">
        <v>45859</v>
      </c>
      <c r="B488" s="59" t="s">
        <v>211</v>
      </c>
      <c r="C488" s="63" t="s">
        <v>72</v>
      </c>
      <c r="D488" s="63" t="s">
        <v>919</v>
      </c>
      <c r="E488" s="67">
        <v>-1718.37</v>
      </c>
      <c r="F488" s="64" t="s">
        <v>8</v>
      </c>
      <c r="G488" s="64" t="s">
        <v>233</v>
      </c>
    </row>
    <row r="489" spans="1:7" s="291" customFormat="1" hidden="1" x14ac:dyDescent="0.3">
      <c r="A489" s="205">
        <v>45859</v>
      </c>
      <c r="B489" s="10" t="s">
        <v>211</v>
      </c>
      <c r="C489" s="26" t="s">
        <v>44</v>
      </c>
      <c r="D489" s="26" t="s">
        <v>917</v>
      </c>
      <c r="E489" s="19">
        <v>-235.4</v>
      </c>
      <c r="F489" s="20" t="s">
        <v>8</v>
      </c>
      <c r="G489" s="14" t="s">
        <v>207</v>
      </c>
    </row>
    <row r="490" spans="1:7" s="291" customFormat="1" hidden="1" x14ac:dyDescent="0.3">
      <c r="A490" s="205">
        <v>45859</v>
      </c>
      <c r="B490" s="10" t="s">
        <v>211</v>
      </c>
      <c r="C490" s="26" t="s">
        <v>25</v>
      </c>
      <c r="D490" s="26" t="s">
        <v>874</v>
      </c>
      <c r="E490" s="19">
        <v>-330</v>
      </c>
      <c r="F490" s="20" t="s">
        <v>8</v>
      </c>
      <c r="G490" s="20" t="s">
        <v>83</v>
      </c>
    </row>
    <row r="491" spans="1:7" s="291" customFormat="1" hidden="1" x14ac:dyDescent="0.3">
      <c r="A491" s="205">
        <v>45859</v>
      </c>
      <c r="B491" s="10" t="s">
        <v>211</v>
      </c>
      <c r="C491" s="26" t="s">
        <v>25</v>
      </c>
      <c r="D491" s="26" t="s">
        <v>875</v>
      </c>
      <c r="E491" s="19">
        <v>-100</v>
      </c>
      <c r="F491" s="20" t="s">
        <v>8</v>
      </c>
      <c r="G491" s="20" t="s">
        <v>83</v>
      </c>
    </row>
    <row r="492" spans="1:7" s="291" customFormat="1" hidden="1" x14ac:dyDescent="0.3">
      <c r="A492" s="205">
        <v>45859</v>
      </c>
      <c r="B492" s="10" t="s">
        <v>211</v>
      </c>
      <c r="C492" s="26" t="s">
        <v>25</v>
      </c>
      <c r="D492" s="26" t="s">
        <v>876</v>
      </c>
      <c r="E492" s="19">
        <v>-205</v>
      </c>
      <c r="F492" s="20" t="s">
        <v>8</v>
      </c>
      <c r="G492" s="20" t="s">
        <v>83</v>
      </c>
    </row>
    <row r="493" spans="1:7" s="291" customFormat="1" hidden="1" x14ac:dyDescent="0.3">
      <c r="A493" s="205">
        <v>45859</v>
      </c>
      <c r="B493" s="10" t="s">
        <v>211</v>
      </c>
      <c r="C493" s="26" t="s">
        <v>25</v>
      </c>
      <c r="D493" s="26" t="s">
        <v>877</v>
      </c>
      <c r="E493" s="19">
        <v>-128</v>
      </c>
      <c r="F493" s="20" t="s">
        <v>8</v>
      </c>
      <c r="G493" s="20" t="s">
        <v>83</v>
      </c>
    </row>
    <row r="494" spans="1:7" s="291" customFormat="1" hidden="1" x14ac:dyDescent="0.3">
      <c r="A494" s="205">
        <v>45859</v>
      </c>
      <c r="B494" s="10" t="s">
        <v>211</v>
      </c>
      <c r="C494" s="26" t="s">
        <v>25</v>
      </c>
      <c r="D494" s="26" t="s">
        <v>878</v>
      </c>
      <c r="E494" s="19">
        <v>-123</v>
      </c>
      <c r="F494" s="20" t="s">
        <v>8</v>
      </c>
      <c r="G494" s="20" t="s">
        <v>83</v>
      </c>
    </row>
    <row r="495" spans="1:7" s="291" customFormat="1" hidden="1" x14ac:dyDescent="0.3">
      <c r="A495" s="205">
        <v>45859</v>
      </c>
      <c r="B495" s="10" t="s">
        <v>211</v>
      </c>
      <c r="C495" s="26" t="s">
        <v>31</v>
      </c>
      <c r="D495" s="26" t="s">
        <v>879</v>
      </c>
      <c r="E495" s="19">
        <v>-1729.66</v>
      </c>
      <c r="F495" s="20" t="s">
        <v>8</v>
      </c>
      <c r="G495" s="20" t="s">
        <v>51</v>
      </c>
    </row>
    <row r="496" spans="1:7" s="291" customFormat="1" ht="13.2" hidden="1" customHeight="1" x14ac:dyDescent="0.3">
      <c r="A496" s="205">
        <v>45859</v>
      </c>
      <c r="B496" s="10" t="s">
        <v>211</v>
      </c>
      <c r="C496" s="26" t="s">
        <v>6</v>
      </c>
      <c r="D496" s="26" t="s">
        <v>879</v>
      </c>
      <c r="E496" s="19">
        <v>-1061.3800000000001</v>
      </c>
      <c r="F496" s="20" t="s">
        <v>8</v>
      </c>
      <c r="G496" s="20" t="s">
        <v>51</v>
      </c>
    </row>
    <row r="497" spans="1:7" s="291" customFormat="1" hidden="1" x14ac:dyDescent="0.3">
      <c r="A497" s="205">
        <v>45859</v>
      </c>
      <c r="B497" s="10" t="s">
        <v>211</v>
      </c>
      <c r="C497" s="26" t="s">
        <v>44</v>
      </c>
      <c r="D497" s="26" t="s">
        <v>879</v>
      </c>
      <c r="E497" s="19">
        <v>-786.92</v>
      </c>
      <c r="F497" s="20" t="s">
        <v>8</v>
      </c>
      <c r="G497" s="20" t="s">
        <v>51</v>
      </c>
    </row>
    <row r="498" spans="1:7" s="291" customFormat="1" hidden="1" x14ac:dyDescent="0.3">
      <c r="A498" s="205">
        <v>45859</v>
      </c>
      <c r="B498" s="10" t="s">
        <v>211</v>
      </c>
      <c r="C498" s="26" t="s">
        <v>25</v>
      </c>
      <c r="D498" s="26" t="s">
        <v>879</v>
      </c>
      <c r="E498" s="19">
        <v>-2319.3200000000002</v>
      </c>
      <c r="F498" s="20" t="s">
        <v>8</v>
      </c>
      <c r="G498" s="20" t="s">
        <v>51</v>
      </c>
    </row>
    <row r="499" spans="1:7" s="291" customFormat="1" hidden="1" x14ac:dyDescent="0.3">
      <c r="A499" s="205">
        <v>45859</v>
      </c>
      <c r="B499" s="10" t="s">
        <v>211</v>
      </c>
      <c r="C499" s="26" t="s">
        <v>33</v>
      </c>
      <c r="D499" s="26" t="s">
        <v>879</v>
      </c>
      <c r="E499" s="19">
        <v>-791.16</v>
      </c>
      <c r="F499" s="20" t="s">
        <v>8</v>
      </c>
      <c r="G499" s="20" t="s">
        <v>51</v>
      </c>
    </row>
    <row r="500" spans="1:7" s="291" customFormat="1" ht="14.4" hidden="1" customHeight="1" x14ac:dyDescent="0.3">
      <c r="A500" s="205">
        <v>45859</v>
      </c>
      <c r="B500" s="10" t="s">
        <v>211</v>
      </c>
      <c r="C500" s="26" t="s">
        <v>106</v>
      </c>
      <c r="D500" s="26" t="s">
        <v>879</v>
      </c>
      <c r="E500" s="19">
        <v>-590.19000000000005</v>
      </c>
      <c r="F500" s="20" t="s">
        <v>8</v>
      </c>
      <c r="G500" s="20" t="s">
        <v>51</v>
      </c>
    </row>
    <row r="501" spans="1:7" s="291" customFormat="1" ht="12.6" hidden="1" customHeight="1" x14ac:dyDescent="0.3">
      <c r="A501" s="205">
        <v>45859</v>
      </c>
      <c r="B501" s="10" t="s">
        <v>211</v>
      </c>
      <c r="C501" s="26" t="s">
        <v>32</v>
      </c>
      <c r="D501" s="26" t="s">
        <v>879</v>
      </c>
      <c r="E501" s="19">
        <v>-157.38</v>
      </c>
      <c r="F501" s="20" t="s">
        <v>8</v>
      </c>
      <c r="G501" s="20" t="s">
        <v>51</v>
      </c>
    </row>
    <row r="502" spans="1:7" s="291" customFormat="1" hidden="1" x14ac:dyDescent="0.3">
      <c r="A502" s="205">
        <v>45859</v>
      </c>
      <c r="B502" s="10" t="s">
        <v>211</v>
      </c>
      <c r="C502" s="26" t="s">
        <v>72</v>
      </c>
      <c r="D502" s="26" t="s">
        <v>879</v>
      </c>
      <c r="E502" s="19">
        <v>-629.54</v>
      </c>
      <c r="F502" s="20" t="s">
        <v>8</v>
      </c>
      <c r="G502" s="20" t="s">
        <v>51</v>
      </c>
    </row>
    <row r="503" spans="1:7" s="291" customFormat="1" hidden="1" x14ac:dyDescent="0.3">
      <c r="A503" s="287">
        <v>45859</v>
      </c>
      <c r="B503" s="10" t="s">
        <v>211</v>
      </c>
      <c r="C503" s="17" t="s">
        <v>31</v>
      </c>
      <c r="D503" s="18" t="s">
        <v>201</v>
      </c>
      <c r="E503" s="19">
        <v>-3177.3</v>
      </c>
      <c r="F503" s="14" t="s">
        <v>8</v>
      </c>
      <c r="G503" s="14" t="s">
        <v>86</v>
      </c>
    </row>
    <row r="504" spans="1:7" s="291" customFormat="1" hidden="1" x14ac:dyDescent="0.3">
      <c r="A504" s="205">
        <v>45854</v>
      </c>
      <c r="B504" s="10" t="s">
        <v>211</v>
      </c>
      <c r="C504" s="17" t="s">
        <v>6</v>
      </c>
      <c r="D504" s="18" t="s">
        <v>847</v>
      </c>
      <c r="E504" s="19">
        <v>-3022.31</v>
      </c>
      <c r="F504" s="14" t="s">
        <v>8</v>
      </c>
      <c r="G504" s="14" t="s">
        <v>86</v>
      </c>
    </row>
    <row r="505" spans="1:7" s="291" customFormat="1" hidden="1" x14ac:dyDescent="0.3">
      <c r="A505" s="287">
        <v>45859</v>
      </c>
      <c r="B505" s="10" t="s">
        <v>211</v>
      </c>
      <c r="C505" s="17" t="s">
        <v>6</v>
      </c>
      <c r="D505" s="18" t="s">
        <v>201</v>
      </c>
      <c r="E505" s="19">
        <v>-2247.36</v>
      </c>
      <c r="F505" s="14" t="s">
        <v>8</v>
      </c>
      <c r="G505" s="14" t="s">
        <v>86</v>
      </c>
    </row>
    <row r="506" spans="1:7" s="291" customFormat="1" hidden="1" x14ac:dyDescent="0.3">
      <c r="A506" s="287">
        <v>45859</v>
      </c>
      <c r="B506" s="10" t="s">
        <v>211</v>
      </c>
      <c r="C506" s="17" t="s">
        <v>44</v>
      </c>
      <c r="D506" s="18" t="s">
        <v>201</v>
      </c>
      <c r="E506" s="19">
        <v>-3409.78</v>
      </c>
      <c r="F506" s="14" t="s">
        <v>8</v>
      </c>
      <c r="G506" s="14" t="s">
        <v>86</v>
      </c>
    </row>
    <row r="507" spans="1:7" s="291" customFormat="1" hidden="1" x14ac:dyDescent="0.3">
      <c r="A507" s="287">
        <v>45859</v>
      </c>
      <c r="B507" s="10" t="s">
        <v>211</v>
      </c>
      <c r="C507" s="17" t="s">
        <v>44</v>
      </c>
      <c r="D507" s="18" t="s">
        <v>201</v>
      </c>
      <c r="E507" s="19">
        <v>-1239.92</v>
      </c>
      <c r="F507" s="14" t="s">
        <v>8</v>
      </c>
      <c r="G507" s="14" t="s">
        <v>86</v>
      </c>
    </row>
    <row r="508" spans="1:7" s="291" customFormat="1" hidden="1" x14ac:dyDescent="0.3">
      <c r="A508" s="205">
        <v>45854</v>
      </c>
      <c r="B508" s="10" t="s">
        <v>211</v>
      </c>
      <c r="C508" s="17" t="s">
        <v>44</v>
      </c>
      <c r="D508" s="18" t="s">
        <v>850</v>
      </c>
      <c r="E508" s="19">
        <v>-774.95</v>
      </c>
      <c r="F508" s="14" t="s">
        <v>8</v>
      </c>
      <c r="G508" s="14" t="s">
        <v>86</v>
      </c>
    </row>
    <row r="509" spans="1:7" s="291" customFormat="1" hidden="1" x14ac:dyDescent="0.3">
      <c r="A509" s="205">
        <v>45854</v>
      </c>
      <c r="B509" s="10" t="s">
        <v>211</v>
      </c>
      <c r="C509" s="17" t="s">
        <v>44</v>
      </c>
      <c r="D509" s="18" t="s">
        <v>851</v>
      </c>
      <c r="E509" s="19">
        <v>-3487.27</v>
      </c>
      <c r="F509" s="14" t="s">
        <v>8</v>
      </c>
      <c r="G509" s="14" t="s">
        <v>86</v>
      </c>
    </row>
    <row r="510" spans="1:7" s="291" customFormat="1" hidden="1" x14ac:dyDescent="0.3">
      <c r="A510" s="205">
        <v>45854</v>
      </c>
      <c r="B510" s="10" t="s">
        <v>211</v>
      </c>
      <c r="C510" s="17" t="s">
        <v>25</v>
      </c>
      <c r="D510" s="18" t="s">
        <v>853</v>
      </c>
      <c r="E510" s="19">
        <v>-3177.29</v>
      </c>
      <c r="F510" s="14" t="s">
        <v>8</v>
      </c>
      <c r="G510" s="14" t="s">
        <v>86</v>
      </c>
    </row>
    <row r="511" spans="1:7" s="291" customFormat="1" hidden="1" x14ac:dyDescent="0.3">
      <c r="A511" s="287">
        <v>45859</v>
      </c>
      <c r="B511" s="10" t="s">
        <v>211</v>
      </c>
      <c r="C511" s="17" t="s">
        <v>25</v>
      </c>
      <c r="D511" s="18" t="s">
        <v>201</v>
      </c>
      <c r="E511" s="19">
        <v>-3332.28</v>
      </c>
      <c r="F511" s="14" t="s">
        <v>8</v>
      </c>
      <c r="G511" s="14" t="s">
        <v>86</v>
      </c>
    </row>
    <row r="512" spans="1:7" s="291" customFormat="1" hidden="1" x14ac:dyDescent="0.3">
      <c r="A512" s="287">
        <v>45859</v>
      </c>
      <c r="B512" s="10" t="s">
        <v>211</v>
      </c>
      <c r="C512" s="17" t="s">
        <v>33</v>
      </c>
      <c r="D512" s="18" t="s">
        <v>201</v>
      </c>
      <c r="E512" s="19">
        <v>-929.94</v>
      </c>
      <c r="F512" s="14" t="s">
        <v>8</v>
      </c>
      <c r="G512" s="14" t="s">
        <v>86</v>
      </c>
    </row>
    <row r="513" spans="1:8" s="291" customFormat="1" hidden="1" x14ac:dyDescent="0.3">
      <c r="A513" s="205">
        <v>45854</v>
      </c>
      <c r="B513" s="10" t="s">
        <v>211</v>
      </c>
      <c r="C513" s="17" t="s">
        <v>33</v>
      </c>
      <c r="D513" s="18" t="s">
        <v>856</v>
      </c>
      <c r="E513" s="19">
        <v>-852.45</v>
      </c>
      <c r="F513" s="14" t="s">
        <v>8</v>
      </c>
      <c r="G513" s="14" t="s">
        <v>86</v>
      </c>
    </row>
    <row r="514" spans="1:8" s="291" customFormat="1" hidden="1" x14ac:dyDescent="0.3">
      <c r="A514" s="205">
        <v>45854</v>
      </c>
      <c r="B514" s="10" t="s">
        <v>211</v>
      </c>
      <c r="C514" s="17" t="s">
        <v>106</v>
      </c>
      <c r="D514" s="18" t="s">
        <v>857</v>
      </c>
      <c r="E514" s="19">
        <v>-619.96</v>
      </c>
      <c r="F514" s="14" t="s">
        <v>8</v>
      </c>
      <c r="G514" s="14" t="s">
        <v>86</v>
      </c>
    </row>
    <row r="515" spans="1:8" s="291" customFormat="1" hidden="1" x14ac:dyDescent="0.3">
      <c r="A515" s="287">
        <v>45859</v>
      </c>
      <c r="B515" s="10" t="s">
        <v>211</v>
      </c>
      <c r="C515" s="17" t="s">
        <v>106</v>
      </c>
      <c r="D515" s="18" t="s">
        <v>201</v>
      </c>
      <c r="E515" s="19">
        <v>-929.94</v>
      </c>
      <c r="F515" s="14" t="s">
        <v>8</v>
      </c>
      <c r="G515" s="14" t="s">
        <v>86</v>
      </c>
    </row>
    <row r="516" spans="1:8" s="291" customFormat="1" hidden="1" x14ac:dyDescent="0.3">
      <c r="A516" s="287">
        <v>45859</v>
      </c>
      <c r="B516" s="10" t="s">
        <v>211</v>
      </c>
      <c r="C516" s="17" t="s">
        <v>32</v>
      </c>
      <c r="D516" s="18" t="s">
        <v>201</v>
      </c>
      <c r="E516" s="19">
        <v>-232.48</v>
      </c>
      <c r="F516" s="14" t="s">
        <v>8</v>
      </c>
      <c r="G516" s="14" t="s">
        <v>86</v>
      </c>
    </row>
    <row r="517" spans="1:8" s="291" customFormat="1" hidden="1" x14ac:dyDescent="0.3">
      <c r="A517" s="205">
        <v>45854</v>
      </c>
      <c r="B517" s="10" t="s">
        <v>211</v>
      </c>
      <c r="C517" s="17" t="s">
        <v>32</v>
      </c>
      <c r="D517" s="18" t="s">
        <v>855</v>
      </c>
      <c r="E517" s="19">
        <v>-232.49</v>
      </c>
      <c r="F517" s="14" t="s">
        <v>8</v>
      </c>
      <c r="G517" s="14" t="s">
        <v>86</v>
      </c>
    </row>
    <row r="518" spans="1:8" s="291" customFormat="1" hidden="1" x14ac:dyDescent="0.3">
      <c r="A518" s="287">
        <v>45859</v>
      </c>
      <c r="B518" s="10" t="s">
        <v>211</v>
      </c>
      <c r="C518" s="17" t="s">
        <v>72</v>
      </c>
      <c r="D518" s="18" t="s">
        <v>201</v>
      </c>
      <c r="E518" s="19">
        <v>-1084.93</v>
      </c>
      <c r="F518" s="14" t="s">
        <v>8</v>
      </c>
      <c r="G518" s="14" t="s">
        <v>86</v>
      </c>
    </row>
    <row r="519" spans="1:8" s="291" customFormat="1" hidden="1" x14ac:dyDescent="0.3">
      <c r="A519" s="205">
        <v>45854</v>
      </c>
      <c r="B519" s="10" t="s">
        <v>211</v>
      </c>
      <c r="C519" s="17" t="s">
        <v>72</v>
      </c>
      <c r="D519" s="18" t="s">
        <v>859</v>
      </c>
      <c r="E519" s="19">
        <v>-464.97</v>
      </c>
      <c r="F519" s="14" t="s">
        <v>8</v>
      </c>
      <c r="G519" s="14" t="s">
        <v>86</v>
      </c>
    </row>
    <row r="520" spans="1:8" s="291" customFormat="1" hidden="1" x14ac:dyDescent="0.3">
      <c r="A520" s="287">
        <v>45859</v>
      </c>
      <c r="B520" s="10" t="s">
        <v>211</v>
      </c>
      <c r="C520" s="17" t="s">
        <v>17</v>
      </c>
      <c r="D520" s="18" t="s">
        <v>201</v>
      </c>
      <c r="E520" s="19">
        <v>-154.99</v>
      </c>
      <c r="F520" s="14" t="s">
        <v>8</v>
      </c>
      <c r="G520" s="14" t="s">
        <v>86</v>
      </c>
    </row>
    <row r="521" spans="1:8" s="291" customFormat="1" hidden="1" x14ac:dyDescent="0.3">
      <c r="A521" s="287">
        <v>45859</v>
      </c>
      <c r="B521" s="10" t="s">
        <v>211</v>
      </c>
      <c r="C521" s="17" t="s">
        <v>72</v>
      </c>
      <c r="D521" s="18" t="s">
        <v>922</v>
      </c>
      <c r="E521" s="19">
        <v>-2021.12</v>
      </c>
      <c r="F521" s="14" t="s">
        <v>8</v>
      </c>
      <c r="G521" s="14" t="s">
        <v>27</v>
      </c>
    </row>
    <row r="522" spans="1:8" s="291" customFormat="1" ht="13.2" hidden="1" customHeight="1" x14ac:dyDescent="0.3">
      <c r="A522" s="287">
        <v>45859</v>
      </c>
      <c r="B522" s="10" t="s">
        <v>211</v>
      </c>
      <c r="C522" s="17" t="s">
        <v>31</v>
      </c>
      <c r="D522" s="18" t="s">
        <v>918</v>
      </c>
      <c r="E522" s="19">
        <v>-2073.1799999999998</v>
      </c>
      <c r="F522" s="14" t="s">
        <v>8</v>
      </c>
      <c r="G522" s="14" t="s">
        <v>871</v>
      </c>
    </row>
    <row r="523" spans="1:8" s="291" customFormat="1" hidden="1" x14ac:dyDescent="0.3">
      <c r="A523" s="205">
        <v>45854</v>
      </c>
      <c r="B523" s="10" t="s">
        <v>211</v>
      </c>
      <c r="C523" s="17" t="s">
        <v>17</v>
      </c>
      <c r="D523" s="18" t="s">
        <v>852</v>
      </c>
      <c r="E523" s="19">
        <v>-619.96</v>
      </c>
      <c r="F523" s="14" t="s">
        <v>8</v>
      </c>
      <c r="G523" s="14" t="s">
        <v>86</v>
      </c>
    </row>
    <row r="524" spans="1:8" s="289" customFormat="1" hidden="1" x14ac:dyDescent="0.3">
      <c r="A524" s="66">
        <v>45863</v>
      </c>
      <c r="B524" s="59" t="s">
        <v>211</v>
      </c>
      <c r="C524" s="63" t="s">
        <v>44</v>
      </c>
      <c r="D524" s="63" t="s">
        <v>989</v>
      </c>
      <c r="E524" s="67">
        <v>-1840.8</v>
      </c>
      <c r="F524" s="25" t="s">
        <v>8</v>
      </c>
      <c r="G524" s="64" t="s">
        <v>233</v>
      </c>
      <c r="H524" s="291"/>
    </row>
    <row r="525" spans="1:8" s="289" customFormat="1" hidden="1" x14ac:dyDescent="0.3">
      <c r="A525" s="66">
        <v>45863</v>
      </c>
      <c r="B525" s="59" t="s">
        <v>211</v>
      </c>
      <c r="C525" s="63" t="s">
        <v>44</v>
      </c>
      <c r="D525" s="63" t="s">
        <v>987</v>
      </c>
      <c r="E525" s="67">
        <v>-10505.31</v>
      </c>
      <c r="F525" s="25" t="s">
        <v>8</v>
      </c>
      <c r="G525" s="64" t="s">
        <v>233</v>
      </c>
      <c r="H525" s="291"/>
    </row>
    <row r="526" spans="1:8" s="289" customFormat="1" ht="12.6" hidden="1" customHeight="1" x14ac:dyDescent="0.3">
      <c r="A526" s="66">
        <v>45863</v>
      </c>
      <c r="B526" s="59" t="s">
        <v>211</v>
      </c>
      <c r="C526" s="63" t="s">
        <v>72</v>
      </c>
      <c r="D526" s="63" t="s">
        <v>991</v>
      </c>
      <c r="E526" s="67">
        <v>-1117.53</v>
      </c>
      <c r="F526" s="25" t="s">
        <v>8</v>
      </c>
      <c r="G526" s="64" t="s">
        <v>233</v>
      </c>
      <c r="H526" s="291"/>
    </row>
    <row r="527" spans="1:8" s="289" customFormat="1" ht="15" hidden="1" customHeight="1" x14ac:dyDescent="0.3">
      <c r="A527" s="66">
        <v>45863</v>
      </c>
      <c r="B527" s="59" t="s">
        <v>211</v>
      </c>
      <c r="C527" s="63" t="s">
        <v>17</v>
      </c>
      <c r="D527" s="63" t="s">
        <v>990</v>
      </c>
      <c r="E527" s="67">
        <v>-180</v>
      </c>
      <c r="F527" s="25" t="s">
        <v>8</v>
      </c>
      <c r="G527" s="20" t="s">
        <v>142</v>
      </c>
      <c r="H527" s="291"/>
    </row>
    <row r="528" spans="1:8" s="514" customFormat="1" ht="14.4" hidden="1" customHeight="1" x14ac:dyDescent="0.3">
      <c r="A528" s="608">
        <v>45895</v>
      </c>
      <c r="B528" s="644" t="s">
        <v>212</v>
      </c>
      <c r="C528" s="588" t="s">
        <v>13</v>
      </c>
      <c r="D528" s="588" t="s">
        <v>1277</v>
      </c>
      <c r="E528" s="838">
        <v>-1000.43</v>
      </c>
      <c r="F528" s="727" t="s">
        <v>8</v>
      </c>
      <c r="G528" s="563" t="s">
        <v>55</v>
      </c>
      <c r="H528" s="638"/>
    </row>
    <row r="529" spans="1:8" s="291" customFormat="1" hidden="1" x14ac:dyDescent="0.3">
      <c r="A529" s="205">
        <v>45919</v>
      </c>
      <c r="B529" s="252" t="s">
        <v>213</v>
      </c>
      <c r="C529" s="13" t="s">
        <v>13</v>
      </c>
      <c r="D529" s="13" t="s">
        <v>1043</v>
      </c>
      <c r="E529" s="308">
        <v>-15</v>
      </c>
      <c r="F529" s="25" t="s">
        <v>8</v>
      </c>
      <c r="G529" s="308" t="s">
        <v>153</v>
      </c>
    </row>
    <row r="530" spans="1:8" s="514" customFormat="1" hidden="1" x14ac:dyDescent="0.3">
      <c r="A530" s="864">
        <v>45894</v>
      </c>
      <c r="B530" s="865" t="s">
        <v>212</v>
      </c>
      <c r="C530" s="866" t="s">
        <v>13</v>
      </c>
      <c r="D530" s="867" t="s">
        <v>1345</v>
      </c>
      <c r="E530" s="868">
        <v>-235.25</v>
      </c>
      <c r="F530" s="869" t="s">
        <v>8</v>
      </c>
      <c r="G530" s="870" t="s">
        <v>55</v>
      </c>
    </row>
    <row r="531" spans="1:8" s="291" customFormat="1" hidden="1" x14ac:dyDescent="0.3">
      <c r="A531" s="205">
        <v>45925</v>
      </c>
      <c r="B531" s="10" t="s">
        <v>213</v>
      </c>
      <c r="C531" s="26" t="s">
        <v>17</v>
      </c>
      <c r="D531" s="26" t="s">
        <v>1544</v>
      </c>
      <c r="E531" s="19">
        <v>-430.22</v>
      </c>
      <c r="F531" s="25" t="s">
        <v>8</v>
      </c>
      <c r="G531" s="20" t="s">
        <v>934</v>
      </c>
    </row>
    <row r="532" spans="1:8" s="291" customFormat="1" hidden="1" x14ac:dyDescent="0.3">
      <c r="A532" s="226">
        <v>45957</v>
      </c>
      <c r="B532" s="46" t="s">
        <v>216</v>
      </c>
      <c r="C532" s="238" t="s">
        <v>17</v>
      </c>
      <c r="D532" s="238" t="s">
        <v>570</v>
      </c>
      <c r="E532" s="229">
        <v>-430.22</v>
      </c>
      <c r="F532" s="262" t="s">
        <v>8</v>
      </c>
      <c r="G532" s="168" t="s">
        <v>934</v>
      </c>
    </row>
    <row r="533" spans="1:8" s="291" customFormat="1" hidden="1" x14ac:dyDescent="0.3">
      <c r="A533" s="205">
        <v>45986</v>
      </c>
      <c r="B533" s="10" t="s">
        <v>217</v>
      </c>
      <c r="C533" s="26" t="s">
        <v>17</v>
      </c>
      <c r="D533" s="26" t="s">
        <v>570</v>
      </c>
      <c r="E533" s="19">
        <v>-430.22</v>
      </c>
      <c r="F533" s="25" t="s">
        <v>8</v>
      </c>
      <c r="G533" s="20" t="s">
        <v>934</v>
      </c>
    </row>
    <row r="534" spans="1:8" s="291" customFormat="1" hidden="1" x14ac:dyDescent="0.3">
      <c r="A534" s="205">
        <v>46017</v>
      </c>
      <c r="B534" s="10" t="s">
        <v>221</v>
      </c>
      <c r="C534" s="26" t="s">
        <v>17</v>
      </c>
      <c r="D534" s="26" t="s">
        <v>570</v>
      </c>
      <c r="E534" s="19">
        <v>-430.22</v>
      </c>
      <c r="F534" s="25" t="s">
        <v>8</v>
      </c>
      <c r="G534" s="20" t="s">
        <v>934</v>
      </c>
    </row>
    <row r="535" spans="1:8" s="291" customFormat="1" hidden="1" x14ac:dyDescent="0.3">
      <c r="A535" s="205">
        <v>45863</v>
      </c>
      <c r="B535" s="10" t="s">
        <v>211</v>
      </c>
      <c r="C535" s="26" t="s">
        <v>17</v>
      </c>
      <c r="D535" s="26" t="s">
        <v>570</v>
      </c>
      <c r="E535" s="19">
        <v>-430.22</v>
      </c>
      <c r="F535" s="25" t="s">
        <v>8</v>
      </c>
      <c r="G535" s="20" t="s">
        <v>934</v>
      </c>
    </row>
    <row r="536" spans="1:8" s="291" customFormat="1" hidden="1" x14ac:dyDescent="0.3">
      <c r="A536" s="205">
        <v>45863</v>
      </c>
      <c r="B536" s="10" t="s">
        <v>211</v>
      </c>
      <c r="C536" s="17" t="s">
        <v>17</v>
      </c>
      <c r="D536" s="26" t="s">
        <v>203</v>
      </c>
      <c r="E536" s="19">
        <v>-440</v>
      </c>
      <c r="F536" s="25" t="s">
        <v>8</v>
      </c>
      <c r="G536" s="20" t="s">
        <v>53</v>
      </c>
    </row>
    <row r="537" spans="1:8" s="284" customFormat="1" hidden="1" x14ac:dyDescent="0.3">
      <c r="A537" s="286">
        <v>45853</v>
      </c>
      <c r="B537" s="286" t="s">
        <v>211</v>
      </c>
      <c r="C537" s="269" t="s">
        <v>6</v>
      </c>
      <c r="D537" s="269" t="s">
        <v>539</v>
      </c>
      <c r="E537" s="312">
        <v>-3500</v>
      </c>
      <c r="F537" s="236" t="s">
        <v>8</v>
      </c>
      <c r="G537" s="304" t="s">
        <v>189</v>
      </c>
      <c r="H537" s="291"/>
    </row>
    <row r="538" spans="1:8" s="284" customFormat="1" hidden="1" x14ac:dyDescent="0.3">
      <c r="A538" s="286">
        <v>45853</v>
      </c>
      <c r="B538" s="286" t="s">
        <v>211</v>
      </c>
      <c r="C538" s="30" t="s">
        <v>72</v>
      </c>
      <c r="D538" s="30" t="s">
        <v>535</v>
      </c>
      <c r="E538" s="19">
        <v>-1330</v>
      </c>
      <c r="F538" s="236" t="s">
        <v>8</v>
      </c>
      <c r="G538" s="304" t="s">
        <v>207</v>
      </c>
      <c r="H538" s="291"/>
    </row>
    <row r="539" spans="1:8" s="284" customFormat="1" hidden="1" x14ac:dyDescent="0.3">
      <c r="A539" s="286">
        <v>45853</v>
      </c>
      <c r="B539" s="286" t="s">
        <v>211</v>
      </c>
      <c r="C539" s="30" t="s">
        <v>25</v>
      </c>
      <c r="D539" s="30" t="s">
        <v>530</v>
      </c>
      <c r="E539" s="19">
        <v>-430.4</v>
      </c>
      <c r="F539" s="236" t="s">
        <v>8</v>
      </c>
      <c r="G539" s="304" t="s">
        <v>69</v>
      </c>
      <c r="H539" s="291"/>
    </row>
    <row r="540" spans="1:8" s="284" customFormat="1" hidden="1" x14ac:dyDescent="0.3">
      <c r="A540" s="10">
        <v>45853</v>
      </c>
      <c r="B540" s="10" t="s">
        <v>211</v>
      </c>
      <c r="C540" s="26" t="s">
        <v>31</v>
      </c>
      <c r="D540" s="26" t="s">
        <v>532</v>
      </c>
      <c r="E540" s="19">
        <v>-119.8</v>
      </c>
      <c r="F540" s="236" t="s">
        <v>8</v>
      </c>
      <c r="G540" s="20" t="s">
        <v>76</v>
      </c>
      <c r="H540" s="291"/>
    </row>
    <row r="541" spans="1:8" s="284" customFormat="1" hidden="1" x14ac:dyDescent="0.3">
      <c r="A541" s="10">
        <v>45853</v>
      </c>
      <c r="B541" s="10" t="s">
        <v>211</v>
      </c>
      <c r="C541" s="26" t="s">
        <v>25</v>
      </c>
      <c r="D541" s="26" t="s">
        <v>531</v>
      </c>
      <c r="E541" s="19">
        <v>-183.91</v>
      </c>
      <c r="F541" s="236" t="s">
        <v>8</v>
      </c>
      <c r="G541" s="20" t="s">
        <v>76</v>
      </c>
      <c r="H541" s="291"/>
    </row>
    <row r="542" spans="1:8" s="284" customFormat="1" hidden="1" x14ac:dyDescent="0.3">
      <c r="A542" s="10">
        <v>45853</v>
      </c>
      <c r="B542" s="10" t="s">
        <v>211</v>
      </c>
      <c r="C542" s="26" t="s">
        <v>32</v>
      </c>
      <c r="D542" s="26" t="s">
        <v>533</v>
      </c>
      <c r="E542" s="19">
        <v>-190.27</v>
      </c>
      <c r="F542" s="236" t="s">
        <v>8</v>
      </c>
      <c r="G542" s="20" t="s">
        <v>76</v>
      </c>
      <c r="H542" s="291"/>
    </row>
    <row r="543" spans="1:8" s="284" customFormat="1" hidden="1" x14ac:dyDescent="0.3">
      <c r="A543" s="50">
        <v>45853</v>
      </c>
      <c r="B543" s="50" t="s">
        <v>211</v>
      </c>
      <c r="C543" s="243" t="s">
        <v>32</v>
      </c>
      <c r="D543" s="243" t="s">
        <v>534</v>
      </c>
      <c r="E543" s="204">
        <v>-898.96</v>
      </c>
      <c r="F543" s="493" t="s">
        <v>8</v>
      </c>
      <c r="G543" s="232" t="s">
        <v>76</v>
      </c>
      <c r="H543" s="291"/>
    </row>
    <row r="544" spans="1:8" s="284" customFormat="1" ht="12.6" hidden="1" customHeight="1" x14ac:dyDescent="0.3">
      <c r="A544" s="46">
        <v>45854</v>
      </c>
      <c r="B544" s="46" t="s">
        <v>211</v>
      </c>
      <c r="C544" s="445" t="s">
        <v>35</v>
      </c>
      <c r="D544" s="238" t="s">
        <v>680</v>
      </c>
      <c r="E544" s="229">
        <v>-127.27</v>
      </c>
      <c r="F544" s="494" t="s">
        <v>8</v>
      </c>
      <c r="G544" s="168" t="s">
        <v>679</v>
      </c>
      <c r="H544" s="291"/>
    </row>
    <row r="545" spans="1:8" s="291" customFormat="1" hidden="1" x14ac:dyDescent="0.3">
      <c r="A545" s="10">
        <v>45853</v>
      </c>
      <c r="B545" s="10" t="s">
        <v>211</v>
      </c>
      <c r="C545" s="27" t="s">
        <v>44</v>
      </c>
      <c r="D545" s="30" t="s">
        <v>543</v>
      </c>
      <c r="E545" s="235">
        <v>-1035.44</v>
      </c>
      <c r="F545" s="25" t="s">
        <v>8</v>
      </c>
      <c r="G545" s="304" t="s">
        <v>207</v>
      </c>
    </row>
    <row r="546" spans="1:8" s="291" customFormat="1" ht="13.2" hidden="1" customHeight="1" x14ac:dyDescent="0.3">
      <c r="A546" s="205">
        <v>45856</v>
      </c>
      <c r="B546" s="10" t="s">
        <v>211</v>
      </c>
      <c r="C546" s="17" t="s">
        <v>72</v>
      </c>
      <c r="D546" s="18" t="s">
        <v>204</v>
      </c>
      <c r="E546" s="19">
        <v>-1146.52</v>
      </c>
      <c r="F546" s="25" t="s">
        <v>8</v>
      </c>
      <c r="G546" s="303" t="s">
        <v>233</v>
      </c>
    </row>
    <row r="547" spans="1:8" s="291" customFormat="1" hidden="1" x14ac:dyDescent="0.3">
      <c r="A547" s="201">
        <v>45842</v>
      </c>
      <c r="B547" s="50" t="s">
        <v>211</v>
      </c>
      <c r="C547" s="202" t="s">
        <v>72</v>
      </c>
      <c r="D547" s="203" t="s">
        <v>204</v>
      </c>
      <c r="E547" s="204">
        <v>-1146.51</v>
      </c>
      <c r="F547" s="51" t="s">
        <v>8</v>
      </c>
      <c r="G547" s="329" t="s">
        <v>233</v>
      </c>
    </row>
    <row r="548" spans="1:8" s="291" customFormat="1" hidden="1" x14ac:dyDescent="0.3">
      <c r="A548" s="205">
        <v>45849</v>
      </c>
      <c r="B548" s="10" t="s">
        <v>211</v>
      </c>
      <c r="C548" s="17" t="s">
        <v>72</v>
      </c>
      <c r="D548" s="18" t="s">
        <v>660</v>
      </c>
      <c r="E548" s="19">
        <v>-1146.51</v>
      </c>
      <c r="F548" s="25" t="s">
        <v>8</v>
      </c>
      <c r="G548" s="303" t="s">
        <v>233</v>
      </c>
      <c r="H548" s="282"/>
    </row>
    <row r="549" spans="1:8" s="291" customFormat="1" hidden="1" x14ac:dyDescent="0.3">
      <c r="A549" s="226">
        <v>45841</v>
      </c>
      <c r="B549" s="46" t="s">
        <v>211</v>
      </c>
      <c r="C549" s="358" t="s">
        <v>106</v>
      </c>
      <c r="D549" s="359" t="s">
        <v>443</v>
      </c>
      <c r="E549" s="360">
        <v>-710.99</v>
      </c>
      <c r="F549" s="262" t="s">
        <v>8</v>
      </c>
      <c r="G549" s="336" t="s">
        <v>114</v>
      </c>
      <c r="H549" s="282"/>
    </row>
    <row r="550" spans="1:8" s="291" customFormat="1" hidden="1" x14ac:dyDescent="0.3">
      <c r="A550" s="205">
        <v>45841</v>
      </c>
      <c r="B550" s="10" t="s">
        <v>211</v>
      </c>
      <c r="C550" s="292" t="s">
        <v>33</v>
      </c>
      <c r="D550" s="65" t="s">
        <v>443</v>
      </c>
      <c r="E550" s="293">
        <v>-408.28</v>
      </c>
      <c r="F550" s="25" t="s">
        <v>8</v>
      </c>
      <c r="G550" s="303" t="s">
        <v>114</v>
      </c>
      <c r="H550" s="282"/>
    </row>
    <row r="551" spans="1:8" s="291" customFormat="1" hidden="1" x14ac:dyDescent="0.3">
      <c r="A551" s="205">
        <v>45841</v>
      </c>
      <c r="B551" s="10" t="s">
        <v>211</v>
      </c>
      <c r="C551" s="292" t="s">
        <v>30</v>
      </c>
      <c r="D551" s="65" t="s">
        <v>443</v>
      </c>
      <c r="E551" s="293">
        <v>-408.28</v>
      </c>
      <c r="F551" s="25" t="s">
        <v>8</v>
      </c>
      <c r="G551" s="303" t="s">
        <v>114</v>
      </c>
      <c r="H551" s="282"/>
    </row>
    <row r="552" spans="1:8" s="291" customFormat="1" ht="13.8" hidden="1" customHeight="1" x14ac:dyDescent="0.3">
      <c r="A552" s="205">
        <v>45841</v>
      </c>
      <c r="B552" s="10" t="s">
        <v>211</v>
      </c>
      <c r="C552" s="292" t="s">
        <v>32</v>
      </c>
      <c r="D552" s="65" t="s">
        <v>443</v>
      </c>
      <c r="E552" s="293">
        <v>-408.28</v>
      </c>
      <c r="F552" s="25" t="s">
        <v>8</v>
      </c>
      <c r="G552" s="303" t="s">
        <v>114</v>
      </c>
      <c r="H552" s="282"/>
    </row>
    <row r="553" spans="1:8" s="291" customFormat="1" hidden="1" x14ac:dyDescent="0.3">
      <c r="A553" s="205">
        <v>45841</v>
      </c>
      <c r="B553" s="10" t="s">
        <v>211</v>
      </c>
      <c r="C553" s="292" t="s">
        <v>44</v>
      </c>
      <c r="D553" s="65" t="s">
        <v>443</v>
      </c>
      <c r="E553" s="293">
        <v>-243.84</v>
      </c>
      <c r="F553" s="25" t="s">
        <v>8</v>
      </c>
      <c r="G553" s="303" t="s">
        <v>114</v>
      </c>
      <c r="H553" s="282"/>
    </row>
    <row r="554" spans="1:8" s="291" customFormat="1" hidden="1" x14ac:dyDescent="0.3">
      <c r="A554" s="205">
        <v>45841</v>
      </c>
      <c r="B554" s="10" t="s">
        <v>211</v>
      </c>
      <c r="C554" s="292" t="s">
        <v>441</v>
      </c>
      <c r="D554" s="65" t="s">
        <v>443</v>
      </c>
      <c r="E554" s="293">
        <v>-1224.42</v>
      </c>
      <c r="F554" s="25" t="s">
        <v>8</v>
      </c>
      <c r="G554" s="303" t="s">
        <v>114</v>
      </c>
      <c r="H554" s="282"/>
    </row>
    <row r="555" spans="1:8" s="291" customFormat="1" hidden="1" x14ac:dyDescent="0.3">
      <c r="A555" s="66">
        <v>45848</v>
      </c>
      <c r="B555" s="59" t="s">
        <v>211</v>
      </c>
      <c r="C555" s="63" t="s">
        <v>25</v>
      </c>
      <c r="D555" s="63" t="s">
        <v>490</v>
      </c>
      <c r="E555" s="67">
        <v>-55</v>
      </c>
      <c r="F555" s="60" t="s">
        <v>8</v>
      </c>
      <c r="G555" s="64" t="s">
        <v>83</v>
      </c>
      <c r="H555" s="295"/>
    </row>
    <row r="556" spans="1:8" s="291" customFormat="1" hidden="1" x14ac:dyDescent="0.3">
      <c r="A556" s="66">
        <v>45848</v>
      </c>
      <c r="B556" s="59" t="s">
        <v>211</v>
      </c>
      <c r="C556" s="63" t="s">
        <v>25</v>
      </c>
      <c r="D556" s="63" t="s">
        <v>491</v>
      </c>
      <c r="E556" s="67">
        <v>-55</v>
      </c>
      <c r="F556" s="60" t="s">
        <v>8</v>
      </c>
      <c r="G556" s="64" t="s">
        <v>83</v>
      </c>
      <c r="H556" s="295"/>
    </row>
    <row r="557" spans="1:8" s="291" customFormat="1" hidden="1" x14ac:dyDescent="0.3">
      <c r="A557" s="66">
        <v>45848</v>
      </c>
      <c r="B557" s="59" t="s">
        <v>211</v>
      </c>
      <c r="C557" s="63" t="s">
        <v>25</v>
      </c>
      <c r="D557" s="63" t="s">
        <v>492</v>
      </c>
      <c r="E557" s="67">
        <v>-224.2</v>
      </c>
      <c r="F557" s="60" t="s">
        <v>8</v>
      </c>
      <c r="G557" s="64" t="s">
        <v>83</v>
      </c>
      <c r="H557" s="295"/>
    </row>
    <row r="558" spans="1:8" s="291" customFormat="1" hidden="1" x14ac:dyDescent="0.3">
      <c r="A558" s="66">
        <v>45848</v>
      </c>
      <c r="B558" s="59" t="s">
        <v>211</v>
      </c>
      <c r="C558" s="63" t="s">
        <v>106</v>
      </c>
      <c r="D558" s="63" t="s">
        <v>493</v>
      </c>
      <c r="E558" s="67">
        <v>-110</v>
      </c>
      <c r="F558" s="60" t="s">
        <v>8</v>
      </c>
      <c r="G558" s="64" t="s">
        <v>83</v>
      </c>
      <c r="H558" s="295"/>
    </row>
    <row r="559" spans="1:8" s="291" customFormat="1" ht="13.8" hidden="1" customHeight="1" x14ac:dyDescent="0.3">
      <c r="A559" s="66">
        <v>45848</v>
      </c>
      <c r="B559" s="59" t="s">
        <v>211</v>
      </c>
      <c r="C559" s="63" t="s">
        <v>17</v>
      </c>
      <c r="D559" s="63" t="s">
        <v>494</v>
      </c>
      <c r="E559" s="67">
        <v>-180</v>
      </c>
      <c r="F559" s="60" t="s">
        <v>8</v>
      </c>
      <c r="G559" s="64" t="s">
        <v>83</v>
      </c>
      <c r="H559" s="295"/>
    </row>
    <row r="560" spans="1:8" s="289" customFormat="1" ht="13.8" hidden="1" customHeight="1" x14ac:dyDescent="0.3">
      <c r="A560" s="66">
        <v>45848</v>
      </c>
      <c r="B560" s="59" t="s">
        <v>211</v>
      </c>
      <c r="C560" s="63" t="s">
        <v>32</v>
      </c>
      <c r="D560" s="63" t="s">
        <v>391</v>
      </c>
      <c r="E560" s="67">
        <v>-171.85</v>
      </c>
      <c r="F560" s="60" t="s">
        <v>8</v>
      </c>
      <c r="G560" s="64" t="s">
        <v>76</v>
      </c>
    </row>
    <row r="561" spans="1:13" s="291" customFormat="1" hidden="1" x14ac:dyDescent="0.3">
      <c r="A561" s="205">
        <v>45841</v>
      </c>
      <c r="B561" s="10" t="s">
        <v>211</v>
      </c>
      <c r="C561" s="292" t="s">
        <v>442</v>
      </c>
      <c r="D561" s="65" t="s">
        <v>443</v>
      </c>
      <c r="E561" s="293">
        <v>-1063.23</v>
      </c>
      <c r="F561" s="25" t="s">
        <v>8</v>
      </c>
      <c r="G561" s="303" t="s">
        <v>114</v>
      </c>
      <c r="H561" s="282"/>
    </row>
    <row r="562" spans="1:13" s="291" customFormat="1" hidden="1" x14ac:dyDescent="0.3">
      <c r="A562" s="205">
        <v>45841</v>
      </c>
      <c r="B562" s="10" t="s">
        <v>211</v>
      </c>
      <c r="C562" s="292" t="s">
        <v>17</v>
      </c>
      <c r="D562" s="65" t="s">
        <v>443</v>
      </c>
      <c r="E562" s="293">
        <v>-41.59</v>
      </c>
      <c r="F562" s="25" t="s">
        <v>8</v>
      </c>
      <c r="G562" s="303" t="s">
        <v>114</v>
      </c>
      <c r="H562" s="282"/>
    </row>
    <row r="563" spans="1:13" s="289" customFormat="1" hidden="1" x14ac:dyDescent="0.3">
      <c r="A563" s="66">
        <v>45841</v>
      </c>
      <c r="B563" s="59" t="s">
        <v>211</v>
      </c>
      <c r="C563" s="63" t="s">
        <v>31</v>
      </c>
      <c r="D563" s="63" t="s">
        <v>378</v>
      </c>
      <c r="E563" s="67">
        <v>-200</v>
      </c>
      <c r="F563" s="25" t="s">
        <v>8</v>
      </c>
      <c r="G563" s="64" t="s">
        <v>83</v>
      </c>
      <c r="H563" s="295"/>
    </row>
    <row r="564" spans="1:13" s="289" customFormat="1" hidden="1" x14ac:dyDescent="0.3">
      <c r="A564" s="66">
        <v>45841</v>
      </c>
      <c r="B564" s="59" t="s">
        <v>211</v>
      </c>
      <c r="C564" s="63" t="s">
        <v>25</v>
      </c>
      <c r="D564" s="63" t="s">
        <v>379</v>
      </c>
      <c r="E564" s="67">
        <v>-177</v>
      </c>
      <c r="F564" s="25" t="s">
        <v>8</v>
      </c>
      <c r="G564" s="64" t="s">
        <v>83</v>
      </c>
      <c r="H564" s="295"/>
    </row>
    <row r="565" spans="1:13" s="289" customFormat="1" hidden="1" x14ac:dyDescent="0.3">
      <c r="A565" s="66">
        <v>45841</v>
      </c>
      <c r="B565" s="59" t="s">
        <v>211</v>
      </c>
      <c r="C565" s="63" t="s">
        <v>25</v>
      </c>
      <c r="D565" s="63" t="s">
        <v>380</v>
      </c>
      <c r="E565" s="67">
        <v>-253</v>
      </c>
      <c r="F565" s="25" t="s">
        <v>8</v>
      </c>
      <c r="G565" s="64" t="s">
        <v>83</v>
      </c>
      <c r="H565" s="295"/>
    </row>
    <row r="566" spans="1:13" s="289" customFormat="1" hidden="1" x14ac:dyDescent="0.3">
      <c r="A566" s="66">
        <v>45841</v>
      </c>
      <c r="B566" s="59" t="s">
        <v>211</v>
      </c>
      <c r="C566" s="63" t="s">
        <v>25</v>
      </c>
      <c r="D566" s="63" t="s">
        <v>381</v>
      </c>
      <c r="E566" s="67">
        <v>-165</v>
      </c>
      <c r="F566" s="25" t="s">
        <v>8</v>
      </c>
      <c r="G566" s="64" t="s">
        <v>83</v>
      </c>
      <c r="H566" s="295"/>
    </row>
    <row r="567" spans="1:13" s="289" customFormat="1" hidden="1" x14ac:dyDescent="0.3">
      <c r="A567" s="66">
        <v>45841</v>
      </c>
      <c r="B567" s="59" t="s">
        <v>211</v>
      </c>
      <c r="C567" s="63" t="s">
        <v>25</v>
      </c>
      <c r="D567" s="63" t="s">
        <v>382</v>
      </c>
      <c r="E567" s="67">
        <v>-177</v>
      </c>
      <c r="F567" s="25" t="s">
        <v>8</v>
      </c>
      <c r="G567" s="64" t="s">
        <v>83</v>
      </c>
      <c r="H567" s="295"/>
    </row>
    <row r="568" spans="1:13" s="289" customFormat="1" hidden="1" x14ac:dyDescent="0.3">
      <c r="A568" s="66">
        <v>45841</v>
      </c>
      <c r="B568" s="59" t="s">
        <v>211</v>
      </c>
      <c r="C568" s="63" t="s">
        <v>32</v>
      </c>
      <c r="D568" s="63" t="s">
        <v>383</v>
      </c>
      <c r="E568" s="67">
        <v>-240</v>
      </c>
      <c r="F568" s="25" t="s">
        <v>8</v>
      </c>
      <c r="G568" s="64" t="s">
        <v>83</v>
      </c>
      <c r="H568" s="295"/>
    </row>
    <row r="569" spans="1:13" s="289" customFormat="1" hidden="1" x14ac:dyDescent="0.3">
      <c r="A569" s="66">
        <v>45841</v>
      </c>
      <c r="B569" s="59" t="s">
        <v>211</v>
      </c>
      <c r="C569" s="63" t="s">
        <v>17</v>
      </c>
      <c r="D569" s="63" t="s">
        <v>384</v>
      </c>
      <c r="E569" s="67">
        <v>-130</v>
      </c>
      <c r="F569" s="25" t="s">
        <v>8</v>
      </c>
      <c r="G569" s="64" t="s">
        <v>99</v>
      </c>
      <c r="H569" s="295"/>
    </row>
    <row r="570" spans="1:13" s="289" customFormat="1" hidden="1" x14ac:dyDescent="0.3">
      <c r="A570" s="66">
        <v>45841</v>
      </c>
      <c r="B570" s="59" t="s">
        <v>211</v>
      </c>
      <c r="C570" s="63" t="s">
        <v>25</v>
      </c>
      <c r="D570" s="63" t="s">
        <v>385</v>
      </c>
      <c r="E570" s="67">
        <v>-200</v>
      </c>
      <c r="F570" s="25" t="s">
        <v>8</v>
      </c>
      <c r="G570" s="64" t="s">
        <v>27</v>
      </c>
      <c r="H570" s="295"/>
    </row>
    <row r="571" spans="1:13" s="289" customFormat="1" hidden="1" x14ac:dyDescent="0.3">
      <c r="A571" s="66">
        <v>45840</v>
      </c>
      <c r="B571" s="59" t="s">
        <v>211</v>
      </c>
      <c r="C571" s="268" t="s">
        <v>44</v>
      </c>
      <c r="D571" s="268" t="s">
        <v>414</v>
      </c>
      <c r="E571" s="270">
        <v>-1593.18</v>
      </c>
      <c r="F571" s="294" t="s">
        <v>8</v>
      </c>
      <c r="G571" s="20" t="s">
        <v>142</v>
      </c>
      <c r="H571" s="281"/>
    </row>
    <row r="572" spans="1:13" s="291" customFormat="1" ht="18" hidden="1" customHeight="1" x14ac:dyDescent="0.3">
      <c r="A572" s="205">
        <v>45841</v>
      </c>
      <c r="B572" s="10" t="s">
        <v>211</v>
      </c>
      <c r="C572" s="17" t="s">
        <v>17</v>
      </c>
      <c r="D572" s="18" t="s">
        <v>205</v>
      </c>
      <c r="E572" s="19">
        <v>-60</v>
      </c>
      <c r="F572" s="25" t="s">
        <v>8</v>
      </c>
      <c r="G572" s="20" t="s">
        <v>142</v>
      </c>
      <c r="H572" s="295"/>
    </row>
    <row r="573" spans="1:13" s="289" customFormat="1" hidden="1" x14ac:dyDescent="0.3">
      <c r="A573" s="205">
        <v>45841</v>
      </c>
      <c r="B573" s="10" t="s">
        <v>211</v>
      </c>
      <c r="C573" s="292" t="s">
        <v>30</v>
      </c>
      <c r="D573" s="65" t="s">
        <v>444</v>
      </c>
      <c r="E573" s="307">
        <v>-360</v>
      </c>
      <c r="F573" s="25" t="s">
        <v>8</v>
      </c>
      <c r="G573" s="64" t="s">
        <v>27</v>
      </c>
      <c r="H573" s="295"/>
      <c r="I573" s="295"/>
      <c r="J573" s="295"/>
      <c r="K573" s="295"/>
      <c r="L573" s="295"/>
      <c r="M573" s="295"/>
    </row>
    <row r="574" spans="1:13" s="289" customFormat="1" hidden="1" x14ac:dyDescent="0.3">
      <c r="A574" s="205">
        <v>45841</v>
      </c>
      <c r="B574" s="10" t="s">
        <v>211</v>
      </c>
      <c r="C574" s="292" t="s">
        <v>30</v>
      </c>
      <c r="D574" s="65" t="s">
        <v>445</v>
      </c>
      <c r="E574" s="307">
        <v>-440</v>
      </c>
      <c r="F574" s="25" t="s">
        <v>8</v>
      </c>
      <c r="G574" s="64" t="s">
        <v>27</v>
      </c>
      <c r="H574" s="295"/>
      <c r="I574" s="295"/>
      <c r="J574" s="295"/>
      <c r="K574" s="295"/>
      <c r="L574" s="295"/>
      <c r="M574" s="295"/>
    </row>
    <row r="575" spans="1:13" s="289" customFormat="1" hidden="1" x14ac:dyDescent="0.3">
      <c r="A575" s="205">
        <v>45841</v>
      </c>
      <c r="B575" s="10" t="s">
        <v>211</v>
      </c>
      <c r="C575" s="292" t="s">
        <v>30</v>
      </c>
      <c r="D575" s="65" t="s">
        <v>446</v>
      </c>
      <c r="E575" s="307">
        <v>-360</v>
      </c>
      <c r="F575" s="25" t="s">
        <v>8</v>
      </c>
      <c r="G575" s="64" t="s">
        <v>27</v>
      </c>
      <c r="H575" s="295"/>
      <c r="I575" s="295"/>
      <c r="J575" s="295"/>
      <c r="K575" s="295"/>
      <c r="L575" s="295"/>
      <c r="M575" s="295"/>
    </row>
    <row r="576" spans="1:13" s="289" customFormat="1" hidden="1" x14ac:dyDescent="0.3">
      <c r="A576" s="205">
        <v>45841</v>
      </c>
      <c r="B576" s="10" t="s">
        <v>211</v>
      </c>
      <c r="C576" s="292" t="s">
        <v>30</v>
      </c>
      <c r="D576" s="65" t="s">
        <v>447</v>
      </c>
      <c r="E576" s="307">
        <v>-120</v>
      </c>
      <c r="F576" s="25" t="s">
        <v>8</v>
      </c>
      <c r="G576" s="64" t="s">
        <v>27</v>
      </c>
      <c r="H576" s="295"/>
      <c r="I576" s="295"/>
      <c r="J576" s="295"/>
      <c r="K576" s="295"/>
      <c r="L576" s="295"/>
      <c r="M576" s="295"/>
    </row>
    <row r="577" spans="1:13" s="291" customFormat="1" hidden="1" x14ac:dyDescent="0.3">
      <c r="A577" s="205">
        <v>45841</v>
      </c>
      <c r="B577" s="10" t="s">
        <v>211</v>
      </c>
      <c r="C577" s="292" t="s">
        <v>30</v>
      </c>
      <c r="D577" s="65" t="s">
        <v>448</v>
      </c>
      <c r="E577" s="307">
        <v>-360</v>
      </c>
      <c r="F577" s="25" t="s">
        <v>8</v>
      </c>
      <c r="G577" s="64" t="s">
        <v>27</v>
      </c>
      <c r="H577" s="295"/>
      <c r="I577" s="295"/>
      <c r="J577" s="295"/>
      <c r="K577" s="295"/>
      <c r="L577" s="295"/>
      <c r="M577" s="295"/>
    </row>
    <row r="578" spans="1:13" s="291" customFormat="1" ht="0.6" hidden="1" customHeight="1" x14ac:dyDescent="0.3">
      <c r="A578" s="205">
        <v>45853</v>
      </c>
      <c r="B578" s="10" t="s">
        <v>211</v>
      </c>
      <c r="C578" s="17" t="s">
        <v>72</v>
      </c>
      <c r="D578" s="26" t="s">
        <v>206</v>
      </c>
      <c r="E578" s="19">
        <v>-1330</v>
      </c>
      <c r="F578" s="25" t="s">
        <v>8</v>
      </c>
      <c r="G578" s="20" t="s">
        <v>207</v>
      </c>
    </row>
    <row r="579" spans="1:13" s="291" customFormat="1" ht="13.8" hidden="1" customHeight="1" x14ac:dyDescent="0.3">
      <c r="A579" s="205">
        <v>45839</v>
      </c>
      <c r="B579" s="10" t="s">
        <v>211</v>
      </c>
      <c r="C579" s="26" t="s">
        <v>44</v>
      </c>
      <c r="D579" s="26" t="s">
        <v>354</v>
      </c>
      <c r="E579" s="19">
        <v>-94.65</v>
      </c>
      <c r="F579" s="25" t="s">
        <v>8</v>
      </c>
      <c r="G579" s="20" t="s">
        <v>355</v>
      </c>
      <c r="H579" s="209"/>
    </row>
    <row r="580" spans="1:13" s="291" customFormat="1" ht="13.8" hidden="1" customHeight="1" x14ac:dyDescent="0.3">
      <c r="A580" s="205">
        <v>45839</v>
      </c>
      <c r="B580" s="10" t="s">
        <v>211</v>
      </c>
      <c r="C580" s="26" t="s">
        <v>44</v>
      </c>
      <c r="D580" s="26" t="s">
        <v>417</v>
      </c>
      <c r="E580" s="19">
        <v>-6069.71</v>
      </c>
      <c r="F580" s="20" t="s">
        <v>8</v>
      </c>
      <c r="G580" s="20" t="s">
        <v>189</v>
      </c>
      <c r="H580" s="209"/>
    </row>
    <row r="581" spans="1:13" s="291" customFormat="1" ht="13.8" hidden="1" customHeight="1" x14ac:dyDescent="0.3">
      <c r="A581" s="205">
        <v>45839</v>
      </c>
      <c r="B581" s="10" t="s">
        <v>211</v>
      </c>
      <c r="C581" s="26" t="s">
        <v>44</v>
      </c>
      <c r="D581" s="26" t="s">
        <v>418</v>
      </c>
      <c r="E581" s="19">
        <v>-3968.99</v>
      </c>
      <c r="F581" s="20" t="s">
        <v>8</v>
      </c>
      <c r="G581" s="20" t="s">
        <v>189</v>
      </c>
      <c r="H581" s="209"/>
    </row>
    <row r="582" spans="1:13" s="291" customFormat="1" hidden="1" x14ac:dyDescent="0.3">
      <c r="A582" s="205">
        <v>45839</v>
      </c>
      <c r="B582" s="10" t="s">
        <v>211</v>
      </c>
      <c r="C582" s="26" t="s">
        <v>25</v>
      </c>
      <c r="D582" s="26" t="s">
        <v>356</v>
      </c>
      <c r="E582" s="19">
        <v>-82.93</v>
      </c>
      <c r="F582" s="25" t="s">
        <v>8</v>
      </c>
      <c r="G582" s="20" t="s">
        <v>76</v>
      </c>
      <c r="H582" s="282"/>
    </row>
    <row r="583" spans="1:13" s="291" customFormat="1" hidden="1" x14ac:dyDescent="0.3">
      <c r="A583" s="205">
        <v>45840</v>
      </c>
      <c r="B583" s="10" t="s">
        <v>211</v>
      </c>
      <c r="C583" s="17" t="s">
        <v>44</v>
      </c>
      <c r="D583" s="18" t="s">
        <v>416</v>
      </c>
      <c r="E583" s="19">
        <v>-3266.04</v>
      </c>
      <c r="F583" s="25" t="s">
        <v>8</v>
      </c>
      <c r="G583" s="20" t="s">
        <v>233</v>
      </c>
      <c r="H583" s="282"/>
    </row>
    <row r="584" spans="1:13" s="291" customFormat="1" hidden="1" x14ac:dyDescent="0.3">
      <c r="A584" s="205">
        <v>45846</v>
      </c>
      <c r="B584" s="10" t="s">
        <v>211</v>
      </c>
      <c r="C584" s="17" t="s">
        <v>44</v>
      </c>
      <c r="D584" s="18" t="s">
        <v>474</v>
      </c>
      <c r="E584" s="19">
        <v>-3255.2</v>
      </c>
      <c r="F584" s="25" t="s">
        <v>8</v>
      </c>
      <c r="G584" s="303" t="s">
        <v>233</v>
      </c>
      <c r="H584" s="282"/>
    </row>
    <row r="585" spans="1:13" s="291" customFormat="1" hidden="1" x14ac:dyDescent="0.3">
      <c r="A585" s="205">
        <v>45846</v>
      </c>
      <c r="B585" s="10" t="s">
        <v>211</v>
      </c>
      <c r="C585" s="268" t="s">
        <v>17</v>
      </c>
      <c r="D585" s="268" t="s">
        <v>471</v>
      </c>
      <c r="E585" s="270">
        <v>-90</v>
      </c>
      <c r="F585" s="25" t="s">
        <v>8</v>
      </c>
      <c r="G585" s="20" t="s">
        <v>142</v>
      </c>
      <c r="H585" s="282"/>
    </row>
    <row r="586" spans="1:13" s="291" customFormat="1" hidden="1" x14ac:dyDescent="0.3">
      <c r="A586" s="205">
        <v>45846</v>
      </c>
      <c r="B586" s="10" t="s">
        <v>211</v>
      </c>
      <c r="C586" s="63" t="s">
        <v>33</v>
      </c>
      <c r="D586" s="63" t="s">
        <v>396</v>
      </c>
      <c r="E586" s="67">
        <v>-105.31</v>
      </c>
      <c r="F586" s="25" t="s">
        <v>8</v>
      </c>
      <c r="G586" s="64" t="s">
        <v>76</v>
      </c>
      <c r="H586" s="282"/>
    </row>
    <row r="587" spans="1:13" s="291" customFormat="1" hidden="1" x14ac:dyDescent="0.3">
      <c r="A587" s="205">
        <v>45846</v>
      </c>
      <c r="B587" s="10" t="s">
        <v>211</v>
      </c>
      <c r="C587" s="63" t="s">
        <v>72</v>
      </c>
      <c r="D587" s="63" t="s">
        <v>470</v>
      </c>
      <c r="E587" s="67">
        <v>-252.74</v>
      </c>
      <c r="F587" s="25" t="s">
        <v>8</v>
      </c>
      <c r="G587" s="64" t="s">
        <v>76</v>
      </c>
      <c r="H587" s="282"/>
    </row>
    <row r="588" spans="1:13" s="291" customFormat="1" hidden="1" x14ac:dyDescent="0.3">
      <c r="A588" s="205">
        <v>45846</v>
      </c>
      <c r="B588" s="10" t="s">
        <v>211</v>
      </c>
      <c r="C588" s="63" t="s">
        <v>25</v>
      </c>
      <c r="D588" s="63" t="s">
        <v>362</v>
      </c>
      <c r="E588" s="67">
        <v>-5600</v>
      </c>
      <c r="F588" s="60" t="s">
        <v>8</v>
      </c>
      <c r="G588" s="20" t="s">
        <v>189</v>
      </c>
      <c r="H588" s="209"/>
    </row>
    <row r="589" spans="1:13" s="291" customFormat="1" hidden="1" x14ac:dyDescent="0.3">
      <c r="A589" s="205">
        <v>45846</v>
      </c>
      <c r="B589" s="10" t="s">
        <v>211</v>
      </c>
      <c r="C589" s="63" t="s">
        <v>72</v>
      </c>
      <c r="D589" s="63" t="s">
        <v>473</v>
      </c>
      <c r="E589" s="67">
        <v>-352.25</v>
      </c>
      <c r="F589" s="60" t="s">
        <v>8</v>
      </c>
      <c r="G589" s="303" t="s">
        <v>233</v>
      </c>
      <c r="H589" s="209"/>
    </row>
    <row r="590" spans="1:13" s="291" customFormat="1" hidden="1" x14ac:dyDescent="0.3">
      <c r="A590" s="205">
        <v>45856</v>
      </c>
      <c r="B590" s="10" t="s">
        <v>211</v>
      </c>
      <c r="C590" s="26" t="s">
        <v>6</v>
      </c>
      <c r="D590" s="26" t="s">
        <v>558</v>
      </c>
      <c r="E590" s="19">
        <v>-2003.3397440000001</v>
      </c>
      <c r="F590" s="25" t="s">
        <v>8</v>
      </c>
      <c r="G590" s="20" t="s">
        <v>142</v>
      </c>
      <c r="H590" s="209"/>
    </row>
    <row r="591" spans="1:13" s="291" customFormat="1" hidden="1" x14ac:dyDescent="0.3">
      <c r="A591" s="205">
        <v>45856</v>
      </c>
      <c r="B591" s="10" t="s">
        <v>211</v>
      </c>
      <c r="C591" s="26" t="s">
        <v>44</v>
      </c>
      <c r="D591" s="26" t="s">
        <v>232</v>
      </c>
      <c r="E591" s="19">
        <v>-955.7</v>
      </c>
      <c r="F591" s="25" t="s">
        <v>8</v>
      </c>
      <c r="G591" s="20" t="s">
        <v>233</v>
      </c>
      <c r="H591" s="209"/>
    </row>
    <row r="592" spans="1:13" s="291" customFormat="1" hidden="1" x14ac:dyDescent="0.3">
      <c r="A592" s="205">
        <v>45856</v>
      </c>
      <c r="B592" s="10" t="s">
        <v>211</v>
      </c>
      <c r="C592" s="26" t="s">
        <v>44</v>
      </c>
      <c r="D592" s="26" t="s">
        <v>232</v>
      </c>
      <c r="E592" s="497">
        <v>-372.75</v>
      </c>
      <c r="F592" s="25" t="s">
        <v>8</v>
      </c>
      <c r="G592" s="20" t="s">
        <v>233</v>
      </c>
      <c r="H592" s="209"/>
    </row>
    <row r="593" spans="1:8" s="291" customFormat="1" hidden="1" x14ac:dyDescent="0.3">
      <c r="A593" s="205">
        <v>45846</v>
      </c>
      <c r="B593" s="10" t="s">
        <v>211</v>
      </c>
      <c r="C593" s="22" t="s">
        <v>13</v>
      </c>
      <c r="D593" s="26" t="s">
        <v>483</v>
      </c>
      <c r="E593" s="19">
        <v>-238.27</v>
      </c>
      <c r="F593" s="25" t="s">
        <v>8</v>
      </c>
      <c r="G593" s="14" t="s">
        <v>74</v>
      </c>
      <c r="H593" s="209"/>
    </row>
    <row r="594" spans="1:8" s="291" customFormat="1" hidden="1" x14ac:dyDescent="0.3">
      <c r="A594" s="205">
        <v>45846</v>
      </c>
      <c r="B594" s="10" t="s">
        <v>211</v>
      </c>
      <c r="C594" s="22" t="s">
        <v>13</v>
      </c>
      <c r="D594" s="26" t="s">
        <v>482</v>
      </c>
      <c r="E594" s="19">
        <v>-238.27</v>
      </c>
      <c r="F594" s="25" t="s">
        <v>8</v>
      </c>
      <c r="G594" s="14" t="s">
        <v>74</v>
      </c>
      <c r="H594" s="209"/>
    </row>
    <row r="595" spans="1:8" s="291" customFormat="1" hidden="1" x14ac:dyDescent="0.3">
      <c r="A595" s="205">
        <v>45846</v>
      </c>
      <c r="B595" s="10" t="s">
        <v>211</v>
      </c>
      <c r="C595" s="22" t="s">
        <v>13</v>
      </c>
      <c r="D595" s="26" t="s">
        <v>481</v>
      </c>
      <c r="E595" s="19">
        <v>-238.27</v>
      </c>
      <c r="F595" s="25" t="s">
        <v>8</v>
      </c>
      <c r="G595" s="14" t="s">
        <v>74</v>
      </c>
      <c r="H595" s="209"/>
    </row>
    <row r="596" spans="1:8" s="291" customFormat="1" hidden="1" x14ac:dyDescent="0.3">
      <c r="A596" s="205">
        <v>45846</v>
      </c>
      <c r="B596" s="10" t="s">
        <v>211</v>
      </c>
      <c r="C596" s="22" t="s">
        <v>13</v>
      </c>
      <c r="D596" s="26" t="s">
        <v>480</v>
      </c>
      <c r="E596" s="19">
        <v>-238.27</v>
      </c>
      <c r="F596" s="25" t="s">
        <v>8</v>
      </c>
      <c r="G596" s="14" t="s">
        <v>74</v>
      </c>
      <c r="H596" s="209"/>
    </row>
    <row r="597" spans="1:8" s="291" customFormat="1" hidden="1" x14ac:dyDescent="0.3">
      <c r="A597" s="205">
        <v>45846</v>
      </c>
      <c r="B597" s="10" t="s">
        <v>211</v>
      </c>
      <c r="C597" s="22" t="s">
        <v>13</v>
      </c>
      <c r="D597" s="26" t="s">
        <v>478</v>
      </c>
      <c r="E597" s="19">
        <v>-327.58999999999997</v>
      </c>
      <c r="F597" s="25" t="s">
        <v>8</v>
      </c>
      <c r="G597" s="14" t="s">
        <v>74</v>
      </c>
      <c r="H597" s="209"/>
    </row>
    <row r="598" spans="1:8" s="291" customFormat="1" hidden="1" x14ac:dyDescent="0.3">
      <c r="A598" s="205">
        <v>45846</v>
      </c>
      <c r="B598" s="10" t="s">
        <v>211</v>
      </c>
      <c r="C598" s="22" t="s">
        <v>13</v>
      </c>
      <c r="D598" s="26" t="s">
        <v>477</v>
      </c>
      <c r="E598" s="19">
        <v>-492.61</v>
      </c>
      <c r="F598" s="25" t="s">
        <v>8</v>
      </c>
      <c r="G598" s="14" t="s">
        <v>74</v>
      </c>
      <c r="H598" s="209"/>
    </row>
    <row r="599" spans="1:8" s="291" customFormat="1" hidden="1" x14ac:dyDescent="0.3">
      <c r="A599" s="205">
        <v>45846</v>
      </c>
      <c r="B599" s="10" t="s">
        <v>211</v>
      </c>
      <c r="C599" s="22" t="s">
        <v>13</v>
      </c>
      <c r="D599" s="26" t="s">
        <v>479</v>
      </c>
      <c r="E599" s="19">
        <v>-635.09</v>
      </c>
      <c r="F599" s="25" t="s">
        <v>8</v>
      </c>
      <c r="G599" s="14" t="s">
        <v>74</v>
      </c>
      <c r="H599" s="209"/>
    </row>
    <row r="600" spans="1:8" s="291" customFormat="1" hidden="1" x14ac:dyDescent="0.3">
      <c r="A600" s="205">
        <v>45846</v>
      </c>
      <c r="B600" s="10" t="s">
        <v>211</v>
      </c>
      <c r="C600" s="22" t="s">
        <v>17</v>
      </c>
      <c r="D600" s="13" t="s">
        <v>475</v>
      </c>
      <c r="E600" s="21">
        <v>-752.69</v>
      </c>
      <c r="F600" s="25" t="s">
        <v>8</v>
      </c>
      <c r="G600" s="14" t="s">
        <v>74</v>
      </c>
      <c r="H600" s="209"/>
    </row>
    <row r="601" spans="1:8" s="291" customFormat="1" hidden="1" x14ac:dyDescent="0.3">
      <c r="A601" s="205">
        <v>45846</v>
      </c>
      <c r="B601" s="10" t="s">
        <v>211</v>
      </c>
      <c r="C601" s="22" t="s">
        <v>17</v>
      </c>
      <c r="D601" s="13" t="s">
        <v>476</v>
      </c>
      <c r="E601" s="21">
        <v>-6481.7</v>
      </c>
      <c r="F601" s="25" t="s">
        <v>8</v>
      </c>
      <c r="G601" s="14" t="s">
        <v>74</v>
      </c>
      <c r="H601" s="209"/>
    </row>
    <row r="602" spans="1:8" s="291" customFormat="1" hidden="1" x14ac:dyDescent="0.3">
      <c r="A602" s="205">
        <v>45842</v>
      </c>
      <c r="B602" s="10" t="s">
        <v>211</v>
      </c>
      <c r="C602" s="313" t="s">
        <v>17</v>
      </c>
      <c r="D602" s="314" t="s">
        <v>412</v>
      </c>
      <c r="E602" s="315">
        <v>-2000</v>
      </c>
      <c r="F602" s="294" t="s">
        <v>8</v>
      </c>
      <c r="G602" s="316" t="s">
        <v>150</v>
      </c>
      <c r="H602" s="209"/>
    </row>
    <row r="603" spans="1:8" s="291" customFormat="1" hidden="1" x14ac:dyDescent="0.3">
      <c r="A603" s="201">
        <v>45842</v>
      </c>
      <c r="B603" s="50" t="s">
        <v>211</v>
      </c>
      <c r="C603" s="330" t="s">
        <v>432</v>
      </c>
      <c r="D603" s="331" t="s">
        <v>413</v>
      </c>
      <c r="E603" s="332">
        <v>-150</v>
      </c>
      <c r="F603" s="333" t="s">
        <v>8</v>
      </c>
      <c r="G603" s="334" t="s">
        <v>150</v>
      </c>
      <c r="H603" s="209"/>
    </row>
    <row r="604" spans="1:8" s="319" customFormat="1" hidden="1" x14ac:dyDescent="0.3">
      <c r="A604" s="98">
        <v>45901</v>
      </c>
      <c r="B604" s="97" t="s">
        <v>213</v>
      </c>
      <c r="C604" s="272" t="s">
        <v>17</v>
      </c>
      <c r="D604" s="161" t="s">
        <v>1428</v>
      </c>
      <c r="E604" s="126">
        <v>29400</v>
      </c>
      <c r="F604" s="110" t="s">
        <v>164</v>
      </c>
      <c r="G604" s="137" t="s">
        <v>79</v>
      </c>
      <c r="H604" s="282"/>
    </row>
    <row r="605" spans="1:8" s="319" customFormat="1" hidden="1" x14ac:dyDescent="0.3">
      <c r="A605" s="98">
        <v>45901</v>
      </c>
      <c r="B605" s="97" t="s">
        <v>213</v>
      </c>
      <c r="C605" s="272" t="s">
        <v>17</v>
      </c>
      <c r="D605" s="161" t="s">
        <v>1430</v>
      </c>
      <c r="E605" s="126">
        <v>6759.38</v>
      </c>
      <c r="F605" s="110" t="s">
        <v>164</v>
      </c>
      <c r="G605" s="137" t="s">
        <v>165</v>
      </c>
      <c r="H605" s="282"/>
    </row>
    <row r="606" spans="1:8" s="291" customFormat="1" hidden="1" x14ac:dyDescent="0.3">
      <c r="A606" s="98">
        <v>45912</v>
      </c>
      <c r="B606" s="97" t="s">
        <v>213</v>
      </c>
      <c r="C606" s="124" t="s">
        <v>30</v>
      </c>
      <c r="D606" s="161" t="s">
        <v>489</v>
      </c>
      <c r="E606" s="126">
        <v>15077.75</v>
      </c>
      <c r="F606" s="110" t="s">
        <v>164</v>
      </c>
      <c r="G606" s="137" t="s">
        <v>165</v>
      </c>
      <c r="H606" s="209"/>
    </row>
    <row r="607" spans="1:8" s="291" customFormat="1" hidden="1" x14ac:dyDescent="0.3">
      <c r="A607" s="98">
        <v>45930</v>
      </c>
      <c r="B607" s="97" t="s">
        <v>213</v>
      </c>
      <c r="C607" s="124" t="s">
        <v>30</v>
      </c>
      <c r="D607" s="161" t="s">
        <v>489</v>
      </c>
      <c r="E607" s="126">
        <v>15077.75</v>
      </c>
      <c r="F607" s="110" t="s">
        <v>164</v>
      </c>
      <c r="G607" s="137" t="s">
        <v>165</v>
      </c>
      <c r="H607" s="209"/>
    </row>
    <row r="608" spans="1:8" s="291" customFormat="1" hidden="1" x14ac:dyDescent="0.3">
      <c r="A608" s="465">
        <v>45960</v>
      </c>
      <c r="B608" s="466" t="s">
        <v>216</v>
      </c>
      <c r="C608" s="871" t="s">
        <v>30</v>
      </c>
      <c r="D608" s="664" t="s">
        <v>489</v>
      </c>
      <c r="E608" s="486">
        <v>15077.75</v>
      </c>
      <c r="F608" s="153" t="s">
        <v>164</v>
      </c>
      <c r="G608" s="487" t="s">
        <v>165</v>
      </c>
      <c r="H608" s="209"/>
    </row>
    <row r="609" spans="1:8" s="291" customFormat="1" hidden="1" x14ac:dyDescent="0.3">
      <c r="A609" s="98">
        <v>45989</v>
      </c>
      <c r="B609" s="97" t="s">
        <v>217</v>
      </c>
      <c r="C609" s="124" t="s">
        <v>30</v>
      </c>
      <c r="D609" s="161" t="s">
        <v>489</v>
      </c>
      <c r="E609" s="126">
        <v>15077.75</v>
      </c>
      <c r="F609" s="110" t="s">
        <v>164</v>
      </c>
      <c r="G609" s="137" t="s">
        <v>165</v>
      </c>
      <c r="H609" s="209"/>
    </row>
    <row r="610" spans="1:8" s="291" customFormat="1" hidden="1" x14ac:dyDescent="0.3">
      <c r="A610" s="98">
        <v>46021</v>
      </c>
      <c r="B610" s="97" t="s">
        <v>221</v>
      </c>
      <c r="C610" s="124" t="s">
        <v>30</v>
      </c>
      <c r="D610" s="161" t="s">
        <v>489</v>
      </c>
      <c r="E610" s="126">
        <v>15077.75</v>
      </c>
      <c r="F610" s="110" t="s">
        <v>164</v>
      </c>
      <c r="G610" s="137" t="s">
        <v>165</v>
      </c>
      <c r="H610" s="209"/>
    </row>
    <row r="611" spans="1:8" s="319" customFormat="1" hidden="1" x14ac:dyDescent="0.3">
      <c r="A611" s="98">
        <v>45866</v>
      </c>
      <c r="B611" s="97" t="s">
        <v>211</v>
      </c>
      <c r="C611" s="124" t="s">
        <v>30</v>
      </c>
      <c r="D611" s="161" t="s">
        <v>1028</v>
      </c>
      <c r="E611" s="126">
        <v>579.54999999999995</v>
      </c>
      <c r="F611" s="110" t="s">
        <v>164</v>
      </c>
      <c r="G611" s="137" t="s">
        <v>165</v>
      </c>
      <c r="H611" s="282"/>
    </row>
    <row r="612" spans="1:8" s="319" customFormat="1" hidden="1" x14ac:dyDescent="0.3">
      <c r="A612" s="98">
        <v>45866</v>
      </c>
      <c r="B612" s="97" t="s">
        <v>211</v>
      </c>
      <c r="C612" s="124" t="s">
        <v>30</v>
      </c>
      <c r="D612" s="161" t="s">
        <v>489</v>
      </c>
      <c r="E612" s="126">
        <v>15077.75</v>
      </c>
      <c r="F612" s="110" t="s">
        <v>164</v>
      </c>
      <c r="G612" s="137" t="s">
        <v>165</v>
      </c>
      <c r="H612" s="282"/>
    </row>
    <row r="613" spans="1:8" s="319" customFormat="1" hidden="1" x14ac:dyDescent="0.3">
      <c r="A613" s="98">
        <v>45845</v>
      </c>
      <c r="B613" s="97" t="s">
        <v>211</v>
      </c>
      <c r="C613" s="124" t="s">
        <v>30</v>
      </c>
      <c r="D613" s="161" t="s">
        <v>489</v>
      </c>
      <c r="E613" s="126">
        <v>15077.75</v>
      </c>
      <c r="F613" s="110" t="s">
        <v>164</v>
      </c>
      <c r="G613" s="137" t="s">
        <v>165</v>
      </c>
      <c r="H613" s="282"/>
    </row>
    <row r="614" spans="1:8" s="291" customFormat="1" hidden="1" x14ac:dyDescent="0.3">
      <c r="A614" s="338">
        <v>45846</v>
      </c>
      <c r="B614" s="339" t="s">
        <v>211</v>
      </c>
      <c r="C614" s="340" t="s">
        <v>6</v>
      </c>
      <c r="D614" s="340" t="s">
        <v>466</v>
      </c>
      <c r="E614" s="341">
        <v>-257</v>
      </c>
      <c r="F614" s="342" t="s">
        <v>8</v>
      </c>
      <c r="G614" s="342" t="s">
        <v>83</v>
      </c>
      <c r="H614" s="209"/>
    </row>
    <row r="615" spans="1:8" s="291" customFormat="1" hidden="1" x14ac:dyDescent="0.3">
      <c r="A615" s="66">
        <v>45846</v>
      </c>
      <c r="B615" s="59" t="s">
        <v>211</v>
      </c>
      <c r="C615" s="63" t="s">
        <v>25</v>
      </c>
      <c r="D615" s="63" t="s">
        <v>467</v>
      </c>
      <c r="E615" s="67">
        <v>-195</v>
      </c>
      <c r="F615" s="64" t="s">
        <v>8</v>
      </c>
      <c r="G615" s="64" t="s">
        <v>83</v>
      </c>
      <c r="H615" s="209"/>
    </row>
    <row r="616" spans="1:8" s="291" customFormat="1" hidden="1" x14ac:dyDescent="0.3">
      <c r="A616" s="66">
        <v>45846</v>
      </c>
      <c r="B616" s="59" t="s">
        <v>211</v>
      </c>
      <c r="C616" s="63" t="s">
        <v>17</v>
      </c>
      <c r="D616" s="63" t="s">
        <v>468</v>
      </c>
      <c r="E616" s="67">
        <v>-160</v>
      </c>
      <c r="F616" s="64" t="s">
        <v>8</v>
      </c>
      <c r="G616" s="64" t="s">
        <v>83</v>
      </c>
      <c r="H616" s="209"/>
    </row>
    <row r="617" spans="1:8" s="291" customFormat="1" ht="13.8" hidden="1" customHeight="1" x14ac:dyDescent="0.3">
      <c r="A617" s="66">
        <v>45846</v>
      </c>
      <c r="B617" s="59" t="s">
        <v>211</v>
      </c>
      <c r="C617" s="63" t="s">
        <v>17</v>
      </c>
      <c r="D617" s="63" t="s">
        <v>469</v>
      </c>
      <c r="E617" s="67">
        <v>-684</v>
      </c>
      <c r="F617" s="64" t="s">
        <v>8</v>
      </c>
      <c r="G617" s="64" t="s">
        <v>83</v>
      </c>
      <c r="H617" s="209"/>
    </row>
    <row r="618" spans="1:8" s="291" customFormat="1" ht="13.8" hidden="1" customHeight="1" x14ac:dyDescent="0.3">
      <c r="A618" s="66">
        <v>45846</v>
      </c>
      <c r="B618" s="59" t="s">
        <v>211</v>
      </c>
      <c r="C618" s="63" t="s">
        <v>72</v>
      </c>
      <c r="D618" s="63" t="s">
        <v>485</v>
      </c>
      <c r="E618" s="67">
        <v>-32.4</v>
      </c>
      <c r="F618" s="64" t="s">
        <v>8</v>
      </c>
      <c r="G618" s="64" t="s">
        <v>83</v>
      </c>
      <c r="H618" s="209"/>
    </row>
    <row r="619" spans="1:8" s="291" customFormat="1" ht="13.8" hidden="1" customHeight="1" x14ac:dyDescent="0.3">
      <c r="A619" s="66">
        <v>45846</v>
      </c>
      <c r="B619" s="59" t="s">
        <v>211</v>
      </c>
      <c r="C619" s="63" t="s">
        <v>72</v>
      </c>
      <c r="D619" s="63" t="s">
        <v>486</v>
      </c>
      <c r="E619" s="67">
        <v>-12</v>
      </c>
      <c r="F619" s="64" t="s">
        <v>8</v>
      </c>
      <c r="G619" s="64" t="s">
        <v>83</v>
      </c>
      <c r="H619" s="209"/>
    </row>
    <row r="620" spans="1:8" s="291" customFormat="1" ht="13.8" hidden="1" customHeight="1" x14ac:dyDescent="0.3">
      <c r="A620" s="66">
        <v>45846</v>
      </c>
      <c r="B620" s="59" t="s">
        <v>211</v>
      </c>
      <c r="C620" s="63" t="s">
        <v>31</v>
      </c>
      <c r="D620" s="63" t="s">
        <v>487</v>
      </c>
      <c r="E620" s="67">
        <v>-630.08000000000004</v>
      </c>
      <c r="F620" s="64" t="s">
        <v>8</v>
      </c>
      <c r="G620" s="64" t="s">
        <v>51</v>
      </c>
      <c r="H620" s="209"/>
    </row>
    <row r="621" spans="1:8" s="291" customFormat="1" ht="13.8" hidden="1" customHeight="1" x14ac:dyDescent="0.3">
      <c r="A621" s="66">
        <v>45846</v>
      </c>
      <c r="B621" s="59" t="s">
        <v>211</v>
      </c>
      <c r="C621" s="63" t="s">
        <v>31</v>
      </c>
      <c r="D621" s="24" t="s">
        <v>97</v>
      </c>
      <c r="E621" s="67">
        <v>-5000</v>
      </c>
      <c r="F621" s="64" t="s">
        <v>8</v>
      </c>
      <c r="G621" s="214" t="s">
        <v>39</v>
      </c>
      <c r="H621" s="209"/>
    </row>
    <row r="622" spans="1:8" s="291" customFormat="1" hidden="1" x14ac:dyDescent="0.3">
      <c r="A622" s="205">
        <v>45846</v>
      </c>
      <c r="B622" s="10" t="s">
        <v>211</v>
      </c>
      <c r="C622" s="17" t="s">
        <v>72</v>
      </c>
      <c r="D622" s="18" t="s">
        <v>472</v>
      </c>
      <c r="E622" s="19">
        <v>-900.68</v>
      </c>
      <c r="F622" s="25" t="s">
        <v>8</v>
      </c>
      <c r="G622" s="303" t="s">
        <v>233</v>
      </c>
      <c r="H622" s="282"/>
    </row>
    <row r="623" spans="1:8" s="291" customFormat="1" hidden="1" x14ac:dyDescent="0.3">
      <c r="A623" s="205">
        <v>45856</v>
      </c>
      <c r="B623" s="10" t="s">
        <v>211</v>
      </c>
      <c r="C623" s="26" t="s">
        <v>25</v>
      </c>
      <c r="D623" s="26" t="s">
        <v>912</v>
      </c>
      <c r="E623" s="497">
        <v>-325.02999999999997</v>
      </c>
      <c r="F623" s="25" t="s">
        <v>8</v>
      </c>
      <c r="G623" s="303" t="s">
        <v>37</v>
      </c>
      <c r="H623" s="282"/>
    </row>
    <row r="624" spans="1:8" s="291" customFormat="1" hidden="1" x14ac:dyDescent="0.3">
      <c r="A624" s="205">
        <v>45856</v>
      </c>
      <c r="B624" s="10" t="s">
        <v>211</v>
      </c>
      <c r="C624" s="26" t="s">
        <v>106</v>
      </c>
      <c r="D624" s="26" t="s">
        <v>827</v>
      </c>
      <c r="E624" s="497">
        <v>-2785.73</v>
      </c>
      <c r="F624" s="25" t="s">
        <v>8</v>
      </c>
      <c r="G624" s="20" t="s">
        <v>76</v>
      </c>
      <c r="H624" s="209"/>
    </row>
    <row r="625" spans="1:8" s="291" customFormat="1" hidden="1" x14ac:dyDescent="0.3">
      <c r="A625" s="205">
        <v>45856</v>
      </c>
      <c r="B625" s="10" t="s">
        <v>211</v>
      </c>
      <c r="C625" s="26" t="s">
        <v>25</v>
      </c>
      <c r="D625" s="26" t="s">
        <v>872</v>
      </c>
      <c r="E625" s="499">
        <v>-1000</v>
      </c>
      <c r="F625" s="25" t="s">
        <v>8</v>
      </c>
      <c r="G625" s="14" t="s">
        <v>41</v>
      </c>
      <c r="H625" s="209"/>
    </row>
    <row r="626" spans="1:8" s="284" customFormat="1" ht="13.2" hidden="1" customHeight="1" x14ac:dyDescent="0.3">
      <c r="A626" s="578">
        <v>45856</v>
      </c>
      <c r="B626" s="326" t="s">
        <v>211</v>
      </c>
      <c r="C626" s="268" t="s">
        <v>72</v>
      </c>
      <c r="D626" s="268" t="s">
        <v>234</v>
      </c>
      <c r="E626" s="579">
        <v>-352.25</v>
      </c>
      <c r="F626" s="51" t="s">
        <v>8</v>
      </c>
      <c r="G626" s="303" t="s">
        <v>233</v>
      </c>
      <c r="H626" s="291"/>
    </row>
    <row r="627" spans="1:8" s="289" customFormat="1" ht="13.2" hidden="1" customHeight="1" x14ac:dyDescent="0.3">
      <c r="A627" s="66">
        <v>45849</v>
      </c>
      <c r="B627" s="59" t="s">
        <v>211</v>
      </c>
      <c r="C627" s="63" t="s">
        <v>72</v>
      </c>
      <c r="D627" s="63" t="s">
        <v>357</v>
      </c>
      <c r="E627" s="67">
        <v>-40.86</v>
      </c>
      <c r="F627" s="60" t="s">
        <v>8</v>
      </c>
      <c r="G627" s="64" t="s">
        <v>207</v>
      </c>
      <c r="H627" s="281"/>
    </row>
    <row r="628" spans="1:8" s="289" customFormat="1" ht="13.2" hidden="1" customHeight="1" x14ac:dyDescent="0.3">
      <c r="A628" s="226">
        <v>45840</v>
      </c>
      <c r="B628" s="46" t="s">
        <v>211</v>
      </c>
      <c r="C628" s="340" t="s">
        <v>25</v>
      </c>
      <c r="D628" s="340" t="s">
        <v>426</v>
      </c>
      <c r="E628" s="341">
        <v>-150</v>
      </c>
      <c r="F628" s="361" t="s">
        <v>8</v>
      </c>
      <c r="G628" s="14" t="s">
        <v>41</v>
      </c>
      <c r="H628" s="281"/>
    </row>
    <row r="629" spans="1:8" s="289" customFormat="1" ht="13.2" hidden="1" customHeight="1" x14ac:dyDescent="0.3">
      <c r="A629" s="66">
        <v>45840</v>
      </c>
      <c r="B629" s="59" t="s">
        <v>211</v>
      </c>
      <c r="C629" s="268" t="s">
        <v>17</v>
      </c>
      <c r="D629" s="314" t="s">
        <v>399</v>
      </c>
      <c r="E629" s="315">
        <v>-2651.79</v>
      </c>
      <c r="F629" s="294" t="s">
        <v>8</v>
      </c>
      <c r="G629" s="316" t="s">
        <v>69</v>
      </c>
      <c r="H629" s="281"/>
    </row>
    <row r="630" spans="1:8" s="289" customFormat="1" ht="13.2" hidden="1" customHeight="1" x14ac:dyDescent="0.3">
      <c r="A630" s="66">
        <v>45840</v>
      </c>
      <c r="B630" s="59" t="s">
        <v>211</v>
      </c>
      <c r="C630" s="268" t="s">
        <v>17</v>
      </c>
      <c r="D630" s="314" t="s">
        <v>399</v>
      </c>
      <c r="E630" s="315">
        <v>-1668.9</v>
      </c>
      <c r="F630" s="294" t="s">
        <v>8</v>
      </c>
      <c r="G630" s="316" t="s">
        <v>69</v>
      </c>
      <c r="H630" s="281"/>
    </row>
    <row r="631" spans="1:8" s="289" customFormat="1" ht="13.2" hidden="1" customHeight="1" x14ac:dyDescent="0.3">
      <c r="A631" s="66">
        <v>45856</v>
      </c>
      <c r="B631" s="59" t="s">
        <v>211</v>
      </c>
      <c r="C631" s="313" t="s">
        <v>6</v>
      </c>
      <c r="D631" s="580" t="s">
        <v>400</v>
      </c>
      <c r="E631" s="581">
        <v>-32600.85</v>
      </c>
      <c r="F631" s="294" t="s">
        <v>8</v>
      </c>
      <c r="G631" s="309" t="s">
        <v>127</v>
      </c>
      <c r="H631" s="281"/>
    </row>
    <row r="632" spans="1:8" s="289" customFormat="1" ht="13.2" hidden="1" customHeight="1" x14ac:dyDescent="0.3">
      <c r="A632" s="66">
        <v>45856</v>
      </c>
      <c r="B632" s="59" t="s">
        <v>211</v>
      </c>
      <c r="C632" s="582" t="s">
        <v>17</v>
      </c>
      <c r="D632" s="314" t="s">
        <v>402</v>
      </c>
      <c r="E632" s="315">
        <v>-6479.07</v>
      </c>
      <c r="F632" s="294" t="s">
        <v>8</v>
      </c>
      <c r="G632" s="294" t="s">
        <v>127</v>
      </c>
      <c r="H632" s="281"/>
    </row>
    <row r="633" spans="1:8" s="289" customFormat="1" ht="13.2" hidden="1" customHeight="1" x14ac:dyDescent="0.3">
      <c r="A633" s="66">
        <v>45856</v>
      </c>
      <c r="B633" s="59" t="s">
        <v>211</v>
      </c>
      <c r="C633" s="582" t="s">
        <v>44</v>
      </c>
      <c r="D633" s="314" t="s">
        <v>403</v>
      </c>
      <c r="E633" s="315">
        <v>-547.91999999999996</v>
      </c>
      <c r="F633" s="294" t="s">
        <v>8</v>
      </c>
      <c r="G633" s="294" t="s">
        <v>127</v>
      </c>
      <c r="H633" s="281"/>
    </row>
    <row r="634" spans="1:8" s="289" customFormat="1" ht="12" hidden="1" customHeight="1" x14ac:dyDescent="0.3">
      <c r="A634" s="66">
        <v>45856</v>
      </c>
      <c r="B634" s="59" t="s">
        <v>211</v>
      </c>
      <c r="C634" s="268" t="s">
        <v>31</v>
      </c>
      <c r="D634" s="268" t="s">
        <v>404</v>
      </c>
      <c r="E634" s="270">
        <v>-527.71</v>
      </c>
      <c r="F634" s="294" t="s">
        <v>8</v>
      </c>
      <c r="G634" s="317" t="s">
        <v>127</v>
      </c>
      <c r="H634" s="281"/>
    </row>
    <row r="635" spans="1:8" s="289" customFormat="1" ht="13.2" hidden="1" customHeight="1" x14ac:dyDescent="0.3">
      <c r="A635" s="66">
        <v>45856</v>
      </c>
      <c r="B635" s="59" t="s">
        <v>211</v>
      </c>
      <c r="C635" s="63" t="s">
        <v>25</v>
      </c>
      <c r="D635" s="63" t="s">
        <v>406</v>
      </c>
      <c r="E635" s="67">
        <v>-511.22</v>
      </c>
      <c r="F635" s="60" t="s">
        <v>8</v>
      </c>
      <c r="G635" s="317" t="s">
        <v>127</v>
      </c>
      <c r="H635" s="281"/>
    </row>
    <row r="636" spans="1:8" s="289" customFormat="1" ht="10.8" hidden="1" customHeight="1" x14ac:dyDescent="0.3">
      <c r="A636" s="66">
        <v>45856</v>
      </c>
      <c r="B636" s="59" t="s">
        <v>211</v>
      </c>
      <c r="C636" s="292" t="s">
        <v>17</v>
      </c>
      <c r="D636" s="63" t="s">
        <v>407</v>
      </c>
      <c r="E636" s="67">
        <v>-4331.1099999999997</v>
      </c>
      <c r="F636" s="60" t="s">
        <v>8</v>
      </c>
      <c r="G636" s="317" t="s">
        <v>127</v>
      </c>
      <c r="H636" s="281"/>
    </row>
    <row r="637" spans="1:8" s="289" customFormat="1" ht="13.2" hidden="1" customHeight="1" x14ac:dyDescent="0.3">
      <c r="A637" s="66">
        <v>45856</v>
      </c>
      <c r="B637" s="59" t="s">
        <v>211</v>
      </c>
      <c r="C637" s="292" t="s">
        <v>401</v>
      </c>
      <c r="D637" s="63" t="s">
        <v>408</v>
      </c>
      <c r="E637" s="67">
        <v>-521.20000000000005</v>
      </c>
      <c r="F637" s="60" t="s">
        <v>8</v>
      </c>
      <c r="G637" s="317" t="s">
        <v>127</v>
      </c>
      <c r="H637" s="281"/>
    </row>
    <row r="638" spans="1:8" s="289" customFormat="1" ht="13.2" hidden="1" customHeight="1" x14ac:dyDescent="0.3">
      <c r="A638" s="66">
        <v>45856</v>
      </c>
      <c r="B638" s="59" t="s">
        <v>211</v>
      </c>
      <c r="C638" s="292" t="s">
        <v>33</v>
      </c>
      <c r="D638" s="63" t="s">
        <v>409</v>
      </c>
      <c r="E638" s="67">
        <v>-525.48</v>
      </c>
      <c r="F638" s="60" t="s">
        <v>8</v>
      </c>
      <c r="G638" s="317" t="s">
        <v>127</v>
      </c>
      <c r="H638" s="281"/>
    </row>
    <row r="639" spans="1:8" s="291" customFormat="1" hidden="1" x14ac:dyDescent="0.3">
      <c r="A639" s="205">
        <v>45848</v>
      </c>
      <c r="B639" s="10" t="s">
        <v>211</v>
      </c>
      <c r="C639" s="26" t="s">
        <v>72</v>
      </c>
      <c r="D639" s="26" t="s">
        <v>505</v>
      </c>
      <c r="E639" s="19">
        <v>-1500</v>
      </c>
      <c r="F639" s="25" t="s">
        <v>8</v>
      </c>
      <c r="G639" s="20" t="s">
        <v>15</v>
      </c>
      <c r="H639" s="295"/>
    </row>
    <row r="640" spans="1:8" s="291" customFormat="1" hidden="1" x14ac:dyDescent="0.3">
      <c r="A640" s="205">
        <v>45848</v>
      </c>
      <c r="B640" s="10" t="s">
        <v>211</v>
      </c>
      <c r="C640" s="26" t="s">
        <v>506</v>
      </c>
      <c r="D640" s="26" t="s">
        <v>507</v>
      </c>
      <c r="E640" s="19">
        <v>-30</v>
      </c>
      <c r="F640" s="25" t="s">
        <v>8</v>
      </c>
      <c r="G640" s="20" t="s">
        <v>51</v>
      </c>
      <c r="H640" s="295"/>
    </row>
    <row r="641" spans="1:8" s="289" customFormat="1" ht="13.2" hidden="1" customHeight="1" x14ac:dyDescent="0.3">
      <c r="A641" s="66">
        <v>45848</v>
      </c>
      <c r="B641" s="59" t="s">
        <v>211</v>
      </c>
      <c r="C641" s="63" t="s">
        <v>72</v>
      </c>
      <c r="D641" s="63" t="s">
        <v>499</v>
      </c>
      <c r="E641" s="67">
        <v>-33</v>
      </c>
      <c r="F641" s="25" t="s">
        <v>8</v>
      </c>
      <c r="G641" s="64" t="s">
        <v>355</v>
      </c>
      <c r="H641" s="281"/>
    </row>
    <row r="642" spans="1:8" s="289" customFormat="1" ht="13.2" hidden="1" customHeight="1" x14ac:dyDescent="0.3">
      <c r="A642" s="66">
        <v>45849</v>
      </c>
      <c r="B642" s="59" t="s">
        <v>211</v>
      </c>
      <c r="C642" s="268" t="s">
        <v>17</v>
      </c>
      <c r="D642" s="268" t="s">
        <v>410</v>
      </c>
      <c r="E642" s="270">
        <v>-1408.84</v>
      </c>
      <c r="F642" s="294" t="s">
        <v>8</v>
      </c>
      <c r="G642" s="303" t="s">
        <v>411</v>
      </c>
      <c r="H642" s="295"/>
    </row>
    <row r="643" spans="1:8" s="289" customFormat="1" ht="13.2" hidden="1" customHeight="1" x14ac:dyDescent="0.3">
      <c r="A643" s="66">
        <v>45849</v>
      </c>
      <c r="B643" s="50" t="s">
        <v>211</v>
      </c>
      <c r="C643" s="243" t="s">
        <v>17</v>
      </c>
      <c r="D643" s="243" t="s">
        <v>410</v>
      </c>
      <c r="E643" s="204">
        <v>-3312.86</v>
      </c>
      <c r="F643" s="333" t="s">
        <v>8</v>
      </c>
      <c r="G643" s="329" t="s">
        <v>411</v>
      </c>
      <c r="H643" s="295"/>
    </row>
    <row r="644" spans="1:8" s="289" customFormat="1" ht="13.2" hidden="1" customHeight="1" x14ac:dyDescent="0.3">
      <c r="A644" s="66">
        <v>45849</v>
      </c>
      <c r="B644" s="59" t="s">
        <v>211</v>
      </c>
      <c r="C644" s="63" t="s">
        <v>25</v>
      </c>
      <c r="D644" s="63" t="s">
        <v>500</v>
      </c>
      <c r="E644" s="67">
        <v>-336.85</v>
      </c>
      <c r="F644" s="60" t="s">
        <v>8</v>
      </c>
      <c r="G644" s="14" t="s">
        <v>41</v>
      </c>
    </row>
    <row r="645" spans="1:8" s="289" customFormat="1" ht="13.2" hidden="1" customHeight="1" x14ac:dyDescent="0.3">
      <c r="A645" s="66">
        <v>45849</v>
      </c>
      <c r="B645" s="59" t="s">
        <v>211</v>
      </c>
      <c r="C645" s="63" t="s">
        <v>25</v>
      </c>
      <c r="D645" s="63" t="s">
        <v>501</v>
      </c>
      <c r="E645" s="67">
        <v>-165</v>
      </c>
      <c r="F645" s="60" t="s">
        <v>8</v>
      </c>
      <c r="G645" s="64" t="s">
        <v>83</v>
      </c>
    </row>
    <row r="646" spans="1:8" s="289" customFormat="1" ht="13.2" hidden="1" customHeight="1" x14ac:dyDescent="0.3">
      <c r="A646" s="66">
        <v>45849</v>
      </c>
      <c r="B646" s="59" t="s">
        <v>211</v>
      </c>
      <c r="C646" s="63" t="s">
        <v>25</v>
      </c>
      <c r="D646" s="63" t="s">
        <v>502</v>
      </c>
      <c r="E646" s="67">
        <v>-178</v>
      </c>
      <c r="F646" s="60" t="s">
        <v>8</v>
      </c>
      <c r="G646" s="64" t="s">
        <v>83</v>
      </c>
    </row>
    <row r="647" spans="1:8" s="289" customFormat="1" ht="13.2" hidden="1" customHeight="1" x14ac:dyDescent="0.3">
      <c r="A647" s="66">
        <v>45849</v>
      </c>
      <c r="B647" s="59" t="s">
        <v>211</v>
      </c>
      <c r="C647" s="63" t="s">
        <v>6</v>
      </c>
      <c r="D647" s="63" t="s">
        <v>503</v>
      </c>
      <c r="E647" s="67">
        <v>-238.27</v>
      </c>
      <c r="F647" s="60" t="s">
        <v>8</v>
      </c>
      <c r="G647" s="64" t="s">
        <v>114</v>
      </c>
    </row>
    <row r="648" spans="1:8" s="289" customFormat="1" ht="13.2" hidden="1" customHeight="1" x14ac:dyDescent="0.3">
      <c r="A648" s="205">
        <v>45849</v>
      </c>
      <c r="B648" s="10" t="s">
        <v>211</v>
      </c>
      <c r="C648" s="26" t="s">
        <v>31</v>
      </c>
      <c r="D648" s="26" t="s">
        <v>664</v>
      </c>
      <c r="E648" s="19">
        <v>-259.25</v>
      </c>
      <c r="F648" s="60" t="s">
        <v>8</v>
      </c>
      <c r="G648" s="64" t="s">
        <v>127</v>
      </c>
    </row>
    <row r="649" spans="1:8" s="289" customFormat="1" ht="13.2" hidden="1" customHeight="1" x14ac:dyDescent="0.3">
      <c r="A649" s="205">
        <v>45849</v>
      </c>
      <c r="B649" s="10" t="s">
        <v>211</v>
      </c>
      <c r="C649" s="26" t="s">
        <v>31</v>
      </c>
      <c r="D649" s="26" t="s">
        <v>665</v>
      </c>
      <c r="E649" s="19">
        <v>-132.47</v>
      </c>
      <c r="F649" s="60" t="s">
        <v>8</v>
      </c>
      <c r="G649" s="64" t="s">
        <v>127</v>
      </c>
    </row>
    <row r="650" spans="1:8" s="289" customFormat="1" ht="13.2" hidden="1" customHeight="1" x14ac:dyDescent="0.3">
      <c r="A650" s="205">
        <v>45849</v>
      </c>
      <c r="B650" s="10" t="s">
        <v>211</v>
      </c>
      <c r="C650" s="26" t="s">
        <v>31</v>
      </c>
      <c r="D650" s="26" t="s">
        <v>666</v>
      </c>
      <c r="E650" s="19">
        <v>-234.94</v>
      </c>
      <c r="F650" s="60" t="s">
        <v>8</v>
      </c>
      <c r="G650" s="64" t="s">
        <v>127</v>
      </c>
    </row>
    <row r="651" spans="1:8" s="289" customFormat="1" ht="13.2" hidden="1" customHeight="1" x14ac:dyDescent="0.3">
      <c r="A651" s="205">
        <v>45849</v>
      </c>
      <c r="B651" s="10" t="s">
        <v>211</v>
      </c>
      <c r="C651" s="26" t="s">
        <v>31</v>
      </c>
      <c r="D651" s="26" t="s">
        <v>667</v>
      </c>
      <c r="E651" s="19">
        <v>-265.04000000000002</v>
      </c>
      <c r="F651" s="60" t="s">
        <v>8</v>
      </c>
      <c r="G651" s="64" t="s">
        <v>127</v>
      </c>
    </row>
    <row r="652" spans="1:8" s="289" customFormat="1" ht="13.2" hidden="1" customHeight="1" x14ac:dyDescent="0.3">
      <c r="A652" s="205">
        <v>45849</v>
      </c>
      <c r="B652" s="10" t="s">
        <v>211</v>
      </c>
      <c r="C652" s="26" t="s">
        <v>31</v>
      </c>
      <c r="D652" s="26" t="s">
        <v>668</v>
      </c>
      <c r="E652" s="19">
        <v>-236.39</v>
      </c>
      <c r="F652" s="60" t="s">
        <v>8</v>
      </c>
      <c r="G652" s="64" t="s">
        <v>127</v>
      </c>
    </row>
    <row r="653" spans="1:8" s="289" customFormat="1" ht="13.2" hidden="1" customHeight="1" x14ac:dyDescent="0.3">
      <c r="A653" s="205">
        <v>45849</v>
      </c>
      <c r="B653" s="10" t="s">
        <v>211</v>
      </c>
      <c r="C653" s="26" t="s">
        <v>31</v>
      </c>
      <c r="D653" s="26" t="s">
        <v>669</v>
      </c>
      <c r="E653" s="19">
        <v>-179.49</v>
      </c>
      <c r="F653" s="60" t="s">
        <v>8</v>
      </c>
      <c r="G653" s="64" t="s">
        <v>127</v>
      </c>
    </row>
    <row r="654" spans="1:8" s="289" customFormat="1" ht="13.2" hidden="1" customHeight="1" x14ac:dyDescent="0.3">
      <c r="A654" s="205">
        <v>45849</v>
      </c>
      <c r="B654" s="10" t="s">
        <v>211</v>
      </c>
      <c r="C654" s="26" t="s">
        <v>31</v>
      </c>
      <c r="D654" s="26" t="s">
        <v>670</v>
      </c>
      <c r="E654" s="19">
        <v>-275.81</v>
      </c>
      <c r="F654" s="60" t="s">
        <v>8</v>
      </c>
      <c r="G654" s="64" t="s">
        <v>127</v>
      </c>
    </row>
    <row r="655" spans="1:8" s="289" customFormat="1" ht="13.2" hidden="1" customHeight="1" x14ac:dyDescent="0.3">
      <c r="A655" s="205">
        <v>45849</v>
      </c>
      <c r="B655" s="10" t="s">
        <v>211</v>
      </c>
      <c r="C655" s="26" t="s">
        <v>31</v>
      </c>
      <c r="D655" s="26" t="s">
        <v>671</v>
      </c>
      <c r="E655" s="19">
        <v>-348.05</v>
      </c>
      <c r="F655" s="60" t="s">
        <v>8</v>
      </c>
      <c r="G655" s="64" t="s">
        <v>127</v>
      </c>
    </row>
    <row r="656" spans="1:8" s="289" customFormat="1" ht="13.2" hidden="1" customHeight="1" x14ac:dyDescent="0.3">
      <c r="A656" s="205">
        <v>45849</v>
      </c>
      <c r="B656" s="10" t="s">
        <v>211</v>
      </c>
      <c r="C656" s="26" t="s">
        <v>31</v>
      </c>
      <c r="D656" s="26" t="s">
        <v>672</v>
      </c>
      <c r="E656" s="19">
        <v>-338.6</v>
      </c>
      <c r="F656" s="60" t="s">
        <v>8</v>
      </c>
      <c r="G656" s="64" t="s">
        <v>127</v>
      </c>
    </row>
    <row r="657" spans="1:8" s="284" customFormat="1" hidden="1" x14ac:dyDescent="0.3">
      <c r="A657" s="66">
        <v>45849</v>
      </c>
      <c r="B657" s="59" t="s">
        <v>211</v>
      </c>
      <c r="C657" s="63" t="s">
        <v>17</v>
      </c>
      <c r="D657" s="63" t="s">
        <v>663</v>
      </c>
      <c r="E657" s="67">
        <v>-120</v>
      </c>
      <c r="F657" s="60" t="s">
        <v>8</v>
      </c>
      <c r="G657" s="64" t="s">
        <v>74</v>
      </c>
      <c r="H657" s="318"/>
    </row>
    <row r="658" spans="1:8" s="284" customFormat="1" hidden="1" x14ac:dyDescent="0.3">
      <c r="A658" s="285">
        <v>45849</v>
      </c>
      <c r="B658" s="286" t="s">
        <v>211</v>
      </c>
      <c r="C658" s="268" t="s">
        <v>17</v>
      </c>
      <c r="D658" s="268" t="s">
        <v>661</v>
      </c>
      <c r="E658" s="67">
        <v>-233.26</v>
      </c>
      <c r="F658" s="60" t="s">
        <v>8</v>
      </c>
      <c r="G658" s="64" t="s">
        <v>74</v>
      </c>
      <c r="H658" s="318"/>
    </row>
    <row r="659" spans="1:8" s="284" customFormat="1" hidden="1" x14ac:dyDescent="0.3">
      <c r="A659" s="285">
        <v>45849</v>
      </c>
      <c r="B659" s="286" t="s">
        <v>211</v>
      </c>
      <c r="C659" s="268" t="s">
        <v>17</v>
      </c>
      <c r="D659" s="268" t="s">
        <v>662</v>
      </c>
      <c r="E659" s="270">
        <v>-233.26</v>
      </c>
      <c r="F659" s="25" t="s">
        <v>8</v>
      </c>
      <c r="G659" s="303" t="s">
        <v>74</v>
      </c>
      <c r="H659" s="318"/>
    </row>
    <row r="660" spans="1:8" s="291" customFormat="1" hidden="1" x14ac:dyDescent="0.3">
      <c r="A660" s="205">
        <v>45842</v>
      </c>
      <c r="B660" s="10" t="s">
        <v>211</v>
      </c>
      <c r="C660" s="26" t="s">
        <v>72</v>
      </c>
      <c r="D660" s="26" t="s">
        <v>75</v>
      </c>
      <c r="E660" s="19">
        <v>-293.45999999999998</v>
      </c>
      <c r="F660" s="25" t="s">
        <v>8</v>
      </c>
      <c r="G660" s="20" t="s">
        <v>74</v>
      </c>
      <c r="H660" s="209"/>
    </row>
    <row r="661" spans="1:8" s="291" customFormat="1" hidden="1" x14ac:dyDescent="0.3">
      <c r="A661" s="205">
        <v>45842</v>
      </c>
      <c r="B661" s="10" t="s">
        <v>211</v>
      </c>
      <c r="C661" s="26" t="s">
        <v>6</v>
      </c>
      <c r="D661" s="26" t="s">
        <v>360</v>
      </c>
      <c r="E661" s="19">
        <v>-180</v>
      </c>
      <c r="F661" s="25" t="s">
        <v>8</v>
      </c>
      <c r="G661" s="20" t="s">
        <v>207</v>
      </c>
      <c r="H661" s="209"/>
    </row>
    <row r="662" spans="1:8" s="291" customFormat="1" hidden="1" x14ac:dyDescent="0.3">
      <c r="A662" s="285">
        <v>45842</v>
      </c>
      <c r="B662" s="286" t="s">
        <v>211</v>
      </c>
      <c r="C662" s="268" t="s">
        <v>31</v>
      </c>
      <c r="D662" s="268" t="s">
        <v>373</v>
      </c>
      <c r="E662" s="270">
        <v>-1673.53</v>
      </c>
      <c r="F662" s="294" t="s">
        <v>8</v>
      </c>
      <c r="G662" s="303" t="s">
        <v>76</v>
      </c>
      <c r="H662" s="209"/>
    </row>
    <row r="663" spans="1:8" s="291" customFormat="1" hidden="1" x14ac:dyDescent="0.3">
      <c r="A663" s="285">
        <v>45842</v>
      </c>
      <c r="B663" s="286" t="s">
        <v>211</v>
      </c>
      <c r="C663" s="268" t="s">
        <v>72</v>
      </c>
      <c r="D663" s="268" t="s">
        <v>374</v>
      </c>
      <c r="E663" s="270">
        <v>-3012.37</v>
      </c>
      <c r="F663" s="294" t="s">
        <v>8</v>
      </c>
      <c r="G663" s="303" t="s">
        <v>76</v>
      </c>
      <c r="H663" s="209"/>
    </row>
    <row r="664" spans="1:8" s="291" customFormat="1" hidden="1" x14ac:dyDescent="0.3">
      <c r="A664" s="66">
        <v>45842</v>
      </c>
      <c r="B664" s="59" t="s">
        <v>211</v>
      </c>
      <c r="C664" s="63" t="s">
        <v>33</v>
      </c>
      <c r="D664" s="63" t="s">
        <v>390</v>
      </c>
      <c r="E664" s="67">
        <v>-1442.11</v>
      </c>
      <c r="F664" s="60" t="s">
        <v>8</v>
      </c>
      <c r="G664" s="64" t="s">
        <v>76</v>
      </c>
      <c r="H664" s="209"/>
    </row>
    <row r="665" spans="1:8" s="291" customFormat="1" hidden="1" x14ac:dyDescent="0.3">
      <c r="A665" s="205">
        <v>45842</v>
      </c>
      <c r="B665" s="10" t="s">
        <v>211</v>
      </c>
      <c r="C665" s="26" t="s">
        <v>32</v>
      </c>
      <c r="D665" s="26" t="s">
        <v>391</v>
      </c>
      <c r="E665" s="19">
        <v>-2146.87</v>
      </c>
      <c r="F665" s="25" t="s">
        <v>8</v>
      </c>
      <c r="G665" s="20" t="s">
        <v>76</v>
      </c>
      <c r="H665" s="209"/>
    </row>
    <row r="666" spans="1:8" s="291" customFormat="1" hidden="1" x14ac:dyDescent="0.3">
      <c r="A666" s="205">
        <v>45842</v>
      </c>
      <c r="B666" s="10" t="s">
        <v>211</v>
      </c>
      <c r="C666" s="26" t="s">
        <v>25</v>
      </c>
      <c r="D666" s="26" t="s">
        <v>386</v>
      </c>
      <c r="E666" s="19">
        <v>-194.6</v>
      </c>
      <c r="F666" s="25" t="s">
        <v>8</v>
      </c>
      <c r="G666" s="20" t="s">
        <v>83</v>
      </c>
      <c r="H666" s="209"/>
    </row>
    <row r="667" spans="1:8" s="291" customFormat="1" hidden="1" x14ac:dyDescent="0.3">
      <c r="A667" s="205">
        <v>45842</v>
      </c>
      <c r="B667" s="10" t="s">
        <v>211</v>
      </c>
      <c r="C667" s="26" t="s">
        <v>32</v>
      </c>
      <c r="D667" s="26" t="s">
        <v>387</v>
      </c>
      <c r="E667" s="19">
        <v>-225.6</v>
      </c>
      <c r="F667" s="25" t="s">
        <v>8</v>
      </c>
      <c r="G667" s="20" t="s">
        <v>83</v>
      </c>
      <c r="H667" s="209"/>
    </row>
    <row r="668" spans="1:8" s="291" customFormat="1" hidden="1" x14ac:dyDescent="0.3">
      <c r="A668" s="205">
        <v>45842</v>
      </c>
      <c r="B668" s="10" t="s">
        <v>211</v>
      </c>
      <c r="C668" s="26" t="s">
        <v>25</v>
      </c>
      <c r="D668" s="26" t="s">
        <v>429</v>
      </c>
      <c r="E668" s="19">
        <v>-225.6</v>
      </c>
      <c r="F668" s="25" t="s">
        <v>8</v>
      </c>
      <c r="G668" s="20" t="s">
        <v>83</v>
      </c>
      <c r="H668" s="209"/>
    </row>
    <row r="669" spans="1:8" s="291" customFormat="1" hidden="1" x14ac:dyDescent="0.3">
      <c r="A669" s="205">
        <v>45842</v>
      </c>
      <c r="B669" s="10" t="s">
        <v>211</v>
      </c>
      <c r="C669" s="26" t="s">
        <v>25</v>
      </c>
      <c r="D669" s="26" t="s">
        <v>430</v>
      </c>
      <c r="E669" s="19">
        <v>-267</v>
      </c>
      <c r="F669" s="25" t="s">
        <v>8</v>
      </c>
      <c r="G669" s="20" t="s">
        <v>83</v>
      </c>
      <c r="H669" s="209"/>
    </row>
    <row r="670" spans="1:8" s="291" customFormat="1" hidden="1" x14ac:dyDescent="0.3">
      <c r="A670" s="205">
        <v>45842</v>
      </c>
      <c r="B670" s="10" t="s">
        <v>211</v>
      </c>
      <c r="C670" s="26" t="s">
        <v>17</v>
      </c>
      <c r="D670" s="26" t="s">
        <v>384</v>
      </c>
      <c r="E670" s="19">
        <v>-225.6</v>
      </c>
      <c r="F670" s="25" t="s">
        <v>8</v>
      </c>
      <c r="G670" s="20" t="s">
        <v>99</v>
      </c>
      <c r="H670" s="209"/>
    </row>
    <row r="671" spans="1:8" s="291" customFormat="1" hidden="1" x14ac:dyDescent="0.3">
      <c r="A671" s="205">
        <v>45842</v>
      </c>
      <c r="B671" s="10" t="s">
        <v>211</v>
      </c>
      <c r="C671" s="26" t="s">
        <v>44</v>
      </c>
      <c r="D671" s="26" t="s">
        <v>388</v>
      </c>
      <c r="E671" s="19">
        <v>-368.68</v>
      </c>
      <c r="F671" s="25" t="s">
        <v>8</v>
      </c>
      <c r="G671" s="14" t="s">
        <v>41</v>
      </c>
      <c r="H671" s="209"/>
    </row>
    <row r="672" spans="1:8" s="289" customFormat="1" hidden="1" x14ac:dyDescent="0.3">
      <c r="A672" s="205">
        <v>45842</v>
      </c>
      <c r="B672" s="10" t="s">
        <v>211</v>
      </c>
      <c r="C672" s="26" t="s">
        <v>25</v>
      </c>
      <c r="D672" s="26" t="s">
        <v>392</v>
      </c>
      <c r="E672" s="19">
        <v>-3675</v>
      </c>
      <c r="F672" s="25" t="s">
        <v>8</v>
      </c>
      <c r="G672" s="20" t="s">
        <v>155</v>
      </c>
      <c r="H672" s="281"/>
    </row>
    <row r="673" spans="1:8" s="291" customFormat="1" hidden="1" x14ac:dyDescent="0.3">
      <c r="A673" s="205">
        <v>45842</v>
      </c>
      <c r="B673" s="10" t="s">
        <v>211</v>
      </c>
      <c r="C673" s="26" t="s">
        <v>6</v>
      </c>
      <c r="D673" s="26" t="s">
        <v>428</v>
      </c>
      <c r="E673" s="19">
        <v>-6441.1</v>
      </c>
      <c r="F673" s="25" t="s">
        <v>8</v>
      </c>
      <c r="G673" s="20" t="s">
        <v>46</v>
      </c>
      <c r="H673" s="209"/>
    </row>
    <row r="674" spans="1:8" s="291" customFormat="1" hidden="1" x14ac:dyDescent="0.3">
      <c r="A674" s="205">
        <v>45842</v>
      </c>
      <c r="B674" s="10" t="s">
        <v>211</v>
      </c>
      <c r="C674" s="26" t="s">
        <v>6</v>
      </c>
      <c r="D674" s="26" t="s">
        <v>48</v>
      </c>
      <c r="E674" s="19">
        <v>-1163.28</v>
      </c>
      <c r="F674" s="25" t="s">
        <v>8</v>
      </c>
      <c r="G674" s="20" t="s">
        <v>49</v>
      </c>
      <c r="H674" s="209"/>
    </row>
    <row r="675" spans="1:8" s="291" customFormat="1" hidden="1" x14ac:dyDescent="0.3">
      <c r="A675" s="205">
        <v>45842</v>
      </c>
      <c r="B675" s="10" t="s">
        <v>211</v>
      </c>
      <c r="C675" s="26" t="s">
        <v>6</v>
      </c>
      <c r="D675" s="26" t="s">
        <v>48</v>
      </c>
      <c r="E675" s="19">
        <v>-196.43</v>
      </c>
      <c r="F675" s="25" t="s">
        <v>8</v>
      </c>
      <c r="G675" s="20" t="s">
        <v>49</v>
      </c>
      <c r="H675" s="209"/>
    </row>
    <row r="676" spans="1:8" s="291" customFormat="1" hidden="1" x14ac:dyDescent="0.3">
      <c r="A676" s="205">
        <v>45842</v>
      </c>
      <c r="B676" s="10" t="s">
        <v>211</v>
      </c>
      <c r="C676" s="26" t="s">
        <v>44</v>
      </c>
      <c r="D676" s="26" t="s">
        <v>232</v>
      </c>
      <c r="E676" s="19">
        <v>-845.1</v>
      </c>
      <c r="F676" s="25" t="s">
        <v>8</v>
      </c>
      <c r="G676" s="303" t="s">
        <v>233</v>
      </c>
    </row>
    <row r="677" spans="1:8" s="291" customFormat="1" hidden="1" x14ac:dyDescent="0.3">
      <c r="A677" s="205">
        <v>45842</v>
      </c>
      <c r="B677" s="10" t="s">
        <v>211</v>
      </c>
      <c r="C677" s="26" t="s">
        <v>44</v>
      </c>
      <c r="D677" s="26" t="s">
        <v>232</v>
      </c>
      <c r="E677" s="19">
        <v>-3534.54</v>
      </c>
      <c r="F677" s="25" t="s">
        <v>8</v>
      </c>
      <c r="G677" s="303" t="s">
        <v>233</v>
      </c>
    </row>
    <row r="678" spans="1:8" s="291" customFormat="1" hidden="1" x14ac:dyDescent="0.3">
      <c r="A678" s="205">
        <v>45839</v>
      </c>
      <c r="B678" s="10" t="s">
        <v>211</v>
      </c>
      <c r="C678" s="26" t="s">
        <v>33</v>
      </c>
      <c r="D678" s="26" t="s">
        <v>363</v>
      </c>
      <c r="E678" s="19">
        <v>-62.28</v>
      </c>
      <c r="F678" s="25" t="s">
        <v>8</v>
      </c>
      <c r="G678" s="20" t="s">
        <v>19</v>
      </c>
    </row>
    <row r="679" spans="1:8" s="291" customFormat="1" ht="13.8" hidden="1" customHeight="1" x14ac:dyDescent="0.3">
      <c r="A679" s="205">
        <v>45839</v>
      </c>
      <c r="B679" s="10" t="s">
        <v>211</v>
      </c>
      <c r="C679" s="26" t="s">
        <v>106</v>
      </c>
      <c r="D679" s="26" t="s">
        <v>364</v>
      </c>
      <c r="E679" s="19">
        <v>-62.28</v>
      </c>
      <c r="F679" s="25" t="s">
        <v>8</v>
      </c>
      <c r="G679" s="20" t="s">
        <v>19</v>
      </c>
    </row>
    <row r="680" spans="1:8" s="291" customFormat="1" hidden="1" x14ac:dyDescent="0.3">
      <c r="A680" s="205">
        <v>45839</v>
      </c>
      <c r="B680" s="10" t="s">
        <v>211</v>
      </c>
      <c r="C680" s="26" t="s">
        <v>72</v>
      </c>
      <c r="D680" s="26" t="s">
        <v>365</v>
      </c>
      <c r="E680" s="19">
        <v>-62.28</v>
      </c>
      <c r="F680" s="25" t="s">
        <v>8</v>
      </c>
      <c r="G680" s="20" t="s">
        <v>19</v>
      </c>
    </row>
    <row r="681" spans="1:8" s="291" customFormat="1" hidden="1" x14ac:dyDescent="0.3">
      <c r="A681" s="205">
        <v>45839</v>
      </c>
      <c r="B681" s="10" t="s">
        <v>211</v>
      </c>
      <c r="C681" s="26" t="s">
        <v>44</v>
      </c>
      <c r="D681" s="26" t="s">
        <v>367</v>
      </c>
      <c r="E681" s="19">
        <v>-207.6</v>
      </c>
      <c r="F681" s="25" t="s">
        <v>8</v>
      </c>
      <c r="G681" s="20" t="s">
        <v>19</v>
      </c>
    </row>
    <row r="682" spans="1:8" s="291" customFormat="1" ht="13.2" hidden="1" customHeight="1" x14ac:dyDescent="0.3">
      <c r="A682" s="205">
        <v>45839</v>
      </c>
      <c r="B682" s="10" t="s">
        <v>211</v>
      </c>
      <c r="C682" s="26" t="s">
        <v>44</v>
      </c>
      <c r="D682" s="26" t="s">
        <v>366</v>
      </c>
      <c r="E682" s="19">
        <v>-40</v>
      </c>
      <c r="F682" s="25" t="s">
        <v>8</v>
      </c>
      <c r="G682" s="20" t="s">
        <v>83</v>
      </c>
    </row>
    <row r="683" spans="1:8" s="291" customFormat="1" ht="13.2" hidden="1" customHeight="1" x14ac:dyDescent="0.3">
      <c r="A683" s="205">
        <v>45839</v>
      </c>
      <c r="B683" s="10" t="s">
        <v>211</v>
      </c>
      <c r="C683" s="26" t="s">
        <v>33</v>
      </c>
      <c r="D683" s="26" t="s">
        <v>363</v>
      </c>
      <c r="E683" s="19">
        <v>-100</v>
      </c>
      <c r="F683" s="25" t="s">
        <v>8</v>
      </c>
      <c r="G683" s="20" t="s">
        <v>83</v>
      </c>
    </row>
    <row r="684" spans="1:8" s="291" customFormat="1" hidden="1" x14ac:dyDescent="0.3">
      <c r="A684" s="205">
        <v>45839</v>
      </c>
      <c r="B684" s="10" t="s">
        <v>211</v>
      </c>
      <c r="C684" s="26" t="s">
        <v>106</v>
      </c>
      <c r="D684" s="26" t="s">
        <v>368</v>
      </c>
      <c r="E684" s="19">
        <v>-110</v>
      </c>
      <c r="F684" s="25" t="s">
        <v>8</v>
      </c>
      <c r="G684" s="20" t="s">
        <v>83</v>
      </c>
    </row>
    <row r="685" spans="1:8" s="291" customFormat="1" ht="12.6" hidden="1" customHeight="1" x14ac:dyDescent="0.3">
      <c r="A685" s="205">
        <v>45839</v>
      </c>
      <c r="B685" s="10" t="s">
        <v>211</v>
      </c>
      <c r="C685" s="26" t="s">
        <v>32</v>
      </c>
      <c r="D685" s="26" t="s">
        <v>369</v>
      </c>
      <c r="E685" s="19">
        <v>-30</v>
      </c>
      <c r="F685" s="25" t="s">
        <v>8</v>
      </c>
      <c r="G685" s="20" t="s">
        <v>83</v>
      </c>
    </row>
    <row r="686" spans="1:8" s="291" customFormat="1" hidden="1" x14ac:dyDescent="0.3">
      <c r="A686" s="205">
        <v>45839</v>
      </c>
      <c r="B686" s="10" t="s">
        <v>211</v>
      </c>
      <c r="C686" s="26" t="s">
        <v>25</v>
      </c>
      <c r="D686" s="26" t="s">
        <v>370</v>
      </c>
      <c r="E686" s="19">
        <v>-40</v>
      </c>
      <c r="F686" s="25" t="s">
        <v>8</v>
      </c>
      <c r="G686" s="20" t="s">
        <v>27</v>
      </c>
    </row>
    <row r="687" spans="1:8" s="291" customFormat="1" hidden="1" x14ac:dyDescent="0.3">
      <c r="A687" s="201">
        <v>45840</v>
      </c>
      <c r="B687" s="50" t="s">
        <v>211</v>
      </c>
      <c r="C687" s="202" t="s">
        <v>72</v>
      </c>
      <c r="D687" s="203" t="s">
        <v>424</v>
      </c>
      <c r="E687" s="204">
        <v>-902.17</v>
      </c>
      <c r="F687" s="51" t="s">
        <v>8</v>
      </c>
      <c r="G687" s="329" t="s">
        <v>233</v>
      </c>
      <c r="H687" s="282"/>
    </row>
    <row r="688" spans="1:8" s="291" customFormat="1" hidden="1" x14ac:dyDescent="0.3">
      <c r="A688" s="205">
        <v>45852</v>
      </c>
      <c r="B688" s="10" t="s">
        <v>211</v>
      </c>
      <c r="C688" s="26" t="s">
        <v>31</v>
      </c>
      <c r="D688" s="26" t="s">
        <v>378</v>
      </c>
      <c r="E688" s="19">
        <v>-272.20999999999998</v>
      </c>
      <c r="F688" s="25" t="s">
        <v>8</v>
      </c>
      <c r="G688" s="20" t="s">
        <v>76</v>
      </c>
      <c r="H688" s="282"/>
    </row>
    <row r="689" spans="1:8" s="291" customFormat="1" hidden="1" x14ac:dyDescent="0.3">
      <c r="A689" s="205">
        <v>45852</v>
      </c>
      <c r="B689" s="10" t="s">
        <v>211</v>
      </c>
      <c r="C689" s="26" t="s">
        <v>25</v>
      </c>
      <c r="D689" s="26" t="s">
        <v>517</v>
      </c>
      <c r="E689" s="19">
        <v>-403.6</v>
      </c>
      <c r="F689" s="25" t="s">
        <v>8</v>
      </c>
      <c r="G689" s="20" t="s">
        <v>76</v>
      </c>
      <c r="H689" s="282"/>
    </row>
    <row r="690" spans="1:8" s="291" customFormat="1" hidden="1" x14ac:dyDescent="0.3">
      <c r="A690" s="226">
        <v>45852</v>
      </c>
      <c r="B690" s="46" t="s">
        <v>211</v>
      </c>
      <c r="C690" s="238" t="s">
        <v>32</v>
      </c>
      <c r="D690" s="238" t="s">
        <v>518</v>
      </c>
      <c r="E690" s="229">
        <v>-135.99</v>
      </c>
      <c r="F690" s="262" t="s">
        <v>8</v>
      </c>
      <c r="G690" s="168" t="s">
        <v>76</v>
      </c>
      <c r="H690" s="282"/>
    </row>
    <row r="691" spans="1:8" s="291" customFormat="1" hidden="1" x14ac:dyDescent="0.3">
      <c r="A691" s="66">
        <v>45852</v>
      </c>
      <c r="B691" s="59" t="s">
        <v>211</v>
      </c>
      <c r="C691" s="17" t="s">
        <v>44</v>
      </c>
      <c r="D691" s="18" t="s">
        <v>141</v>
      </c>
      <c r="E691" s="19">
        <v>-1723</v>
      </c>
      <c r="F691" s="25" t="s">
        <v>8</v>
      </c>
      <c r="G691" s="20" t="s">
        <v>142</v>
      </c>
      <c r="H691" s="282"/>
    </row>
    <row r="692" spans="1:8" s="526" customFormat="1" hidden="1" x14ac:dyDescent="0.3">
      <c r="A692" s="524">
        <v>45866</v>
      </c>
      <c r="B692" s="525" t="s">
        <v>211</v>
      </c>
      <c r="C692" s="527" t="s">
        <v>72</v>
      </c>
      <c r="D692" s="527" t="s">
        <v>1029</v>
      </c>
      <c r="E692" s="528">
        <v>-1292.549945</v>
      </c>
      <c r="F692" s="518" t="s">
        <v>8</v>
      </c>
      <c r="G692" s="550" t="s">
        <v>233</v>
      </c>
      <c r="H692" s="552"/>
    </row>
    <row r="693" spans="1:8" s="526" customFormat="1" hidden="1" x14ac:dyDescent="0.3">
      <c r="A693" s="524">
        <v>45866</v>
      </c>
      <c r="B693" s="525" t="s">
        <v>211</v>
      </c>
      <c r="C693" s="527" t="s">
        <v>17</v>
      </c>
      <c r="D693" s="527" t="s">
        <v>1031</v>
      </c>
      <c r="E693" s="528">
        <v>-110.4</v>
      </c>
      <c r="F693" s="518" t="s">
        <v>8</v>
      </c>
      <c r="G693" s="550" t="s">
        <v>233</v>
      </c>
      <c r="H693" s="552"/>
    </row>
    <row r="694" spans="1:8" s="526" customFormat="1" hidden="1" x14ac:dyDescent="0.3">
      <c r="A694" s="515">
        <v>45867</v>
      </c>
      <c r="B694" s="511" t="s">
        <v>211</v>
      </c>
      <c r="C694" s="527" t="s">
        <v>31</v>
      </c>
      <c r="D694" s="527" t="s">
        <v>1038</v>
      </c>
      <c r="E694" s="594">
        <v>-211.01</v>
      </c>
      <c r="F694" s="25" t="s">
        <v>8</v>
      </c>
      <c r="G694" s="550" t="s">
        <v>127</v>
      </c>
      <c r="H694" s="552"/>
    </row>
    <row r="695" spans="1:8" s="526" customFormat="1" hidden="1" x14ac:dyDescent="0.3">
      <c r="A695" s="515">
        <v>45867</v>
      </c>
      <c r="B695" s="511" t="s">
        <v>211</v>
      </c>
      <c r="C695" s="592" t="s">
        <v>72</v>
      </c>
      <c r="D695" s="592" t="s">
        <v>1037</v>
      </c>
      <c r="E695" s="593">
        <v>-318.43</v>
      </c>
      <c r="F695" s="518" t="s">
        <v>8</v>
      </c>
      <c r="G695" s="518" t="s">
        <v>207</v>
      </c>
      <c r="H695" s="552"/>
    </row>
    <row r="696" spans="1:8" s="514" customFormat="1" hidden="1" x14ac:dyDescent="0.3">
      <c r="A696" s="515">
        <v>45867</v>
      </c>
      <c r="B696" s="511" t="s">
        <v>211</v>
      </c>
      <c r="C696" s="592" t="s">
        <v>25</v>
      </c>
      <c r="D696" s="592" t="s">
        <v>1036</v>
      </c>
      <c r="E696" s="691">
        <v>-12.3</v>
      </c>
      <c r="F696" s="518" t="s">
        <v>8</v>
      </c>
      <c r="G696" s="692" t="s">
        <v>83</v>
      </c>
    </row>
    <row r="697" spans="1:8" s="526" customFormat="1" hidden="1" x14ac:dyDescent="0.3">
      <c r="A697" s="515">
        <v>45867</v>
      </c>
      <c r="B697" s="511" t="s">
        <v>211</v>
      </c>
      <c r="C697" s="592" t="s">
        <v>17</v>
      </c>
      <c r="D697" s="592" t="s">
        <v>398</v>
      </c>
      <c r="E697" s="593">
        <v>-535.1</v>
      </c>
      <c r="F697" s="518" t="s">
        <v>8</v>
      </c>
      <c r="G697" s="518" t="s">
        <v>69</v>
      </c>
    </row>
    <row r="698" spans="1:8" s="526" customFormat="1" hidden="1" x14ac:dyDescent="0.3">
      <c r="A698" s="524">
        <v>45866</v>
      </c>
      <c r="B698" s="525" t="s">
        <v>211</v>
      </c>
      <c r="C698" s="592" t="s">
        <v>44</v>
      </c>
      <c r="D698" s="592" t="s">
        <v>983</v>
      </c>
      <c r="E698" s="601">
        <v>-90</v>
      </c>
      <c r="F698" s="518" t="s">
        <v>8</v>
      </c>
      <c r="G698" s="518" t="s">
        <v>83</v>
      </c>
    </row>
    <row r="699" spans="1:8" s="526" customFormat="1" hidden="1" x14ac:dyDescent="0.3">
      <c r="A699" s="524">
        <v>45866</v>
      </c>
      <c r="B699" s="525" t="s">
        <v>211</v>
      </c>
      <c r="C699" s="592" t="s">
        <v>106</v>
      </c>
      <c r="D699" s="592" t="s">
        <v>984</v>
      </c>
      <c r="E699" s="601">
        <v>-90</v>
      </c>
      <c r="F699" s="518" t="s">
        <v>8</v>
      </c>
      <c r="G699" s="518" t="s">
        <v>83</v>
      </c>
    </row>
    <row r="700" spans="1:8" s="526" customFormat="1" hidden="1" x14ac:dyDescent="0.3">
      <c r="A700" s="524">
        <v>45866</v>
      </c>
      <c r="B700" s="525" t="s">
        <v>211</v>
      </c>
      <c r="C700" s="592" t="s">
        <v>72</v>
      </c>
      <c r="D700" s="592" t="s">
        <v>985</v>
      </c>
      <c r="E700" s="601">
        <v>-90</v>
      </c>
      <c r="F700" s="518" t="s">
        <v>8</v>
      </c>
      <c r="G700" s="518" t="s">
        <v>83</v>
      </c>
    </row>
    <row r="701" spans="1:8" s="514" customFormat="1" hidden="1" x14ac:dyDescent="0.3">
      <c r="A701" s="515">
        <v>45866</v>
      </c>
      <c r="B701" s="511" t="s">
        <v>211</v>
      </c>
      <c r="C701" s="516" t="s">
        <v>44</v>
      </c>
      <c r="D701" s="517" t="s">
        <v>1030</v>
      </c>
      <c r="E701" s="512">
        <v>-1591.2</v>
      </c>
      <c r="F701" s="513" t="s">
        <v>8</v>
      </c>
      <c r="G701" s="518" t="s">
        <v>142</v>
      </c>
      <c r="H701" s="552"/>
    </row>
    <row r="702" spans="1:8" s="291" customFormat="1" hidden="1" x14ac:dyDescent="0.3">
      <c r="A702" s="252">
        <v>45870</v>
      </c>
      <c r="B702" s="252" t="s">
        <v>212</v>
      </c>
      <c r="C702" s="27" t="s">
        <v>6</v>
      </c>
      <c r="D702" s="13" t="s">
        <v>7</v>
      </c>
      <c r="E702" s="28">
        <v>-282.38</v>
      </c>
      <c r="F702" s="25" t="s">
        <v>8</v>
      </c>
      <c r="G702" s="14" t="s">
        <v>9</v>
      </c>
      <c r="H702" s="295"/>
    </row>
    <row r="703" spans="1:8" s="291" customFormat="1" hidden="1" x14ac:dyDescent="0.3">
      <c r="A703" s="252">
        <v>45870</v>
      </c>
      <c r="B703" s="252" t="s">
        <v>212</v>
      </c>
      <c r="C703" s="27" t="s">
        <v>6</v>
      </c>
      <c r="D703" s="13" t="s">
        <v>10</v>
      </c>
      <c r="E703" s="28">
        <v>-254.71</v>
      </c>
      <c r="F703" s="25" t="s">
        <v>8</v>
      </c>
      <c r="G703" s="14" t="s">
        <v>9</v>
      </c>
      <c r="H703" s="295"/>
    </row>
    <row r="704" spans="1:8" s="291" customFormat="1" hidden="1" x14ac:dyDescent="0.3">
      <c r="A704" s="252">
        <v>45870</v>
      </c>
      <c r="B704" s="252" t="s">
        <v>212</v>
      </c>
      <c r="C704" s="27" t="s">
        <v>6</v>
      </c>
      <c r="D704" s="13" t="s">
        <v>11</v>
      </c>
      <c r="E704" s="28">
        <v>-123.23</v>
      </c>
      <c r="F704" s="25" t="s">
        <v>8</v>
      </c>
      <c r="G704" s="14" t="s">
        <v>9</v>
      </c>
      <c r="H704" s="295"/>
    </row>
    <row r="705" spans="1:8" s="291" customFormat="1" hidden="1" x14ac:dyDescent="0.3">
      <c r="A705" s="252">
        <v>45870</v>
      </c>
      <c r="B705" s="252" t="s">
        <v>212</v>
      </c>
      <c r="C705" s="24" t="s">
        <v>6</v>
      </c>
      <c r="D705" s="13" t="s">
        <v>12</v>
      </c>
      <c r="E705" s="498">
        <v>-177.95</v>
      </c>
      <c r="F705" s="25" t="s">
        <v>8</v>
      </c>
      <c r="G705" s="14" t="s">
        <v>9</v>
      </c>
      <c r="H705" s="295"/>
    </row>
    <row r="706" spans="1:8" s="291" customFormat="1" hidden="1" x14ac:dyDescent="0.3">
      <c r="A706" s="252">
        <v>45870</v>
      </c>
      <c r="B706" s="252" t="s">
        <v>212</v>
      </c>
      <c r="C706" s="24" t="s">
        <v>17</v>
      </c>
      <c r="D706" s="13" t="s">
        <v>18</v>
      </c>
      <c r="E706" s="702">
        <v>-17235</v>
      </c>
      <c r="F706" s="25" t="s">
        <v>8</v>
      </c>
      <c r="G706" s="14" t="s">
        <v>19</v>
      </c>
      <c r="H706" s="295"/>
    </row>
    <row r="707" spans="1:8" s="291" customFormat="1" hidden="1" x14ac:dyDescent="0.3">
      <c r="A707" s="252">
        <v>45870</v>
      </c>
      <c r="B707" s="252" t="s">
        <v>212</v>
      </c>
      <c r="C707" s="26" t="s">
        <v>44</v>
      </c>
      <c r="D707" s="18" t="s">
        <v>1074</v>
      </c>
      <c r="E707" s="497">
        <v>-10505.32</v>
      </c>
      <c r="F707" s="25" t="s">
        <v>8</v>
      </c>
      <c r="G707" s="20" t="s">
        <v>233</v>
      </c>
      <c r="H707" s="295"/>
    </row>
    <row r="708" spans="1:8" s="291" customFormat="1" ht="16.2" hidden="1" customHeight="1" x14ac:dyDescent="0.3">
      <c r="A708" s="252">
        <v>45870</v>
      </c>
      <c r="B708" s="252" t="s">
        <v>212</v>
      </c>
      <c r="C708" s="26" t="s">
        <v>72</v>
      </c>
      <c r="D708" s="18" t="s">
        <v>1076</v>
      </c>
      <c r="E708" s="499">
        <v>-312.38</v>
      </c>
      <c r="F708" s="25" t="s">
        <v>8</v>
      </c>
      <c r="G708" s="703" t="s">
        <v>74</v>
      </c>
      <c r="H708" s="295"/>
    </row>
    <row r="709" spans="1:8" s="291" customFormat="1" hidden="1" x14ac:dyDescent="0.3">
      <c r="A709" s="252">
        <v>45870</v>
      </c>
      <c r="B709" s="252" t="s">
        <v>212</v>
      </c>
      <c r="C709" s="26" t="s">
        <v>25</v>
      </c>
      <c r="D709" s="18" t="s">
        <v>774</v>
      </c>
      <c r="E709" s="497">
        <v>-233.26</v>
      </c>
      <c r="F709" s="25" t="s">
        <v>8</v>
      </c>
      <c r="G709" s="20" t="s">
        <v>74</v>
      </c>
      <c r="H709" s="295"/>
    </row>
    <row r="710" spans="1:8" s="291" customFormat="1" ht="13.2" hidden="1" customHeight="1" x14ac:dyDescent="0.3">
      <c r="A710" s="252">
        <v>45870</v>
      </c>
      <c r="B710" s="252" t="s">
        <v>212</v>
      </c>
      <c r="C710" s="26" t="s">
        <v>25</v>
      </c>
      <c r="D710" s="18" t="s">
        <v>1077</v>
      </c>
      <c r="E710" s="497">
        <v>-2668.69</v>
      </c>
      <c r="F710" s="25" t="s">
        <v>8</v>
      </c>
      <c r="G710" s="20" t="s">
        <v>74</v>
      </c>
      <c r="H710" s="295"/>
    </row>
    <row r="711" spans="1:8" s="291" customFormat="1" ht="17.399999999999999" hidden="1" customHeight="1" x14ac:dyDescent="0.3">
      <c r="A711" s="252">
        <v>45870</v>
      </c>
      <c r="B711" s="252" t="s">
        <v>212</v>
      </c>
      <c r="C711" s="26" t="s">
        <v>72</v>
      </c>
      <c r="D711" s="18" t="s">
        <v>1075</v>
      </c>
      <c r="E711" s="19">
        <v>-1117.53</v>
      </c>
      <c r="F711" s="25" t="s">
        <v>8</v>
      </c>
      <c r="G711" s="20" t="s">
        <v>233</v>
      </c>
      <c r="H711" s="295"/>
    </row>
    <row r="712" spans="1:8" s="291" customFormat="1" ht="16.2" hidden="1" customHeight="1" x14ac:dyDescent="0.3">
      <c r="A712" s="252">
        <v>45870</v>
      </c>
      <c r="B712" s="252" t="s">
        <v>212</v>
      </c>
      <c r="C712" s="26" t="s">
        <v>17</v>
      </c>
      <c r="D712" s="18" t="s">
        <v>1073</v>
      </c>
      <c r="E712" s="19">
        <v>-68.709999999999994</v>
      </c>
      <c r="F712" s="25" t="s">
        <v>8</v>
      </c>
      <c r="G712" s="20" t="s">
        <v>233</v>
      </c>
    </row>
    <row r="713" spans="1:8" s="291" customFormat="1" hidden="1" x14ac:dyDescent="0.3">
      <c r="A713" s="252">
        <v>45873</v>
      </c>
      <c r="B713" s="252" t="s">
        <v>212</v>
      </c>
      <c r="C713" s="27" t="s">
        <v>6</v>
      </c>
      <c r="D713" s="13" t="s">
        <v>23</v>
      </c>
      <c r="E713" s="28">
        <v>-3809.98</v>
      </c>
      <c r="F713" s="25" t="s">
        <v>8</v>
      </c>
      <c r="G713" s="14" t="s">
        <v>24</v>
      </c>
    </row>
    <row r="714" spans="1:8" s="291" customFormat="1" hidden="1" x14ac:dyDescent="0.3">
      <c r="A714" s="252">
        <v>45873</v>
      </c>
      <c r="B714" s="252" t="s">
        <v>212</v>
      </c>
      <c r="C714" s="26" t="s">
        <v>44</v>
      </c>
      <c r="D714" s="26" t="s">
        <v>232</v>
      </c>
      <c r="E714" s="19">
        <v>-270</v>
      </c>
      <c r="F714" s="25" t="s">
        <v>8</v>
      </c>
      <c r="G714" s="20" t="s">
        <v>233</v>
      </c>
    </row>
    <row r="715" spans="1:8" s="291" customFormat="1" hidden="1" x14ac:dyDescent="0.3">
      <c r="A715" s="252">
        <v>45873</v>
      </c>
      <c r="B715" s="252" t="s">
        <v>212</v>
      </c>
      <c r="C715" s="26" t="s">
        <v>72</v>
      </c>
      <c r="D715" s="26" t="s">
        <v>1103</v>
      </c>
      <c r="E715" s="19">
        <v>-800.37</v>
      </c>
      <c r="F715" s="25" t="s">
        <v>8</v>
      </c>
      <c r="G715" s="20" t="s">
        <v>233</v>
      </c>
    </row>
    <row r="716" spans="1:8" s="291" customFormat="1" hidden="1" x14ac:dyDescent="0.3">
      <c r="A716" s="252">
        <v>45873</v>
      </c>
      <c r="B716" s="252" t="s">
        <v>212</v>
      </c>
      <c r="C716" s="26" t="s">
        <v>72</v>
      </c>
      <c r="D716" s="26" t="s">
        <v>1104</v>
      </c>
      <c r="E716" s="19">
        <v>-1292.55</v>
      </c>
      <c r="F716" s="25" t="s">
        <v>8</v>
      </c>
      <c r="G716" s="20" t="s">
        <v>233</v>
      </c>
    </row>
    <row r="717" spans="1:8" s="291" customFormat="1" hidden="1" x14ac:dyDescent="0.3">
      <c r="A717" s="252">
        <v>45873</v>
      </c>
      <c r="B717" s="252" t="s">
        <v>212</v>
      </c>
      <c r="C717" s="26" t="s">
        <v>25</v>
      </c>
      <c r="D717" s="18" t="s">
        <v>1083</v>
      </c>
      <c r="E717" s="19">
        <v>-151.19999999999999</v>
      </c>
      <c r="F717" s="25" t="s">
        <v>8</v>
      </c>
      <c r="G717" s="20" t="s">
        <v>83</v>
      </c>
    </row>
    <row r="718" spans="1:8" s="291" customFormat="1" hidden="1" x14ac:dyDescent="0.3">
      <c r="A718" s="252">
        <v>45873</v>
      </c>
      <c r="B718" s="252" t="s">
        <v>212</v>
      </c>
      <c r="C718" s="26" t="s">
        <v>25</v>
      </c>
      <c r="D718" s="18" t="s">
        <v>1084</v>
      </c>
      <c r="E718" s="19">
        <v>-179.2</v>
      </c>
      <c r="F718" s="25" t="s">
        <v>8</v>
      </c>
      <c r="G718" s="20" t="s">
        <v>83</v>
      </c>
    </row>
    <row r="719" spans="1:8" s="291" customFormat="1" hidden="1" x14ac:dyDescent="0.3">
      <c r="A719" s="252">
        <v>45873</v>
      </c>
      <c r="B719" s="252" t="s">
        <v>212</v>
      </c>
      <c r="C719" s="26" t="s">
        <v>25</v>
      </c>
      <c r="D719" s="18" t="s">
        <v>1085</v>
      </c>
      <c r="E719" s="19">
        <v>-192</v>
      </c>
      <c r="F719" s="25" t="s">
        <v>8</v>
      </c>
      <c r="G719" s="20" t="s">
        <v>83</v>
      </c>
    </row>
    <row r="720" spans="1:8" s="291" customFormat="1" ht="1.2" hidden="1" customHeight="1" x14ac:dyDescent="0.3">
      <c r="A720" s="252">
        <v>45873</v>
      </c>
      <c r="B720" s="252" t="s">
        <v>212</v>
      </c>
      <c r="C720" s="26" t="s">
        <v>106</v>
      </c>
      <c r="D720" s="18" t="s">
        <v>1086</v>
      </c>
      <c r="E720" s="19">
        <v>-80</v>
      </c>
      <c r="F720" s="25" t="s">
        <v>8</v>
      </c>
      <c r="G720" s="20" t="s">
        <v>83</v>
      </c>
    </row>
    <row r="721" spans="1:7" s="291" customFormat="1" hidden="1" x14ac:dyDescent="0.3">
      <c r="A721" s="252">
        <v>45873</v>
      </c>
      <c r="B721" s="252" t="s">
        <v>212</v>
      </c>
      <c r="C721" s="24" t="s">
        <v>31</v>
      </c>
      <c r="D721" s="13" t="s">
        <v>1105</v>
      </c>
      <c r="E721" s="28">
        <v>-1.42</v>
      </c>
      <c r="F721" s="25" t="s">
        <v>8</v>
      </c>
      <c r="G721" s="14" t="s">
        <v>22</v>
      </c>
    </row>
    <row r="722" spans="1:7" s="291" customFormat="1" hidden="1" x14ac:dyDescent="0.3">
      <c r="A722" s="252">
        <v>45874</v>
      </c>
      <c r="B722" s="252" t="s">
        <v>212</v>
      </c>
      <c r="C722" s="24" t="s">
        <v>30</v>
      </c>
      <c r="D722" s="13" t="s">
        <v>28</v>
      </c>
      <c r="E722" s="28">
        <v>-134.97999999999999</v>
      </c>
      <c r="F722" s="25" t="s">
        <v>8</v>
      </c>
      <c r="G722" s="14" t="s">
        <v>29</v>
      </c>
    </row>
    <row r="723" spans="1:7" s="291" customFormat="1" hidden="1" x14ac:dyDescent="0.3">
      <c r="A723" s="252">
        <v>45874</v>
      </c>
      <c r="B723" s="252" t="s">
        <v>212</v>
      </c>
      <c r="C723" s="24" t="s">
        <v>33</v>
      </c>
      <c r="D723" s="13" t="s">
        <v>28</v>
      </c>
      <c r="E723" s="28">
        <v>-389</v>
      </c>
      <c r="F723" s="25" t="s">
        <v>8</v>
      </c>
      <c r="G723" s="14" t="s">
        <v>29</v>
      </c>
    </row>
    <row r="724" spans="1:7" s="291" customFormat="1" hidden="1" x14ac:dyDescent="0.3">
      <c r="A724" s="252">
        <v>45874</v>
      </c>
      <c r="B724" s="252" t="s">
        <v>212</v>
      </c>
      <c r="C724" s="24" t="s">
        <v>34</v>
      </c>
      <c r="D724" s="13" t="s">
        <v>28</v>
      </c>
      <c r="E724" s="28">
        <v>-159</v>
      </c>
      <c r="F724" s="25" t="s">
        <v>8</v>
      </c>
      <c r="G724" s="14" t="s">
        <v>29</v>
      </c>
    </row>
    <row r="725" spans="1:7" s="291" customFormat="1" hidden="1" x14ac:dyDescent="0.3">
      <c r="A725" s="252">
        <v>45876</v>
      </c>
      <c r="B725" s="252" t="s">
        <v>212</v>
      </c>
      <c r="C725" s="24" t="s">
        <v>31</v>
      </c>
      <c r="D725" s="13" t="s">
        <v>1122</v>
      </c>
      <c r="E725" s="28">
        <v>-1.42</v>
      </c>
      <c r="F725" s="25" t="s">
        <v>8</v>
      </c>
      <c r="G725" s="14" t="s">
        <v>22</v>
      </c>
    </row>
    <row r="726" spans="1:7" s="291" customFormat="1" hidden="1" x14ac:dyDescent="0.3">
      <c r="A726" s="252">
        <v>45875</v>
      </c>
      <c r="B726" s="252" t="s">
        <v>212</v>
      </c>
      <c r="C726" s="26" t="s">
        <v>72</v>
      </c>
      <c r="D726" s="26" t="s">
        <v>965</v>
      </c>
      <c r="E726" s="19">
        <v>-1800.31</v>
      </c>
      <c r="F726" s="25" t="s">
        <v>8</v>
      </c>
      <c r="G726" s="20" t="s">
        <v>233</v>
      </c>
    </row>
    <row r="727" spans="1:7" s="291" customFormat="1" hidden="1" x14ac:dyDescent="0.3">
      <c r="A727" s="205">
        <v>45875</v>
      </c>
      <c r="B727" s="10" t="s">
        <v>212</v>
      </c>
      <c r="C727" s="26" t="s">
        <v>33</v>
      </c>
      <c r="D727" s="26" t="s">
        <v>1095</v>
      </c>
      <c r="E727" s="19">
        <v>-323</v>
      </c>
      <c r="F727" s="25" t="s">
        <v>8</v>
      </c>
      <c r="G727" s="20" t="s">
        <v>83</v>
      </c>
    </row>
    <row r="728" spans="1:7" s="291" customFormat="1" hidden="1" x14ac:dyDescent="0.3">
      <c r="A728" s="252">
        <v>45876</v>
      </c>
      <c r="B728" s="252" t="s">
        <v>212</v>
      </c>
      <c r="C728" s="26" t="s">
        <v>30</v>
      </c>
      <c r="D728" s="18" t="s">
        <v>1139</v>
      </c>
      <c r="E728" s="19">
        <v>-1200</v>
      </c>
      <c r="F728" s="25" t="s">
        <v>8</v>
      </c>
      <c r="G728" s="14" t="s">
        <v>27</v>
      </c>
    </row>
    <row r="729" spans="1:7" s="291" customFormat="1" hidden="1" x14ac:dyDescent="0.3">
      <c r="A729" s="252">
        <v>45876</v>
      </c>
      <c r="B729" s="252" t="s">
        <v>212</v>
      </c>
      <c r="C729" s="26" t="s">
        <v>30</v>
      </c>
      <c r="D729" s="18" t="s">
        <v>1140</v>
      </c>
      <c r="E729" s="19">
        <v>-1000</v>
      </c>
      <c r="F729" s="25" t="s">
        <v>8</v>
      </c>
      <c r="G729" s="14" t="s">
        <v>27</v>
      </c>
    </row>
    <row r="730" spans="1:7" s="291" customFormat="1" hidden="1" x14ac:dyDescent="0.3">
      <c r="A730" s="252">
        <v>45876</v>
      </c>
      <c r="B730" s="252" t="s">
        <v>212</v>
      </c>
      <c r="C730" s="26" t="s">
        <v>30</v>
      </c>
      <c r="D730" s="18" t="s">
        <v>1141</v>
      </c>
      <c r="E730" s="19">
        <v>-1700</v>
      </c>
      <c r="F730" s="25" t="s">
        <v>8</v>
      </c>
      <c r="G730" s="14" t="s">
        <v>27</v>
      </c>
    </row>
    <row r="731" spans="1:7" s="291" customFormat="1" hidden="1" x14ac:dyDescent="0.3">
      <c r="A731" s="252">
        <v>45876</v>
      </c>
      <c r="B731" s="252" t="s">
        <v>212</v>
      </c>
      <c r="C731" s="26" t="s">
        <v>30</v>
      </c>
      <c r="D731" s="18" t="s">
        <v>1142</v>
      </c>
      <c r="E731" s="19">
        <v>-1053</v>
      </c>
      <c r="F731" s="25" t="s">
        <v>8</v>
      </c>
      <c r="G731" s="14" t="s">
        <v>27</v>
      </c>
    </row>
    <row r="732" spans="1:7" s="291" customFormat="1" hidden="1" x14ac:dyDescent="0.3">
      <c r="A732" s="252">
        <v>45876</v>
      </c>
      <c r="B732" s="252" t="s">
        <v>212</v>
      </c>
      <c r="C732" s="26" t="s">
        <v>30</v>
      </c>
      <c r="D732" s="18" t="s">
        <v>1143</v>
      </c>
      <c r="E732" s="19">
        <v>-900</v>
      </c>
      <c r="F732" s="25" t="s">
        <v>8</v>
      </c>
      <c r="G732" s="14" t="s">
        <v>27</v>
      </c>
    </row>
    <row r="733" spans="1:7" s="291" customFormat="1" hidden="1" x14ac:dyDescent="0.3">
      <c r="A733" s="252">
        <v>45876</v>
      </c>
      <c r="B733" s="252" t="s">
        <v>212</v>
      </c>
      <c r="C733" s="26" t="s">
        <v>30</v>
      </c>
      <c r="D733" s="18" t="s">
        <v>1144</v>
      </c>
      <c r="E733" s="19">
        <v>-900</v>
      </c>
      <c r="F733" s="25" t="s">
        <v>8</v>
      </c>
      <c r="G733" s="14" t="s">
        <v>27</v>
      </c>
    </row>
    <row r="734" spans="1:7" s="291" customFormat="1" ht="15" hidden="1" customHeight="1" x14ac:dyDescent="0.3">
      <c r="A734" s="252">
        <v>45876</v>
      </c>
      <c r="B734" s="252" t="s">
        <v>212</v>
      </c>
      <c r="C734" s="17" t="s">
        <v>31</v>
      </c>
      <c r="D734" s="18" t="s">
        <v>38</v>
      </c>
      <c r="E734" s="28">
        <v>-700.05</v>
      </c>
      <c r="F734" s="25" t="s">
        <v>8</v>
      </c>
      <c r="G734" s="20" t="s">
        <v>39</v>
      </c>
    </row>
    <row r="735" spans="1:7" s="291" customFormat="1" hidden="1" x14ac:dyDescent="0.3">
      <c r="A735" s="252">
        <v>45875</v>
      </c>
      <c r="B735" s="252" t="s">
        <v>212</v>
      </c>
      <c r="C735" s="24" t="s">
        <v>6</v>
      </c>
      <c r="D735" s="13" t="s">
        <v>40</v>
      </c>
      <c r="E735" s="21">
        <v>-471317.52</v>
      </c>
      <c r="F735" s="25" t="s">
        <v>8</v>
      </c>
      <c r="G735" s="14" t="s">
        <v>41</v>
      </c>
    </row>
    <row r="736" spans="1:7" s="291" customFormat="1" ht="14.4" hidden="1" customHeight="1" x14ac:dyDescent="0.3">
      <c r="A736" s="252">
        <v>45875</v>
      </c>
      <c r="B736" s="252" t="s">
        <v>212</v>
      </c>
      <c r="C736" s="24" t="s">
        <v>6</v>
      </c>
      <c r="D736" s="13" t="s">
        <v>42</v>
      </c>
      <c r="E736" s="28">
        <v>-500</v>
      </c>
      <c r="F736" s="25" t="s">
        <v>8</v>
      </c>
      <c r="G736" s="14" t="s">
        <v>41</v>
      </c>
    </row>
    <row r="737" spans="1:8" s="291" customFormat="1" hidden="1" x14ac:dyDescent="0.3">
      <c r="A737" s="252">
        <v>45875</v>
      </c>
      <c r="B737" s="252" t="s">
        <v>212</v>
      </c>
      <c r="C737" s="26" t="s">
        <v>31</v>
      </c>
      <c r="D737" s="26" t="s">
        <v>1096</v>
      </c>
      <c r="E737" s="19">
        <v>-444.35</v>
      </c>
      <c r="F737" s="25" t="s">
        <v>8</v>
      </c>
      <c r="G737" s="20" t="s">
        <v>76</v>
      </c>
    </row>
    <row r="738" spans="1:8" s="291" customFormat="1" hidden="1" x14ac:dyDescent="0.3">
      <c r="A738" s="265">
        <v>45875</v>
      </c>
      <c r="B738" s="265" t="s">
        <v>212</v>
      </c>
      <c r="C738" s="258" t="s">
        <v>6</v>
      </c>
      <c r="D738" s="259" t="s">
        <v>597</v>
      </c>
      <c r="E738" s="585">
        <v>-1900.72</v>
      </c>
      <c r="F738" s="51" t="s">
        <v>8</v>
      </c>
      <c r="G738" s="68" t="s">
        <v>41</v>
      </c>
    </row>
    <row r="739" spans="1:8" s="600" customFormat="1" hidden="1" x14ac:dyDescent="0.3">
      <c r="A739" s="626">
        <v>45888</v>
      </c>
      <c r="B739" s="626" t="s">
        <v>212</v>
      </c>
      <c r="C739" s="516" t="s">
        <v>44</v>
      </c>
      <c r="D739" s="517" t="s">
        <v>1228</v>
      </c>
      <c r="E739" s="512">
        <v>-5872.92</v>
      </c>
      <c r="F739" s="513" t="s">
        <v>8</v>
      </c>
      <c r="G739" s="518" t="s">
        <v>46</v>
      </c>
      <c r="H739" s="712"/>
    </row>
    <row r="740" spans="1:8" s="291" customFormat="1" ht="0.6" hidden="1" customHeight="1" x14ac:dyDescent="0.3">
      <c r="A740" s="298">
        <v>45876</v>
      </c>
      <c r="B740" s="298" t="s">
        <v>212</v>
      </c>
      <c r="C740" s="237" t="s">
        <v>13</v>
      </c>
      <c r="D740" s="261" t="s">
        <v>893</v>
      </c>
      <c r="E740" s="253">
        <v>-5600</v>
      </c>
      <c r="F740" s="262" t="s">
        <v>8</v>
      </c>
      <c r="G740" s="47" t="s">
        <v>27</v>
      </c>
    </row>
    <row r="741" spans="1:8" s="291" customFormat="1" hidden="1" x14ac:dyDescent="0.3">
      <c r="A741" s="205">
        <v>45877</v>
      </c>
      <c r="B741" s="252" t="s">
        <v>212</v>
      </c>
      <c r="C741" s="26" t="s">
        <v>44</v>
      </c>
      <c r="D741" s="18" t="s">
        <v>1155</v>
      </c>
      <c r="E741" s="19">
        <v>-10505.35</v>
      </c>
      <c r="F741" s="20" t="s">
        <v>8</v>
      </c>
      <c r="G741" s="20" t="s">
        <v>233</v>
      </c>
    </row>
    <row r="742" spans="1:8" s="291" customFormat="1" hidden="1" x14ac:dyDescent="0.3">
      <c r="A742" s="205">
        <v>45877</v>
      </c>
      <c r="B742" s="252" t="s">
        <v>212</v>
      </c>
      <c r="C742" s="26" t="s">
        <v>72</v>
      </c>
      <c r="D742" s="18" t="s">
        <v>1156</v>
      </c>
      <c r="E742" s="19">
        <v>-1117.52</v>
      </c>
      <c r="F742" s="20" t="s">
        <v>8</v>
      </c>
      <c r="G742" s="20" t="s">
        <v>233</v>
      </c>
    </row>
    <row r="743" spans="1:8" s="291" customFormat="1" hidden="1" x14ac:dyDescent="0.3">
      <c r="A743" s="252">
        <v>45877</v>
      </c>
      <c r="B743" s="252" t="s">
        <v>212</v>
      </c>
      <c r="C743" s="24" t="s">
        <v>17</v>
      </c>
      <c r="D743" s="13" t="s">
        <v>18</v>
      </c>
      <c r="E743" s="21">
        <v>-17235</v>
      </c>
      <c r="F743" s="25" t="s">
        <v>8</v>
      </c>
      <c r="G743" s="14" t="s">
        <v>19</v>
      </c>
      <c r="H743" s="209"/>
    </row>
    <row r="744" spans="1:8" s="291" customFormat="1" hidden="1" x14ac:dyDescent="0.3">
      <c r="A744" s="205">
        <v>45880</v>
      </c>
      <c r="B744" s="252" t="s">
        <v>212</v>
      </c>
      <c r="C744" s="17" t="s">
        <v>32</v>
      </c>
      <c r="D744" s="18" t="s">
        <v>1170</v>
      </c>
      <c r="E744" s="573">
        <v>-394.62</v>
      </c>
      <c r="F744" s="25" t="s">
        <v>8</v>
      </c>
      <c r="G744" s="20" t="s">
        <v>49</v>
      </c>
      <c r="H744" s="282"/>
    </row>
    <row r="745" spans="1:8" s="291" customFormat="1" hidden="1" x14ac:dyDescent="0.3">
      <c r="A745" s="205">
        <v>45880</v>
      </c>
      <c r="B745" s="252" t="s">
        <v>212</v>
      </c>
      <c r="C745" s="26" t="s">
        <v>31</v>
      </c>
      <c r="D745" s="26" t="s">
        <v>1098</v>
      </c>
      <c r="E745" s="19">
        <v>-494.62</v>
      </c>
      <c r="F745" s="25" t="s">
        <v>8</v>
      </c>
      <c r="G745" s="14" t="s">
        <v>51</v>
      </c>
      <c r="H745" s="282"/>
    </row>
    <row r="746" spans="1:8" s="291" customFormat="1" hidden="1" x14ac:dyDescent="0.3">
      <c r="A746" s="205">
        <v>45880</v>
      </c>
      <c r="B746" s="252" t="s">
        <v>212</v>
      </c>
      <c r="C746" s="26" t="s">
        <v>6</v>
      </c>
      <c r="D746" s="26" t="s">
        <v>1098</v>
      </c>
      <c r="E746" s="19">
        <v>-883.25</v>
      </c>
      <c r="F746" s="25" t="s">
        <v>8</v>
      </c>
      <c r="G746" s="14" t="s">
        <v>51</v>
      </c>
      <c r="H746" s="282"/>
    </row>
    <row r="747" spans="1:8" s="291" customFormat="1" hidden="1" x14ac:dyDescent="0.3">
      <c r="A747" s="205">
        <v>45880</v>
      </c>
      <c r="B747" s="252" t="s">
        <v>212</v>
      </c>
      <c r="C747" s="26" t="s">
        <v>44</v>
      </c>
      <c r="D747" s="26" t="s">
        <v>1098</v>
      </c>
      <c r="E747" s="19">
        <v>-847.92</v>
      </c>
      <c r="F747" s="25" t="s">
        <v>8</v>
      </c>
      <c r="G747" s="14" t="s">
        <v>51</v>
      </c>
      <c r="H747" s="282"/>
    </row>
    <row r="748" spans="1:8" s="291" customFormat="1" hidden="1" x14ac:dyDescent="0.3">
      <c r="A748" s="205">
        <v>45880</v>
      </c>
      <c r="B748" s="252" t="s">
        <v>212</v>
      </c>
      <c r="C748" s="26" t="s">
        <v>25</v>
      </c>
      <c r="D748" s="26" t="s">
        <v>1098</v>
      </c>
      <c r="E748" s="19">
        <v>-1872.49</v>
      </c>
      <c r="F748" s="25" t="s">
        <v>8</v>
      </c>
      <c r="G748" s="14" t="s">
        <v>51</v>
      </c>
      <c r="H748" s="282"/>
    </row>
    <row r="749" spans="1:8" s="291" customFormat="1" hidden="1" x14ac:dyDescent="0.3">
      <c r="A749" s="205">
        <v>45880</v>
      </c>
      <c r="B749" s="252" t="s">
        <v>212</v>
      </c>
      <c r="C749" s="26" t="s">
        <v>33</v>
      </c>
      <c r="D749" s="26" t="s">
        <v>1098</v>
      </c>
      <c r="E749" s="19">
        <v>-600.61</v>
      </c>
      <c r="F749" s="25" t="s">
        <v>8</v>
      </c>
      <c r="G749" s="14" t="s">
        <v>51</v>
      </c>
      <c r="H749" s="282"/>
    </row>
    <row r="750" spans="1:8" s="291" customFormat="1" hidden="1" x14ac:dyDescent="0.3">
      <c r="A750" s="205">
        <v>45880</v>
      </c>
      <c r="B750" s="252" t="s">
        <v>212</v>
      </c>
      <c r="C750" s="26" t="s">
        <v>106</v>
      </c>
      <c r="D750" s="26" t="s">
        <v>1098</v>
      </c>
      <c r="E750" s="19">
        <v>-671.27</v>
      </c>
      <c r="F750" s="25" t="s">
        <v>8</v>
      </c>
      <c r="G750" s="14" t="s">
        <v>51</v>
      </c>
      <c r="H750" s="282"/>
    </row>
    <row r="751" spans="1:8" s="291" customFormat="1" hidden="1" x14ac:dyDescent="0.3">
      <c r="A751" s="205">
        <v>45880</v>
      </c>
      <c r="B751" s="252" t="s">
        <v>212</v>
      </c>
      <c r="C751" s="26" t="s">
        <v>32</v>
      </c>
      <c r="D751" s="26" t="s">
        <v>1098</v>
      </c>
      <c r="E751" s="19">
        <v>-1236.55</v>
      </c>
      <c r="F751" s="25" t="s">
        <v>8</v>
      </c>
      <c r="G751" s="14" t="s">
        <v>51</v>
      </c>
      <c r="H751" s="282"/>
    </row>
    <row r="752" spans="1:8" s="291" customFormat="1" hidden="1" x14ac:dyDescent="0.3">
      <c r="A752" s="205">
        <v>45880</v>
      </c>
      <c r="B752" s="252" t="s">
        <v>212</v>
      </c>
      <c r="C752" s="26" t="s">
        <v>72</v>
      </c>
      <c r="D752" s="26" t="s">
        <v>1098</v>
      </c>
      <c r="E752" s="19">
        <v>-812.59</v>
      </c>
      <c r="F752" s="25" t="s">
        <v>8</v>
      </c>
      <c r="G752" s="14" t="s">
        <v>51</v>
      </c>
      <c r="H752" s="282"/>
    </row>
    <row r="753" spans="1:8" s="291" customFormat="1" hidden="1" x14ac:dyDescent="0.3">
      <c r="A753" s="205">
        <v>45880</v>
      </c>
      <c r="B753" s="252" t="s">
        <v>212</v>
      </c>
      <c r="C753" s="26" t="s">
        <v>17</v>
      </c>
      <c r="D753" s="26" t="s">
        <v>1098</v>
      </c>
      <c r="E753" s="19">
        <v>-1059.9000000000001</v>
      </c>
      <c r="F753" s="25" t="s">
        <v>8</v>
      </c>
      <c r="G753" s="14" t="s">
        <v>51</v>
      </c>
      <c r="H753" s="282"/>
    </row>
    <row r="754" spans="1:8" s="291" customFormat="1" hidden="1" x14ac:dyDescent="0.3">
      <c r="A754" s="252">
        <v>45880</v>
      </c>
      <c r="B754" s="252" t="s">
        <v>212</v>
      </c>
      <c r="C754" s="24" t="s">
        <v>6</v>
      </c>
      <c r="D754" s="24" t="s">
        <v>52</v>
      </c>
      <c r="E754" s="573">
        <v>-325.11</v>
      </c>
      <c r="F754" s="25" t="s">
        <v>8</v>
      </c>
      <c r="G754" s="14" t="s">
        <v>53</v>
      </c>
      <c r="H754" s="282"/>
    </row>
    <row r="755" spans="1:8" s="291" customFormat="1" hidden="1" x14ac:dyDescent="0.3">
      <c r="A755" s="252">
        <v>45880</v>
      </c>
      <c r="B755" s="252" t="s">
        <v>212</v>
      </c>
      <c r="C755" s="24" t="s">
        <v>17</v>
      </c>
      <c r="D755" s="13" t="s">
        <v>1176</v>
      </c>
      <c r="E755" s="28">
        <v>-10500</v>
      </c>
      <c r="F755" s="25" t="s">
        <v>8</v>
      </c>
      <c r="G755" s="14" t="s">
        <v>57</v>
      </c>
      <c r="H755" s="282"/>
    </row>
    <row r="756" spans="1:8" s="514" customFormat="1" hidden="1" x14ac:dyDescent="0.3">
      <c r="A756" s="626">
        <v>45894</v>
      </c>
      <c r="B756" s="626" t="s">
        <v>212</v>
      </c>
      <c r="C756" s="599" t="s">
        <v>13</v>
      </c>
      <c r="D756" s="599" t="s">
        <v>58</v>
      </c>
      <c r="E756" s="627">
        <v>-170.5</v>
      </c>
      <c r="F756" s="513" t="s">
        <v>8</v>
      </c>
      <c r="G756" s="519" t="s">
        <v>55</v>
      </c>
      <c r="H756" s="638"/>
    </row>
    <row r="757" spans="1:8" s="291" customFormat="1" hidden="1" x14ac:dyDescent="0.3">
      <c r="A757" s="252">
        <v>45881</v>
      </c>
      <c r="B757" s="252" t="s">
        <v>212</v>
      </c>
      <c r="C757" s="24" t="s">
        <v>31</v>
      </c>
      <c r="D757" s="24" t="s">
        <v>1205</v>
      </c>
      <c r="E757" s="498">
        <v>-1000</v>
      </c>
      <c r="F757" s="25" t="s">
        <v>8</v>
      </c>
      <c r="G757" s="14" t="s">
        <v>59</v>
      </c>
      <c r="H757" s="282"/>
    </row>
    <row r="758" spans="1:8" s="291" customFormat="1" hidden="1" x14ac:dyDescent="0.3">
      <c r="A758" s="252">
        <v>45881</v>
      </c>
      <c r="B758" s="252" t="s">
        <v>212</v>
      </c>
      <c r="C758" s="24" t="s">
        <v>31</v>
      </c>
      <c r="D758" s="24" t="s">
        <v>1204</v>
      </c>
      <c r="E758" s="498">
        <v>-1000</v>
      </c>
      <c r="F758" s="25" t="s">
        <v>8</v>
      </c>
      <c r="G758" s="14" t="s">
        <v>59</v>
      </c>
      <c r="H758" s="282"/>
    </row>
    <row r="759" spans="1:8" s="291" customFormat="1" hidden="1" x14ac:dyDescent="0.3">
      <c r="A759" s="252">
        <v>45880</v>
      </c>
      <c r="B759" s="252" t="s">
        <v>212</v>
      </c>
      <c r="C759" s="24" t="s">
        <v>31</v>
      </c>
      <c r="D759" s="24" t="s">
        <v>1177</v>
      </c>
      <c r="E759" s="28">
        <v>-1000</v>
      </c>
      <c r="F759" s="25" t="s">
        <v>8</v>
      </c>
      <c r="G759" s="14" t="s">
        <v>59</v>
      </c>
      <c r="H759" s="282"/>
    </row>
    <row r="760" spans="1:8" s="291" customFormat="1" hidden="1" x14ac:dyDescent="0.3">
      <c r="A760" s="252">
        <v>45880</v>
      </c>
      <c r="B760" s="252" t="s">
        <v>212</v>
      </c>
      <c r="C760" s="24" t="s">
        <v>31</v>
      </c>
      <c r="D760" s="24" t="s">
        <v>60</v>
      </c>
      <c r="E760" s="28">
        <v>-9000</v>
      </c>
      <c r="F760" s="25" t="s">
        <v>8</v>
      </c>
      <c r="G760" s="14" t="s">
        <v>59</v>
      </c>
      <c r="H760" s="282"/>
    </row>
    <row r="761" spans="1:8" s="291" customFormat="1" hidden="1" x14ac:dyDescent="0.3">
      <c r="A761" s="252">
        <v>45880</v>
      </c>
      <c r="B761" s="252" t="s">
        <v>212</v>
      </c>
      <c r="C761" s="24" t="s">
        <v>44</v>
      </c>
      <c r="D761" s="24" t="s">
        <v>61</v>
      </c>
      <c r="E761" s="28">
        <v>-9146.82</v>
      </c>
      <c r="F761" s="14" t="s">
        <v>8</v>
      </c>
      <c r="G761" s="14" t="s">
        <v>62</v>
      </c>
      <c r="H761" s="282"/>
    </row>
    <row r="762" spans="1:8" s="291" customFormat="1" hidden="1" x14ac:dyDescent="0.3">
      <c r="A762" s="252">
        <v>45880</v>
      </c>
      <c r="B762" s="252" t="s">
        <v>212</v>
      </c>
      <c r="C762" s="24" t="s">
        <v>6</v>
      </c>
      <c r="D762" s="24" t="s">
        <v>1172</v>
      </c>
      <c r="E762" s="573">
        <v>-4812.22</v>
      </c>
      <c r="F762" s="25" t="s">
        <v>8</v>
      </c>
      <c r="G762" s="14" t="s">
        <v>64</v>
      </c>
      <c r="H762" s="282"/>
    </row>
    <row r="763" spans="1:8" s="291" customFormat="1" hidden="1" x14ac:dyDescent="0.3">
      <c r="A763" s="252">
        <v>45880</v>
      </c>
      <c r="B763" s="252" t="s">
        <v>212</v>
      </c>
      <c r="C763" s="27" t="s">
        <v>65</v>
      </c>
      <c r="D763" s="13" t="s">
        <v>509</v>
      </c>
      <c r="E763" s="28">
        <v>-441.64</v>
      </c>
      <c r="F763" s="25" t="s">
        <v>8</v>
      </c>
      <c r="G763" s="14" t="s">
        <v>39</v>
      </c>
      <c r="H763" s="282"/>
    </row>
    <row r="764" spans="1:8" s="291" customFormat="1" hidden="1" x14ac:dyDescent="0.3">
      <c r="A764" s="265">
        <v>45880</v>
      </c>
      <c r="B764" s="265" t="s">
        <v>212</v>
      </c>
      <c r="C764" s="266" t="s">
        <v>67</v>
      </c>
      <c r="D764" s="258" t="s">
        <v>68</v>
      </c>
      <c r="E764" s="204">
        <v>-250.27</v>
      </c>
      <c r="F764" s="51" t="s">
        <v>8</v>
      </c>
      <c r="G764" s="68" t="s">
        <v>69</v>
      </c>
      <c r="H764" s="282"/>
    </row>
    <row r="765" spans="1:8" s="291" customFormat="1" x14ac:dyDescent="0.3">
      <c r="A765" s="252">
        <v>45912</v>
      </c>
      <c r="B765" s="252" t="s">
        <v>213</v>
      </c>
      <c r="C765" s="26" t="s">
        <v>17</v>
      </c>
      <c r="D765" s="26" t="s">
        <v>1376</v>
      </c>
      <c r="E765" s="19">
        <v>-252</v>
      </c>
      <c r="F765" s="25" t="s">
        <v>8</v>
      </c>
      <c r="G765" s="20" t="s">
        <v>83</v>
      </c>
      <c r="H765" s="282"/>
    </row>
    <row r="766" spans="1:8" s="291" customFormat="1" x14ac:dyDescent="0.3">
      <c r="A766" s="252">
        <v>45912</v>
      </c>
      <c r="B766" s="252" t="s">
        <v>213</v>
      </c>
      <c r="C766" s="26" t="s">
        <v>17</v>
      </c>
      <c r="D766" s="26" t="s">
        <v>1377</v>
      </c>
      <c r="E766" s="19">
        <v>-252</v>
      </c>
      <c r="F766" s="25" t="s">
        <v>8</v>
      </c>
      <c r="G766" s="20" t="s">
        <v>83</v>
      </c>
      <c r="H766" s="282"/>
    </row>
    <row r="767" spans="1:8" s="291" customFormat="1" x14ac:dyDescent="0.3">
      <c r="A767" s="252">
        <v>45912</v>
      </c>
      <c r="B767" s="252" t="s">
        <v>213</v>
      </c>
      <c r="C767" s="26" t="s">
        <v>17</v>
      </c>
      <c r="D767" s="26" t="s">
        <v>1375</v>
      </c>
      <c r="E767" s="19">
        <v>-252</v>
      </c>
      <c r="F767" s="25" t="s">
        <v>8</v>
      </c>
      <c r="G767" s="20" t="s">
        <v>83</v>
      </c>
      <c r="H767" s="282"/>
    </row>
    <row r="768" spans="1:8" s="291" customFormat="1" x14ac:dyDescent="0.3">
      <c r="A768" s="252">
        <v>45912</v>
      </c>
      <c r="B768" s="252" t="s">
        <v>213</v>
      </c>
      <c r="C768" s="938" t="s">
        <v>25</v>
      </c>
      <c r="D768" s="938" t="s">
        <v>376</v>
      </c>
      <c r="E768" s="939">
        <v>-123</v>
      </c>
      <c r="F768" s="25" t="s">
        <v>8</v>
      </c>
      <c r="G768" s="947" t="s">
        <v>83</v>
      </c>
      <c r="H768" s="282"/>
    </row>
    <row r="769" spans="1:8" s="291" customFormat="1" x14ac:dyDescent="0.3">
      <c r="A769" s="252">
        <v>45912</v>
      </c>
      <c r="B769" s="252" t="s">
        <v>213</v>
      </c>
      <c r="C769" s="938" t="s">
        <v>72</v>
      </c>
      <c r="D769" s="938" t="s">
        <v>1361</v>
      </c>
      <c r="E769" s="939">
        <v>-70</v>
      </c>
      <c r="F769" s="25" t="s">
        <v>8</v>
      </c>
      <c r="G769" s="947" t="s">
        <v>83</v>
      </c>
      <c r="H769" s="282"/>
    </row>
    <row r="770" spans="1:8" s="291" customFormat="1" x14ac:dyDescent="0.3">
      <c r="A770" s="252">
        <v>45912</v>
      </c>
      <c r="B770" s="252" t="s">
        <v>213</v>
      </c>
      <c r="C770" s="938" t="s">
        <v>72</v>
      </c>
      <c r="D770" s="938" t="s">
        <v>1358</v>
      </c>
      <c r="E770" s="939">
        <v>-70</v>
      </c>
      <c r="F770" s="25" t="s">
        <v>8</v>
      </c>
      <c r="G770" s="947" t="s">
        <v>83</v>
      </c>
      <c r="H770" s="282"/>
    </row>
    <row r="771" spans="1:8" s="291" customFormat="1" x14ac:dyDescent="0.3">
      <c r="A771" s="252">
        <v>45912</v>
      </c>
      <c r="B771" s="252" t="s">
        <v>213</v>
      </c>
      <c r="C771" s="938" t="s">
        <v>72</v>
      </c>
      <c r="D771" s="938" t="s">
        <v>1360</v>
      </c>
      <c r="E771" s="939">
        <v>-70</v>
      </c>
      <c r="F771" s="25" t="s">
        <v>8</v>
      </c>
      <c r="G771" s="947" t="s">
        <v>83</v>
      </c>
      <c r="H771" s="282"/>
    </row>
    <row r="772" spans="1:8" s="291" customFormat="1" x14ac:dyDescent="0.3">
      <c r="A772" s="252">
        <v>45912</v>
      </c>
      <c r="B772" s="252" t="s">
        <v>213</v>
      </c>
      <c r="C772" s="938" t="s">
        <v>72</v>
      </c>
      <c r="D772" s="938" t="s">
        <v>1363</v>
      </c>
      <c r="E772" s="939">
        <v>-70</v>
      </c>
      <c r="F772" s="25" t="s">
        <v>8</v>
      </c>
      <c r="G772" s="947" t="s">
        <v>83</v>
      </c>
      <c r="H772" s="282"/>
    </row>
    <row r="773" spans="1:8" s="291" customFormat="1" x14ac:dyDescent="0.3">
      <c r="A773" s="252">
        <v>45912</v>
      </c>
      <c r="B773" s="252" t="s">
        <v>213</v>
      </c>
      <c r="C773" s="26" t="s">
        <v>72</v>
      </c>
      <c r="D773" s="26" t="s">
        <v>1226</v>
      </c>
      <c r="E773" s="19">
        <v>-489.2</v>
      </c>
      <c r="F773" s="25" t="s">
        <v>8</v>
      </c>
      <c r="G773" s="20" t="s">
        <v>74</v>
      </c>
      <c r="H773" s="209"/>
    </row>
    <row r="774" spans="1:8" s="291" customFormat="1" x14ac:dyDescent="0.3">
      <c r="A774" s="252">
        <v>45912</v>
      </c>
      <c r="B774" s="252" t="s">
        <v>213</v>
      </c>
      <c r="C774" s="26" t="s">
        <v>72</v>
      </c>
      <c r="D774" s="26" t="s">
        <v>1226</v>
      </c>
      <c r="E774" s="946">
        <v>-2599.85</v>
      </c>
      <c r="F774" s="25" t="s">
        <v>8</v>
      </c>
      <c r="G774" s="20" t="s">
        <v>74</v>
      </c>
      <c r="H774" s="209"/>
    </row>
    <row r="775" spans="1:8" s="291" customFormat="1" hidden="1" x14ac:dyDescent="0.3">
      <c r="A775" s="298">
        <v>45890</v>
      </c>
      <c r="B775" s="298" t="s">
        <v>212</v>
      </c>
      <c r="C775" s="238" t="s">
        <v>17</v>
      </c>
      <c r="D775" s="872" t="s">
        <v>775</v>
      </c>
      <c r="E775" s="873">
        <v>-238.69</v>
      </c>
      <c r="F775" s="262" t="s">
        <v>8</v>
      </c>
      <c r="G775" s="168" t="s">
        <v>74</v>
      </c>
      <c r="H775" s="282"/>
    </row>
    <row r="776" spans="1:8" s="291" customFormat="1" hidden="1" x14ac:dyDescent="0.3">
      <c r="A776" s="252">
        <v>45890</v>
      </c>
      <c r="B776" s="252" t="s">
        <v>212</v>
      </c>
      <c r="C776" s="26" t="s">
        <v>17</v>
      </c>
      <c r="D776" s="695" t="s">
        <v>775</v>
      </c>
      <c r="E776" s="696">
        <v>-132.15</v>
      </c>
      <c r="F776" s="25" t="s">
        <v>8</v>
      </c>
      <c r="G776" s="20" t="s">
        <v>74</v>
      </c>
      <c r="H776" s="282"/>
    </row>
    <row r="777" spans="1:8" s="291" customFormat="1" hidden="1" x14ac:dyDescent="0.3">
      <c r="A777" s="252">
        <v>45890</v>
      </c>
      <c r="B777" s="252" t="s">
        <v>212</v>
      </c>
      <c r="C777" s="26" t="s">
        <v>17</v>
      </c>
      <c r="D777" s="695" t="s">
        <v>775</v>
      </c>
      <c r="E777" s="696">
        <v>-345.31</v>
      </c>
      <c r="F777" s="25" t="s">
        <v>8</v>
      </c>
      <c r="G777" s="20" t="s">
        <v>74</v>
      </c>
      <c r="H777" s="282"/>
    </row>
    <row r="778" spans="1:8" s="291" customFormat="1" hidden="1" x14ac:dyDescent="0.3">
      <c r="A778" s="252">
        <v>45890</v>
      </c>
      <c r="B778" s="252" t="s">
        <v>212</v>
      </c>
      <c r="C778" s="26" t="s">
        <v>17</v>
      </c>
      <c r="D778" s="695" t="s">
        <v>775</v>
      </c>
      <c r="E778" s="696">
        <v>-265.85000000000002</v>
      </c>
      <c r="F778" s="25" t="s">
        <v>8</v>
      </c>
      <c r="G778" s="20" t="s">
        <v>74</v>
      </c>
      <c r="H778" s="282"/>
    </row>
    <row r="779" spans="1:8" s="291" customFormat="1" hidden="1" x14ac:dyDescent="0.3">
      <c r="A779" s="252">
        <v>45890</v>
      </c>
      <c r="B779" s="252" t="s">
        <v>212</v>
      </c>
      <c r="C779" s="26" t="s">
        <v>17</v>
      </c>
      <c r="D779" s="695" t="s">
        <v>775</v>
      </c>
      <c r="E779" s="696">
        <v>-132.15</v>
      </c>
      <c r="F779" s="25" t="s">
        <v>8</v>
      </c>
      <c r="G779" s="20" t="s">
        <v>74</v>
      </c>
      <c r="H779" s="282"/>
    </row>
    <row r="780" spans="1:8" s="291" customFormat="1" hidden="1" x14ac:dyDescent="0.3">
      <c r="A780" s="252">
        <v>45880</v>
      </c>
      <c r="B780" s="252" t="s">
        <v>212</v>
      </c>
      <c r="C780" s="26" t="s">
        <v>17</v>
      </c>
      <c r="D780" s="26" t="s">
        <v>1171</v>
      </c>
      <c r="E780" s="19">
        <v>-61.41</v>
      </c>
      <c r="F780" s="25" t="s">
        <v>8</v>
      </c>
      <c r="G780" s="20" t="s">
        <v>233</v>
      </c>
      <c r="H780" s="209"/>
    </row>
    <row r="781" spans="1:8" s="291" customFormat="1" hidden="1" x14ac:dyDescent="0.3">
      <c r="A781" s="252">
        <v>45880</v>
      </c>
      <c r="B781" s="252" t="s">
        <v>212</v>
      </c>
      <c r="C781" s="26" t="s">
        <v>44</v>
      </c>
      <c r="D781" s="26" t="s">
        <v>1173</v>
      </c>
      <c r="E781" s="19">
        <v>-1538</v>
      </c>
      <c r="F781" s="25" t="s">
        <v>8</v>
      </c>
      <c r="G781" s="20" t="s">
        <v>233</v>
      </c>
      <c r="H781" s="209"/>
    </row>
    <row r="782" spans="1:8" s="291" customFormat="1" ht="15" hidden="1" customHeight="1" x14ac:dyDescent="0.3">
      <c r="A782" s="252">
        <v>45880</v>
      </c>
      <c r="B782" s="252" t="s">
        <v>212</v>
      </c>
      <c r="C782" s="26" t="s">
        <v>72</v>
      </c>
      <c r="D782" s="26" t="s">
        <v>1175</v>
      </c>
      <c r="E782" s="19">
        <v>-1168.2</v>
      </c>
      <c r="F782" s="25" t="s">
        <v>8</v>
      </c>
      <c r="G782" s="20" t="s">
        <v>233</v>
      </c>
      <c r="H782" s="209"/>
    </row>
    <row r="783" spans="1:8" s="291" customFormat="1" hidden="1" x14ac:dyDescent="0.3">
      <c r="A783" s="252">
        <v>45880</v>
      </c>
      <c r="B783" s="252" t="s">
        <v>212</v>
      </c>
      <c r="C783" s="26" t="s">
        <v>6</v>
      </c>
      <c r="D783" s="26" t="s">
        <v>1099</v>
      </c>
      <c r="E783" s="19">
        <v>-2500</v>
      </c>
      <c r="F783" s="25" t="s">
        <v>8</v>
      </c>
      <c r="G783" s="20" t="s">
        <v>189</v>
      </c>
      <c r="H783" s="209"/>
    </row>
    <row r="784" spans="1:8" s="291" customFormat="1" hidden="1" x14ac:dyDescent="0.3">
      <c r="A784" s="252">
        <v>45880</v>
      </c>
      <c r="B784" s="252" t="s">
        <v>212</v>
      </c>
      <c r="C784" s="26" t="s">
        <v>17</v>
      </c>
      <c r="D784" s="26" t="s">
        <v>1100</v>
      </c>
      <c r="E784" s="19">
        <v>-2500</v>
      </c>
      <c r="F784" s="25" t="s">
        <v>8</v>
      </c>
      <c r="G784" s="20" t="s">
        <v>189</v>
      </c>
      <c r="H784" s="209"/>
    </row>
    <row r="785" spans="1:8" s="291" customFormat="1" hidden="1" x14ac:dyDescent="0.3">
      <c r="A785" s="252">
        <v>45880</v>
      </c>
      <c r="B785" s="252" t="s">
        <v>212</v>
      </c>
      <c r="C785" s="26" t="s">
        <v>44</v>
      </c>
      <c r="D785" s="26" t="s">
        <v>1174</v>
      </c>
      <c r="E785" s="19">
        <v>-46.64</v>
      </c>
      <c r="F785" s="25" t="s">
        <v>8</v>
      </c>
      <c r="G785" s="20" t="s">
        <v>207</v>
      </c>
      <c r="H785" s="282"/>
    </row>
    <row r="786" spans="1:8" s="291" customFormat="1" hidden="1" x14ac:dyDescent="0.3">
      <c r="A786" s="287">
        <v>45860</v>
      </c>
      <c r="B786" s="252" t="s">
        <v>211</v>
      </c>
      <c r="C786" s="17" t="s">
        <v>72</v>
      </c>
      <c r="D786" s="13" t="s">
        <v>908</v>
      </c>
      <c r="E786" s="235">
        <v>-133.02000000000001</v>
      </c>
      <c r="F786" s="25" t="s">
        <v>8</v>
      </c>
      <c r="G786" s="20" t="s">
        <v>74</v>
      </c>
      <c r="H786" s="282"/>
    </row>
    <row r="787" spans="1:8" s="291" customFormat="1" hidden="1" x14ac:dyDescent="0.3">
      <c r="A787" s="287">
        <v>45869</v>
      </c>
      <c r="B787" s="10" t="s">
        <v>211</v>
      </c>
      <c r="C787" s="26" t="s">
        <v>72</v>
      </c>
      <c r="D787" s="13" t="s">
        <v>1064</v>
      </c>
      <c r="E787" s="591">
        <v>-5000</v>
      </c>
      <c r="F787" s="25" t="s">
        <v>8</v>
      </c>
      <c r="G787" s="20" t="s">
        <v>156</v>
      </c>
      <c r="H787" s="282"/>
    </row>
    <row r="788" spans="1:8" s="291" customFormat="1" hidden="1" x14ac:dyDescent="0.3">
      <c r="A788" s="205">
        <v>45869</v>
      </c>
      <c r="B788" s="252" t="s">
        <v>211</v>
      </c>
      <c r="C788" s="17" t="s">
        <v>72</v>
      </c>
      <c r="D788" s="13" t="s">
        <v>909</v>
      </c>
      <c r="E788" s="591">
        <v>-826.19</v>
      </c>
      <c r="F788" s="25" t="s">
        <v>8</v>
      </c>
      <c r="G788" s="20" t="s">
        <v>74</v>
      </c>
      <c r="H788" s="282"/>
    </row>
    <row r="789" spans="1:8" s="291" customFormat="1" hidden="1" x14ac:dyDescent="0.3">
      <c r="A789" s="287">
        <v>45860</v>
      </c>
      <c r="B789" s="252" t="s">
        <v>211</v>
      </c>
      <c r="C789" s="17" t="s">
        <v>72</v>
      </c>
      <c r="D789" s="13" t="s">
        <v>910</v>
      </c>
      <c r="E789" s="19">
        <v>-133.15</v>
      </c>
      <c r="F789" s="25" t="s">
        <v>8</v>
      </c>
      <c r="G789" s="20" t="s">
        <v>74</v>
      </c>
      <c r="H789" s="282"/>
    </row>
    <row r="790" spans="1:8" s="291" customFormat="1" hidden="1" x14ac:dyDescent="0.3">
      <c r="A790" s="287">
        <v>45860</v>
      </c>
      <c r="B790" s="252" t="s">
        <v>211</v>
      </c>
      <c r="C790" s="24" t="s">
        <v>17</v>
      </c>
      <c r="D790" s="13" t="s">
        <v>924</v>
      </c>
      <c r="E790" s="19">
        <v>-211.01</v>
      </c>
      <c r="F790" s="25" t="s">
        <v>8</v>
      </c>
      <c r="G790" s="20" t="s">
        <v>127</v>
      </c>
      <c r="H790" s="282"/>
    </row>
    <row r="791" spans="1:8" s="514" customFormat="1" ht="13.2" hidden="1" customHeight="1" x14ac:dyDescent="0.3">
      <c r="A791" s="626">
        <v>45891</v>
      </c>
      <c r="B791" s="626" t="s">
        <v>212</v>
      </c>
      <c r="C791" s="516" t="s">
        <v>72</v>
      </c>
      <c r="D791" s="517" t="s">
        <v>1326</v>
      </c>
      <c r="E791" s="512">
        <v>-2628.37</v>
      </c>
      <c r="F791" s="513" t="s">
        <v>8</v>
      </c>
      <c r="G791" s="518" t="s">
        <v>74</v>
      </c>
      <c r="H791" s="638"/>
    </row>
    <row r="792" spans="1:8" s="514" customFormat="1" ht="13.2" hidden="1" customHeight="1" x14ac:dyDescent="0.3">
      <c r="A792" s="626">
        <v>45891</v>
      </c>
      <c r="B792" s="626" t="s">
        <v>212</v>
      </c>
      <c r="C792" s="516" t="s">
        <v>72</v>
      </c>
      <c r="D792" s="517" t="s">
        <v>1327</v>
      </c>
      <c r="E792" s="512">
        <v>-826.19</v>
      </c>
      <c r="F792" s="513" t="s">
        <v>8</v>
      </c>
      <c r="G792" s="518" t="s">
        <v>74</v>
      </c>
      <c r="H792" s="638"/>
    </row>
    <row r="793" spans="1:8" s="514" customFormat="1" hidden="1" x14ac:dyDescent="0.3">
      <c r="A793" s="626">
        <v>45897</v>
      </c>
      <c r="B793" s="626" t="s">
        <v>212</v>
      </c>
      <c r="C793" s="561" t="s">
        <v>72</v>
      </c>
      <c r="D793" s="592" t="s">
        <v>1405</v>
      </c>
      <c r="E793" s="745">
        <v>-4875.8500000000004</v>
      </c>
      <c r="F793" s="513" t="s">
        <v>8</v>
      </c>
      <c r="G793" s="518" t="s">
        <v>74</v>
      </c>
      <c r="H793" s="745">
        <v>-4424.8</v>
      </c>
    </row>
    <row r="794" spans="1:8" s="514" customFormat="1" ht="27.6" hidden="1" x14ac:dyDescent="0.3">
      <c r="A794" s="626">
        <v>45891</v>
      </c>
      <c r="B794" s="626" t="s">
        <v>212</v>
      </c>
      <c r="C794" s="756" t="s">
        <v>72</v>
      </c>
      <c r="D794" s="517" t="s">
        <v>1328</v>
      </c>
      <c r="E794" s="745">
        <v>-4375.75</v>
      </c>
      <c r="F794" s="513" t="s">
        <v>8</v>
      </c>
      <c r="G794" s="518" t="s">
        <v>74</v>
      </c>
      <c r="H794" s="638"/>
    </row>
    <row r="795" spans="1:8" s="514" customFormat="1" hidden="1" x14ac:dyDescent="0.3">
      <c r="A795" s="626">
        <v>45891</v>
      </c>
      <c r="B795" s="644" t="s">
        <v>212</v>
      </c>
      <c r="C795" s="757" t="s">
        <v>72</v>
      </c>
      <c r="D795" s="758" t="s">
        <v>1329</v>
      </c>
      <c r="E795" s="693">
        <v>-1504.25</v>
      </c>
      <c r="F795" s="727" t="s">
        <v>8</v>
      </c>
      <c r="G795" s="551" t="s">
        <v>74</v>
      </c>
      <c r="H795" s="638"/>
    </row>
    <row r="796" spans="1:8" s="600" customFormat="1" hidden="1" x14ac:dyDescent="0.3">
      <c r="A796" s="626">
        <v>45888</v>
      </c>
      <c r="B796" s="626" t="s">
        <v>212</v>
      </c>
      <c r="C796" s="592" t="s">
        <v>72</v>
      </c>
      <c r="D796" s="592" t="s">
        <v>1217</v>
      </c>
      <c r="E796" s="512">
        <v>-3209.14</v>
      </c>
      <c r="F796" s="518" t="s">
        <v>8</v>
      </c>
      <c r="G796" s="518" t="s">
        <v>233</v>
      </c>
      <c r="H796" s="519"/>
    </row>
    <row r="797" spans="1:8" s="13" customFormat="1" ht="12.6" hidden="1" customHeight="1" x14ac:dyDescent="0.3">
      <c r="A797" s="252">
        <v>45890</v>
      </c>
      <c r="B797" s="252" t="s">
        <v>212</v>
      </c>
      <c r="C797" s="26" t="s">
        <v>44</v>
      </c>
      <c r="D797" s="26" t="s">
        <v>1304</v>
      </c>
      <c r="E797" s="19">
        <v>-849.17</v>
      </c>
      <c r="F797" s="20" t="s">
        <v>8</v>
      </c>
      <c r="G797" s="20" t="s">
        <v>207</v>
      </c>
      <c r="H797" s="25"/>
    </row>
    <row r="798" spans="1:8" s="13" customFormat="1" ht="12.6" hidden="1" customHeight="1" x14ac:dyDescent="0.3">
      <c r="A798" s="252">
        <v>45883</v>
      </c>
      <c r="B798" s="252" t="s">
        <v>212</v>
      </c>
      <c r="C798" s="26" t="s">
        <v>25</v>
      </c>
      <c r="D798" s="26" t="s">
        <v>1183</v>
      </c>
      <c r="E798" s="569">
        <v>-252</v>
      </c>
      <c r="F798" s="20" t="s">
        <v>8</v>
      </c>
      <c r="G798" s="20" t="s">
        <v>83</v>
      </c>
      <c r="H798" s="25"/>
    </row>
    <row r="799" spans="1:8" s="13" customFormat="1" ht="12.6" hidden="1" customHeight="1" x14ac:dyDescent="0.3">
      <c r="A799" s="252">
        <v>45883</v>
      </c>
      <c r="B799" s="252" t="s">
        <v>212</v>
      </c>
      <c r="C799" s="26" t="s">
        <v>25</v>
      </c>
      <c r="D799" s="26" t="s">
        <v>1184</v>
      </c>
      <c r="E799" s="569">
        <v>-177</v>
      </c>
      <c r="F799" s="20" t="s">
        <v>8</v>
      </c>
      <c r="G799" s="20" t="s">
        <v>83</v>
      </c>
      <c r="H799" s="25"/>
    </row>
    <row r="800" spans="1:8" s="13" customFormat="1" ht="12.6" hidden="1" customHeight="1" x14ac:dyDescent="0.3">
      <c r="A800" s="252">
        <v>45883</v>
      </c>
      <c r="B800" s="252" t="s">
        <v>212</v>
      </c>
      <c r="C800" s="26" t="s">
        <v>25</v>
      </c>
      <c r="D800" s="26" t="s">
        <v>1230</v>
      </c>
      <c r="E800" s="569">
        <v>-44.87</v>
      </c>
      <c r="F800" s="20" t="s">
        <v>8</v>
      </c>
      <c r="G800" s="20" t="s">
        <v>871</v>
      </c>
      <c r="H800" s="25"/>
    </row>
    <row r="801" spans="1:8" s="13" customFormat="1" ht="12.6" hidden="1" customHeight="1" x14ac:dyDescent="0.3">
      <c r="A801" s="252">
        <v>45883</v>
      </c>
      <c r="B801" s="252" t="s">
        <v>212</v>
      </c>
      <c r="C801" s="26" t="s">
        <v>25</v>
      </c>
      <c r="D801" s="26" t="s">
        <v>1231</v>
      </c>
      <c r="E801" s="569">
        <v>-1500</v>
      </c>
      <c r="F801" s="20" t="s">
        <v>8</v>
      </c>
      <c r="G801" s="20" t="s">
        <v>15</v>
      </c>
      <c r="H801" s="25"/>
    </row>
    <row r="802" spans="1:8" s="13" customFormat="1" ht="13.8" hidden="1" customHeight="1" x14ac:dyDescent="0.3">
      <c r="A802" s="252">
        <v>45883</v>
      </c>
      <c r="B802" s="252" t="s">
        <v>212</v>
      </c>
      <c r="C802" s="26" t="s">
        <v>31</v>
      </c>
      <c r="D802" s="26" t="s">
        <v>1101</v>
      </c>
      <c r="E802" s="569">
        <v>-1118.22</v>
      </c>
      <c r="F802" s="20" t="s">
        <v>8</v>
      </c>
      <c r="G802" s="20" t="s">
        <v>76</v>
      </c>
      <c r="H802" s="25"/>
    </row>
    <row r="803" spans="1:8" s="13" customFormat="1" ht="13.8" hidden="1" customHeight="1" x14ac:dyDescent="0.3">
      <c r="A803" s="252">
        <v>45883</v>
      </c>
      <c r="B803" s="252" t="s">
        <v>212</v>
      </c>
      <c r="C803" s="26" t="s">
        <v>25</v>
      </c>
      <c r="D803" s="26" t="s">
        <v>1185</v>
      </c>
      <c r="E803" s="569">
        <v>-179.46</v>
      </c>
      <c r="F803" s="20" t="s">
        <v>8</v>
      </c>
      <c r="G803" s="20" t="s">
        <v>76</v>
      </c>
      <c r="H803" s="25"/>
    </row>
    <row r="804" spans="1:8" s="319" customFormat="1" hidden="1" x14ac:dyDescent="0.3">
      <c r="A804" s="275">
        <v>45884</v>
      </c>
      <c r="B804" s="275" t="s">
        <v>212</v>
      </c>
      <c r="C804" s="99" t="s">
        <v>1245</v>
      </c>
      <c r="D804" s="664" t="s">
        <v>1246</v>
      </c>
      <c r="E804" s="694">
        <v>15535.08</v>
      </c>
      <c r="F804" s="153" t="s">
        <v>164</v>
      </c>
      <c r="G804" s="469" t="s">
        <v>1246</v>
      </c>
      <c r="H804" s="282"/>
    </row>
    <row r="805" spans="1:8" s="291" customFormat="1" hidden="1" x14ac:dyDescent="0.3">
      <c r="A805" s="252">
        <v>45884</v>
      </c>
      <c r="B805" s="252" t="s">
        <v>212</v>
      </c>
      <c r="C805" s="26" t="s">
        <v>44</v>
      </c>
      <c r="D805" s="256" t="s">
        <v>1244</v>
      </c>
      <c r="E805" s="704">
        <v>-2161</v>
      </c>
      <c r="F805" s="14" t="s">
        <v>8</v>
      </c>
      <c r="G805" s="214" t="s">
        <v>46</v>
      </c>
    </row>
    <row r="806" spans="1:8" s="291" customFormat="1" ht="16.2" hidden="1" customHeight="1" x14ac:dyDescent="0.3">
      <c r="A806" s="252">
        <v>45884</v>
      </c>
      <c r="B806" s="252" t="s">
        <v>212</v>
      </c>
      <c r="C806" s="13" t="s">
        <v>6</v>
      </c>
      <c r="D806" s="13" t="s">
        <v>545</v>
      </c>
      <c r="E806" s="498">
        <v>-79740.91</v>
      </c>
      <c r="F806" s="14" t="s">
        <v>8</v>
      </c>
      <c r="G806" s="14" t="s">
        <v>41</v>
      </c>
      <c r="H806" s="282"/>
    </row>
    <row r="807" spans="1:8" s="291" customFormat="1" hidden="1" x14ac:dyDescent="0.3">
      <c r="A807" s="252">
        <v>45884</v>
      </c>
      <c r="B807" s="252" t="s">
        <v>212</v>
      </c>
      <c r="C807" s="26" t="s">
        <v>44</v>
      </c>
      <c r="D807" s="26" t="s">
        <v>1236</v>
      </c>
      <c r="E807" s="499">
        <v>-363.81</v>
      </c>
      <c r="F807" s="14" t="s">
        <v>8</v>
      </c>
      <c r="G807" s="14" t="s">
        <v>41</v>
      </c>
      <c r="H807" s="282"/>
    </row>
    <row r="808" spans="1:8" s="291" customFormat="1" hidden="1" x14ac:dyDescent="0.3">
      <c r="A808" s="252">
        <v>45884</v>
      </c>
      <c r="B808" s="252" t="s">
        <v>212</v>
      </c>
      <c r="C808" s="18" t="s">
        <v>17</v>
      </c>
      <c r="D808" s="26" t="s">
        <v>1187</v>
      </c>
      <c r="E808" s="497">
        <v>-20700</v>
      </c>
      <c r="F808" s="25" t="s">
        <v>8</v>
      </c>
      <c r="G808" s="14" t="s">
        <v>79</v>
      </c>
      <c r="H808" s="282"/>
    </row>
    <row r="809" spans="1:8" s="291" customFormat="1" hidden="1" x14ac:dyDescent="0.3">
      <c r="A809" s="265">
        <v>45884</v>
      </c>
      <c r="B809" s="265" t="s">
        <v>212</v>
      </c>
      <c r="C809" s="18" t="s">
        <v>17</v>
      </c>
      <c r="D809" s="26" t="s">
        <v>1188</v>
      </c>
      <c r="E809" s="705">
        <v>-900</v>
      </c>
      <c r="F809" s="51" t="s">
        <v>8</v>
      </c>
      <c r="G809" s="68" t="s">
        <v>79</v>
      </c>
      <c r="H809" s="282"/>
    </row>
    <row r="810" spans="1:8" s="291" customFormat="1" hidden="1" x14ac:dyDescent="0.3">
      <c r="A810" s="252">
        <v>45884</v>
      </c>
      <c r="B810" s="252" t="s">
        <v>212</v>
      </c>
      <c r="C810" s="18" t="s">
        <v>17</v>
      </c>
      <c r="D810" s="26" t="s">
        <v>1189</v>
      </c>
      <c r="E810" s="497">
        <v>-14400</v>
      </c>
      <c r="F810" s="25" t="s">
        <v>8</v>
      </c>
      <c r="G810" s="14" t="s">
        <v>79</v>
      </c>
      <c r="H810" s="282"/>
    </row>
    <row r="811" spans="1:8" s="291" customFormat="1" hidden="1" x14ac:dyDescent="0.3">
      <c r="A811" s="252">
        <v>45884</v>
      </c>
      <c r="B811" s="252" t="s">
        <v>212</v>
      </c>
      <c r="C811" s="18" t="s">
        <v>17</v>
      </c>
      <c r="D811" s="26" t="s">
        <v>1190</v>
      </c>
      <c r="E811" s="497">
        <v>-3912</v>
      </c>
      <c r="F811" s="25" t="s">
        <v>8</v>
      </c>
      <c r="G811" s="14" t="s">
        <v>79</v>
      </c>
      <c r="H811" s="282"/>
    </row>
    <row r="812" spans="1:8" s="291" customFormat="1" hidden="1" x14ac:dyDescent="0.3">
      <c r="A812" s="298">
        <v>45887</v>
      </c>
      <c r="B812" s="298" t="s">
        <v>212</v>
      </c>
      <c r="C812" s="686" t="s">
        <v>25</v>
      </c>
      <c r="D812" s="238" t="s">
        <v>392</v>
      </c>
      <c r="E812" s="229">
        <v>-435.96</v>
      </c>
      <c r="F812" s="262" t="s">
        <v>8</v>
      </c>
      <c r="G812" s="47" t="s">
        <v>19</v>
      </c>
      <c r="H812" s="282"/>
    </row>
    <row r="813" spans="1:8" s="291" customFormat="1" hidden="1" x14ac:dyDescent="0.3">
      <c r="A813" s="252">
        <v>45887</v>
      </c>
      <c r="B813" s="252" t="s">
        <v>212</v>
      </c>
      <c r="C813" s="26" t="s">
        <v>17</v>
      </c>
      <c r="D813" s="26" t="s">
        <v>1191</v>
      </c>
      <c r="E813" s="19">
        <v>-435.96</v>
      </c>
      <c r="F813" s="25" t="s">
        <v>8</v>
      </c>
      <c r="G813" s="14" t="s">
        <v>19</v>
      </c>
      <c r="H813" s="282"/>
    </row>
    <row r="814" spans="1:8" s="291" customFormat="1" hidden="1" x14ac:dyDescent="0.3">
      <c r="A814" s="252">
        <v>45887</v>
      </c>
      <c r="B814" s="252" t="s">
        <v>212</v>
      </c>
      <c r="C814" s="26" t="s">
        <v>17</v>
      </c>
      <c r="D814" s="26" t="s">
        <v>1269</v>
      </c>
      <c r="E814" s="19">
        <v>-24329.72</v>
      </c>
      <c r="F814" s="25" t="s">
        <v>8</v>
      </c>
      <c r="G814" s="14" t="s">
        <v>19</v>
      </c>
      <c r="H814" s="282"/>
    </row>
    <row r="815" spans="1:8" s="291" customFormat="1" ht="13.2" hidden="1" customHeight="1" x14ac:dyDescent="0.3">
      <c r="A815" s="252">
        <v>45887</v>
      </c>
      <c r="B815" s="252" t="s">
        <v>212</v>
      </c>
      <c r="C815" s="26" t="s">
        <v>17</v>
      </c>
      <c r="D815" s="26" t="s">
        <v>384</v>
      </c>
      <c r="E815" s="19">
        <v>-61582.28</v>
      </c>
      <c r="F815" s="25" t="s">
        <v>8</v>
      </c>
      <c r="G815" s="14" t="s">
        <v>19</v>
      </c>
      <c r="H815" s="282"/>
    </row>
    <row r="816" spans="1:8" s="291" customFormat="1" hidden="1" x14ac:dyDescent="0.3">
      <c r="A816" s="252">
        <v>45887</v>
      </c>
      <c r="B816" s="252" t="s">
        <v>212</v>
      </c>
      <c r="C816" s="26" t="s">
        <v>17</v>
      </c>
      <c r="D816" s="26" t="s">
        <v>85</v>
      </c>
      <c r="E816" s="19">
        <v>-435.96</v>
      </c>
      <c r="F816" s="25" t="s">
        <v>8</v>
      </c>
      <c r="G816" s="14" t="s">
        <v>19</v>
      </c>
      <c r="H816" s="282"/>
    </row>
    <row r="817" spans="1:8" s="291" customFormat="1" hidden="1" x14ac:dyDescent="0.3">
      <c r="A817" s="252">
        <v>45887</v>
      </c>
      <c r="B817" s="252" t="s">
        <v>212</v>
      </c>
      <c r="C817" s="244" t="s">
        <v>17</v>
      </c>
      <c r="D817" s="26" t="s">
        <v>522</v>
      </c>
      <c r="E817" s="19">
        <v>-415.2</v>
      </c>
      <c r="F817" s="25" t="s">
        <v>8</v>
      </c>
      <c r="G817" s="14" t="s">
        <v>19</v>
      </c>
      <c r="H817" s="282"/>
    </row>
    <row r="818" spans="1:8" s="291" customFormat="1" hidden="1" x14ac:dyDescent="0.3">
      <c r="A818" s="252">
        <v>45887</v>
      </c>
      <c r="B818" s="252" t="s">
        <v>212</v>
      </c>
      <c r="C818" s="244" t="s">
        <v>17</v>
      </c>
      <c r="D818" s="26" t="s">
        <v>519</v>
      </c>
      <c r="E818" s="19">
        <v>-435.96</v>
      </c>
      <c r="F818" s="25" t="s">
        <v>8</v>
      </c>
      <c r="G818" s="14" t="s">
        <v>19</v>
      </c>
      <c r="H818" s="282"/>
    </row>
    <row r="819" spans="1:8" s="291" customFormat="1" hidden="1" x14ac:dyDescent="0.3">
      <c r="A819" s="265">
        <v>45887</v>
      </c>
      <c r="B819" s="265" t="s">
        <v>212</v>
      </c>
      <c r="C819" s="645" t="s">
        <v>17</v>
      </c>
      <c r="D819" s="243" t="s">
        <v>26</v>
      </c>
      <c r="E819" s="204">
        <v>-394.44</v>
      </c>
      <c r="F819" s="51" t="s">
        <v>8</v>
      </c>
      <c r="G819" s="68" t="s">
        <v>19</v>
      </c>
      <c r="H819" s="282"/>
    </row>
    <row r="820" spans="1:8" s="291" customFormat="1" hidden="1" x14ac:dyDescent="0.3">
      <c r="A820" s="252">
        <v>45884</v>
      </c>
      <c r="B820" s="252" t="s">
        <v>212</v>
      </c>
      <c r="C820" s="26" t="s">
        <v>6</v>
      </c>
      <c r="D820" s="26" t="s">
        <v>525</v>
      </c>
      <c r="E820" s="19">
        <v>-310.5</v>
      </c>
      <c r="F820" s="25" t="s">
        <v>8</v>
      </c>
      <c r="G820" s="20" t="s">
        <v>83</v>
      </c>
      <c r="H820" s="209"/>
    </row>
    <row r="821" spans="1:8" s="291" customFormat="1" hidden="1" x14ac:dyDescent="0.3">
      <c r="A821" s="252">
        <v>45884</v>
      </c>
      <c r="B821" s="252" t="s">
        <v>212</v>
      </c>
      <c r="C821" s="26" t="s">
        <v>25</v>
      </c>
      <c r="D821" s="26" t="s">
        <v>454</v>
      </c>
      <c r="E821" s="19">
        <v>-70.8</v>
      </c>
      <c r="F821" s="25" t="s">
        <v>8</v>
      </c>
      <c r="G821" s="20" t="s">
        <v>83</v>
      </c>
      <c r="H821" s="209"/>
    </row>
    <row r="822" spans="1:8" s="291" customFormat="1" hidden="1" x14ac:dyDescent="0.3">
      <c r="A822" s="252">
        <v>45884</v>
      </c>
      <c r="B822" s="252" t="s">
        <v>212</v>
      </c>
      <c r="C822" s="26" t="s">
        <v>25</v>
      </c>
      <c r="D822" s="26" t="s">
        <v>392</v>
      </c>
      <c r="E822" s="19">
        <v>-219.2</v>
      </c>
      <c r="F822" s="25" t="s">
        <v>8</v>
      </c>
      <c r="G822" s="20" t="s">
        <v>83</v>
      </c>
      <c r="H822" s="209"/>
    </row>
    <row r="823" spans="1:8" s="291" customFormat="1" hidden="1" x14ac:dyDescent="0.3">
      <c r="A823" s="252">
        <v>45884</v>
      </c>
      <c r="B823" s="252" t="s">
        <v>212</v>
      </c>
      <c r="C823" s="26" t="s">
        <v>25</v>
      </c>
      <c r="D823" s="26" t="s">
        <v>826</v>
      </c>
      <c r="E823" s="19">
        <v>-100</v>
      </c>
      <c r="F823" s="25" t="s">
        <v>8</v>
      </c>
      <c r="G823" s="20" t="s">
        <v>83</v>
      </c>
      <c r="H823" s="209"/>
    </row>
    <row r="824" spans="1:8" s="291" customFormat="1" hidden="1" x14ac:dyDescent="0.3">
      <c r="A824" s="252">
        <v>45884</v>
      </c>
      <c r="B824" s="252" t="s">
        <v>212</v>
      </c>
      <c r="C824" s="26" t="s">
        <v>106</v>
      </c>
      <c r="D824" s="26" t="s">
        <v>502</v>
      </c>
      <c r="E824" s="19">
        <v>-445</v>
      </c>
      <c r="F824" s="25" t="s">
        <v>8</v>
      </c>
      <c r="G824" s="20" t="s">
        <v>83</v>
      </c>
      <c r="H824" s="209"/>
    </row>
    <row r="825" spans="1:8" s="291" customFormat="1" hidden="1" x14ac:dyDescent="0.3">
      <c r="A825" s="252">
        <v>45884</v>
      </c>
      <c r="B825" s="252" t="s">
        <v>212</v>
      </c>
      <c r="C825" s="26" t="s">
        <v>106</v>
      </c>
      <c r="D825" s="26" t="s">
        <v>875</v>
      </c>
      <c r="E825" s="19">
        <v>-110</v>
      </c>
      <c r="F825" s="25" t="s">
        <v>8</v>
      </c>
      <c r="G825" s="20" t="s">
        <v>83</v>
      </c>
      <c r="H825" s="209"/>
    </row>
    <row r="826" spans="1:8" s="291" customFormat="1" hidden="1" x14ac:dyDescent="0.3">
      <c r="A826" s="252">
        <v>45884</v>
      </c>
      <c r="B826" s="252" t="s">
        <v>212</v>
      </c>
      <c r="C826" s="26" t="s">
        <v>72</v>
      </c>
      <c r="D826" s="26" t="s">
        <v>526</v>
      </c>
      <c r="E826" s="19">
        <v>-100</v>
      </c>
      <c r="F826" s="25" t="s">
        <v>8</v>
      </c>
      <c r="G826" s="20" t="s">
        <v>83</v>
      </c>
      <c r="H826" s="209"/>
    </row>
    <row r="827" spans="1:8" s="291" customFormat="1" hidden="1" x14ac:dyDescent="0.3">
      <c r="A827" s="252">
        <v>45884</v>
      </c>
      <c r="B827" s="252" t="s">
        <v>212</v>
      </c>
      <c r="C827" s="26" t="s">
        <v>72</v>
      </c>
      <c r="D827" s="26" t="s">
        <v>87</v>
      </c>
      <c r="E827" s="19">
        <v>-226.8</v>
      </c>
      <c r="F827" s="25" t="s">
        <v>8</v>
      </c>
      <c r="G827" s="20" t="s">
        <v>83</v>
      </c>
      <c r="H827" s="209"/>
    </row>
    <row r="828" spans="1:8" s="291" customFormat="1" hidden="1" x14ac:dyDescent="0.3">
      <c r="A828" s="252">
        <v>45884</v>
      </c>
      <c r="B828" s="252" t="s">
        <v>212</v>
      </c>
      <c r="C828" s="26" t="s">
        <v>17</v>
      </c>
      <c r="D828" s="26" t="s">
        <v>529</v>
      </c>
      <c r="E828" s="19">
        <v>-275</v>
      </c>
      <c r="F828" s="25" t="s">
        <v>8</v>
      </c>
      <c r="G828" s="20" t="s">
        <v>83</v>
      </c>
      <c r="H828" s="209"/>
    </row>
    <row r="829" spans="1:8" s="291" customFormat="1" hidden="1" x14ac:dyDescent="0.3">
      <c r="A829" s="252">
        <v>45884</v>
      </c>
      <c r="B829" s="252" t="s">
        <v>212</v>
      </c>
      <c r="C829" s="26" t="s">
        <v>17</v>
      </c>
      <c r="D829" s="26" t="s">
        <v>519</v>
      </c>
      <c r="E829" s="19">
        <v>-100</v>
      </c>
      <c r="F829" s="25" t="s">
        <v>8</v>
      </c>
      <c r="G829" s="20" t="s">
        <v>83</v>
      </c>
      <c r="H829" s="209"/>
    </row>
    <row r="830" spans="1:8" s="291" customFormat="1" hidden="1" x14ac:dyDescent="0.3">
      <c r="A830" s="252">
        <v>45884</v>
      </c>
      <c r="B830" s="252" t="s">
        <v>212</v>
      </c>
      <c r="C830" s="26" t="s">
        <v>17</v>
      </c>
      <c r="D830" s="26" t="s">
        <v>85</v>
      </c>
      <c r="E830" s="19">
        <v>-300</v>
      </c>
      <c r="F830" s="25" t="s">
        <v>8</v>
      </c>
      <c r="G830" s="20" t="s">
        <v>83</v>
      </c>
      <c r="H830" s="209"/>
    </row>
    <row r="831" spans="1:8" s="291" customFormat="1" hidden="1" x14ac:dyDescent="0.3">
      <c r="A831" s="252">
        <v>45884</v>
      </c>
      <c r="B831" s="252" t="s">
        <v>212</v>
      </c>
      <c r="C831" s="26" t="s">
        <v>17</v>
      </c>
      <c r="D831" s="26" t="s">
        <v>527</v>
      </c>
      <c r="E831" s="19">
        <v>-249.9</v>
      </c>
      <c r="F831" s="25" t="s">
        <v>8</v>
      </c>
      <c r="G831" s="20" t="s">
        <v>83</v>
      </c>
      <c r="H831" s="209"/>
    </row>
    <row r="832" spans="1:8" s="291" customFormat="1" hidden="1" x14ac:dyDescent="0.3">
      <c r="A832" s="252">
        <v>45884</v>
      </c>
      <c r="B832" s="252" t="s">
        <v>212</v>
      </c>
      <c r="C832" s="26" t="s">
        <v>17</v>
      </c>
      <c r="D832" s="26" t="s">
        <v>26</v>
      </c>
      <c r="E832" s="19">
        <v>-90</v>
      </c>
      <c r="F832" s="25" t="s">
        <v>8</v>
      </c>
      <c r="G832" s="20" t="s">
        <v>83</v>
      </c>
      <c r="H832" s="209"/>
    </row>
    <row r="833" spans="1:8" s="291" customFormat="1" hidden="1" x14ac:dyDescent="0.3">
      <c r="A833" s="252">
        <v>45884</v>
      </c>
      <c r="B833" s="252" t="s">
        <v>212</v>
      </c>
      <c r="C833" s="26" t="s">
        <v>17</v>
      </c>
      <c r="D833" s="26" t="s">
        <v>1191</v>
      </c>
      <c r="E833" s="19">
        <v>-210</v>
      </c>
      <c r="F833" s="25" t="s">
        <v>8</v>
      </c>
      <c r="G833" s="20" t="s">
        <v>83</v>
      </c>
      <c r="H833" s="209"/>
    </row>
    <row r="834" spans="1:8" s="291" customFormat="1" hidden="1" x14ac:dyDescent="0.3">
      <c r="A834" s="252">
        <v>45884</v>
      </c>
      <c r="B834" s="252" t="s">
        <v>212</v>
      </c>
      <c r="C834" s="13" t="s">
        <v>17</v>
      </c>
      <c r="D834" s="13" t="s">
        <v>84</v>
      </c>
      <c r="E834" s="28">
        <v>-20565.28</v>
      </c>
      <c r="F834" s="25" t="s">
        <v>8</v>
      </c>
      <c r="G834" s="14" t="s">
        <v>59</v>
      </c>
      <c r="H834" s="282"/>
    </row>
    <row r="835" spans="1:8" s="291" customFormat="1" hidden="1" x14ac:dyDescent="0.3">
      <c r="A835" s="252">
        <v>45887</v>
      </c>
      <c r="B835" s="252" t="s">
        <v>212</v>
      </c>
      <c r="C835" s="271" t="s">
        <v>17</v>
      </c>
      <c r="D835" s="18" t="s">
        <v>85</v>
      </c>
      <c r="E835" s="28">
        <v>-144.86000000000001</v>
      </c>
      <c r="F835" s="14" t="s">
        <v>8</v>
      </c>
      <c r="G835" s="14" t="s">
        <v>86</v>
      </c>
      <c r="H835" s="282"/>
    </row>
    <row r="836" spans="1:8" s="514" customFormat="1" hidden="1" x14ac:dyDescent="0.3">
      <c r="A836" s="626">
        <v>45888</v>
      </c>
      <c r="B836" s="626" t="s">
        <v>212</v>
      </c>
      <c r="C836" s="600" t="s">
        <v>13</v>
      </c>
      <c r="D836" s="600" t="s">
        <v>602</v>
      </c>
      <c r="E836" s="627">
        <v>-1375</v>
      </c>
      <c r="F836" s="519" t="s">
        <v>8</v>
      </c>
      <c r="G836" s="519" t="s">
        <v>41</v>
      </c>
      <c r="H836" s="638"/>
    </row>
    <row r="837" spans="1:8" s="514" customFormat="1" hidden="1" x14ac:dyDescent="0.3">
      <c r="A837" s="626">
        <v>45888</v>
      </c>
      <c r="B837" s="626" t="s">
        <v>212</v>
      </c>
      <c r="C837" s="647" t="s">
        <v>89</v>
      </c>
      <c r="D837" s="600" t="s">
        <v>601</v>
      </c>
      <c r="E837" s="627">
        <v>-2281.6999999999998</v>
      </c>
      <c r="F837" s="519" t="s">
        <v>8</v>
      </c>
      <c r="G837" s="519" t="s">
        <v>41</v>
      </c>
      <c r="H837" s="638"/>
    </row>
    <row r="838" spans="1:8" s="291" customFormat="1" hidden="1" x14ac:dyDescent="0.3">
      <c r="A838" s="252">
        <v>45884</v>
      </c>
      <c r="B838" s="252" t="s">
        <v>212</v>
      </c>
      <c r="C838" s="13" t="s">
        <v>6</v>
      </c>
      <c r="D838" s="13" t="s">
        <v>1237</v>
      </c>
      <c r="E838" s="28">
        <v>-5629.06</v>
      </c>
      <c r="F838" s="14" t="s">
        <v>8</v>
      </c>
      <c r="G838" s="14" t="s">
        <v>64</v>
      </c>
      <c r="H838" s="282"/>
    </row>
    <row r="839" spans="1:8" s="514" customFormat="1" hidden="1" x14ac:dyDescent="0.3">
      <c r="A839" s="626">
        <v>45888</v>
      </c>
      <c r="B839" s="626" t="s">
        <v>212</v>
      </c>
      <c r="C839" s="600" t="s">
        <v>17</v>
      </c>
      <c r="D839" s="600" t="s">
        <v>1224</v>
      </c>
      <c r="E839" s="627">
        <v>-10108.51</v>
      </c>
      <c r="F839" s="513" t="s">
        <v>8</v>
      </c>
      <c r="G839" s="519" t="s">
        <v>93</v>
      </c>
      <c r="H839" s="638"/>
    </row>
    <row r="840" spans="1:8" s="514" customFormat="1" hidden="1" x14ac:dyDescent="0.3">
      <c r="A840" s="626">
        <v>45888</v>
      </c>
      <c r="B840" s="626" t="s">
        <v>212</v>
      </c>
      <c r="C840" s="609" t="s">
        <v>31</v>
      </c>
      <c r="D840" s="711" t="s">
        <v>1225</v>
      </c>
      <c r="E840" s="627">
        <v>-2225.21</v>
      </c>
      <c r="F840" s="513" t="s">
        <v>8</v>
      </c>
      <c r="G840" s="519" t="s">
        <v>93</v>
      </c>
      <c r="H840" s="638"/>
    </row>
    <row r="841" spans="1:8" s="514" customFormat="1" hidden="1" x14ac:dyDescent="0.3">
      <c r="A841" s="626">
        <v>45888</v>
      </c>
      <c r="B841" s="626" t="s">
        <v>212</v>
      </c>
      <c r="C841" s="647" t="s">
        <v>25</v>
      </c>
      <c r="D841" s="711" t="s">
        <v>1225</v>
      </c>
      <c r="E841" s="627">
        <v>-1248.99</v>
      </c>
      <c r="F841" s="513" t="s">
        <v>8</v>
      </c>
      <c r="G841" s="519" t="s">
        <v>93</v>
      </c>
      <c r="H841" s="638"/>
    </row>
    <row r="842" spans="1:8" s="291" customFormat="1" hidden="1" x14ac:dyDescent="0.3">
      <c r="A842" s="252">
        <v>45884</v>
      </c>
      <c r="B842" s="252" t="s">
        <v>212</v>
      </c>
      <c r="C842" s="24" t="s">
        <v>6</v>
      </c>
      <c r="D842" s="13" t="s">
        <v>600</v>
      </c>
      <c r="E842" s="28">
        <v>-2012.45</v>
      </c>
      <c r="F842" s="25" t="s">
        <v>8</v>
      </c>
      <c r="G842" s="233" t="s">
        <v>46</v>
      </c>
      <c r="H842" s="282"/>
    </row>
    <row r="843" spans="1:8" s="291" customFormat="1" hidden="1" x14ac:dyDescent="0.3">
      <c r="A843" s="252">
        <v>45884</v>
      </c>
      <c r="B843" s="252" t="s">
        <v>212</v>
      </c>
      <c r="C843" s="13" t="s">
        <v>6</v>
      </c>
      <c r="D843" s="13" t="s">
        <v>94</v>
      </c>
      <c r="E843" s="28">
        <v>-177.05</v>
      </c>
      <c r="F843" s="25" t="s">
        <v>8</v>
      </c>
      <c r="G843" s="14" t="s">
        <v>29</v>
      </c>
      <c r="H843" s="282"/>
    </row>
    <row r="844" spans="1:8" s="514" customFormat="1" hidden="1" x14ac:dyDescent="0.3">
      <c r="A844" s="626">
        <v>45888</v>
      </c>
      <c r="B844" s="626" t="s">
        <v>212</v>
      </c>
      <c r="C844" s="600" t="s">
        <v>44</v>
      </c>
      <c r="D844" s="600" t="s">
        <v>94</v>
      </c>
      <c r="E844" s="627">
        <v>-177.05</v>
      </c>
      <c r="F844" s="513" t="s">
        <v>8</v>
      </c>
      <c r="G844" s="519" t="s">
        <v>29</v>
      </c>
      <c r="H844" s="638"/>
    </row>
    <row r="845" spans="1:8" s="291" customFormat="1" hidden="1" x14ac:dyDescent="0.3">
      <c r="A845" s="252">
        <v>45884</v>
      </c>
      <c r="B845" s="252" t="s">
        <v>212</v>
      </c>
      <c r="C845" s="13" t="s">
        <v>13</v>
      </c>
      <c r="D845" s="13" t="s">
        <v>94</v>
      </c>
      <c r="E845" s="28">
        <v>-177.05</v>
      </c>
      <c r="F845" s="25" t="s">
        <v>8</v>
      </c>
      <c r="G845" s="14" t="s">
        <v>29</v>
      </c>
      <c r="H845" s="282"/>
    </row>
    <row r="846" spans="1:8" s="291" customFormat="1" hidden="1" x14ac:dyDescent="0.3">
      <c r="A846" s="252">
        <v>45884</v>
      </c>
      <c r="B846" s="252" t="s">
        <v>212</v>
      </c>
      <c r="C846" s="13" t="s">
        <v>433</v>
      </c>
      <c r="D846" s="13" t="s">
        <v>94</v>
      </c>
      <c r="E846" s="28">
        <v>-177.05</v>
      </c>
      <c r="F846" s="25" t="s">
        <v>8</v>
      </c>
      <c r="G846" s="14" t="s">
        <v>29</v>
      </c>
      <c r="H846" s="282"/>
    </row>
    <row r="847" spans="1:8" s="291" customFormat="1" hidden="1" x14ac:dyDescent="0.3">
      <c r="A847" s="252">
        <v>45884</v>
      </c>
      <c r="B847" s="252" t="s">
        <v>212</v>
      </c>
      <c r="C847" s="13" t="s">
        <v>31</v>
      </c>
      <c r="D847" s="13" t="s">
        <v>94</v>
      </c>
      <c r="E847" s="28">
        <v>-177.05</v>
      </c>
      <c r="F847" s="25" t="s">
        <v>8</v>
      </c>
      <c r="G847" s="14" t="s">
        <v>29</v>
      </c>
      <c r="H847" s="282"/>
    </row>
    <row r="848" spans="1:8" s="291" customFormat="1" hidden="1" x14ac:dyDescent="0.3">
      <c r="A848" s="252">
        <v>45884</v>
      </c>
      <c r="B848" s="252" t="s">
        <v>212</v>
      </c>
      <c r="C848" s="13" t="s">
        <v>65</v>
      </c>
      <c r="D848" s="13" t="s">
        <v>94</v>
      </c>
      <c r="E848" s="28">
        <v>-177.05</v>
      </c>
      <c r="F848" s="25" t="s">
        <v>8</v>
      </c>
      <c r="G848" s="14" t="s">
        <v>29</v>
      </c>
      <c r="H848" s="282"/>
    </row>
    <row r="849" spans="1:8" s="291" customFormat="1" hidden="1" x14ac:dyDescent="0.3">
      <c r="A849" s="252">
        <v>45884</v>
      </c>
      <c r="B849" s="252" t="s">
        <v>212</v>
      </c>
      <c r="C849" s="271" t="s">
        <v>17</v>
      </c>
      <c r="D849" s="13" t="s">
        <v>94</v>
      </c>
      <c r="E849" s="28">
        <v>-177.05</v>
      </c>
      <c r="F849" s="25" t="s">
        <v>8</v>
      </c>
      <c r="G849" s="14" t="s">
        <v>29</v>
      </c>
      <c r="H849" s="282"/>
    </row>
    <row r="850" spans="1:8" s="291" customFormat="1" hidden="1" x14ac:dyDescent="0.3">
      <c r="A850" s="252">
        <v>45884</v>
      </c>
      <c r="B850" s="252" t="s">
        <v>212</v>
      </c>
      <c r="C850" s="271" t="s">
        <v>685</v>
      </c>
      <c r="D850" s="13" t="s">
        <v>94</v>
      </c>
      <c r="E850" s="28">
        <v>-177.05</v>
      </c>
      <c r="F850" s="25" t="s">
        <v>8</v>
      </c>
      <c r="G850" s="14" t="s">
        <v>29</v>
      </c>
      <c r="H850" s="282"/>
    </row>
    <row r="851" spans="1:8" s="291" customFormat="1" hidden="1" x14ac:dyDescent="0.3">
      <c r="A851" s="252">
        <v>45884</v>
      </c>
      <c r="B851" s="252" t="s">
        <v>212</v>
      </c>
      <c r="C851" s="271" t="s">
        <v>30</v>
      </c>
      <c r="D851" s="13" t="s">
        <v>94</v>
      </c>
      <c r="E851" s="28">
        <v>-177.05</v>
      </c>
      <c r="F851" s="25" t="s">
        <v>8</v>
      </c>
      <c r="G851" s="14" t="s">
        <v>29</v>
      </c>
      <c r="H851" s="282"/>
    </row>
    <row r="852" spans="1:8" s="291" customFormat="1" hidden="1" x14ac:dyDescent="0.3">
      <c r="A852" s="252">
        <v>45884</v>
      </c>
      <c r="B852" s="252" t="s">
        <v>212</v>
      </c>
      <c r="C852" s="271" t="s">
        <v>95</v>
      </c>
      <c r="D852" s="13" t="s">
        <v>94</v>
      </c>
      <c r="E852" s="28">
        <v>-177.05</v>
      </c>
      <c r="F852" s="25" t="s">
        <v>8</v>
      </c>
      <c r="G852" s="14" t="s">
        <v>29</v>
      </c>
      <c r="H852" s="282"/>
    </row>
    <row r="853" spans="1:8" s="291" customFormat="1" hidden="1" x14ac:dyDescent="0.3">
      <c r="A853" s="252">
        <v>45884</v>
      </c>
      <c r="B853" s="252" t="s">
        <v>212</v>
      </c>
      <c r="C853" s="271" t="s">
        <v>33</v>
      </c>
      <c r="D853" s="13" t="s">
        <v>94</v>
      </c>
      <c r="E853" s="28">
        <v>-177.05</v>
      </c>
      <c r="F853" s="25" t="s">
        <v>8</v>
      </c>
      <c r="G853" s="14" t="s">
        <v>29</v>
      </c>
      <c r="H853" s="282"/>
    </row>
    <row r="854" spans="1:8" s="291" customFormat="1" hidden="1" x14ac:dyDescent="0.3">
      <c r="A854" s="252">
        <v>45884</v>
      </c>
      <c r="B854" s="252" t="s">
        <v>212</v>
      </c>
      <c r="C854" s="271" t="s">
        <v>96</v>
      </c>
      <c r="D854" s="13" t="s">
        <v>94</v>
      </c>
      <c r="E854" s="28">
        <v>-177.05</v>
      </c>
      <c r="F854" s="25" t="s">
        <v>8</v>
      </c>
      <c r="G854" s="14" t="s">
        <v>29</v>
      </c>
      <c r="H854" s="282"/>
    </row>
    <row r="855" spans="1:8" s="291" customFormat="1" hidden="1" x14ac:dyDescent="0.3">
      <c r="A855" s="252">
        <v>45884</v>
      </c>
      <c r="B855" s="252" t="s">
        <v>212</v>
      </c>
      <c r="C855" s="271" t="s">
        <v>32</v>
      </c>
      <c r="D855" s="13" t="s">
        <v>94</v>
      </c>
      <c r="E855" s="28">
        <v>-177.05</v>
      </c>
      <c r="F855" s="25" t="s">
        <v>8</v>
      </c>
      <c r="G855" s="14" t="s">
        <v>29</v>
      </c>
      <c r="H855" s="282"/>
    </row>
    <row r="856" spans="1:8" s="291" customFormat="1" hidden="1" x14ac:dyDescent="0.3">
      <c r="A856" s="252">
        <v>45884</v>
      </c>
      <c r="B856" s="252" t="s">
        <v>212</v>
      </c>
      <c r="C856" s="271" t="s">
        <v>34</v>
      </c>
      <c r="D856" s="13" t="s">
        <v>94</v>
      </c>
      <c r="E856" s="28">
        <v>-177.05</v>
      </c>
      <c r="F856" s="25" t="s">
        <v>8</v>
      </c>
      <c r="G856" s="14" t="s">
        <v>29</v>
      </c>
      <c r="H856" s="282"/>
    </row>
    <row r="857" spans="1:8" s="291" customFormat="1" hidden="1" x14ac:dyDescent="0.3">
      <c r="A857" s="252">
        <v>45887</v>
      </c>
      <c r="B857" s="252" t="s">
        <v>212</v>
      </c>
      <c r="C857" s="12" t="s">
        <v>65</v>
      </c>
      <c r="D857" s="13" t="s">
        <v>97</v>
      </c>
      <c r="E857" s="28">
        <v>-768.72</v>
      </c>
      <c r="F857" s="14" t="s">
        <v>8</v>
      </c>
      <c r="G857" s="14" t="s">
        <v>39</v>
      </c>
      <c r="H857" s="282"/>
    </row>
    <row r="858" spans="1:8" s="291" customFormat="1" hidden="1" x14ac:dyDescent="0.3">
      <c r="A858" s="252">
        <v>45884</v>
      </c>
      <c r="B858" s="252" t="s">
        <v>212</v>
      </c>
      <c r="C858" s="13" t="s">
        <v>17</v>
      </c>
      <c r="D858" s="13" t="s">
        <v>1186</v>
      </c>
      <c r="E858" s="573">
        <v>-7131.5</v>
      </c>
      <c r="F858" s="25" t="s">
        <v>8</v>
      </c>
      <c r="G858" s="14" t="s">
        <v>99</v>
      </c>
      <c r="H858" s="282"/>
    </row>
    <row r="859" spans="1:8" s="514" customFormat="1" ht="15" hidden="1" customHeight="1" x14ac:dyDescent="0.3">
      <c r="A859" s="626">
        <v>45888</v>
      </c>
      <c r="B859" s="511" t="s">
        <v>212</v>
      </c>
      <c r="C859" s="516" t="s">
        <v>25</v>
      </c>
      <c r="D859" s="592" t="s">
        <v>886</v>
      </c>
      <c r="E859" s="512">
        <v>-75</v>
      </c>
      <c r="F859" s="518" t="s">
        <v>8</v>
      </c>
      <c r="G859" s="518" t="s">
        <v>101</v>
      </c>
    </row>
    <row r="860" spans="1:8" s="514" customFormat="1" ht="15" hidden="1" customHeight="1" x14ac:dyDescent="0.3">
      <c r="A860" s="626">
        <v>45888</v>
      </c>
      <c r="B860" s="511" t="s">
        <v>212</v>
      </c>
      <c r="C860" s="592" t="s">
        <v>17</v>
      </c>
      <c r="D860" s="592" t="s">
        <v>1303</v>
      </c>
      <c r="E860" s="512">
        <v>-57.81</v>
      </c>
      <c r="F860" s="513" t="s">
        <v>8</v>
      </c>
      <c r="G860" s="518" t="s">
        <v>233</v>
      </c>
    </row>
    <row r="861" spans="1:8" s="514" customFormat="1" hidden="1" x14ac:dyDescent="0.3">
      <c r="A861" s="626">
        <v>45888</v>
      </c>
      <c r="B861" s="626" t="s">
        <v>212</v>
      </c>
      <c r="C861" s="599" t="s">
        <v>6</v>
      </c>
      <c r="D861" s="600" t="s">
        <v>100</v>
      </c>
      <c r="E861" s="627">
        <v>-138.56</v>
      </c>
      <c r="F861" s="513" t="s">
        <v>8</v>
      </c>
      <c r="G861" s="519" t="s">
        <v>101</v>
      </c>
      <c r="H861" s="638"/>
    </row>
    <row r="862" spans="1:8" s="514" customFormat="1" hidden="1" x14ac:dyDescent="0.3">
      <c r="A862" s="626">
        <v>45888</v>
      </c>
      <c r="B862" s="626" t="s">
        <v>212</v>
      </c>
      <c r="C862" s="599" t="s">
        <v>6</v>
      </c>
      <c r="D862" s="600" t="s">
        <v>102</v>
      </c>
      <c r="E862" s="627">
        <v>-138.56</v>
      </c>
      <c r="F862" s="513" t="s">
        <v>8</v>
      </c>
      <c r="G862" s="519" t="s">
        <v>101</v>
      </c>
      <c r="H862" s="638"/>
    </row>
    <row r="863" spans="1:8" s="514" customFormat="1" hidden="1" x14ac:dyDescent="0.3">
      <c r="A863" s="626">
        <v>45888</v>
      </c>
      <c r="B863" s="626" t="s">
        <v>212</v>
      </c>
      <c r="C863" s="599" t="s">
        <v>6</v>
      </c>
      <c r="D863" s="600" t="s">
        <v>103</v>
      </c>
      <c r="E863" s="627">
        <v>-138.56</v>
      </c>
      <c r="F863" s="513" t="s">
        <v>8</v>
      </c>
      <c r="G863" s="519" t="s">
        <v>101</v>
      </c>
      <c r="H863" s="638"/>
    </row>
    <row r="864" spans="1:8" s="514" customFormat="1" hidden="1" x14ac:dyDescent="0.3">
      <c r="A864" s="626">
        <v>45888</v>
      </c>
      <c r="B864" s="626" t="s">
        <v>212</v>
      </c>
      <c r="C864" s="599" t="s">
        <v>6</v>
      </c>
      <c r="D864" s="600" t="s">
        <v>104</v>
      </c>
      <c r="E864" s="627">
        <v>-138.56</v>
      </c>
      <c r="F864" s="513" t="s">
        <v>8</v>
      </c>
      <c r="G864" s="519" t="s">
        <v>101</v>
      </c>
      <c r="H864" s="638"/>
    </row>
    <row r="865" spans="1:8" s="291" customFormat="1" hidden="1" x14ac:dyDescent="0.3">
      <c r="A865" s="252">
        <v>45887</v>
      </c>
      <c r="B865" s="252" t="s">
        <v>212</v>
      </c>
      <c r="C865" s="12" t="s">
        <v>32</v>
      </c>
      <c r="D865" s="13" t="s">
        <v>105</v>
      </c>
      <c r="E865" s="28">
        <v>-261.68</v>
      </c>
      <c r="F865" s="14" t="s">
        <v>8</v>
      </c>
      <c r="G865" s="14" t="s">
        <v>69</v>
      </c>
      <c r="H865" s="282"/>
    </row>
    <row r="866" spans="1:8" s="291" customFormat="1" hidden="1" x14ac:dyDescent="0.3">
      <c r="A866" s="252">
        <v>45887</v>
      </c>
      <c r="B866" s="252" t="s">
        <v>212</v>
      </c>
      <c r="C866" s="12" t="s">
        <v>106</v>
      </c>
      <c r="D866" s="13" t="s">
        <v>105</v>
      </c>
      <c r="E866" s="28">
        <v>-300</v>
      </c>
      <c r="F866" s="14" t="s">
        <v>8</v>
      </c>
      <c r="G866" s="14" t="s">
        <v>69</v>
      </c>
      <c r="H866" s="282"/>
    </row>
    <row r="867" spans="1:8" s="291" customFormat="1" hidden="1" x14ac:dyDescent="0.3">
      <c r="A867" s="252">
        <v>45887</v>
      </c>
      <c r="B867" s="252" t="s">
        <v>212</v>
      </c>
      <c r="C867" s="12" t="s">
        <v>35</v>
      </c>
      <c r="D867" s="13" t="s">
        <v>105</v>
      </c>
      <c r="E867" s="28">
        <v>-300</v>
      </c>
      <c r="F867" s="14" t="s">
        <v>8</v>
      </c>
      <c r="G867" s="14" t="s">
        <v>69</v>
      </c>
      <c r="H867" s="282"/>
    </row>
    <row r="868" spans="1:8" s="291" customFormat="1" hidden="1" x14ac:dyDescent="0.3">
      <c r="A868" s="252">
        <v>45887</v>
      </c>
      <c r="B868" s="252" t="s">
        <v>212</v>
      </c>
      <c r="C868" s="12" t="s">
        <v>107</v>
      </c>
      <c r="D868" s="13" t="s">
        <v>105</v>
      </c>
      <c r="E868" s="28">
        <v>-300</v>
      </c>
      <c r="F868" s="14" t="s">
        <v>8</v>
      </c>
      <c r="G868" s="14" t="s">
        <v>69</v>
      </c>
      <c r="H868" s="282"/>
    </row>
    <row r="869" spans="1:8" s="291" customFormat="1" hidden="1" x14ac:dyDescent="0.3">
      <c r="A869" s="252">
        <v>45887</v>
      </c>
      <c r="B869" s="252" t="s">
        <v>212</v>
      </c>
      <c r="C869" s="12" t="s">
        <v>108</v>
      </c>
      <c r="D869" s="13" t="s">
        <v>105</v>
      </c>
      <c r="E869" s="28">
        <v>-294.32</v>
      </c>
      <c r="F869" s="14" t="s">
        <v>8</v>
      </c>
      <c r="G869" s="14" t="s">
        <v>69</v>
      </c>
      <c r="H869" s="282"/>
    </row>
    <row r="870" spans="1:8" s="291" customFormat="1" hidden="1" x14ac:dyDescent="0.3">
      <c r="A870" s="252">
        <v>45887</v>
      </c>
      <c r="B870" s="252" t="s">
        <v>212</v>
      </c>
      <c r="C870" s="12" t="s">
        <v>72</v>
      </c>
      <c r="D870" s="13" t="s">
        <v>105</v>
      </c>
      <c r="E870" s="28">
        <v>-300</v>
      </c>
      <c r="F870" s="14" t="s">
        <v>8</v>
      </c>
      <c r="G870" s="14" t="s">
        <v>69</v>
      </c>
      <c r="H870" s="283"/>
    </row>
    <row r="871" spans="1:8" s="291" customFormat="1" hidden="1" x14ac:dyDescent="0.3">
      <c r="A871" s="252">
        <v>45887</v>
      </c>
      <c r="B871" s="252" t="s">
        <v>212</v>
      </c>
      <c r="C871" s="12" t="s">
        <v>109</v>
      </c>
      <c r="D871" s="13" t="s">
        <v>105</v>
      </c>
      <c r="E871" s="28">
        <v>-300</v>
      </c>
      <c r="F871" s="14" t="s">
        <v>8</v>
      </c>
      <c r="G871" s="14" t="s">
        <v>69</v>
      </c>
      <c r="H871" s="282"/>
    </row>
    <row r="872" spans="1:8" s="291" customFormat="1" hidden="1" x14ac:dyDescent="0.3">
      <c r="A872" s="252">
        <v>45884</v>
      </c>
      <c r="B872" s="252" t="s">
        <v>212</v>
      </c>
      <c r="C872" s="12" t="s">
        <v>110</v>
      </c>
      <c r="D872" s="13" t="s">
        <v>105</v>
      </c>
      <c r="E872" s="28">
        <v>-350</v>
      </c>
      <c r="F872" s="14" t="s">
        <v>8</v>
      </c>
      <c r="G872" s="14" t="s">
        <v>69</v>
      </c>
      <c r="H872" s="282"/>
    </row>
    <row r="873" spans="1:8" s="291" customFormat="1" hidden="1" x14ac:dyDescent="0.3">
      <c r="A873" s="265">
        <v>45887</v>
      </c>
      <c r="B873" s="265" t="s">
        <v>212</v>
      </c>
      <c r="C873" s="814" t="s">
        <v>111</v>
      </c>
      <c r="D873" s="259" t="s">
        <v>105</v>
      </c>
      <c r="E873" s="297">
        <v>-373.51</v>
      </c>
      <c r="F873" s="68" t="s">
        <v>8</v>
      </c>
      <c r="G873" s="68" t="s">
        <v>69</v>
      </c>
      <c r="H873" s="282"/>
    </row>
    <row r="874" spans="1:8" s="291" customFormat="1" x14ac:dyDescent="0.3">
      <c r="A874" s="252">
        <v>45912</v>
      </c>
      <c r="B874" s="252" t="s">
        <v>213</v>
      </c>
      <c r="C874" s="24" t="s">
        <v>17</v>
      </c>
      <c r="D874" s="13" t="s">
        <v>773</v>
      </c>
      <c r="E874" s="19">
        <v>-6274.7</v>
      </c>
      <c r="F874" s="25" t="s">
        <v>8</v>
      </c>
      <c r="G874" s="14" t="s">
        <v>74</v>
      </c>
      <c r="H874" s="209"/>
    </row>
    <row r="875" spans="1:8" s="291" customFormat="1" x14ac:dyDescent="0.3">
      <c r="A875" s="252">
        <v>45912</v>
      </c>
      <c r="B875" s="252" t="s">
        <v>213</v>
      </c>
      <c r="C875" s="24" t="s">
        <v>17</v>
      </c>
      <c r="D875" s="13" t="s">
        <v>773</v>
      </c>
      <c r="E875" s="19">
        <v>-1959.76</v>
      </c>
      <c r="F875" s="25" t="s">
        <v>8</v>
      </c>
      <c r="G875" s="14" t="s">
        <v>74</v>
      </c>
      <c r="H875" s="209"/>
    </row>
    <row r="876" spans="1:8" s="291" customFormat="1" x14ac:dyDescent="0.3">
      <c r="A876" s="252">
        <v>45912</v>
      </c>
      <c r="B876" s="252" t="s">
        <v>213</v>
      </c>
      <c r="C876" s="24" t="s">
        <v>13</v>
      </c>
      <c r="D876" s="13" t="s">
        <v>773</v>
      </c>
      <c r="E876" s="19">
        <v>-4169.6000000000004</v>
      </c>
      <c r="F876" s="25" t="s">
        <v>8</v>
      </c>
      <c r="G876" s="14" t="s">
        <v>74</v>
      </c>
      <c r="H876" s="209"/>
    </row>
    <row r="877" spans="1:8" s="291" customFormat="1" ht="16.8" hidden="1" customHeight="1" x14ac:dyDescent="0.3">
      <c r="A877" s="298">
        <v>45884</v>
      </c>
      <c r="B877" s="298" t="s">
        <v>212</v>
      </c>
      <c r="C877" s="261" t="s">
        <v>17</v>
      </c>
      <c r="D877" s="261" t="s">
        <v>18</v>
      </c>
      <c r="E877" s="357">
        <v>-17235</v>
      </c>
      <c r="F877" s="262" t="s">
        <v>8</v>
      </c>
      <c r="G877" s="47" t="s">
        <v>19</v>
      </c>
      <c r="H877" s="282"/>
    </row>
    <row r="878" spans="1:8" s="514" customFormat="1" ht="13.2" hidden="1" customHeight="1" x14ac:dyDescent="0.3">
      <c r="A878" s="626">
        <v>45891</v>
      </c>
      <c r="B878" s="644" t="s">
        <v>212</v>
      </c>
      <c r="C878" s="561" t="s">
        <v>106</v>
      </c>
      <c r="D878" s="600" t="s">
        <v>1325</v>
      </c>
      <c r="E878" s="745">
        <v>-581.89</v>
      </c>
      <c r="F878" s="513" t="s">
        <v>8</v>
      </c>
      <c r="G878" s="519" t="s">
        <v>114</v>
      </c>
      <c r="H878" s="638"/>
    </row>
    <row r="879" spans="1:8" s="514" customFormat="1" ht="13.8" hidden="1" customHeight="1" x14ac:dyDescent="0.3">
      <c r="A879" s="626">
        <v>45891</v>
      </c>
      <c r="B879" s="644" t="s">
        <v>212</v>
      </c>
      <c r="C879" s="561" t="s">
        <v>765</v>
      </c>
      <c r="D879" s="600" t="s">
        <v>1325</v>
      </c>
      <c r="E879" s="745">
        <v>-429.35</v>
      </c>
      <c r="F879" s="513" t="s">
        <v>8</v>
      </c>
      <c r="G879" s="519" t="s">
        <v>114</v>
      </c>
      <c r="H879" s="638"/>
    </row>
    <row r="880" spans="1:8" s="514" customFormat="1" ht="13.2" hidden="1" customHeight="1" x14ac:dyDescent="0.3">
      <c r="A880" s="626">
        <v>45891</v>
      </c>
      <c r="B880" s="644" t="s">
        <v>212</v>
      </c>
      <c r="C880" s="561" t="s">
        <v>72</v>
      </c>
      <c r="D880" s="600" t="s">
        <v>1325</v>
      </c>
      <c r="E880" s="745">
        <v>-463.25</v>
      </c>
      <c r="F880" s="513" t="s">
        <v>8</v>
      </c>
      <c r="G880" s="519" t="s">
        <v>114</v>
      </c>
      <c r="H880" s="638"/>
    </row>
    <row r="881" spans="1:8" s="514" customFormat="1" ht="13.2" hidden="1" customHeight="1" x14ac:dyDescent="0.3">
      <c r="A881" s="626">
        <v>45891</v>
      </c>
      <c r="B881" s="644" t="s">
        <v>212</v>
      </c>
      <c r="C881" s="561" t="s">
        <v>32</v>
      </c>
      <c r="D881" s="600" t="s">
        <v>1325</v>
      </c>
      <c r="E881" s="745">
        <v>-463.25</v>
      </c>
      <c r="F881" s="513" t="s">
        <v>8</v>
      </c>
      <c r="G881" s="519" t="s">
        <v>114</v>
      </c>
      <c r="H881" s="638"/>
    </row>
    <row r="882" spans="1:8" s="514" customFormat="1" ht="13.2" hidden="1" customHeight="1" x14ac:dyDescent="0.3">
      <c r="A882" s="626">
        <v>45891</v>
      </c>
      <c r="B882" s="644" t="s">
        <v>212</v>
      </c>
      <c r="C882" s="561" t="s">
        <v>760</v>
      </c>
      <c r="D882" s="600" t="s">
        <v>1325</v>
      </c>
      <c r="E882" s="745">
        <v>-202.29</v>
      </c>
      <c r="F882" s="513" t="s">
        <v>8</v>
      </c>
      <c r="G882" s="519" t="s">
        <v>114</v>
      </c>
      <c r="H882" s="638"/>
    </row>
    <row r="883" spans="1:8" s="514" customFormat="1" ht="13.2" hidden="1" customHeight="1" x14ac:dyDescent="0.3">
      <c r="A883" s="626">
        <v>45891</v>
      </c>
      <c r="B883" s="644" t="s">
        <v>212</v>
      </c>
      <c r="C883" s="561" t="s">
        <v>1281</v>
      </c>
      <c r="D883" s="600" t="s">
        <v>1325</v>
      </c>
      <c r="E883" s="745">
        <v>-128.94</v>
      </c>
      <c r="F883" s="513" t="s">
        <v>8</v>
      </c>
      <c r="G883" s="519" t="s">
        <v>114</v>
      </c>
      <c r="H883" s="638"/>
    </row>
    <row r="884" spans="1:8" s="514" customFormat="1" ht="13.2" hidden="1" customHeight="1" x14ac:dyDescent="0.3">
      <c r="A884" s="626">
        <v>45891</v>
      </c>
      <c r="B884" s="644" t="s">
        <v>212</v>
      </c>
      <c r="C884" s="561" t="s">
        <v>6</v>
      </c>
      <c r="D884" s="600" t="s">
        <v>1325</v>
      </c>
      <c r="E884" s="745">
        <v>-193.41</v>
      </c>
      <c r="F884" s="513" t="s">
        <v>8</v>
      </c>
      <c r="G884" s="519" t="s">
        <v>114</v>
      </c>
      <c r="H884" s="638"/>
    </row>
    <row r="885" spans="1:8" s="514" customFormat="1" ht="13.2" hidden="1" customHeight="1" x14ac:dyDescent="0.3">
      <c r="A885" s="626">
        <v>45891</v>
      </c>
      <c r="B885" s="644" t="s">
        <v>212</v>
      </c>
      <c r="C885" s="561" t="s">
        <v>89</v>
      </c>
      <c r="D885" s="600" t="s">
        <v>1325</v>
      </c>
      <c r="E885" s="745">
        <v>-517.41</v>
      </c>
      <c r="F885" s="513" t="s">
        <v>8</v>
      </c>
      <c r="G885" s="519" t="s">
        <v>114</v>
      </c>
      <c r="H885" s="638"/>
    </row>
    <row r="886" spans="1:8" s="514" customFormat="1" ht="13.2" hidden="1" customHeight="1" x14ac:dyDescent="0.3">
      <c r="A886" s="626">
        <v>45891</v>
      </c>
      <c r="B886" s="644" t="s">
        <v>212</v>
      </c>
      <c r="C886" s="561" t="s">
        <v>67</v>
      </c>
      <c r="D886" s="600" t="s">
        <v>1325</v>
      </c>
      <c r="E886" s="745">
        <v>-780.72</v>
      </c>
      <c r="F886" s="513" t="s">
        <v>8</v>
      </c>
      <c r="G886" s="519" t="s">
        <v>114</v>
      </c>
      <c r="H886" s="638"/>
    </row>
    <row r="887" spans="1:8" s="514" customFormat="1" hidden="1" x14ac:dyDescent="0.3">
      <c r="A887" s="626">
        <v>45895</v>
      </c>
      <c r="B887" s="626" t="s">
        <v>212</v>
      </c>
      <c r="C887" s="592" t="s">
        <v>72</v>
      </c>
      <c r="D887" s="592" t="s">
        <v>1221</v>
      </c>
      <c r="E887" s="512">
        <v>-2592.66</v>
      </c>
      <c r="F887" s="519" t="s">
        <v>8</v>
      </c>
      <c r="G887" s="518" t="s">
        <v>233</v>
      </c>
      <c r="H887" s="639"/>
    </row>
    <row r="888" spans="1:8" s="514" customFormat="1" ht="14.4" hidden="1" customHeight="1" x14ac:dyDescent="0.3">
      <c r="A888" s="626">
        <v>45895</v>
      </c>
      <c r="B888" s="626" t="s">
        <v>212</v>
      </c>
      <c r="C888" s="592" t="s">
        <v>72</v>
      </c>
      <c r="D888" s="592" t="s">
        <v>1220</v>
      </c>
      <c r="E888" s="512">
        <v>-809.45</v>
      </c>
      <c r="F888" s="519" t="s">
        <v>8</v>
      </c>
      <c r="G888" s="518" t="s">
        <v>233</v>
      </c>
      <c r="H888" s="639"/>
    </row>
    <row r="889" spans="1:8" s="514" customFormat="1" hidden="1" x14ac:dyDescent="0.3">
      <c r="A889" s="626">
        <v>45896</v>
      </c>
      <c r="B889" s="626" t="s">
        <v>212</v>
      </c>
      <c r="C889" s="787" t="s">
        <v>6</v>
      </c>
      <c r="D889" s="600" t="s">
        <v>115</v>
      </c>
      <c r="E889" s="636">
        <v>-35714.57</v>
      </c>
      <c r="F889" s="519" t="s">
        <v>8</v>
      </c>
      <c r="G889" s="518" t="s">
        <v>46</v>
      </c>
      <c r="H889" s="638"/>
    </row>
    <row r="890" spans="1:8" s="291" customFormat="1" hidden="1" x14ac:dyDescent="0.3">
      <c r="A890" s="298">
        <v>45887</v>
      </c>
      <c r="B890" s="298" t="s">
        <v>212</v>
      </c>
      <c r="C890" s="238" t="s">
        <v>106</v>
      </c>
      <c r="D890" s="238" t="s">
        <v>609</v>
      </c>
      <c r="E890" s="229">
        <v>-3224.16</v>
      </c>
      <c r="F890" s="262" t="s">
        <v>8</v>
      </c>
      <c r="G890" s="168" t="s">
        <v>76</v>
      </c>
      <c r="H890" s="591"/>
    </row>
    <row r="891" spans="1:8" s="514" customFormat="1" hidden="1" x14ac:dyDescent="0.3">
      <c r="A891" s="644">
        <v>45888</v>
      </c>
      <c r="B891" s="644" t="s">
        <v>212</v>
      </c>
      <c r="C891" s="726" t="s">
        <v>106</v>
      </c>
      <c r="D891" s="726" t="s">
        <v>610</v>
      </c>
      <c r="E891" s="693">
        <v>-4187</v>
      </c>
      <c r="F891" s="727" t="s">
        <v>8</v>
      </c>
      <c r="G891" s="551" t="s">
        <v>76</v>
      </c>
      <c r="H891" s="639"/>
    </row>
    <row r="892" spans="1:8" s="514" customFormat="1" hidden="1" x14ac:dyDescent="0.3">
      <c r="A892" s="626">
        <v>45908</v>
      </c>
      <c r="B892" s="626" t="s">
        <v>212</v>
      </c>
      <c r="C892" s="592" t="s">
        <v>17</v>
      </c>
      <c r="D892" s="592" t="s">
        <v>1291</v>
      </c>
      <c r="E892" s="512">
        <v>-1752.88</v>
      </c>
      <c r="F892" s="513" t="s">
        <v>8</v>
      </c>
      <c r="G892" s="518" t="s">
        <v>19</v>
      </c>
      <c r="H892" s="639"/>
    </row>
    <row r="893" spans="1:8" s="291" customFormat="1" ht="12.6" hidden="1" customHeight="1" x14ac:dyDescent="0.3">
      <c r="A893" s="252">
        <v>45916</v>
      </c>
      <c r="B893" s="252" t="s">
        <v>213</v>
      </c>
      <c r="C893" s="26" t="s">
        <v>17</v>
      </c>
      <c r="D893" s="26" t="s">
        <v>1291</v>
      </c>
      <c r="E893" s="19">
        <v>-1752.88</v>
      </c>
      <c r="F893" s="25" t="s">
        <v>8</v>
      </c>
      <c r="G893" s="20" t="s">
        <v>19</v>
      </c>
      <c r="H893" s="209"/>
    </row>
    <row r="894" spans="1:8" s="514" customFormat="1" hidden="1" x14ac:dyDescent="0.3">
      <c r="A894" s="626">
        <v>45901</v>
      </c>
      <c r="B894" s="626" t="s">
        <v>213</v>
      </c>
      <c r="C894" s="592" t="s">
        <v>17</v>
      </c>
      <c r="D894" s="592" t="s">
        <v>1471</v>
      </c>
      <c r="E894" s="512">
        <v>-1752.88</v>
      </c>
      <c r="F894" s="513" t="s">
        <v>8</v>
      </c>
      <c r="G894" s="518" t="s">
        <v>19</v>
      </c>
      <c r="H894" s="639"/>
    </row>
    <row r="895" spans="1:8" s="514" customFormat="1" hidden="1" x14ac:dyDescent="0.3">
      <c r="A895" s="746">
        <v>45888</v>
      </c>
      <c r="B895" s="746" t="s">
        <v>212</v>
      </c>
      <c r="C895" s="776" t="s">
        <v>72</v>
      </c>
      <c r="D895" s="769" t="s">
        <v>1218</v>
      </c>
      <c r="E895" s="714">
        <v>-809.46</v>
      </c>
      <c r="F895" s="766" t="s">
        <v>8</v>
      </c>
      <c r="G895" s="777" t="s">
        <v>233</v>
      </c>
      <c r="H895" s="639"/>
    </row>
    <row r="896" spans="1:8" s="514" customFormat="1" hidden="1" x14ac:dyDescent="0.3">
      <c r="A896" s="626">
        <v>45898</v>
      </c>
      <c r="B896" s="626" t="s">
        <v>212</v>
      </c>
      <c r="C896" s="592" t="s">
        <v>6</v>
      </c>
      <c r="D896" s="517" t="s">
        <v>1215</v>
      </c>
      <c r="E896" s="691">
        <v>-2045</v>
      </c>
      <c r="F896" s="513" t="s">
        <v>8</v>
      </c>
      <c r="G896" s="518" t="s">
        <v>142</v>
      </c>
      <c r="H896" s="638"/>
    </row>
    <row r="897" spans="1:8" s="514" customFormat="1" hidden="1" x14ac:dyDescent="0.3">
      <c r="A897" s="626">
        <v>45898</v>
      </c>
      <c r="B897" s="626" t="s">
        <v>212</v>
      </c>
      <c r="C897" s="592" t="s">
        <v>6</v>
      </c>
      <c r="D897" s="517" t="s">
        <v>1433</v>
      </c>
      <c r="E897" s="593">
        <v>-3619.3394859999999</v>
      </c>
      <c r="F897" s="513" t="s">
        <v>8</v>
      </c>
      <c r="G897" s="518" t="s">
        <v>142</v>
      </c>
      <c r="H897" s="639"/>
    </row>
    <row r="898" spans="1:8" s="514" customFormat="1" ht="14.4" hidden="1" x14ac:dyDescent="0.3">
      <c r="A898" s="626">
        <v>45888</v>
      </c>
      <c r="B898" s="626" t="s">
        <v>212</v>
      </c>
      <c r="C898" s="713" t="s">
        <v>31</v>
      </c>
      <c r="D898" s="713" t="s">
        <v>1294</v>
      </c>
      <c r="E898" s="716">
        <v>-522.91999999999996</v>
      </c>
      <c r="F898" s="513" t="s">
        <v>8</v>
      </c>
      <c r="G898" s="518" t="s">
        <v>51</v>
      </c>
      <c r="H898" s="639"/>
    </row>
    <row r="899" spans="1:8" s="514" customFormat="1" ht="14.4" hidden="1" x14ac:dyDescent="0.3">
      <c r="A899" s="626">
        <v>45888</v>
      </c>
      <c r="B899" s="626" t="s">
        <v>212</v>
      </c>
      <c r="C899" s="713" t="s">
        <v>6</v>
      </c>
      <c r="D899" s="713" t="s">
        <v>1294</v>
      </c>
      <c r="E899" s="716">
        <v>-840.87</v>
      </c>
      <c r="F899" s="513" t="s">
        <v>8</v>
      </c>
      <c r="G899" s="518" t="s">
        <v>51</v>
      </c>
      <c r="H899" s="639"/>
    </row>
    <row r="900" spans="1:8" s="514" customFormat="1" ht="14.4" hidden="1" x14ac:dyDescent="0.3">
      <c r="A900" s="626">
        <v>45888</v>
      </c>
      <c r="B900" s="626" t="s">
        <v>212</v>
      </c>
      <c r="C900" s="713" t="s">
        <v>44</v>
      </c>
      <c r="D900" s="713" t="s">
        <v>1294</v>
      </c>
      <c r="E900" s="716">
        <v>-863.94</v>
      </c>
      <c r="F900" s="513" t="s">
        <v>8</v>
      </c>
      <c r="G900" s="518" t="s">
        <v>51</v>
      </c>
      <c r="H900" s="639"/>
    </row>
    <row r="901" spans="1:8" s="514" customFormat="1" ht="14.4" hidden="1" x14ac:dyDescent="0.3">
      <c r="A901" s="626">
        <v>45888</v>
      </c>
      <c r="B901" s="626" t="s">
        <v>212</v>
      </c>
      <c r="C901" s="713" t="s">
        <v>25</v>
      </c>
      <c r="D901" s="713" t="s">
        <v>1294</v>
      </c>
      <c r="E901" s="716">
        <v>-2843.19</v>
      </c>
      <c r="F901" s="513" t="s">
        <v>8</v>
      </c>
      <c r="G901" s="518" t="s">
        <v>51</v>
      </c>
      <c r="H901" s="639"/>
    </row>
    <row r="902" spans="1:8" s="514" customFormat="1" ht="14.4" hidden="1" x14ac:dyDescent="0.3">
      <c r="A902" s="626">
        <v>45888</v>
      </c>
      <c r="B902" s="626" t="s">
        <v>212</v>
      </c>
      <c r="C902" s="713" t="s">
        <v>33</v>
      </c>
      <c r="D902" s="713" t="s">
        <v>1294</v>
      </c>
      <c r="E902" s="716">
        <v>-875.77</v>
      </c>
      <c r="F902" s="513" t="s">
        <v>8</v>
      </c>
      <c r="G902" s="518" t="s">
        <v>51</v>
      </c>
      <c r="H902" s="639"/>
    </row>
    <row r="903" spans="1:8" s="514" customFormat="1" ht="14.4" hidden="1" x14ac:dyDescent="0.3">
      <c r="A903" s="626">
        <v>45888</v>
      </c>
      <c r="B903" s="626" t="s">
        <v>212</v>
      </c>
      <c r="C903" s="713" t="s">
        <v>106</v>
      </c>
      <c r="D903" s="713" t="s">
        <v>1294</v>
      </c>
      <c r="E903" s="716">
        <v>-648.41999999999996</v>
      </c>
      <c r="F903" s="513" t="s">
        <v>8</v>
      </c>
      <c r="G903" s="518" t="s">
        <v>51</v>
      </c>
      <c r="H903" s="639"/>
    </row>
    <row r="904" spans="1:8" s="514" customFormat="1" ht="14.4" hidden="1" x14ac:dyDescent="0.3">
      <c r="A904" s="626">
        <v>45888</v>
      </c>
      <c r="B904" s="626" t="s">
        <v>212</v>
      </c>
      <c r="C904" s="713" t="s">
        <v>32</v>
      </c>
      <c r="D904" s="713" t="s">
        <v>1294</v>
      </c>
      <c r="E904" s="716">
        <v>-2362.3000000000002</v>
      </c>
      <c r="F904" s="513" t="s">
        <v>8</v>
      </c>
      <c r="G904" s="518" t="s">
        <v>51</v>
      </c>
      <c r="H904" s="639"/>
    </row>
    <row r="905" spans="1:8" s="514" customFormat="1" ht="14.4" hidden="1" x14ac:dyDescent="0.3">
      <c r="A905" s="626">
        <v>45888</v>
      </c>
      <c r="B905" s="626" t="s">
        <v>212</v>
      </c>
      <c r="C905" s="713" t="s">
        <v>72</v>
      </c>
      <c r="D905" s="713" t="s">
        <v>1294</v>
      </c>
      <c r="E905" s="716">
        <v>-852.9</v>
      </c>
      <c r="F905" s="513" t="s">
        <v>8</v>
      </c>
      <c r="G905" s="518" t="s">
        <v>51</v>
      </c>
      <c r="H905" s="639"/>
    </row>
    <row r="906" spans="1:8" s="514" customFormat="1" ht="14.4" hidden="1" x14ac:dyDescent="0.3">
      <c r="A906" s="626">
        <v>45888</v>
      </c>
      <c r="B906" s="626" t="s">
        <v>212</v>
      </c>
      <c r="C906" s="713" t="s">
        <v>17</v>
      </c>
      <c r="D906" s="713" t="s">
        <v>1294</v>
      </c>
      <c r="E906" s="716">
        <v>-721.22</v>
      </c>
      <c r="F906" s="513" t="s">
        <v>8</v>
      </c>
      <c r="G906" s="518" t="s">
        <v>51</v>
      </c>
      <c r="H906" s="639"/>
    </row>
    <row r="907" spans="1:8" s="291" customFormat="1" ht="13.2" hidden="1" customHeight="1" x14ac:dyDescent="0.3">
      <c r="A907" s="252">
        <v>45887</v>
      </c>
      <c r="B907" s="252" t="s">
        <v>212</v>
      </c>
      <c r="C907" s="244" t="s">
        <v>17</v>
      </c>
      <c r="D907" s="26" t="s">
        <v>811</v>
      </c>
      <c r="E907" s="19">
        <v>-110.45</v>
      </c>
      <c r="F907" s="25" t="s">
        <v>8</v>
      </c>
      <c r="G907" s="20" t="s">
        <v>76</v>
      </c>
      <c r="H907" s="209"/>
    </row>
    <row r="908" spans="1:8" s="514" customFormat="1" hidden="1" x14ac:dyDescent="0.3">
      <c r="A908" s="626">
        <v>45889</v>
      </c>
      <c r="B908" s="626" t="s">
        <v>212</v>
      </c>
      <c r="C908" s="725" t="s">
        <v>17</v>
      </c>
      <c r="D908" s="600" t="s">
        <v>1279</v>
      </c>
      <c r="E908" s="627">
        <v>-5460</v>
      </c>
      <c r="F908" s="513" t="s">
        <v>8</v>
      </c>
      <c r="G908" s="519" t="s">
        <v>53</v>
      </c>
      <c r="H908" s="638"/>
    </row>
    <row r="909" spans="1:8" s="514" customFormat="1" hidden="1" x14ac:dyDescent="0.3">
      <c r="A909" s="626">
        <v>45898</v>
      </c>
      <c r="B909" s="626" t="s">
        <v>212</v>
      </c>
      <c r="C909" s="592" t="s">
        <v>6</v>
      </c>
      <c r="D909" s="517" t="s">
        <v>1434</v>
      </c>
      <c r="E909" s="593">
        <v>-2003.33</v>
      </c>
      <c r="F909" s="513" t="s">
        <v>8</v>
      </c>
      <c r="G909" s="518" t="s">
        <v>142</v>
      </c>
      <c r="H909" s="638"/>
    </row>
    <row r="910" spans="1:8" s="291" customFormat="1" hidden="1" x14ac:dyDescent="0.3">
      <c r="A910" s="252">
        <v>45887</v>
      </c>
      <c r="B910" s="252" t="s">
        <v>212</v>
      </c>
      <c r="C910" s="244" t="s">
        <v>17</v>
      </c>
      <c r="D910" s="26" t="s">
        <v>1271</v>
      </c>
      <c r="E910" s="19">
        <v>-318</v>
      </c>
      <c r="F910" s="14" t="s">
        <v>8</v>
      </c>
      <c r="G910" s="20" t="s">
        <v>142</v>
      </c>
      <c r="H910" s="209"/>
    </row>
    <row r="911" spans="1:8" s="291" customFormat="1" hidden="1" x14ac:dyDescent="0.3">
      <c r="A911" s="252">
        <v>45887</v>
      </c>
      <c r="B911" s="252" t="s">
        <v>212</v>
      </c>
      <c r="C911" s="706" t="s">
        <v>106</v>
      </c>
      <c r="D911" s="26" t="s">
        <v>1227</v>
      </c>
      <c r="E911" s="19">
        <v>-100</v>
      </c>
      <c r="F911" s="14" t="s">
        <v>8</v>
      </c>
      <c r="G911" s="20" t="s">
        <v>83</v>
      </c>
      <c r="H911" s="209"/>
    </row>
    <row r="912" spans="1:8" s="291" customFormat="1" hidden="1" x14ac:dyDescent="0.3">
      <c r="A912" s="252">
        <v>45887</v>
      </c>
      <c r="B912" s="252" t="s">
        <v>212</v>
      </c>
      <c r="C912" s="244" t="s">
        <v>25</v>
      </c>
      <c r="D912" s="26" t="s">
        <v>1102</v>
      </c>
      <c r="E912" s="19">
        <v>-184.5</v>
      </c>
      <c r="F912" s="14" t="s">
        <v>8</v>
      </c>
      <c r="G912" s="20" t="s">
        <v>83</v>
      </c>
      <c r="H912" s="209"/>
    </row>
    <row r="913" spans="1:8" s="514" customFormat="1" hidden="1" x14ac:dyDescent="0.3">
      <c r="A913" s="626">
        <v>45888</v>
      </c>
      <c r="B913" s="626" t="s">
        <v>212</v>
      </c>
      <c r="C913" s="516" t="s">
        <v>13</v>
      </c>
      <c r="D913" s="600" t="s">
        <v>608</v>
      </c>
      <c r="E913" s="628">
        <v>-5072.57</v>
      </c>
      <c r="F913" s="513" t="s">
        <v>8</v>
      </c>
      <c r="G913" s="518" t="s">
        <v>46</v>
      </c>
      <c r="H913" s="638"/>
    </row>
    <row r="914" spans="1:8" s="514" customFormat="1" hidden="1" x14ac:dyDescent="0.3">
      <c r="A914" s="626">
        <v>45889</v>
      </c>
      <c r="B914" s="626" t="s">
        <v>212</v>
      </c>
      <c r="C914" s="592" t="s">
        <v>31</v>
      </c>
      <c r="D914" s="592" t="s">
        <v>1313</v>
      </c>
      <c r="E914" s="512">
        <v>-1689.3</v>
      </c>
      <c r="F914" s="513" t="s">
        <v>8</v>
      </c>
      <c r="G914" s="519" t="s">
        <v>122</v>
      </c>
      <c r="H914" s="638"/>
    </row>
    <row r="915" spans="1:8" s="514" customFormat="1" hidden="1" x14ac:dyDescent="0.3">
      <c r="A915" s="626">
        <v>45889</v>
      </c>
      <c r="B915" s="626" t="s">
        <v>212</v>
      </c>
      <c r="C915" s="592" t="s">
        <v>6</v>
      </c>
      <c r="D915" s="592" t="s">
        <v>1313</v>
      </c>
      <c r="E915" s="512">
        <v>-1689.3</v>
      </c>
      <c r="F915" s="513" t="s">
        <v>8</v>
      </c>
      <c r="G915" s="519" t="s">
        <v>122</v>
      </c>
      <c r="H915" s="638"/>
    </row>
    <row r="916" spans="1:8" s="514" customFormat="1" hidden="1" x14ac:dyDescent="0.3">
      <c r="A916" s="626">
        <v>45889</v>
      </c>
      <c r="B916" s="626" t="s">
        <v>212</v>
      </c>
      <c r="C916" s="592" t="s">
        <v>44</v>
      </c>
      <c r="D916" s="592" t="s">
        <v>1313</v>
      </c>
      <c r="E916" s="512">
        <v>-1689.3</v>
      </c>
      <c r="F916" s="513" t="s">
        <v>8</v>
      </c>
      <c r="G916" s="519" t="s">
        <v>122</v>
      </c>
      <c r="H916" s="638"/>
    </row>
    <row r="917" spans="1:8" s="514" customFormat="1" hidden="1" x14ac:dyDescent="0.3">
      <c r="A917" s="626">
        <v>45889</v>
      </c>
      <c r="B917" s="626" t="s">
        <v>212</v>
      </c>
      <c r="C917" s="592" t="s">
        <v>25</v>
      </c>
      <c r="D917" s="592" t="s">
        <v>1313</v>
      </c>
      <c r="E917" s="512">
        <v>-1689.3</v>
      </c>
      <c r="F917" s="513" t="s">
        <v>8</v>
      </c>
      <c r="G917" s="519" t="s">
        <v>122</v>
      </c>
      <c r="H917" s="638"/>
    </row>
    <row r="918" spans="1:8" s="514" customFormat="1" hidden="1" x14ac:dyDescent="0.3">
      <c r="A918" s="626">
        <v>45889</v>
      </c>
      <c r="B918" s="626" t="s">
        <v>212</v>
      </c>
      <c r="C918" s="592" t="s">
        <v>33</v>
      </c>
      <c r="D918" s="592" t="s">
        <v>1313</v>
      </c>
      <c r="E918" s="512">
        <v>-1689.3</v>
      </c>
      <c r="F918" s="513" t="s">
        <v>8</v>
      </c>
      <c r="G918" s="519" t="s">
        <v>122</v>
      </c>
      <c r="H918" s="638"/>
    </row>
    <row r="919" spans="1:8" s="514" customFormat="1" hidden="1" x14ac:dyDescent="0.3">
      <c r="A919" s="626">
        <v>45889</v>
      </c>
      <c r="B919" s="626" t="s">
        <v>212</v>
      </c>
      <c r="C919" s="592" t="s">
        <v>106</v>
      </c>
      <c r="D919" s="592" t="s">
        <v>1313</v>
      </c>
      <c r="E919" s="512">
        <v>-1689.3</v>
      </c>
      <c r="F919" s="513" t="s">
        <v>8</v>
      </c>
      <c r="G919" s="519" t="s">
        <v>122</v>
      </c>
      <c r="H919" s="638"/>
    </row>
    <row r="920" spans="1:8" s="514" customFormat="1" hidden="1" x14ac:dyDescent="0.3">
      <c r="A920" s="626">
        <v>45889</v>
      </c>
      <c r="B920" s="626" t="s">
        <v>212</v>
      </c>
      <c r="C920" s="592" t="s">
        <v>32</v>
      </c>
      <c r="D920" s="592" t="s">
        <v>1313</v>
      </c>
      <c r="E920" s="512">
        <v>-1689.3</v>
      </c>
      <c r="F920" s="513" t="s">
        <v>8</v>
      </c>
      <c r="G920" s="519" t="s">
        <v>122</v>
      </c>
      <c r="H920" s="638"/>
    </row>
    <row r="921" spans="1:8" s="514" customFormat="1" hidden="1" x14ac:dyDescent="0.3">
      <c r="A921" s="626">
        <v>45889</v>
      </c>
      <c r="B921" s="626" t="s">
        <v>212</v>
      </c>
      <c r="C921" s="592" t="s">
        <v>72</v>
      </c>
      <c r="D921" s="592" t="s">
        <v>1313</v>
      </c>
      <c r="E921" s="512">
        <v>-1689.3</v>
      </c>
      <c r="F921" s="513" t="s">
        <v>8</v>
      </c>
      <c r="G921" s="519" t="s">
        <v>122</v>
      </c>
      <c r="H921" s="638"/>
    </row>
    <row r="922" spans="1:8" s="514" customFormat="1" hidden="1" x14ac:dyDescent="0.3">
      <c r="A922" s="626">
        <v>45889</v>
      </c>
      <c r="B922" s="626" t="s">
        <v>212</v>
      </c>
      <c r="C922" s="592" t="s">
        <v>17</v>
      </c>
      <c r="D922" s="592" t="s">
        <v>1313</v>
      </c>
      <c r="E922" s="512">
        <v>-2346.25</v>
      </c>
      <c r="F922" s="513" t="s">
        <v>8</v>
      </c>
      <c r="G922" s="519" t="s">
        <v>122</v>
      </c>
      <c r="H922" s="638"/>
    </row>
    <row r="923" spans="1:8" s="514" customFormat="1" hidden="1" x14ac:dyDescent="0.3">
      <c r="A923" s="626">
        <v>45889</v>
      </c>
      <c r="B923" s="626" t="s">
        <v>212</v>
      </c>
      <c r="C923" s="725" t="s">
        <v>17</v>
      </c>
      <c r="D923" s="600" t="s">
        <v>124</v>
      </c>
      <c r="E923" s="684">
        <v>-1046.6400000000001</v>
      </c>
      <c r="F923" s="513" t="s">
        <v>8</v>
      </c>
      <c r="G923" s="519" t="s">
        <v>69</v>
      </c>
      <c r="H923" s="638"/>
    </row>
    <row r="924" spans="1:8" s="514" customFormat="1" ht="14.4" hidden="1" customHeight="1" x14ac:dyDescent="0.3">
      <c r="A924" s="626">
        <v>45889</v>
      </c>
      <c r="B924" s="626" t="s">
        <v>212</v>
      </c>
      <c r="C924" s="599" t="s">
        <v>6</v>
      </c>
      <c r="D924" s="600" t="s">
        <v>125</v>
      </c>
      <c r="E924" s="627">
        <v>-39.799999999999997</v>
      </c>
      <c r="F924" s="513" t="s">
        <v>8</v>
      </c>
      <c r="G924" s="519" t="s">
        <v>69</v>
      </c>
      <c r="H924" s="638"/>
    </row>
    <row r="925" spans="1:8" s="514" customFormat="1" ht="14.4" hidden="1" customHeight="1" x14ac:dyDescent="0.3">
      <c r="A925" s="626">
        <v>45889</v>
      </c>
      <c r="B925" s="626" t="s">
        <v>212</v>
      </c>
      <c r="C925" s="599" t="s">
        <v>44</v>
      </c>
      <c r="D925" s="600" t="s">
        <v>1283</v>
      </c>
      <c r="E925" s="627">
        <v>-4544.8500000000004</v>
      </c>
      <c r="F925" s="513" t="s">
        <v>8</v>
      </c>
      <c r="G925" s="728" t="s">
        <v>127</v>
      </c>
      <c r="H925" s="638"/>
    </row>
    <row r="926" spans="1:8" s="514" customFormat="1" ht="14.4" hidden="1" customHeight="1" x14ac:dyDescent="0.3">
      <c r="A926" s="626">
        <v>45889</v>
      </c>
      <c r="B926" s="626" t="s">
        <v>212</v>
      </c>
      <c r="C926" s="516" t="s">
        <v>25</v>
      </c>
      <c r="D926" s="600" t="s">
        <v>1282</v>
      </c>
      <c r="E926" s="627">
        <v>-1122.06</v>
      </c>
      <c r="F926" s="513" t="s">
        <v>8</v>
      </c>
      <c r="G926" s="728" t="s">
        <v>127</v>
      </c>
      <c r="H926" s="638"/>
    </row>
    <row r="927" spans="1:8" s="514" customFormat="1" ht="14.4" hidden="1" customHeight="1" x14ac:dyDescent="0.3">
      <c r="A927" s="626">
        <v>45889</v>
      </c>
      <c r="B927" s="626" t="s">
        <v>212</v>
      </c>
      <c r="C927" s="599" t="s">
        <v>1281</v>
      </c>
      <c r="D927" s="600" t="s">
        <v>1284</v>
      </c>
      <c r="E927" s="627">
        <v>-1375.8</v>
      </c>
      <c r="F927" s="513" t="s">
        <v>8</v>
      </c>
      <c r="G927" s="728" t="s">
        <v>127</v>
      </c>
      <c r="H927" s="638"/>
    </row>
    <row r="928" spans="1:8" s="514" customFormat="1" ht="14.4" hidden="1" customHeight="1" x14ac:dyDescent="0.3">
      <c r="A928" s="626">
        <v>45889</v>
      </c>
      <c r="B928" s="626" t="s">
        <v>212</v>
      </c>
      <c r="C928" s="599" t="s">
        <v>32</v>
      </c>
      <c r="D928" s="600" t="s">
        <v>1285</v>
      </c>
      <c r="E928" s="627">
        <v>-1418.32</v>
      </c>
      <c r="F928" s="513" t="s">
        <v>8</v>
      </c>
      <c r="G928" s="728" t="s">
        <v>127</v>
      </c>
      <c r="H928" s="638"/>
    </row>
    <row r="929" spans="1:8" s="514" customFormat="1" ht="14.4" hidden="1" customHeight="1" x14ac:dyDescent="0.3">
      <c r="A929" s="626">
        <v>45889</v>
      </c>
      <c r="B929" s="626" t="s">
        <v>212</v>
      </c>
      <c r="C929" s="599" t="s">
        <v>33</v>
      </c>
      <c r="D929" s="600" t="s">
        <v>1286</v>
      </c>
      <c r="E929" s="627">
        <v>-4591.54</v>
      </c>
      <c r="F929" s="513" t="s">
        <v>8</v>
      </c>
      <c r="G929" s="728" t="s">
        <v>127</v>
      </c>
      <c r="H929" s="638"/>
    </row>
    <row r="930" spans="1:8" s="514" customFormat="1" ht="14.4" hidden="1" customHeight="1" x14ac:dyDescent="0.3">
      <c r="A930" s="626">
        <v>45889</v>
      </c>
      <c r="B930" s="626" t="s">
        <v>212</v>
      </c>
      <c r="C930" s="599" t="s">
        <v>34</v>
      </c>
      <c r="D930" s="600" t="s">
        <v>1287</v>
      </c>
      <c r="E930" s="627">
        <v>-4774.17</v>
      </c>
      <c r="F930" s="513" t="s">
        <v>8</v>
      </c>
      <c r="G930" s="728" t="s">
        <v>127</v>
      </c>
      <c r="H930" s="638"/>
    </row>
    <row r="931" spans="1:8" s="514" customFormat="1" ht="14.4" hidden="1" customHeight="1" x14ac:dyDescent="0.3">
      <c r="A931" s="626">
        <v>45889</v>
      </c>
      <c r="B931" s="626" t="s">
        <v>212</v>
      </c>
      <c r="C931" s="599" t="s">
        <v>30</v>
      </c>
      <c r="D931" s="600" t="s">
        <v>1288</v>
      </c>
      <c r="E931" s="627">
        <v>-1309.9000000000001</v>
      </c>
      <c r="F931" s="513" t="s">
        <v>8</v>
      </c>
      <c r="G931" s="728" t="s">
        <v>127</v>
      </c>
      <c r="H931" s="638"/>
    </row>
    <row r="932" spans="1:8" s="514" customFormat="1" hidden="1" x14ac:dyDescent="0.3">
      <c r="A932" s="626">
        <v>45889</v>
      </c>
      <c r="B932" s="626" t="s">
        <v>212</v>
      </c>
      <c r="C932" s="516" t="s">
        <v>17</v>
      </c>
      <c r="D932" s="517" t="s">
        <v>1312</v>
      </c>
      <c r="E932" s="627">
        <v>-29.5</v>
      </c>
      <c r="F932" s="513" t="s">
        <v>8</v>
      </c>
      <c r="G932" s="728" t="s">
        <v>127</v>
      </c>
      <c r="H932" s="638"/>
    </row>
    <row r="933" spans="1:8" s="514" customFormat="1" hidden="1" x14ac:dyDescent="0.3">
      <c r="A933" s="626">
        <v>45889</v>
      </c>
      <c r="B933" s="626" t="s">
        <v>212</v>
      </c>
      <c r="C933" s="516" t="s">
        <v>17</v>
      </c>
      <c r="D933" s="517" t="s">
        <v>1280</v>
      </c>
      <c r="E933" s="627">
        <v>-14264.18</v>
      </c>
      <c r="F933" s="513" t="s">
        <v>8</v>
      </c>
      <c r="G933" s="728" t="s">
        <v>127</v>
      </c>
      <c r="H933" s="638"/>
    </row>
    <row r="934" spans="1:8" s="514" customFormat="1" hidden="1" x14ac:dyDescent="0.3">
      <c r="A934" s="626">
        <v>45894</v>
      </c>
      <c r="B934" s="626" t="s">
        <v>212</v>
      </c>
      <c r="C934" s="588" t="s">
        <v>6</v>
      </c>
      <c r="D934" s="517" t="s">
        <v>900</v>
      </c>
      <c r="E934" s="627">
        <v>-1773.62</v>
      </c>
      <c r="F934" s="727" t="s">
        <v>8</v>
      </c>
      <c r="G934" s="728" t="s">
        <v>127</v>
      </c>
      <c r="H934" s="638"/>
    </row>
    <row r="935" spans="1:8" s="514" customFormat="1" ht="14.4" hidden="1" customHeight="1" x14ac:dyDescent="0.3">
      <c r="A935" s="626">
        <v>45889</v>
      </c>
      <c r="B935" s="626" t="s">
        <v>212</v>
      </c>
      <c r="C935" s="592" t="s">
        <v>31</v>
      </c>
      <c r="D935" s="592" t="s">
        <v>1262</v>
      </c>
      <c r="E935" s="512">
        <v>-12296.18</v>
      </c>
      <c r="F935" s="727" t="s">
        <v>8</v>
      </c>
      <c r="G935" s="728" t="s">
        <v>127</v>
      </c>
      <c r="H935" s="638"/>
    </row>
    <row r="936" spans="1:8" s="514" customFormat="1" hidden="1" x14ac:dyDescent="0.3">
      <c r="A936" s="626">
        <v>45889</v>
      </c>
      <c r="B936" s="626" t="s">
        <v>212</v>
      </c>
      <c r="C936" s="592" t="s">
        <v>6</v>
      </c>
      <c r="D936" s="592" t="s">
        <v>787</v>
      </c>
      <c r="E936" s="512">
        <v>-4941.3100000000004</v>
      </c>
      <c r="F936" s="727" t="s">
        <v>8</v>
      </c>
      <c r="G936" s="728" t="s">
        <v>127</v>
      </c>
      <c r="H936" s="638"/>
    </row>
    <row r="937" spans="1:8" s="514" customFormat="1" hidden="1" x14ac:dyDescent="0.3">
      <c r="A937" s="626">
        <v>45889</v>
      </c>
      <c r="B937" s="626" t="s">
        <v>212</v>
      </c>
      <c r="C937" s="592" t="s">
        <v>44</v>
      </c>
      <c r="D937" s="592" t="s">
        <v>788</v>
      </c>
      <c r="E937" s="512">
        <v>-5133.79</v>
      </c>
      <c r="F937" s="727" t="s">
        <v>8</v>
      </c>
      <c r="G937" s="728" t="s">
        <v>127</v>
      </c>
      <c r="H937" s="638"/>
    </row>
    <row r="938" spans="1:8" s="514" customFormat="1" hidden="1" x14ac:dyDescent="0.3">
      <c r="A938" s="626">
        <v>45889</v>
      </c>
      <c r="B938" s="626" t="s">
        <v>212</v>
      </c>
      <c r="C938" s="592" t="s">
        <v>25</v>
      </c>
      <c r="D938" s="592" t="s">
        <v>1257</v>
      </c>
      <c r="E938" s="512">
        <v>-9118.24</v>
      </c>
      <c r="F938" s="727" t="s">
        <v>8</v>
      </c>
      <c r="G938" s="728" t="s">
        <v>127</v>
      </c>
      <c r="H938" s="638"/>
    </row>
    <row r="939" spans="1:8" s="514" customFormat="1" hidden="1" x14ac:dyDescent="0.3">
      <c r="A939" s="626">
        <v>45889</v>
      </c>
      <c r="B939" s="626" t="s">
        <v>212</v>
      </c>
      <c r="C939" s="592" t="s">
        <v>33</v>
      </c>
      <c r="D939" s="592" t="s">
        <v>1258</v>
      </c>
      <c r="E939" s="512">
        <v>-5275.51</v>
      </c>
      <c r="F939" s="727" t="s">
        <v>8</v>
      </c>
      <c r="G939" s="728" t="s">
        <v>127</v>
      </c>
      <c r="H939" s="638"/>
    </row>
    <row r="940" spans="1:8" s="514" customFormat="1" hidden="1" x14ac:dyDescent="0.3">
      <c r="A940" s="626">
        <v>45889</v>
      </c>
      <c r="B940" s="626" t="s">
        <v>212</v>
      </c>
      <c r="C940" s="592" t="s">
        <v>106</v>
      </c>
      <c r="D940" s="592" t="s">
        <v>1259</v>
      </c>
      <c r="E940" s="684">
        <v>-2899.38</v>
      </c>
      <c r="F940" s="727" t="s">
        <v>8</v>
      </c>
      <c r="G940" s="728" t="s">
        <v>127</v>
      </c>
      <c r="H940" s="638"/>
    </row>
    <row r="941" spans="1:8" s="514" customFormat="1" hidden="1" x14ac:dyDescent="0.3">
      <c r="A941" s="626">
        <v>45889</v>
      </c>
      <c r="B941" s="626" t="s">
        <v>212</v>
      </c>
      <c r="C941" s="592" t="s">
        <v>32</v>
      </c>
      <c r="D941" s="592" t="s">
        <v>1260</v>
      </c>
      <c r="E941" s="512">
        <v>-8629.2099999999991</v>
      </c>
      <c r="F941" s="727" t="s">
        <v>8</v>
      </c>
      <c r="G941" s="728" t="s">
        <v>127</v>
      </c>
      <c r="H941" s="638"/>
    </row>
    <row r="942" spans="1:8" s="514" customFormat="1" hidden="1" x14ac:dyDescent="0.3">
      <c r="A942" s="626">
        <v>45889</v>
      </c>
      <c r="B942" s="626" t="s">
        <v>212</v>
      </c>
      <c r="C942" s="592" t="s">
        <v>72</v>
      </c>
      <c r="D942" s="592" t="s">
        <v>1261</v>
      </c>
      <c r="E942" s="512">
        <v>-3577.26</v>
      </c>
      <c r="F942" s="727" t="s">
        <v>8</v>
      </c>
      <c r="G942" s="728" t="s">
        <v>127</v>
      </c>
      <c r="H942" s="638"/>
    </row>
    <row r="943" spans="1:8" s="514" customFormat="1" hidden="1" x14ac:dyDescent="0.3">
      <c r="A943" s="626">
        <v>45889</v>
      </c>
      <c r="B943" s="626" t="s">
        <v>212</v>
      </c>
      <c r="C943" s="726" t="s">
        <v>17</v>
      </c>
      <c r="D943" s="726" t="s">
        <v>794</v>
      </c>
      <c r="E943" s="693">
        <v>-3017.28</v>
      </c>
      <c r="F943" s="727" t="s">
        <v>8</v>
      </c>
      <c r="G943" s="728" t="s">
        <v>127</v>
      </c>
      <c r="H943" s="638"/>
    </row>
    <row r="944" spans="1:8" s="514" customFormat="1" hidden="1" x14ac:dyDescent="0.3">
      <c r="A944" s="626">
        <v>45889</v>
      </c>
      <c r="B944" s="626" t="s">
        <v>212</v>
      </c>
      <c r="C944" s="592" t="s">
        <v>31</v>
      </c>
      <c r="D944" s="592" t="s">
        <v>1250</v>
      </c>
      <c r="E944" s="512">
        <v>-9496.35</v>
      </c>
      <c r="F944" s="727" t="s">
        <v>8</v>
      </c>
      <c r="G944" s="728" t="s">
        <v>127</v>
      </c>
      <c r="H944" s="638"/>
    </row>
    <row r="945" spans="1:8" s="514" customFormat="1" hidden="1" x14ac:dyDescent="0.3">
      <c r="A945" s="626">
        <v>45889</v>
      </c>
      <c r="B945" s="626" t="s">
        <v>212</v>
      </c>
      <c r="C945" s="592" t="s">
        <v>6</v>
      </c>
      <c r="D945" s="592" t="s">
        <v>796</v>
      </c>
      <c r="E945" s="512">
        <v>-10971.43</v>
      </c>
      <c r="F945" s="727" t="s">
        <v>8</v>
      </c>
      <c r="G945" s="728" t="s">
        <v>127</v>
      </c>
      <c r="H945" s="638"/>
    </row>
    <row r="946" spans="1:8" s="514" customFormat="1" hidden="1" x14ac:dyDescent="0.3">
      <c r="A946" s="626">
        <v>45889</v>
      </c>
      <c r="B946" s="626" t="s">
        <v>212</v>
      </c>
      <c r="C946" s="592" t="s">
        <v>44</v>
      </c>
      <c r="D946" s="592" t="s">
        <v>1251</v>
      </c>
      <c r="E946" s="512">
        <v>-3579.94</v>
      </c>
      <c r="F946" s="727" t="s">
        <v>8</v>
      </c>
      <c r="G946" s="728" t="s">
        <v>127</v>
      </c>
      <c r="H946" s="638"/>
    </row>
    <row r="947" spans="1:8" s="514" customFormat="1" hidden="1" x14ac:dyDescent="0.3">
      <c r="A947" s="626">
        <v>45889</v>
      </c>
      <c r="B947" s="626" t="s">
        <v>212</v>
      </c>
      <c r="C947" s="592" t="s">
        <v>25</v>
      </c>
      <c r="D947" s="592" t="s">
        <v>1252</v>
      </c>
      <c r="E947" s="512">
        <v>-6549.14</v>
      </c>
      <c r="F947" s="727" t="s">
        <v>8</v>
      </c>
      <c r="G947" s="728" t="s">
        <v>127</v>
      </c>
      <c r="H947" s="638"/>
    </row>
    <row r="948" spans="1:8" s="514" customFormat="1" hidden="1" x14ac:dyDescent="0.3">
      <c r="A948" s="626">
        <v>45889</v>
      </c>
      <c r="B948" s="626" t="s">
        <v>212</v>
      </c>
      <c r="C948" s="592" t="s">
        <v>33</v>
      </c>
      <c r="D948" s="592" t="s">
        <v>1253</v>
      </c>
      <c r="E948" s="512">
        <v>-2091.98</v>
      </c>
      <c r="F948" s="727" t="s">
        <v>8</v>
      </c>
      <c r="G948" s="728" t="s">
        <v>127</v>
      </c>
      <c r="H948" s="638"/>
    </row>
    <row r="949" spans="1:8" s="514" customFormat="1" hidden="1" x14ac:dyDescent="0.3">
      <c r="A949" s="626">
        <v>45889</v>
      </c>
      <c r="B949" s="626" t="s">
        <v>212</v>
      </c>
      <c r="C949" s="592" t="s">
        <v>106</v>
      </c>
      <c r="D949" s="592" t="s">
        <v>1254</v>
      </c>
      <c r="E949" s="512">
        <v>-24.94</v>
      </c>
      <c r="F949" s="727" t="s">
        <v>8</v>
      </c>
      <c r="G949" s="728" t="s">
        <v>127</v>
      </c>
      <c r="H949" s="638"/>
    </row>
    <row r="950" spans="1:8" s="514" customFormat="1" hidden="1" x14ac:dyDescent="0.3">
      <c r="A950" s="626">
        <v>45889</v>
      </c>
      <c r="B950" s="626" t="s">
        <v>212</v>
      </c>
      <c r="C950" s="592" t="s">
        <v>32</v>
      </c>
      <c r="D950" s="592" t="s">
        <v>800</v>
      </c>
      <c r="E950" s="684">
        <v>-7620.64</v>
      </c>
      <c r="F950" s="727" t="s">
        <v>8</v>
      </c>
      <c r="G950" s="728" t="s">
        <v>127</v>
      </c>
      <c r="H950" s="638"/>
    </row>
    <row r="951" spans="1:8" s="514" customFormat="1" hidden="1" x14ac:dyDescent="0.3">
      <c r="A951" s="626">
        <v>45889</v>
      </c>
      <c r="B951" s="626" t="s">
        <v>212</v>
      </c>
      <c r="C951" s="592" t="s">
        <v>72</v>
      </c>
      <c r="D951" s="592" t="s">
        <v>1255</v>
      </c>
      <c r="E951" s="512">
        <v>-1818.31</v>
      </c>
      <c r="F951" s="727" t="s">
        <v>8</v>
      </c>
      <c r="G951" s="728" t="s">
        <v>127</v>
      </c>
      <c r="H951" s="638"/>
    </row>
    <row r="952" spans="1:8" s="514" customFormat="1" ht="15.6" hidden="1" customHeight="1" x14ac:dyDescent="0.3">
      <c r="A952" s="626">
        <v>45889</v>
      </c>
      <c r="B952" s="626" t="s">
        <v>212</v>
      </c>
      <c r="C952" s="592" t="s">
        <v>17</v>
      </c>
      <c r="D952" s="592" t="s">
        <v>1256</v>
      </c>
      <c r="E952" s="512">
        <v>-13894.59</v>
      </c>
      <c r="F952" s="727" t="s">
        <v>8</v>
      </c>
      <c r="G952" s="728" t="s">
        <v>127</v>
      </c>
      <c r="H952" s="638"/>
    </row>
    <row r="953" spans="1:8" s="439" customFormat="1" hidden="1" x14ac:dyDescent="0.3">
      <c r="A953" s="729">
        <v>45889</v>
      </c>
      <c r="B953" s="729" t="s">
        <v>212</v>
      </c>
      <c r="C953" s="730" t="s">
        <v>6</v>
      </c>
      <c r="D953" s="731" t="s">
        <v>891</v>
      </c>
      <c r="E953" s="627">
        <v>-62065.88</v>
      </c>
      <c r="F953" s="732" t="s">
        <v>8</v>
      </c>
      <c r="G953" s="733" t="s">
        <v>27</v>
      </c>
    </row>
    <row r="954" spans="1:8" s="514" customFormat="1" hidden="1" x14ac:dyDescent="0.3">
      <c r="A954" s="626">
        <v>45889</v>
      </c>
      <c r="B954" s="626" t="s">
        <v>212</v>
      </c>
      <c r="C954" s="592" t="s">
        <v>6</v>
      </c>
      <c r="D954" s="592" t="s">
        <v>734</v>
      </c>
      <c r="E954" s="512">
        <v>-11383.86</v>
      </c>
      <c r="F954" s="513" t="s">
        <v>8</v>
      </c>
      <c r="G954" s="518" t="s">
        <v>83</v>
      </c>
    </row>
    <row r="955" spans="1:8" s="514" customFormat="1" hidden="1" x14ac:dyDescent="0.3">
      <c r="A955" s="626">
        <v>45889</v>
      </c>
      <c r="B955" s="626" t="s">
        <v>212</v>
      </c>
      <c r="C955" s="592" t="s">
        <v>44</v>
      </c>
      <c r="D955" s="592" t="s">
        <v>734</v>
      </c>
      <c r="E955" s="512">
        <v>-1904.57</v>
      </c>
      <c r="F955" s="513" t="s">
        <v>8</v>
      </c>
      <c r="G955" s="518" t="s">
        <v>83</v>
      </c>
    </row>
    <row r="956" spans="1:8" s="514" customFormat="1" hidden="1" x14ac:dyDescent="0.3">
      <c r="A956" s="626">
        <v>45889</v>
      </c>
      <c r="B956" s="626" t="s">
        <v>212</v>
      </c>
      <c r="C956" s="592" t="s">
        <v>33</v>
      </c>
      <c r="D956" s="592" t="s">
        <v>734</v>
      </c>
      <c r="E956" s="512">
        <v>-620.04999999999995</v>
      </c>
      <c r="F956" s="513" t="s">
        <v>8</v>
      </c>
      <c r="G956" s="518" t="s">
        <v>83</v>
      </c>
    </row>
    <row r="957" spans="1:8" s="514" customFormat="1" hidden="1" x14ac:dyDescent="0.3">
      <c r="A957" s="626">
        <v>45889</v>
      </c>
      <c r="B957" s="626" t="s">
        <v>212</v>
      </c>
      <c r="C957" s="592" t="s">
        <v>106</v>
      </c>
      <c r="D957" s="592" t="s">
        <v>734</v>
      </c>
      <c r="E957" s="512">
        <v>-993.74</v>
      </c>
      <c r="F957" s="513" t="s">
        <v>8</v>
      </c>
      <c r="G957" s="518" t="s">
        <v>83</v>
      </c>
    </row>
    <row r="958" spans="1:8" s="514" customFormat="1" hidden="1" x14ac:dyDescent="0.3">
      <c r="A958" s="626">
        <v>45889</v>
      </c>
      <c r="B958" s="626" t="s">
        <v>212</v>
      </c>
      <c r="C958" s="592" t="s">
        <v>32</v>
      </c>
      <c r="D958" s="592" t="s">
        <v>734</v>
      </c>
      <c r="E958" s="512">
        <v>-2385.4499999999998</v>
      </c>
      <c r="F958" s="513" t="s">
        <v>8</v>
      </c>
      <c r="G958" s="518" t="s">
        <v>83</v>
      </c>
    </row>
    <row r="959" spans="1:8" s="514" customFormat="1" hidden="1" x14ac:dyDescent="0.3">
      <c r="A959" s="626">
        <v>45889</v>
      </c>
      <c r="B959" s="626" t="s">
        <v>212</v>
      </c>
      <c r="C959" s="592" t="s">
        <v>72</v>
      </c>
      <c r="D959" s="592" t="s">
        <v>734</v>
      </c>
      <c r="E959" s="512">
        <v>-1548.2</v>
      </c>
      <c r="F959" s="513" t="s">
        <v>8</v>
      </c>
      <c r="G959" s="518" t="s">
        <v>83</v>
      </c>
    </row>
    <row r="960" spans="1:8" s="514" customFormat="1" hidden="1" x14ac:dyDescent="0.3">
      <c r="A960" s="626">
        <v>45889</v>
      </c>
      <c r="B960" s="626" t="s">
        <v>212</v>
      </c>
      <c r="C960" s="592" t="s">
        <v>17</v>
      </c>
      <c r="D960" s="592" t="s">
        <v>734</v>
      </c>
      <c r="E960" s="512">
        <v>-23731.68</v>
      </c>
      <c r="F960" s="513" t="s">
        <v>8</v>
      </c>
      <c r="G960" s="518" t="s">
        <v>83</v>
      </c>
    </row>
    <row r="961" spans="1:7" s="514" customFormat="1" hidden="1" x14ac:dyDescent="0.3">
      <c r="A961" s="626">
        <v>45891</v>
      </c>
      <c r="B961" s="626" t="s">
        <v>212</v>
      </c>
      <c r="C961" s="599" t="s">
        <v>30</v>
      </c>
      <c r="D961" s="600" t="s">
        <v>893</v>
      </c>
      <c r="E961" s="627">
        <v>-5890</v>
      </c>
      <c r="F961" s="513" t="s">
        <v>8</v>
      </c>
      <c r="G961" s="519" t="s">
        <v>27</v>
      </c>
    </row>
    <row r="962" spans="1:7" s="514" customFormat="1" hidden="1" x14ac:dyDescent="0.3">
      <c r="A962" s="626">
        <v>45889</v>
      </c>
      <c r="B962" s="626" t="s">
        <v>212</v>
      </c>
      <c r="C962" s="599" t="s">
        <v>25</v>
      </c>
      <c r="D962" s="600" t="s">
        <v>887</v>
      </c>
      <c r="E962" s="627">
        <v>-2982.25</v>
      </c>
      <c r="F962" s="513" t="s">
        <v>8</v>
      </c>
      <c r="G962" s="616" t="s">
        <v>156</v>
      </c>
    </row>
    <row r="963" spans="1:7" s="291" customFormat="1" hidden="1" x14ac:dyDescent="0.3">
      <c r="A963" s="287">
        <v>45890</v>
      </c>
      <c r="B963" s="10" t="s">
        <v>212</v>
      </c>
      <c r="C963" s="26" t="s">
        <v>72</v>
      </c>
      <c r="D963" s="26" t="s">
        <v>1194</v>
      </c>
      <c r="E963" s="19">
        <v>-1400</v>
      </c>
      <c r="F963" s="25" t="s">
        <v>8</v>
      </c>
      <c r="G963" s="214" t="s">
        <v>233</v>
      </c>
    </row>
    <row r="964" spans="1:7" s="291" customFormat="1" hidden="1" x14ac:dyDescent="0.3">
      <c r="A964" s="287">
        <v>45890</v>
      </c>
      <c r="B964" s="10" t="s">
        <v>212</v>
      </c>
      <c r="C964" s="26" t="s">
        <v>17</v>
      </c>
      <c r="D964" s="26" t="s">
        <v>393</v>
      </c>
      <c r="E964" s="19">
        <v>-635.17999999999995</v>
      </c>
      <c r="F964" s="25" t="s">
        <v>8</v>
      </c>
      <c r="G964" s="20" t="s">
        <v>394</v>
      </c>
    </row>
    <row r="965" spans="1:7" s="291" customFormat="1" hidden="1" x14ac:dyDescent="0.3">
      <c r="A965" s="287">
        <v>45890</v>
      </c>
      <c r="B965" s="10" t="s">
        <v>212</v>
      </c>
      <c r="C965" s="26" t="s">
        <v>44</v>
      </c>
      <c r="D965" s="26" t="s">
        <v>208</v>
      </c>
      <c r="E965" s="19">
        <v>-9520.2999999999993</v>
      </c>
      <c r="F965" s="25" t="s">
        <v>8</v>
      </c>
      <c r="G965" s="20" t="s">
        <v>233</v>
      </c>
    </row>
    <row r="966" spans="1:7" s="514" customFormat="1" hidden="1" x14ac:dyDescent="0.3">
      <c r="A966" s="626">
        <v>45889</v>
      </c>
      <c r="B966" s="626" t="s">
        <v>212</v>
      </c>
      <c r="C966" s="592" t="s">
        <v>31</v>
      </c>
      <c r="D966" s="592" t="s">
        <v>1193</v>
      </c>
      <c r="E966" s="512">
        <v>-1240</v>
      </c>
      <c r="F966" s="513" t="s">
        <v>8</v>
      </c>
      <c r="G966" s="518" t="s">
        <v>189</v>
      </c>
    </row>
    <row r="967" spans="1:7" s="514" customFormat="1" hidden="1" x14ac:dyDescent="0.3">
      <c r="A967" s="818">
        <v>45889</v>
      </c>
      <c r="B967" s="819" t="s">
        <v>212</v>
      </c>
      <c r="C967" s="726" t="s">
        <v>17</v>
      </c>
      <c r="D967" s="726" t="s">
        <v>839</v>
      </c>
      <c r="E967" s="693">
        <v>-268.92</v>
      </c>
      <c r="F967" s="727" t="s">
        <v>8</v>
      </c>
      <c r="G967" s="551" t="s">
        <v>189</v>
      </c>
    </row>
    <row r="968" spans="1:7" s="13" customFormat="1" hidden="1" x14ac:dyDescent="0.3">
      <c r="A968" s="205">
        <v>45919</v>
      </c>
      <c r="B968" s="252" t="s">
        <v>213</v>
      </c>
      <c r="C968" s="26" t="s">
        <v>31</v>
      </c>
      <c r="D968" s="26" t="s">
        <v>1523</v>
      </c>
      <c r="E968" s="19">
        <v>-1240</v>
      </c>
      <c r="F968" s="25" t="s">
        <v>8</v>
      </c>
      <c r="G968" s="64" t="s">
        <v>189</v>
      </c>
    </row>
    <row r="969" spans="1:7" s="291" customFormat="1" hidden="1" x14ac:dyDescent="0.3">
      <c r="A969" s="288">
        <v>45919</v>
      </c>
      <c r="B969" s="252" t="s">
        <v>213</v>
      </c>
      <c r="C969" s="26" t="s">
        <v>17</v>
      </c>
      <c r="D969" s="26" t="s">
        <v>840</v>
      </c>
      <c r="E969" s="19">
        <v>-268.92</v>
      </c>
      <c r="F969" s="25" t="s">
        <v>8</v>
      </c>
      <c r="G969" s="64" t="s">
        <v>189</v>
      </c>
    </row>
    <row r="970" spans="1:7" s="291" customFormat="1" hidden="1" x14ac:dyDescent="0.3">
      <c r="A970" s="363">
        <v>45951</v>
      </c>
      <c r="B970" s="298" t="s">
        <v>216</v>
      </c>
      <c r="C970" s="238" t="s">
        <v>17</v>
      </c>
      <c r="D970" s="238" t="s">
        <v>841</v>
      </c>
      <c r="E970" s="229">
        <v>-268.92</v>
      </c>
      <c r="F970" s="262" t="s">
        <v>8</v>
      </c>
      <c r="G970" s="342" t="s">
        <v>189</v>
      </c>
    </row>
    <row r="971" spans="1:7" s="291" customFormat="1" hidden="1" x14ac:dyDescent="0.3">
      <c r="A971" s="288">
        <v>45982</v>
      </c>
      <c r="B971" s="252" t="s">
        <v>217</v>
      </c>
      <c r="C971" s="26" t="s">
        <v>17</v>
      </c>
      <c r="D971" s="26" t="s">
        <v>842</v>
      </c>
      <c r="E971" s="569">
        <v>-268.92</v>
      </c>
      <c r="F971" s="25" t="s">
        <v>8</v>
      </c>
      <c r="G971" s="64" t="s">
        <v>189</v>
      </c>
    </row>
    <row r="972" spans="1:7" s="514" customFormat="1" hidden="1" x14ac:dyDescent="0.3">
      <c r="A972" s="626">
        <v>45891</v>
      </c>
      <c r="B972" s="626" t="s">
        <v>212</v>
      </c>
      <c r="C972" s="599" t="s">
        <v>30</v>
      </c>
      <c r="D972" s="592" t="s">
        <v>1330</v>
      </c>
      <c r="E972" s="512">
        <v>-500</v>
      </c>
      <c r="F972" s="513" t="s">
        <v>8</v>
      </c>
      <c r="G972" s="519" t="s">
        <v>27</v>
      </c>
    </row>
    <row r="973" spans="1:7" s="514" customFormat="1" hidden="1" x14ac:dyDescent="0.3">
      <c r="A973" s="626">
        <v>45891</v>
      </c>
      <c r="B973" s="626" t="s">
        <v>212</v>
      </c>
      <c r="C973" s="599" t="s">
        <v>30</v>
      </c>
      <c r="D973" s="592" t="s">
        <v>1331</v>
      </c>
      <c r="E973" s="512">
        <v>-500</v>
      </c>
      <c r="F973" s="513" t="s">
        <v>8</v>
      </c>
      <c r="G973" s="519" t="s">
        <v>27</v>
      </c>
    </row>
    <row r="974" spans="1:7" s="514" customFormat="1" hidden="1" x14ac:dyDescent="0.3">
      <c r="A974" s="626">
        <v>45891</v>
      </c>
      <c r="B974" s="626" t="s">
        <v>212</v>
      </c>
      <c r="C974" s="599" t="s">
        <v>30</v>
      </c>
      <c r="D974" s="592" t="s">
        <v>1332</v>
      </c>
      <c r="E974" s="512">
        <v>-700</v>
      </c>
      <c r="F974" s="513" t="s">
        <v>8</v>
      </c>
      <c r="G974" s="519" t="s">
        <v>27</v>
      </c>
    </row>
    <row r="975" spans="1:7" s="514" customFormat="1" hidden="1" x14ac:dyDescent="0.3">
      <c r="A975" s="626">
        <v>45891</v>
      </c>
      <c r="B975" s="626" t="s">
        <v>212</v>
      </c>
      <c r="C975" s="599" t="s">
        <v>30</v>
      </c>
      <c r="D975" s="592" t="s">
        <v>1333</v>
      </c>
      <c r="E975" s="512">
        <v>-390</v>
      </c>
      <c r="F975" s="513" t="s">
        <v>8</v>
      </c>
      <c r="G975" s="519" t="s">
        <v>27</v>
      </c>
    </row>
    <row r="976" spans="1:7" s="514" customFormat="1" hidden="1" x14ac:dyDescent="0.3">
      <c r="A976" s="626">
        <v>45891</v>
      </c>
      <c r="B976" s="626" t="s">
        <v>212</v>
      </c>
      <c r="C976" s="599" t="s">
        <v>30</v>
      </c>
      <c r="D976" s="592" t="s">
        <v>1334</v>
      </c>
      <c r="E976" s="512">
        <v>-900</v>
      </c>
      <c r="F976" s="513" t="s">
        <v>8</v>
      </c>
      <c r="G976" s="519" t="s">
        <v>27</v>
      </c>
    </row>
    <row r="977" spans="1:7" s="514" customFormat="1" hidden="1" x14ac:dyDescent="0.3">
      <c r="A977" s="515">
        <v>45891</v>
      </c>
      <c r="B977" s="626" t="s">
        <v>212</v>
      </c>
      <c r="C977" s="516" t="s">
        <v>17</v>
      </c>
      <c r="D977" s="600" t="s">
        <v>565</v>
      </c>
      <c r="E977" s="636">
        <v>-1560.68</v>
      </c>
      <c r="F977" s="513" t="s">
        <v>8</v>
      </c>
      <c r="G977" s="519" t="s">
        <v>135</v>
      </c>
    </row>
    <row r="978" spans="1:7" s="514" customFormat="1" hidden="1" x14ac:dyDescent="0.3">
      <c r="A978" s="723">
        <v>45889</v>
      </c>
      <c r="B978" s="511" t="s">
        <v>212</v>
      </c>
      <c r="C978" s="592" t="s">
        <v>31</v>
      </c>
      <c r="D978" s="592" t="s">
        <v>881</v>
      </c>
      <c r="E978" s="512">
        <v>-8.51</v>
      </c>
      <c r="F978" s="513" t="s">
        <v>8</v>
      </c>
      <c r="G978" s="518" t="s">
        <v>76</v>
      </c>
    </row>
    <row r="979" spans="1:7" s="514" customFormat="1" hidden="1" x14ac:dyDescent="0.3">
      <c r="A979" s="723">
        <v>45889</v>
      </c>
      <c r="B979" s="511" t="s">
        <v>212</v>
      </c>
      <c r="C979" s="592" t="s">
        <v>72</v>
      </c>
      <c r="D979" s="592" t="s">
        <v>1229</v>
      </c>
      <c r="E979" s="512">
        <v>-2013.06</v>
      </c>
      <c r="F979" s="513" t="s">
        <v>8</v>
      </c>
      <c r="G979" s="518" t="s">
        <v>76</v>
      </c>
    </row>
    <row r="980" spans="1:7" s="291" customFormat="1" hidden="1" x14ac:dyDescent="0.3">
      <c r="A980" s="252">
        <v>45890</v>
      </c>
      <c r="B980" s="252" t="s">
        <v>212</v>
      </c>
      <c r="C980" s="24" t="s">
        <v>65</v>
      </c>
      <c r="D980" s="709" t="s">
        <v>136</v>
      </c>
      <c r="E980" s="710">
        <v>-8937.32</v>
      </c>
      <c r="F980" s="25" t="s">
        <v>8</v>
      </c>
      <c r="G980" s="14" t="s">
        <v>39</v>
      </c>
    </row>
    <row r="981" spans="1:7" s="514" customFormat="1" hidden="1" x14ac:dyDescent="0.3">
      <c r="A981" s="626">
        <v>45891</v>
      </c>
      <c r="B981" s="626" t="s">
        <v>212</v>
      </c>
      <c r="C981" s="592" t="s">
        <v>33</v>
      </c>
      <c r="D981" s="592" t="s">
        <v>611</v>
      </c>
      <c r="E981" s="512">
        <v>-5103.17</v>
      </c>
      <c r="F981" s="513" t="s">
        <v>8</v>
      </c>
      <c r="G981" s="518" t="s">
        <v>76</v>
      </c>
    </row>
    <row r="982" spans="1:7" s="514" customFormat="1" hidden="1" x14ac:dyDescent="0.3">
      <c r="A982" s="626">
        <v>45891</v>
      </c>
      <c r="B982" s="626" t="s">
        <v>212</v>
      </c>
      <c r="C982" s="596" t="s">
        <v>33</v>
      </c>
      <c r="D982" s="592" t="s">
        <v>612</v>
      </c>
      <c r="E982" s="512">
        <v>-5625.82</v>
      </c>
      <c r="F982" s="513" t="s">
        <v>8</v>
      </c>
      <c r="G982" s="518" t="s">
        <v>76</v>
      </c>
    </row>
    <row r="983" spans="1:7" s="514" customFormat="1" hidden="1" x14ac:dyDescent="0.3">
      <c r="A983" s="626">
        <v>45891</v>
      </c>
      <c r="B983" s="626" t="s">
        <v>212</v>
      </c>
      <c r="C983" s="592" t="s">
        <v>25</v>
      </c>
      <c r="D983" s="592" t="s">
        <v>1264</v>
      </c>
      <c r="E983" s="512">
        <v>-90.73</v>
      </c>
      <c r="F983" s="513" t="s">
        <v>8</v>
      </c>
      <c r="G983" s="518" t="s">
        <v>76</v>
      </c>
    </row>
    <row r="984" spans="1:7" s="514" customFormat="1" hidden="1" x14ac:dyDescent="0.3">
      <c r="A984" s="626">
        <v>45891</v>
      </c>
      <c r="B984" s="626" t="s">
        <v>212</v>
      </c>
      <c r="C984" s="592" t="s">
        <v>25</v>
      </c>
      <c r="D984" s="592" t="s">
        <v>1264</v>
      </c>
      <c r="E984" s="512">
        <v>-1534.14</v>
      </c>
      <c r="F984" s="513" t="s">
        <v>8</v>
      </c>
      <c r="G984" s="518" t="s">
        <v>76</v>
      </c>
    </row>
    <row r="985" spans="1:7" s="514" customFormat="1" hidden="1" x14ac:dyDescent="0.3">
      <c r="A985" s="644">
        <v>45891</v>
      </c>
      <c r="B985" s="644" t="s">
        <v>212</v>
      </c>
      <c r="C985" s="726" t="s">
        <v>25</v>
      </c>
      <c r="D985" s="726" t="s">
        <v>1265</v>
      </c>
      <c r="E985" s="512">
        <v>-1110.55</v>
      </c>
      <c r="F985" s="513" t="s">
        <v>8</v>
      </c>
      <c r="G985" s="518" t="s">
        <v>76</v>
      </c>
    </row>
    <row r="986" spans="1:7" s="600" customFormat="1" hidden="1" x14ac:dyDescent="0.3">
      <c r="A986" s="626">
        <v>45891</v>
      </c>
      <c r="B986" s="626" t="s">
        <v>212</v>
      </c>
      <c r="C986" s="592" t="s">
        <v>17</v>
      </c>
      <c r="D986" s="592" t="s">
        <v>455</v>
      </c>
      <c r="E986" s="512">
        <v>-638.36</v>
      </c>
      <c r="F986" s="513" t="s">
        <v>8</v>
      </c>
      <c r="G986" s="518" t="s">
        <v>76</v>
      </c>
    </row>
    <row r="987" spans="1:7" s="600" customFormat="1" hidden="1" x14ac:dyDescent="0.3">
      <c r="A987" s="626">
        <v>45891</v>
      </c>
      <c r="B987" s="626" t="s">
        <v>212</v>
      </c>
      <c r="C987" s="592" t="s">
        <v>17</v>
      </c>
      <c r="D987" s="592" t="s">
        <v>1323</v>
      </c>
      <c r="E987" s="512">
        <v>-73.13</v>
      </c>
      <c r="F987" s="513" t="s">
        <v>8</v>
      </c>
      <c r="G987" s="518" t="s">
        <v>76</v>
      </c>
    </row>
    <row r="988" spans="1:7" s="514" customFormat="1" ht="15" hidden="1" customHeight="1" x14ac:dyDescent="0.3">
      <c r="A988" s="746">
        <v>45891</v>
      </c>
      <c r="B988" s="746" t="s">
        <v>212</v>
      </c>
      <c r="C988" s="747" t="s">
        <v>17</v>
      </c>
      <c r="D988" s="748" t="s">
        <v>18</v>
      </c>
      <c r="E988" s="636">
        <v>-17235</v>
      </c>
      <c r="F988" s="513" t="s">
        <v>8</v>
      </c>
      <c r="G988" s="519" t="s">
        <v>19</v>
      </c>
    </row>
    <row r="989" spans="1:7" s="514" customFormat="1" hidden="1" x14ac:dyDescent="0.3">
      <c r="A989" s="515">
        <v>45894</v>
      </c>
      <c r="B989" s="626" t="s">
        <v>212</v>
      </c>
      <c r="C989" s="599" t="s">
        <v>44</v>
      </c>
      <c r="D989" s="600" t="s">
        <v>1195</v>
      </c>
      <c r="E989" s="512">
        <v>-5003.51</v>
      </c>
      <c r="F989" s="513" t="s">
        <v>8</v>
      </c>
      <c r="G989" s="519" t="s">
        <v>64</v>
      </c>
    </row>
    <row r="990" spans="1:7" s="514" customFormat="1" hidden="1" x14ac:dyDescent="0.3">
      <c r="A990" s="515">
        <v>45894</v>
      </c>
      <c r="B990" s="626" t="s">
        <v>212</v>
      </c>
      <c r="C990" s="599" t="s">
        <v>17</v>
      </c>
      <c r="D990" s="600" t="s">
        <v>137</v>
      </c>
      <c r="E990" s="512">
        <v>-772.12</v>
      </c>
      <c r="F990" s="513" t="s">
        <v>8</v>
      </c>
      <c r="G990" s="519" t="s">
        <v>69</v>
      </c>
    </row>
    <row r="991" spans="1:7" s="514" customFormat="1" hidden="1" x14ac:dyDescent="0.3">
      <c r="A991" s="515">
        <v>45894</v>
      </c>
      <c r="B991" s="626" t="s">
        <v>212</v>
      </c>
      <c r="C991" s="599" t="s">
        <v>6</v>
      </c>
      <c r="D991" s="599" t="s">
        <v>571</v>
      </c>
      <c r="E991" s="636">
        <v>-154.9</v>
      </c>
      <c r="F991" s="513" t="s">
        <v>8</v>
      </c>
      <c r="G991" s="519" t="s">
        <v>139</v>
      </c>
    </row>
    <row r="992" spans="1:7" s="514" customFormat="1" hidden="1" x14ac:dyDescent="0.3">
      <c r="A992" s="515">
        <v>45894</v>
      </c>
      <c r="B992" s="626" t="s">
        <v>212</v>
      </c>
      <c r="C992" s="599" t="s">
        <v>6</v>
      </c>
      <c r="D992" s="599" t="s">
        <v>572</v>
      </c>
      <c r="E992" s="636">
        <v>-139.9</v>
      </c>
      <c r="F992" s="513" t="s">
        <v>8</v>
      </c>
      <c r="G992" s="519" t="s">
        <v>139</v>
      </c>
    </row>
    <row r="993" spans="1:7" s="514" customFormat="1" hidden="1" x14ac:dyDescent="0.3">
      <c r="A993" s="515">
        <v>45894</v>
      </c>
      <c r="B993" s="626" t="s">
        <v>212</v>
      </c>
      <c r="C993" s="592" t="s">
        <v>44</v>
      </c>
      <c r="D993" s="592" t="s">
        <v>1347</v>
      </c>
      <c r="E993" s="512">
        <v>-1380.6</v>
      </c>
      <c r="F993" s="513" t="s">
        <v>8</v>
      </c>
      <c r="G993" s="592" t="s">
        <v>233</v>
      </c>
    </row>
    <row r="994" spans="1:7" s="514" customFormat="1" hidden="1" x14ac:dyDescent="0.3">
      <c r="A994" s="515">
        <v>45894</v>
      </c>
      <c r="B994" s="626" t="s">
        <v>212</v>
      </c>
      <c r="C994" s="592" t="s">
        <v>44</v>
      </c>
      <c r="D994" s="592" t="s">
        <v>1346</v>
      </c>
      <c r="E994" s="512">
        <v>-2669.2</v>
      </c>
      <c r="F994" s="513" t="s">
        <v>8</v>
      </c>
      <c r="G994" s="592" t="s">
        <v>233</v>
      </c>
    </row>
    <row r="995" spans="1:7" s="514" customFormat="1" ht="14.4" hidden="1" customHeight="1" x14ac:dyDescent="0.3">
      <c r="A995" s="515">
        <v>45894</v>
      </c>
      <c r="B995" s="626" t="s">
        <v>212</v>
      </c>
      <c r="C995" s="592" t="s">
        <v>72</v>
      </c>
      <c r="D995" s="592" t="s">
        <v>1348</v>
      </c>
      <c r="E995" s="512">
        <v>-578.04</v>
      </c>
      <c r="F995" s="513" t="s">
        <v>8</v>
      </c>
      <c r="G995" s="592" t="s">
        <v>233</v>
      </c>
    </row>
    <row r="996" spans="1:7" s="291" customFormat="1" hidden="1" x14ac:dyDescent="0.3">
      <c r="A996" s="205">
        <v>45894</v>
      </c>
      <c r="B996" s="252" t="s">
        <v>212</v>
      </c>
      <c r="C996" s="24" t="s">
        <v>25</v>
      </c>
      <c r="D996" s="13" t="s">
        <v>888</v>
      </c>
      <c r="E996" s="28">
        <v>-1942.68</v>
      </c>
      <c r="F996" s="25" t="s">
        <v>8</v>
      </c>
      <c r="G996" s="214" t="s">
        <v>156</v>
      </c>
    </row>
    <row r="997" spans="1:7" s="514" customFormat="1" hidden="1" x14ac:dyDescent="0.3">
      <c r="A997" s="626">
        <v>45891</v>
      </c>
      <c r="B997" s="626" t="s">
        <v>212</v>
      </c>
      <c r="C997" s="592" t="s">
        <v>25</v>
      </c>
      <c r="D997" s="592" t="s">
        <v>1322</v>
      </c>
      <c r="E997" s="512">
        <v>-100</v>
      </c>
      <c r="F997" s="513" t="s">
        <v>8</v>
      </c>
      <c r="G997" s="518" t="s">
        <v>83</v>
      </c>
    </row>
    <row r="998" spans="1:7" s="514" customFormat="1" hidden="1" x14ac:dyDescent="0.3">
      <c r="A998" s="626">
        <v>45891</v>
      </c>
      <c r="B998" s="626" t="s">
        <v>212</v>
      </c>
      <c r="C998" s="592" t="s">
        <v>17</v>
      </c>
      <c r="D998" s="592" t="s">
        <v>384</v>
      </c>
      <c r="E998" s="512">
        <v>-99.04</v>
      </c>
      <c r="F998" s="513" t="s">
        <v>8</v>
      </c>
      <c r="G998" s="518" t="s">
        <v>99</v>
      </c>
    </row>
    <row r="999" spans="1:7" s="514" customFormat="1" hidden="1" x14ac:dyDescent="0.3">
      <c r="A999" s="626">
        <v>45891</v>
      </c>
      <c r="B999" s="626" t="s">
        <v>212</v>
      </c>
      <c r="C999" s="592" t="s">
        <v>17</v>
      </c>
      <c r="D999" s="592" t="s">
        <v>812</v>
      </c>
      <c r="E999" s="512">
        <v>-307.5</v>
      </c>
      <c r="F999" s="513" t="s">
        <v>8</v>
      </c>
      <c r="G999" s="518" t="s">
        <v>99</v>
      </c>
    </row>
    <row r="1000" spans="1:7" s="439" customFormat="1" hidden="1" x14ac:dyDescent="0.3">
      <c r="A1000" s="729">
        <v>45898</v>
      </c>
      <c r="B1000" s="729" t="s">
        <v>212</v>
      </c>
      <c r="C1000" s="731" t="s">
        <v>17</v>
      </c>
      <c r="D1000" s="731" t="s">
        <v>143</v>
      </c>
      <c r="E1000" s="765">
        <v>-19960</v>
      </c>
      <c r="F1000" s="732" t="s">
        <v>8</v>
      </c>
      <c r="G1000" s="733" t="s">
        <v>59</v>
      </c>
    </row>
    <row r="1001" spans="1:7" s="514" customFormat="1" hidden="1" x14ac:dyDescent="0.3">
      <c r="A1001" s="608">
        <v>45898</v>
      </c>
      <c r="B1001" s="644" t="s">
        <v>212</v>
      </c>
      <c r="C1001" s="588" t="s">
        <v>13</v>
      </c>
      <c r="D1001" s="839" t="s">
        <v>144</v>
      </c>
      <c r="E1001" s="838">
        <v>-500</v>
      </c>
      <c r="F1001" s="727" t="s">
        <v>8</v>
      </c>
      <c r="G1001" s="563" t="s">
        <v>69</v>
      </c>
    </row>
    <row r="1002" spans="1:7" s="514" customFormat="1" hidden="1" x14ac:dyDescent="0.3">
      <c r="A1002" s="515">
        <v>45901</v>
      </c>
      <c r="B1002" s="626" t="s">
        <v>213</v>
      </c>
      <c r="C1002" s="787" t="s">
        <v>65</v>
      </c>
      <c r="D1002" s="600" t="s">
        <v>97</v>
      </c>
      <c r="E1002" s="627">
        <v>-5000</v>
      </c>
      <c r="F1002" s="519" t="s">
        <v>8</v>
      </c>
      <c r="G1002" s="519" t="s">
        <v>39</v>
      </c>
    </row>
    <row r="1003" spans="1:7" s="514" customFormat="1" hidden="1" x14ac:dyDescent="0.3">
      <c r="A1003" s="768">
        <v>45898</v>
      </c>
      <c r="B1003" s="746" t="s">
        <v>212</v>
      </c>
      <c r="C1003" s="874" t="s">
        <v>17</v>
      </c>
      <c r="D1003" s="809" t="s">
        <v>145</v>
      </c>
      <c r="E1003" s="812">
        <v>-2530.4299999999998</v>
      </c>
      <c r="F1003" s="766" t="s">
        <v>8</v>
      </c>
      <c r="G1003" s="772" t="s">
        <v>69</v>
      </c>
    </row>
    <row r="1004" spans="1:7" s="514" customFormat="1" hidden="1" x14ac:dyDescent="0.3">
      <c r="A1004" s="515">
        <v>45898</v>
      </c>
      <c r="B1004" s="626" t="s">
        <v>212</v>
      </c>
      <c r="C1004" s="516" t="s">
        <v>17</v>
      </c>
      <c r="D1004" s="517" t="s">
        <v>145</v>
      </c>
      <c r="E1004" s="627">
        <v>-1339.5</v>
      </c>
      <c r="F1004" s="513" t="s">
        <v>8</v>
      </c>
      <c r="G1004" s="519" t="s">
        <v>69</v>
      </c>
    </row>
    <row r="1005" spans="1:7" s="291" customFormat="1" hidden="1" x14ac:dyDescent="0.3">
      <c r="A1005" s="252">
        <v>45874</v>
      </c>
      <c r="B1005" s="10" t="s">
        <v>212</v>
      </c>
      <c r="C1005" s="26" t="s">
        <v>17</v>
      </c>
      <c r="D1005" s="26" t="s">
        <v>1107</v>
      </c>
      <c r="E1005" s="19">
        <v>-110.34</v>
      </c>
      <c r="F1005" s="25" t="s">
        <v>8</v>
      </c>
      <c r="G1005" s="14" t="s">
        <v>233</v>
      </c>
    </row>
    <row r="1006" spans="1:7" s="291" customFormat="1" hidden="1" x14ac:dyDescent="0.3">
      <c r="A1006" s="252">
        <v>45874</v>
      </c>
      <c r="B1006" s="10" t="s">
        <v>212</v>
      </c>
      <c r="C1006" s="26" t="s">
        <v>44</v>
      </c>
      <c r="D1006" s="26" t="s">
        <v>395</v>
      </c>
      <c r="E1006" s="19">
        <v>-215.21</v>
      </c>
      <c r="F1006" s="25" t="s">
        <v>8</v>
      </c>
      <c r="G1006" s="20" t="s">
        <v>37</v>
      </c>
    </row>
    <row r="1007" spans="1:7" s="291" customFormat="1" hidden="1" x14ac:dyDescent="0.3">
      <c r="A1007" s="252">
        <v>45874</v>
      </c>
      <c r="B1007" s="10" t="s">
        <v>212</v>
      </c>
      <c r="C1007" s="26" t="s">
        <v>106</v>
      </c>
      <c r="D1007" s="26" t="s">
        <v>395</v>
      </c>
      <c r="E1007" s="19">
        <v>-376.91</v>
      </c>
      <c r="F1007" s="25" t="s">
        <v>8</v>
      </c>
      <c r="G1007" s="20" t="s">
        <v>37</v>
      </c>
    </row>
    <row r="1008" spans="1:7" s="291" customFormat="1" hidden="1" x14ac:dyDescent="0.3">
      <c r="A1008" s="252">
        <v>45874</v>
      </c>
      <c r="B1008" s="10" t="s">
        <v>212</v>
      </c>
      <c r="C1008" s="26" t="s">
        <v>17</v>
      </c>
      <c r="D1008" s="26" t="s">
        <v>395</v>
      </c>
      <c r="E1008" s="19">
        <v>-360.09</v>
      </c>
      <c r="F1008" s="25" t="s">
        <v>8</v>
      </c>
      <c r="G1008" s="20" t="s">
        <v>37</v>
      </c>
    </row>
    <row r="1009" spans="1:7" s="291" customFormat="1" hidden="1" x14ac:dyDescent="0.3">
      <c r="A1009" s="252">
        <v>45875</v>
      </c>
      <c r="B1009" s="252" t="s">
        <v>212</v>
      </c>
      <c r="C1009" s="26" t="s">
        <v>31</v>
      </c>
      <c r="D1009" s="26" t="s">
        <v>1121</v>
      </c>
      <c r="E1009" s="19">
        <v>-99.77</v>
      </c>
      <c r="F1009" s="25" t="s">
        <v>8</v>
      </c>
      <c r="G1009" s="20" t="s">
        <v>51</v>
      </c>
    </row>
    <row r="1010" spans="1:7" s="291" customFormat="1" hidden="1" x14ac:dyDescent="0.3">
      <c r="A1010" s="252">
        <v>45874</v>
      </c>
      <c r="B1010" s="252" t="s">
        <v>212</v>
      </c>
      <c r="C1010" s="26" t="s">
        <v>31</v>
      </c>
      <c r="D1010" s="26" t="s">
        <v>1087</v>
      </c>
      <c r="E1010" s="19">
        <v>-141.6</v>
      </c>
      <c r="F1010" s="25" t="s">
        <v>8</v>
      </c>
      <c r="G1010" s="14" t="s">
        <v>83</v>
      </c>
    </row>
    <row r="1011" spans="1:7" s="291" customFormat="1" hidden="1" x14ac:dyDescent="0.3">
      <c r="A1011" s="252">
        <v>45874</v>
      </c>
      <c r="B1011" s="252" t="s">
        <v>212</v>
      </c>
      <c r="C1011" s="26" t="s">
        <v>25</v>
      </c>
      <c r="D1011" s="26" t="s">
        <v>1088</v>
      </c>
      <c r="E1011" s="19">
        <v>-188.8</v>
      </c>
      <c r="F1011" s="25" t="s">
        <v>8</v>
      </c>
      <c r="G1011" s="14" t="s">
        <v>83</v>
      </c>
    </row>
    <row r="1012" spans="1:7" s="291" customFormat="1" hidden="1" x14ac:dyDescent="0.3">
      <c r="A1012" s="252">
        <v>45874</v>
      </c>
      <c r="B1012" s="252" t="s">
        <v>212</v>
      </c>
      <c r="C1012" s="26" t="s">
        <v>17</v>
      </c>
      <c r="D1012" s="26" t="s">
        <v>1089</v>
      </c>
      <c r="E1012" s="19">
        <v>-200</v>
      </c>
      <c r="F1012" s="25" t="s">
        <v>8</v>
      </c>
      <c r="G1012" s="14" t="s">
        <v>83</v>
      </c>
    </row>
    <row r="1013" spans="1:7" s="291" customFormat="1" hidden="1" x14ac:dyDescent="0.3">
      <c r="A1013" s="252">
        <v>45874</v>
      </c>
      <c r="B1013" s="252" t="s">
        <v>212</v>
      </c>
      <c r="C1013" s="26" t="s">
        <v>17</v>
      </c>
      <c r="D1013" s="26" t="s">
        <v>1090</v>
      </c>
      <c r="E1013" s="19">
        <v>-342</v>
      </c>
      <c r="F1013" s="25" t="s">
        <v>8</v>
      </c>
      <c r="G1013" s="14" t="s">
        <v>83</v>
      </c>
    </row>
    <row r="1014" spans="1:7" s="291" customFormat="1" hidden="1" x14ac:dyDescent="0.3">
      <c r="A1014" s="252">
        <v>45874</v>
      </c>
      <c r="B1014" s="252" t="s">
        <v>212</v>
      </c>
      <c r="C1014" s="26" t="s">
        <v>17</v>
      </c>
      <c r="D1014" s="26" t="s">
        <v>1091</v>
      </c>
      <c r="E1014" s="19">
        <v>-186</v>
      </c>
      <c r="F1014" s="25" t="s">
        <v>8</v>
      </c>
      <c r="G1014" s="14" t="s">
        <v>83</v>
      </c>
    </row>
    <row r="1015" spans="1:7" s="291" customFormat="1" hidden="1" x14ac:dyDescent="0.3">
      <c r="A1015" s="252">
        <v>45874</v>
      </c>
      <c r="B1015" s="252" t="s">
        <v>212</v>
      </c>
      <c r="C1015" s="26" t="s">
        <v>17</v>
      </c>
      <c r="D1015" s="26" t="s">
        <v>1092</v>
      </c>
      <c r="E1015" s="19">
        <v>-200</v>
      </c>
      <c r="F1015" s="25" t="s">
        <v>8</v>
      </c>
      <c r="G1015" s="14" t="s">
        <v>83</v>
      </c>
    </row>
    <row r="1016" spans="1:7" s="291" customFormat="1" hidden="1" x14ac:dyDescent="0.3">
      <c r="A1016" s="252">
        <v>45874</v>
      </c>
      <c r="B1016" s="252" t="s">
        <v>212</v>
      </c>
      <c r="C1016" s="26" t="s">
        <v>17</v>
      </c>
      <c r="D1016" s="26" t="s">
        <v>1093</v>
      </c>
      <c r="E1016" s="19">
        <v>-200</v>
      </c>
      <c r="F1016" s="25" t="s">
        <v>8</v>
      </c>
      <c r="G1016" s="14" t="s">
        <v>83</v>
      </c>
    </row>
    <row r="1017" spans="1:7" s="291" customFormat="1" hidden="1" x14ac:dyDescent="0.3">
      <c r="A1017" s="252">
        <v>45874</v>
      </c>
      <c r="B1017" s="252" t="s">
        <v>212</v>
      </c>
      <c r="C1017" s="26" t="s">
        <v>17</v>
      </c>
      <c r="D1017" s="26" t="s">
        <v>1109</v>
      </c>
      <c r="E1017" s="19">
        <v>-1500</v>
      </c>
      <c r="F1017" s="25" t="s">
        <v>8</v>
      </c>
      <c r="G1017" s="14" t="s">
        <v>15</v>
      </c>
    </row>
    <row r="1018" spans="1:7" s="291" customFormat="1" ht="15.6" hidden="1" customHeight="1" x14ac:dyDescent="0.3">
      <c r="A1018" s="252">
        <v>45874</v>
      </c>
      <c r="B1018" s="252" t="s">
        <v>212</v>
      </c>
      <c r="C1018" s="24" t="s">
        <v>30</v>
      </c>
      <c r="D1018" s="26" t="s">
        <v>1114</v>
      </c>
      <c r="E1018" s="19">
        <v>-20</v>
      </c>
      <c r="F1018" s="25" t="s">
        <v>8</v>
      </c>
      <c r="G1018" s="14" t="s">
        <v>83</v>
      </c>
    </row>
    <row r="1019" spans="1:7" s="291" customFormat="1" hidden="1" x14ac:dyDescent="0.3">
      <c r="A1019" s="252">
        <v>45874</v>
      </c>
      <c r="B1019" s="252" t="s">
        <v>212</v>
      </c>
      <c r="C1019" s="24" t="s">
        <v>30</v>
      </c>
      <c r="D1019" s="26" t="s">
        <v>1113</v>
      </c>
      <c r="E1019" s="19">
        <v>-20</v>
      </c>
      <c r="F1019" s="25" t="s">
        <v>8</v>
      </c>
      <c r="G1019" s="14" t="s">
        <v>83</v>
      </c>
    </row>
    <row r="1020" spans="1:7" s="291" customFormat="1" hidden="1" x14ac:dyDescent="0.3">
      <c r="A1020" s="252">
        <v>45874</v>
      </c>
      <c r="B1020" s="252" t="s">
        <v>212</v>
      </c>
      <c r="C1020" s="24" t="s">
        <v>30</v>
      </c>
      <c r="D1020" s="26" t="s">
        <v>1112</v>
      </c>
      <c r="E1020" s="19">
        <v>-6.5</v>
      </c>
      <c r="F1020" s="25" t="s">
        <v>8</v>
      </c>
      <c r="G1020" s="14" t="s">
        <v>83</v>
      </c>
    </row>
    <row r="1021" spans="1:7" s="291" customFormat="1" hidden="1" x14ac:dyDescent="0.3">
      <c r="A1021" s="252">
        <v>45874</v>
      </c>
      <c r="B1021" s="252" t="s">
        <v>212</v>
      </c>
      <c r="C1021" s="24" t="s">
        <v>30</v>
      </c>
      <c r="D1021" s="26" t="s">
        <v>1111</v>
      </c>
      <c r="E1021" s="19">
        <v>-120.4</v>
      </c>
      <c r="F1021" s="25" t="s">
        <v>8</v>
      </c>
      <c r="G1021" s="14" t="s">
        <v>83</v>
      </c>
    </row>
    <row r="1022" spans="1:7" s="291" customFormat="1" hidden="1" x14ac:dyDescent="0.3">
      <c r="A1022" s="252">
        <v>45874</v>
      </c>
      <c r="B1022" s="252" t="s">
        <v>212</v>
      </c>
      <c r="C1022" s="26" t="s">
        <v>17</v>
      </c>
      <c r="D1022" s="26" t="s">
        <v>1108</v>
      </c>
      <c r="E1022" s="19">
        <v>-12500</v>
      </c>
      <c r="F1022" s="25" t="s">
        <v>8</v>
      </c>
      <c r="G1022" s="14" t="s">
        <v>41</v>
      </c>
    </row>
    <row r="1023" spans="1:7" s="514" customFormat="1" hidden="1" x14ac:dyDescent="0.3">
      <c r="A1023" s="515">
        <v>45898</v>
      </c>
      <c r="B1023" s="626" t="s">
        <v>212</v>
      </c>
      <c r="C1023" s="599" t="s">
        <v>81</v>
      </c>
      <c r="D1023" s="600" t="s">
        <v>82</v>
      </c>
      <c r="E1023" s="627">
        <v>-4968.66</v>
      </c>
      <c r="F1023" s="513" t="s">
        <v>8</v>
      </c>
      <c r="G1023" s="519" t="s">
        <v>83</v>
      </c>
    </row>
    <row r="1024" spans="1:7" s="439" customFormat="1" hidden="1" x14ac:dyDescent="0.3">
      <c r="A1024" s="797">
        <v>45898</v>
      </c>
      <c r="B1024" s="729" t="s">
        <v>212</v>
      </c>
      <c r="C1024" s="730" t="s">
        <v>17</v>
      </c>
      <c r="D1024" s="731" t="s">
        <v>143</v>
      </c>
      <c r="E1024" s="765">
        <v>-10997.46</v>
      </c>
      <c r="F1024" s="732" t="s">
        <v>8</v>
      </c>
      <c r="G1024" s="733" t="s">
        <v>59</v>
      </c>
    </row>
    <row r="1025" spans="1:7" s="514" customFormat="1" hidden="1" x14ac:dyDescent="0.3">
      <c r="A1025" s="515">
        <v>45898</v>
      </c>
      <c r="B1025" s="626" t="s">
        <v>212</v>
      </c>
      <c r="C1025" s="599" t="s">
        <v>6</v>
      </c>
      <c r="D1025" s="600" t="s">
        <v>147</v>
      </c>
      <c r="E1025" s="627">
        <v>-29341.02</v>
      </c>
      <c r="F1025" s="513" t="s">
        <v>8</v>
      </c>
      <c r="G1025" s="728" t="s">
        <v>127</v>
      </c>
    </row>
    <row r="1026" spans="1:7" s="738" customFormat="1" ht="14.4" hidden="1" x14ac:dyDescent="0.3">
      <c r="A1026" s="781">
        <v>45898</v>
      </c>
      <c r="B1026" s="737" t="s">
        <v>212</v>
      </c>
      <c r="C1026" s="784" t="s">
        <v>17</v>
      </c>
      <c r="D1026" s="794" t="s">
        <v>1379</v>
      </c>
      <c r="E1026" s="684">
        <v>-1057.5999999999999</v>
      </c>
      <c r="F1026" s="513" t="s">
        <v>8</v>
      </c>
      <c r="G1026" s="796" t="s">
        <v>99</v>
      </c>
    </row>
    <row r="1027" spans="1:7" s="738" customFormat="1" ht="14.4" hidden="1" x14ac:dyDescent="0.3">
      <c r="A1027" s="781">
        <v>45898</v>
      </c>
      <c r="B1027" s="737" t="s">
        <v>212</v>
      </c>
      <c r="C1027" s="784" t="s">
        <v>17</v>
      </c>
      <c r="D1027" s="794" t="s">
        <v>1378</v>
      </c>
      <c r="E1027" s="512">
        <v>-7610.5</v>
      </c>
      <c r="F1027" s="513" t="s">
        <v>8</v>
      </c>
      <c r="G1027" s="796" t="s">
        <v>99</v>
      </c>
    </row>
    <row r="1028" spans="1:7" s="514" customFormat="1" hidden="1" x14ac:dyDescent="0.3">
      <c r="A1028" s="608">
        <v>45898</v>
      </c>
      <c r="B1028" s="644" t="s">
        <v>212</v>
      </c>
      <c r="C1028" s="840" t="s">
        <v>17</v>
      </c>
      <c r="D1028" s="758" t="s">
        <v>149</v>
      </c>
      <c r="E1028" s="838">
        <v>-1500</v>
      </c>
      <c r="F1028" s="727" t="s">
        <v>8</v>
      </c>
      <c r="G1028" s="563" t="s">
        <v>150</v>
      </c>
    </row>
    <row r="1029" spans="1:7" s="514" customFormat="1" hidden="1" x14ac:dyDescent="0.3">
      <c r="A1029" s="515">
        <v>45901</v>
      </c>
      <c r="B1029" s="626" t="s">
        <v>213</v>
      </c>
      <c r="C1029" s="599" t="s">
        <v>17</v>
      </c>
      <c r="D1029" s="517" t="s">
        <v>151</v>
      </c>
      <c r="E1029" s="627">
        <v>-100</v>
      </c>
      <c r="F1029" s="513" t="s">
        <v>8</v>
      </c>
      <c r="G1029" s="519" t="s">
        <v>150</v>
      </c>
    </row>
    <row r="1030" spans="1:7" s="291" customFormat="1" hidden="1" x14ac:dyDescent="0.3">
      <c r="A1030" s="252">
        <v>45917</v>
      </c>
      <c r="B1030" s="252" t="s">
        <v>213</v>
      </c>
      <c r="C1030" s="24" t="s">
        <v>13</v>
      </c>
      <c r="D1030" s="18" t="s">
        <v>1537</v>
      </c>
      <c r="E1030" s="28">
        <v>-111.89</v>
      </c>
      <c r="F1030" s="25" t="s">
        <v>8</v>
      </c>
      <c r="G1030" s="14" t="s">
        <v>153</v>
      </c>
    </row>
    <row r="1031" spans="1:7" s="514" customFormat="1" hidden="1" x14ac:dyDescent="0.3">
      <c r="A1031" s="515">
        <v>45901</v>
      </c>
      <c r="B1031" s="626" t="s">
        <v>213</v>
      </c>
      <c r="C1031" s="599" t="s">
        <v>13</v>
      </c>
      <c r="D1031" s="517" t="s">
        <v>1476</v>
      </c>
      <c r="E1031" s="627">
        <v>-16.399999999999999</v>
      </c>
      <c r="F1031" s="513" t="s">
        <v>8</v>
      </c>
      <c r="G1031" s="519" t="s">
        <v>153</v>
      </c>
    </row>
    <row r="1032" spans="1:7" s="514" customFormat="1" hidden="1" x14ac:dyDescent="0.3">
      <c r="A1032" s="515">
        <v>45901</v>
      </c>
      <c r="B1032" s="626" t="s">
        <v>213</v>
      </c>
      <c r="C1032" s="599" t="s">
        <v>13</v>
      </c>
      <c r="D1032" s="517" t="s">
        <v>1475</v>
      </c>
      <c r="E1032" s="627">
        <v>-130</v>
      </c>
      <c r="F1032" s="513" t="s">
        <v>8</v>
      </c>
      <c r="G1032" s="519" t="s">
        <v>153</v>
      </c>
    </row>
    <row r="1033" spans="1:7" s="291" customFormat="1" hidden="1" x14ac:dyDescent="0.3">
      <c r="A1033" s="205">
        <v>45923</v>
      </c>
      <c r="B1033" s="252" t="s">
        <v>213</v>
      </c>
      <c r="C1033" s="24" t="s">
        <v>17</v>
      </c>
      <c r="D1033" s="26" t="s">
        <v>889</v>
      </c>
      <c r="E1033" s="28">
        <v>-56900</v>
      </c>
      <c r="F1033" s="25" t="s">
        <v>8</v>
      </c>
      <c r="G1033" s="25" t="s">
        <v>156</v>
      </c>
    </row>
    <row r="1034" spans="1:7" s="514" customFormat="1" ht="14.4" hidden="1" x14ac:dyDescent="0.3">
      <c r="A1034" s="768">
        <v>45898</v>
      </c>
      <c r="B1034" s="746" t="s">
        <v>212</v>
      </c>
      <c r="C1034" s="875" t="s">
        <v>31</v>
      </c>
      <c r="D1034" s="875" t="s">
        <v>1415</v>
      </c>
      <c r="E1034" s="876">
        <v>-2210.4699999999998</v>
      </c>
      <c r="F1034" s="766" t="s">
        <v>8</v>
      </c>
      <c r="G1034" s="766" t="s">
        <v>155</v>
      </c>
    </row>
    <row r="1035" spans="1:7" s="514" customFormat="1" ht="14.4" hidden="1" x14ac:dyDescent="0.3">
      <c r="A1035" s="515">
        <v>45898</v>
      </c>
      <c r="B1035" s="626" t="s">
        <v>212</v>
      </c>
      <c r="C1035" s="713" t="s">
        <v>31</v>
      </c>
      <c r="D1035" s="713" t="s">
        <v>1416</v>
      </c>
      <c r="E1035" s="716">
        <v>-2222.06</v>
      </c>
      <c r="F1035" s="513" t="s">
        <v>8</v>
      </c>
      <c r="G1035" s="513" t="s">
        <v>155</v>
      </c>
    </row>
    <row r="1036" spans="1:7" s="514" customFormat="1" ht="14.4" hidden="1" x14ac:dyDescent="0.3">
      <c r="A1036" s="515">
        <v>45898</v>
      </c>
      <c r="B1036" s="626" t="s">
        <v>212</v>
      </c>
      <c r="C1036" s="713" t="s">
        <v>31</v>
      </c>
      <c r="D1036" s="713" t="s">
        <v>494</v>
      </c>
      <c r="E1036" s="716">
        <v>-2187.31</v>
      </c>
      <c r="F1036" s="513" t="s">
        <v>8</v>
      </c>
      <c r="G1036" s="513" t="s">
        <v>155</v>
      </c>
    </row>
    <row r="1037" spans="1:7" s="514" customFormat="1" ht="14.4" hidden="1" x14ac:dyDescent="0.3">
      <c r="A1037" s="515">
        <v>45898</v>
      </c>
      <c r="B1037" s="626" t="s">
        <v>212</v>
      </c>
      <c r="C1037" s="713" t="s">
        <v>31</v>
      </c>
      <c r="D1037" s="713" t="s">
        <v>1417</v>
      </c>
      <c r="E1037" s="716">
        <v>-2175.75</v>
      </c>
      <c r="F1037" s="513" t="s">
        <v>8</v>
      </c>
      <c r="G1037" s="513" t="s">
        <v>155</v>
      </c>
    </row>
    <row r="1038" spans="1:7" s="514" customFormat="1" ht="14.4" hidden="1" x14ac:dyDescent="0.3">
      <c r="A1038" s="515">
        <v>45898</v>
      </c>
      <c r="B1038" s="626" t="s">
        <v>212</v>
      </c>
      <c r="C1038" s="713" t="s">
        <v>6</v>
      </c>
      <c r="D1038" s="713" t="s">
        <v>1418</v>
      </c>
      <c r="E1038" s="716">
        <v>-1891.45</v>
      </c>
      <c r="F1038" s="513" t="s">
        <v>8</v>
      </c>
      <c r="G1038" s="513" t="s">
        <v>155</v>
      </c>
    </row>
    <row r="1039" spans="1:7" s="514" customFormat="1" ht="14.4" hidden="1" x14ac:dyDescent="0.3">
      <c r="A1039" s="515">
        <v>45898</v>
      </c>
      <c r="B1039" s="626" t="s">
        <v>212</v>
      </c>
      <c r="C1039" s="713" t="s">
        <v>6</v>
      </c>
      <c r="D1039" s="713" t="s">
        <v>1419</v>
      </c>
      <c r="E1039" s="716">
        <v>-2548.5700000000002</v>
      </c>
      <c r="F1039" s="513" t="s">
        <v>8</v>
      </c>
      <c r="G1039" s="513" t="s">
        <v>155</v>
      </c>
    </row>
    <row r="1040" spans="1:7" s="514" customFormat="1" ht="14.4" hidden="1" x14ac:dyDescent="0.3">
      <c r="A1040" s="515">
        <v>45898</v>
      </c>
      <c r="B1040" s="626" t="s">
        <v>212</v>
      </c>
      <c r="C1040" s="713" t="s">
        <v>6</v>
      </c>
      <c r="D1040" s="713" t="s">
        <v>1420</v>
      </c>
      <c r="E1040" s="716">
        <v>-1745.15</v>
      </c>
      <c r="F1040" s="513" t="s">
        <v>8</v>
      </c>
      <c r="G1040" s="513" t="s">
        <v>155</v>
      </c>
    </row>
    <row r="1041" spans="1:7" s="514" customFormat="1" ht="14.4" hidden="1" x14ac:dyDescent="0.3">
      <c r="A1041" s="515">
        <v>45898</v>
      </c>
      <c r="B1041" s="626" t="s">
        <v>212</v>
      </c>
      <c r="C1041" s="713" t="s">
        <v>25</v>
      </c>
      <c r="D1041" s="713" t="s">
        <v>1421</v>
      </c>
      <c r="E1041" s="716">
        <v>-2367.39</v>
      </c>
      <c r="F1041" s="513" t="s">
        <v>8</v>
      </c>
      <c r="G1041" s="513" t="s">
        <v>155</v>
      </c>
    </row>
    <row r="1042" spans="1:7" s="514" customFormat="1" ht="14.4" hidden="1" x14ac:dyDescent="0.3">
      <c r="A1042" s="515">
        <v>45898</v>
      </c>
      <c r="B1042" s="626" t="s">
        <v>212</v>
      </c>
      <c r="C1042" s="713" t="s">
        <v>25</v>
      </c>
      <c r="D1042" s="713" t="s">
        <v>1422</v>
      </c>
      <c r="E1042" s="716">
        <v>-2931.59</v>
      </c>
      <c r="F1042" s="513" t="s">
        <v>8</v>
      </c>
      <c r="G1042" s="513" t="s">
        <v>155</v>
      </c>
    </row>
    <row r="1043" spans="1:7" s="514" customFormat="1" ht="14.4" hidden="1" x14ac:dyDescent="0.3">
      <c r="A1043" s="515">
        <v>45898</v>
      </c>
      <c r="B1043" s="626" t="s">
        <v>212</v>
      </c>
      <c r="C1043" s="713" t="s">
        <v>32</v>
      </c>
      <c r="D1043" s="713" t="s">
        <v>1423</v>
      </c>
      <c r="E1043" s="716">
        <v>-2229.48</v>
      </c>
      <c r="F1043" s="513" t="s">
        <v>8</v>
      </c>
      <c r="G1043" s="513" t="s">
        <v>155</v>
      </c>
    </row>
    <row r="1044" spans="1:7" s="514" customFormat="1" ht="14.4" hidden="1" x14ac:dyDescent="0.3">
      <c r="A1044" s="515">
        <v>45898</v>
      </c>
      <c r="B1044" s="626" t="s">
        <v>212</v>
      </c>
      <c r="C1044" s="713" t="s">
        <v>32</v>
      </c>
      <c r="D1044" s="713" t="s">
        <v>1424</v>
      </c>
      <c r="E1044" s="716">
        <v>-3398.37</v>
      </c>
      <c r="F1044" s="513" t="s">
        <v>8</v>
      </c>
      <c r="G1044" s="513" t="s">
        <v>155</v>
      </c>
    </row>
    <row r="1045" spans="1:7" s="514" customFormat="1" ht="14.4" hidden="1" x14ac:dyDescent="0.3">
      <c r="A1045" s="515">
        <v>45898</v>
      </c>
      <c r="B1045" s="626" t="s">
        <v>212</v>
      </c>
      <c r="C1045" s="713" t="s">
        <v>32</v>
      </c>
      <c r="D1045" s="713" t="s">
        <v>1425</v>
      </c>
      <c r="E1045" s="716">
        <v>-2245.13</v>
      </c>
      <c r="F1045" s="513" t="s">
        <v>8</v>
      </c>
      <c r="G1045" s="513" t="s">
        <v>155</v>
      </c>
    </row>
    <row r="1046" spans="1:7" s="514" customFormat="1" ht="14.4" hidden="1" x14ac:dyDescent="0.3">
      <c r="A1046" s="515">
        <v>45898</v>
      </c>
      <c r="B1046" s="626" t="s">
        <v>212</v>
      </c>
      <c r="C1046" s="713" t="s">
        <v>32</v>
      </c>
      <c r="D1046" s="713" t="s">
        <v>1426</v>
      </c>
      <c r="E1046" s="716">
        <v>-2796.76</v>
      </c>
      <c r="F1046" s="513" t="s">
        <v>8</v>
      </c>
      <c r="G1046" s="513" t="s">
        <v>155</v>
      </c>
    </row>
    <row r="1047" spans="1:7" s="514" customFormat="1" ht="14.4" hidden="1" x14ac:dyDescent="0.3">
      <c r="A1047" s="515">
        <v>45898</v>
      </c>
      <c r="B1047" s="626" t="s">
        <v>212</v>
      </c>
      <c r="C1047" s="713" t="s">
        <v>72</v>
      </c>
      <c r="D1047" s="713" t="s">
        <v>209</v>
      </c>
      <c r="E1047" s="716">
        <v>-2592.66</v>
      </c>
      <c r="F1047" s="513" t="s">
        <v>8</v>
      </c>
      <c r="G1047" s="513" t="s">
        <v>155</v>
      </c>
    </row>
    <row r="1048" spans="1:7" s="514" customFormat="1" ht="14.4" hidden="1" x14ac:dyDescent="0.3">
      <c r="A1048" s="515">
        <v>45898</v>
      </c>
      <c r="B1048" s="626" t="s">
        <v>212</v>
      </c>
      <c r="C1048" s="713" t="s">
        <v>72</v>
      </c>
      <c r="D1048" s="713" t="s">
        <v>87</v>
      </c>
      <c r="E1048" s="716">
        <v>-2156.87</v>
      </c>
      <c r="F1048" s="513" t="s">
        <v>8</v>
      </c>
      <c r="G1048" s="513" t="s">
        <v>155</v>
      </c>
    </row>
    <row r="1049" spans="1:7" s="514" customFormat="1" ht="14.4" hidden="1" x14ac:dyDescent="0.3">
      <c r="A1049" s="515">
        <v>45898</v>
      </c>
      <c r="B1049" s="626" t="s">
        <v>212</v>
      </c>
      <c r="C1049" s="713" t="s">
        <v>32</v>
      </c>
      <c r="D1049" s="713" t="s">
        <v>1437</v>
      </c>
      <c r="E1049" s="716">
        <v>-2565.6</v>
      </c>
      <c r="F1049" s="513" t="s">
        <v>8</v>
      </c>
      <c r="G1049" s="513" t="s">
        <v>155</v>
      </c>
    </row>
    <row r="1050" spans="1:7" s="514" customFormat="1" ht="14.4" hidden="1" x14ac:dyDescent="0.3">
      <c r="A1050" s="515">
        <v>45898</v>
      </c>
      <c r="B1050" s="626" t="s">
        <v>212</v>
      </c>
      <c r="C1050" s="713" t="s">
        <v>17</v>
      </c>
      <c r="D1050" s="713" t="s">
        <v>986</v>
      </c>
      <c r="E1050" s="716">
        <v>-6000</v>
      </c>
      <c r="F1050" s="513" t="s">
        <v>8</v>
      </c>
      <c r="G1050" s="513" t="s">
        <v>155</v>
      </c>
    </row>
    <row r="1051" spans="1:7" s="439" customFormat="1" hidden="1" x14ac:dyDescent="0.3">
      <c r="A1051" s="797">
        <v>45898</v>
      </c>
      <c r="B1051" s="729" t="s">
        <v>212</v>
      </c>
      <c r="C1051" s="730" t="s">
        <v>17</v>
      </c>
      <c r="D1051" s="366" t="s">
        <v>901</v>
      </c>
      <c r="E1051" s="765">
        <v>-6555.73</v>
      </c>
      <c r="F1051" s="732" t="s">
        <v>8</v>
      </c>
      <c r="G1051" s="799" t="s">
        <v>127</v>
      </c>
    </row>
    <row r="1052" spans="1:7" s="514" customFormat="1" hidden="1" x14ac:dyDescent="0.3">
      <c r="A1052" s="608">
        <v>45898</v>
      </c>
      <c r="B1052" s="644" t="s">
        <v>212</v>
      </c>
      <c r="C1052" s="841" t="s">
        <v>17</v>
      </c>
      <c r="D1052" s="842" t="s">
        <v>1427</v>
      </c>
      <c r="E1052" s="843">
        <v>-4331.1099999999997</v>
      </c>
      <c r="F1052" s="844" t="s">
        <v>8</v>
      </c>
      <c r="G1052" s="845" t="s">
        <v>127</v>
      </c>
    </row>
    <row r="1053" spans="1:7" s="291" customFormat="1" hidden="1" x14ac:dyDescent="0.3">
      <c r="A1053" s="252">
        <v>45916</v>
      </c>
      <c r="B1053" s="252" t="s">
        <v>213</v>
      </c>
      <c r="C1053" s="24" t="s">
        <v>44</v>
      </c>
      <c r="D1053" s="18" t="s">
        <v>159</v>
      </c>
      <c r="E1053" s="28">
        <v>-4000</v>
      </c>
      <c r="F1053" s="25" t="s">
        <v>8</v>
      </c>
      <c r="G1053" s="257" t="s">
        <v>127</v>
      </c>
    </row>
    <row r="1054" spans="1:7" s="514" customFormat="1" ht="14.4" hidden="1" x14ac:dyDescent="0.3">
      <c r="A1054" s="768">
        <v>45898</v>
      </c>
      <c r="B1054" s="746" t="s">
        <v>212</v>
      </c>
      <c r="C1054" s="877" t="s">
        <v>31</v>
      </c>
      <c r="D1054" s="878" t="s">
        <v>1435</v>
      </c>
      <c r="E1054" s="879">
        <v>-534.32000000000005</v>
      </c>
      <c r="F1054" s="880" t="s">
        <v>8</v>
      </c>
      <c r="G1054" s="881" t="s">
        <v>127</v>
      </c>
    </row>
    <row r="1055" spans="1:7" s="514" customFormat="1" ht="14.4" hidden="1" x14ac:dyDescent="0.3">
      <c r="A1055" s="515">
        <v>45898</v>
      </c>
      <c r="B1055" s="626" t="s">
        <v>212</v>
      </c>
      <c r="C1055" s="527" t="s">
        <v>25</v>
      </c>
      <c r="D1055" s="795" t="s">
        <v>894</v>
      </c>
      <c r="E1055" s="801">
        <v>-517.63</v>
      </c>
      <c r="F1055" s="619" t="s">
        <v>8</v>
      </c>
      <c r="G1055" s="620" t="s">
        <v>127</v>
      </c>
    </row>
    <row r="1056" spans="1:7" s="514" customFormat="1" ht="13.8" hidden="1" customHeight="1" x14ac:dyDescent="0.3">
      <c r="A1056" s="515">
        <v>45898</v>
      </c>
      <c r="B1056" s="626" t="s">
        <v>212</v>
      </c>
      <c r="C1056" s="617" t="s">
        <v>401</v>
      </c>
      <c r="D1056" s="795" t="s">
        <v>895</v>
      </c>
      <c r="E1056" s="801">
        <v>-527.76</v>
      </c>
      <c r="F1056" s="619" t="s">
        <v>8</v>
      </c>
      <c r="G1056" s="620" t="s">
        <v>127</v>
      </c>
    </row>
    <row r="1057" spans="1:7" s="514" customFormat="1" ht="14.4" hidden="1" x14ac:dyDescent="0.3">
      <c r="A1057" s="515">
        <v>45898</v>
      </c>
      <c r="B1057" s="626" t="s">
        <v>212</v>
      </c>
      <c r="C1057" s="617" t="s">
        <v>33</v>
      </c>
      <c r="D1057" s="795" t="s">
        <v>409</v>
      </c>
      <c r="E1057" s="802">
        <v>-532.07000000000005</v>
      </c>
      <c r="F1057" s="619" t="s">
        <v>8</v>
      </c>
      <c r="G1057" s="620" t="s">
        <v>127</v>
      </c>
    </row>
    <row r="1058" spans="1:7" s="514" customFormat="1" ht="14.4" hidden="1" x14ac:dyDescent="0.3">
      <c r="A1058" s="515">
        <v>45898</v>
      </c>
      <c r="B1058" s="626" t="s">
        <v>212</v>
      </c>
      <c r="C1058" s="599" t="s">
        <v>44</v>
      </c>
      <c r="D1058" s="795" t="s">
        <v>1436</v>
      </c>
      <c r="E1058" s="802">
        <v>-554.52</v>
      </c>
      <c r="F1058" s="619" t="s">
        <v>8</v>
      </c>
      <c r="G1058" s="620" t="s">
        <v>127</v>
      </c>
    </row>
    <row r="1059" spans="1:7" s="514" customFormat="1" hidden="1" x14ac:dyDescent="0.3">
      <c r="A1059" s="515">
        <v>45898</v>
      </c>
      <c r="B1059" s="626" t="s">
        <v>212</v>
      </c>
      <c r="C1059" s="599" t="s">
        <v>44</v>
      </c>
      <c r="D1059" s="600" t="s">
        <v>161</v>
      </c>
      <c r="E1059" s="627">
        <v>-1719.53</v>
      </c>
      <c r="F1059" s="513" t="s">
        <v>8</v>
      </c>
      <c r="G1059" s="513" t="s">
        <v>93</v>
      </c>
    </row>
    <row r="1060" spans="1:7" s="514" customFormat="1" hidden="1" x14ac:dyDescent="0.3">
      <c r="A1060" s="515">
        <v>45898</v>
      </c>
      <c r="B1060" s="626" t="s">
        <v>212</v>
      </c>
      <c r="C1060" s="599" t="s">
        <v>6</v>
      </c>
      <c r="D1060" s="600" t="s">
        <v>161</v>
      </c>
      <c r="E1060" s="627">
        <v>-1392.65</v>
      </c>
      <c r="F1060" s="513" t="s">
        <v>8</v>
      </c>
      <c r="G1060" s="513" t="s">
        <v>93</v>
      </c>
    </row>
    <row r="1061" spans="1:7" s="291" customFormat="1" hidden="1" x14ac:dyDescent="0.3">
      <c r="A1061" s="252">
        <v>45880</v>
      </c>
      <c r="B1061" s="252" t="s">
        <v>212</v>
      </c>
      <c r="C1061" s="26" t="s">
        <v>17</v>
      </c>
      <c r="D1061" s="26" t="s">
        <v>1161</v>
      </c>
      <c r="E1061" s="19">
        <v>-184.5</v>
      </c>
      <c r="F1061" s="25" t="s">
        <v>8</v>
      </c>
      <c r="G1061" s="20" t="s">
        <v>83</v>
      </c>
    </row>
    <row r="1062" spans="1:7" s="291" customFormat="1" hidden="1" x14ac:dyDescent="0.3">
      <c r="A1062" s="252">
        <v>45880</v>
      </c>
      <c r="B1062" s="252" t="s">
        <v>212</v>
      </c>
      <c r="C1062" s="26" t="s">
        <v>17</v>
      </c>
      <c r="D1062" s="26" t="s">
        <v>1162</v>
      </c>
      <c r="E1062" s="19">
        <v>-313</v>
      </c>
      <c r="F1062" s="25" t="s">
        <v>8</v>
      </c>
      <c r="G1062" s="20" t="s">
        <v>83</v>
      </c>
    </row>
    <row r="1063" spans="1:7" s="291" customFormat="1" hidden="1" x14ac:dyDescent="0.3">
      <c r="A1063" s="252">
        <v>45880</v>
      </c>
      <c r="B1063" s="252" t="s">
        <v>212</v>
      </c>
      <c r="C1063" s="26" t="s">
        <v>17</v>
      </c>
      <c r="D1063" s="26" t="s">
        <v>1163</v>
      </c>
      <c r="E1063" s="19">
        <v>-74</v>
      </c>
      <c r="F1063" s="25" t="s">
        <v>8</v>
      </c>
      <c r="G1063" s="20" t="s">
        <v>83</v>
      </c>
    </row>
    <row r="1064" spans="1:7" s="291" customFormat="1" hidden="1" x14ac:dyDescent="0.3">
      <c r="A1064" s="252">
        <v>45880</v>
      </c>
      <c r="B1064" s="252" t="s">
        <v>212</v>
      </c>
      <c r="C1064" s="26" t="s">
        <v>17</v>
      </c>
      <c r="D1064" s="26" t="s">
        <v>1164</v>
      </c>
      <c r="E1064" s="19">
        <v>-190</v>
      </c>
      <c r="F1064" s="25" t="s">
        <v>8</v>
      </c>
      <c r="G1064" s="20" t="s">
        <v>83</v>
      </c>
    </row>
    <row r="1065" spans="1:7" s="291" customFormat="1" hidden="1" x14ac:dyDescent="0.3">
      <c r="A1065" s="252">
        <v>45880</v>
      </c>
      <c r="B1065" s="252" t="s">
        <v>212</v>
      </c>
      <c r="C1065" s="26" t="s">
        <v>31</v>
      </c>
      <c r="D1065" s="26" t="s">
        <v>1165</v>
      </c>
      <c r="E1065" s="19">
        <v>-90</v>
      </c>
      <c r="F1065" s="25" t="s">
        <v>8</v>
      </c>
      <c r="G1065" s="20" t="s">
        <v>51</v>
      </c>
    </row>
    <row r="1066" spans="1:7" s="291" customFormat="1" hidden="1" x14ac:dyDescent="0.3">
      <c r="A1066" s="252">
        <v>45880</v>
      </c>
      <c r="B1066" s="252" t="s">
        <v>212</v>
      </c>
      <c r="C1066" s="26" t="s">
        <v>25</v>
      </c>
      <c r="D1066" s="26" t="s">
        <v>1166</v>
      </c>
      <c r="E1066" s="19">
        <v>-341.24</v>
      </c>
      <c r="F1066" s="25" t="s">
        <v>8</v>
      </c>
      <c r="G1066" s="20" t="s">
        <v>389</v>
      </c>
    </row>
    <row r="1067" spans="1:7" s="291" customFormat="1" ht="15" hidden="1" customHeight="1" x14ac:dyDescent="0.3">
      <c r="A1067" s="252">
        <v>45880</v>
      </c>
      <c r="B1067" s="252" t="s">
        <v>212</v>
      </c>
      <c r="C1067" s="26" t="s">
        <v>33</v>
      </c>
      <c r="D1067" s="26" t="s">
        <v>1167</v>
      </c>
      <c r="E1067" s="19">
        <v>-195.38</v>
      </c>
      <c r="F1067" s="25" t="s">
        <v>8</v>
      </c>
      <c r="G1067" s="20" t="s">
        <v>389</v>
      </c>
    </row>
    <row r="1068" spans="1:7" s="291" customFormat="1" ht="15" hidden="1" customHeight="1" x14ac:dyDescent="0.3">
      <c r="A1068" s="252">
        <v>45880</v>
      </c>
      <c r="B1068" s="252" t="s">
        <v>212</v>
      </c>
      <c r="C1068" s="583" t="s">
        <v>72</v>
      </c>
      <c r="D1068" s="583" t="s">
        <v>1168</v>
      </c>
      <c r="E1068" s="573">
        <v>-489.49</v>
      </c>
      <c r="F1068" s="25" t="s">
        <v>8</v>
      </c>
      <c r="G1068" s="703" t="s">
        <v>1169</v>
      </c>
    </row>
    <row r="1069" spans="1:7" s="291" customFormat="1" hidden="1" x14ac:dyDescent="0.3">
      <c r="A1069" s="252">
        <v>45880</v>
      </c>
      <c r="B1069" s="252" t="s">
        <v>212</v>
      </c>
      <c r="C1069" s="26" t="s">
        <v>17</v>
      </c>
      <c r="D1069" s="26" t="s">
        <v>490</v>
      </c>
      <c r="E1069" s="19">
        <v>-89.28</v>
      </c>
      <c r="F1069" s="25" t="s">
        <v>8</v>
      </c>
      <c r="G1069" s="20" t="s">
        <v>76</v>
      </c>
    </row>
    <row r="1070" spans="1:7" s="291" customFormat="1" hidden="1" x14ac:dyDescent="0.3">
      <c r="A1070" s="252">
        <v>45880</v>
      </c>
      <c r="B1070" s="252" t="s">
        <v>212</v>
      </c>
      <c r="C1070" s="24" t="s">
        <v>13</v>
      </c>
      <c r="D1070" s="18" t="s">
        <v>892</v>
      </c>
      <c r="E1070" s="19">
        <v>-30918.3</v>
      </c>
      <c r="F1070" s="25" t="s">
        <v>8</v>
      </c>
      <c r="G1070" s="20" t="s">
        <v>27</v>
      </c>
    </row>
    <row r="1071" spans="1:7" s="291" customFormat="1" hidden="1" x14ac:dyDescent="0.3">
      <c r="A1071" s="135">
        <v>45869</v>
      </c>
      <c r="B1071" s="97" t="s">
        <v>211</v>
      </c>
      <c r="C1071" s="272" t="s">
        <v>162</v>
      </c>
      <c r="D1071" s="53" t="s">
        <v>163</v>
      </c>
      <c r="E1071" s="54">
        <v>23638.67</v>
      </c>
      <c r="F1071" s="322" t="s">
        <v>164</v>
      </c>
      <c r="G1071" s="137" t="s">
        <v>165</v>
      </c>
    </row>
    <row r="1072" spans="1:7" s="291" customFormat="1" hidden="1" x14ac:dyDescent="0.3">
      <c r="A1072" s="135">
        <v>45869</v>
      </c>
      <c r="B1072" s="97" t="s">
        <v>211</v>
      </c>
      <c r="C1072" s="272" t="s">
        <v>166</v>
      </c>
      <c r="D1072" s="53" t="s">
        <v>167</v>
      </c>
      <c r="E1072" s="54">
        <v>18532.8</v>
      </c>
      <c r="F1072" s="322" t="s">
        <v>164</v>
      </c>
      <c r="G1072" s="137" t="s">
        <v>165</v>
      </c>
    </row>
    <row r="1073" spans="1:7" s="291" customFormat="1" hidden="1" x14ac:dyDescent="0.3">
      <c r="A1073" s="135">
        <v>45869</v>
      </c>
      <c r="B1073" s="97" t="s">
        <v>211</v>
      </c>
      <c r="C1073" s="272" t="s">
        <v>166</v>
      </c>
      <c r="D1073" s="53" t="s">
        <v>167</v>
      </c>
      <c r="E1073" s="54">
        <v>799.2</v>
      </c>
      <c r="F1073" s="322" t="s">
        <v>164</v>
      </c>
      <c r="G1073" s="137" t="s">
        <v>165</v>
      </c>
    </row>
    <row r="1074" spans="1:7" s="291" customFormat="1" hidden="1" x14ac:dyDescent="0.3">
      <c r="A1074" s="135">
        <v>45869</v>
      </c>
      <c r="B1074" s="97" t="s">
        <v>211</v>
      </c>
      <c r="C1074" s="272" t="s">
        <v>166</v>
      </c>
      <c r="D1074" s="53" t="s">
        <v>167</v>
      </c>
      <c r="E1074" s="54">
        <v>1200</v>
      </c>
      <c r="F1074" s="322" t="s">
        <v>164</v>
      </c>
      <c r="G1074" s="137" t="s">
        <v>165</v>
      </c>
    </row>
    <row r="1075" spans="1:7" s="291" customFormat="1" hidden="1" x14ac:dyDescent="0.3">
      <c r="A1075" s="135">
        <v>45869</v>
      </c>
      <c r="B1075" s="97" t="s">
        <v>211</v>
      </c>
      <c r="C1075" s="272" t="s">
        <v>44</v>
      </c>
      <c r="D1075" s="53" t="s">
        <v>1062</v>
      </c>
      <c r="E1075" s="54">
        <v>11675.22</v>
      </c>
      <c r="F1075" s="322" t="s">
        <v>164</v>
      </c>
      <c r="G1075" s="137" t="s">
        <v>165</v>
      </c>
    </row>
    <row r="1076" spans="1:7" s="291" customFormat="1" hidden="1" x14ac:dyDescent="0.3">
      <c r="A1076" s="135">
        <v>45869</v>
      </c>
      <c r="B1076" s="97" t="s">
        <v>211</v>
      </c>
      <c r="C1076" s="272" t="s">
        <v>170</v>
      </c>
      <c r="D1076" s="53" t="s">
        <v>1063</v>
      </c>
      <c r="E1076" s="54">
        <v>300</v>
      </c>
      <c r="F1076" s="322" t="s">
        <v>164</v>
      </c>
      <c r="G1076" s="137" t="s">
        <v>165</v>
      </c>
    </row>
    <row r="1077" spans="1:7" s="291" customFormat="1" hidden="1" x14ac:dyDescent="0.3">
      <c r="A1077" s="135">
        <v>45869</v>
      </c>
      <c r="B1077" s="97" t="s">
        <v>211</v>
      </c>
      <c r="C1077" s="272" t="s">
        <v>168</v>
      </c>
      <c r="D1077" s="53" t="s">
        <v>169</v>
      </c>
      <c r="E1077" s="54">
        <v>22451.91</v>
      </c>
      <c r="F1077" s="322" t="s">
        <v>164</v>
      </c>
      <c r="G1077" s="137" t="s">
        <v>165</v>
      </c>
    </row>
    <row r="1078" spans="1:7" s="291" customFormat="1" hidden="1" x14ac:dyDescent="0.3">
      <c r="A1078" s="135">
        <v>45869</v>
      </c>
      <c r="B1078" s="97" t="s">
        <v>211</v>
      </c>
      <c r="C1078" s="272" t="s">
        <v>170</v>
      </c>
      <c r="D1078" s="55" t="s">
        <v>171</v>
      </c>
      <c r="E1078" s="54">
        <v>196</v>
      </c>
      <c r="F1078" s="322" t="s">
        <v>164</v>
      </c>
      <c r="G1078" s="137" t="s">
        <v>165</v>
      </c>
    </row>
    <row r="1079" spans="1:7" s="291" customFormat="1" hidden="1" x14ac:dyDescent="0.3">
      <c r="A1079" s="135">
        <v>45869</v>
      </c>
      <c r="B1079" s="97" t="s">
        <v>211</v>
      </c>
      <c r="C1079" s="272" t="s">
        <v>170</v>
      </c>
      <c r="D1079" s="55" t="s">
        <v>375</v>
      </c>
      <c r="E1079" s="54">
        <v>21852.37</v>
      </c>
      <c r="F1079" s="322" t="s">
        <v>164</v>
      </c>
      <c r="G1079" s="137" t="s">
        <v>165</v>
      </c>
    </row>
    <row r="1080" spans="1:7" s="291" customFormat="1" hidden="1" x14ac:dyDescent="0.3">
      <c r="A1080" s="135">
        <v>45869</v>
      </c>
      <c r="B1080" s="97" t="s">
        <v>211</v>
      </c>
      <c r="C1080" s="272" t="s">
        <v>170</v>
      </c>
      <c r="D1080" s="56" t="s">
        <v>375</v>
      </c>
      <c r="E1080" s="54">
        <v>4983</v>
      </c>
      <c r="F1080" s="322" t="s">
        <v>164</v>
      </c>
      <c r="G1080" s="137" t="s">
        <v>165</v>
      </c>
    </row>
    <row r="1081" spans="1:7" s="291" customFormat="1" hidden="1" x14ac:dyDescent="0.3">
      <c r="A1081" s="135">
        <v>45869</v>
      </c>
      <c r="B1081" s="97" t="s">
        <v>211</v>
      </c>
      <c r="C1081" s="272" t="s">
        <v>170</v>
      </c>
      <c r="D1081" s="55" t="s">
        <v>171</v>
      </c>
      <c r="E1081" s="54">
        <v>23943.3</v>
      </c>
      <c r="F1081" s="322" t="s">
        <v>164</v>
      </c>
      <c r="G1081" s="137" t="s">
        <v>165</v>
      </c>
    </row>
    <row r="1082" spans="1:7" s="291" customFormat="1" hidden="1" x14ac:dyDescent="0.3">
      <c r="A1082" s="470">
        <v>45869</v>
      </c>
      <c r="B1082" s="141" t="s">
        <v>211</v>
      </c>
      <c r="C1082" s="771" t="s">
        <v>170</v>
      </c>
      <c r="D1082" s="846" t="s">
        <v>171</v>
      </c>
      <c r="E1082" s="847">
        <v>14482.07</v>
      </c>
      <c r="F1082" s="848" t="s">
        <v>164</v>
      </c>
      <c r="G1082" s="472" t="s">
        <v>165</v>
      </c>
    </row>
    <row r="1083" spans="1:7" hidden="1" x14ac:dyDescent="0.3">
      <c r="A1083" s="275">
        <v>45912</v>
      </c>
      <c r="B1083" s="275" t="s">
        <v>213</v>
      </c>
      <c r="C1083" s="272" t="s">
        <v>30</v>
      </c>
      <c r="D1083" s="200" t="s">
        <v>803</v>
      </c>
      <c r="E1083" s="273">
        <v>4935</v>
      </c>
      <c r="F1083" s="110" t="s">
        <v>164</v>
      </c>
      <c r="G1083" s="137" t="s">
        <v>165</v>
      </c>
    </row>
    <row r="1084" spans="1:7" hidden="1" x14ac:dyDescent="0.3">
      <c r="A1084" s="567">
        <v>45937</v>
      </c>
      <c r="B1084" s="567" t="s">
        <v>216</v>
      </c>
      <c r="C1084" s="484" t="s">
        <v>30</v>
      </c>
      <c r="D1084" s="485" t="s">
        <v>803</v>
      </c>
      <c r="E1084" s="813">
        <v>4935</v>
      </c>
      <c r="F1084" s="153" t="s">
        <v>164</v>
      </c>
      <c r="G1084" s="487" t="s">
        <v>165</v>
      </c>
    </row>
    <row r="1085" spans="1:7" hidden="1" x14ac:dyDescent="0.3">
      <c r="A1085" s="275">
        <v>45968</v>
      </c>
      <c r="B1085" s="275" t="s">
        <v>217</v>
      </c>
      <c r="C1085" s="272" t="s">
        <v>30</v>
      </c>
      <c r="D1085" s="200" t="s">
        <v>803</v>
      </c>
      <c r="E1085" s="273">
        <v>4935</v>
      </c>
      <c r="F1085" s="110" t="s">
        <v>164</v>
      </c>
      <c r="G1085" s="137" t="s">
        <v>165</v>
      </c>
    </row>
    <row r="1086" spans="1:7" hidden="1" x14ac:dyDescent="0.3">
      <c r="A1086" s="275">
        <v>46000</v>
      </c>
      <c r="B1086" s="275" t="s">
        <v>221</v>
      </c>
      <c r="C1086" s="272" t="s">
        <v>30</v>
      </c>
      <c r="D1086" s="200" t="s">
        <v>803</v>
      </c>
      <c r="E1086" s="273">
        <v>4935</v>
      </c>
      <c r="F1086" s="110" t="s">
        <v>164</v>
      </c>
      <c r="G1086" s="137" t="s">
        <v>165</v>
      </c>
    </row>
    <row r="1087" spans="1:7" hidden="1" x14ac:dyDescent="0.3">
      <c r="A1087" s="275">
        <v>45880</v>
      </c>
      <c r="B1087" s="275" t="s">
        <v>212</v>
      </c>
      <c r="C1087" s="272" t="s">
        <v>173</v>
      </c>
      <c r="D1087" s="200" t="s">
        <v>174</v>
      </c>
      <c r="E1087" s="475">
        <v>40542.71</v>
      </c>
      <c r="F1087" s="110" t="s">
        <v>164</v>
      </c>
      <c r="G1087" s="137" t="s">
        <v>165</v>
      </c>
    </row>
    <row r="1088" spans="1:7" hidden="1" x14ac:dyDescent="0.3">
      <c r="A1088" s="275">
        <v>45881</v>
      </c>
      <c r="B1088" s="275" t="s">
        <v>212</v>
      </c>
      <c r="C1088" s="272" t="s">
        <v>173</v>
      </c>
      <c r="D1088" s="53" t="s">
        <v>175</v>
      </c>
      <c r="E1088" s="475">
        <v>300</v>
      </c>
      <c r="F1088" s="110" t="s">
        <v>164</v>
      </c>
      <c r="G1088" s="137" t="s">
        <v>79</v>
      </c>
    </row>
    <row r="1089" spans="1:7" hidden="1" x14ac:dyDescent="0.3">
      <c r="A1089" s="275">
        <v>45881</v>
      </c>
      <c r="B1089" s="275" t="s">
        <v>212</v>
      </c>
      <c r="C1089" s="272" t="s">
        <v>173</v>
      </c>
      <c r="D1089" s="53" t="s">
        <v>175</v>
      </c>
      <c r="E1089" s="475">
        <v>5062.8</v>
      </c>
      <c r="F1089" s="110" t="s">
        <v>164</v>
      </c>
      <c r="G1089" s="137" t="s">
        <v>165</v>
      </c>
    </row>
    <row r="1090" spans="1:7" hidden="1" x14ac:dyDescent="0.3">
      <c r="A1090" s="275">
        <v>45881</v>
      </c>
      <c r="B1090" s="275" t="s">
        <v>212</v>
      </c>
      <c r="C1090" s="272" t="s">
        <v>170</v>
      </c>
      <c r="D1090" s="53" t="s">
        <v>176</v>
      </c>
      <c r="E1090" s="273">
        <v>603.26</v>
      </c>
      <c r="F1090" s="110" t="s">
        <v>164</v>
      </c>
      <c r="G1090" s="137" t="s">
        <v>165</v>
      </c>
    </row>
    <row r="1091" spans="1:7" hidden="1" x14ac:dyDescent="0.3">
      <c r="A1091" s="275">
        <v>45881</v>
      </c>
      <c r="B1091" s="275" t="s">
        <v>212</v>
      </c>
      <c r="C1091" s="272" t="s">
        <v>170</v>
      </c>
      <c r="D1091" s="53" t="s">
        <v>176</v>
      </c>
      <c r="E1091" s="273">
        <v>1106.1400000000001</v>
      </c>
      <c r="F1091" s="110" t="s">
        <v>164</v>
      </c>
      <c r="G1091" s="137" t="s">
        <v>165</v>
      </c>
    </row>
    <row r="1092" spans="1:7" hidden="1" x14ac:dyDescent="0.3">
      <c r="A1092" s="275">
        <v>45881</v>
      </c>
      <c r="B1092" s="275" t="s">
        <v>212</v>
      </c>
      <c r="C1092" s="272" t="s">
        <v>170</v>
      </c>
      <c r="D1092" s="53" t="s">
        <v>176</v>
      </c>
      <c r="E1092" s="273">
        <v>9631</v>
      </c>
      <c r="F1092" s="110" t="s">
        <v>164</v>
      </c>
      <c r="G1092" s="137" t="s">
        <v>165</v>
      </c>
    </row>
    <row r="1093" spans="1:7" hidden="1" x14ac:dyDescent="0.3">
      <c r="A1093" s="275">
        <v>45881</v>
      </c>
      <c r="B1093" s="275" t="s">
        <v>212</v>
      </c>
      <c r="C1093" s="272" t="s">
        <v>177</v>
      </c>
      <c r="D1093" s="53" t="s">
        <v>178</v>
      </c>
      <c r="E1093" s="126">
        <v>257.81</v>
      </c>
      <c r="F1093" s="110" t="s">
        <v>164</v>
      </c>
      <c r="G1093" s="137" t="s">
        <v>165</v>
      </c>
    </row>
    <row r="1094" spans="1:7" hidden="1" x14ac:dyDescent="0.3">
      <c r="A1094" s="275">
        <v>45881</v>
      </c>
      <c r="B1094" s="275" t="s">
        <v>212</v>
      </c>
      <c r="C1094" s="272" t="s">
        <v>177</v>
      </c>
      <c r="D1094" s="53" t="s">
        <v>179</v>
      </c>
      <c r="E1094" s="273">
        <v>680.03</v>
      </c>
      <c r="F1094" s="110" t="s">
        <v>164</v>
      </c>
      <c r="G1094" s="137" t="s">
        <v>165</v>
      </c>
    </row>
    <row r="1095" spans="1:7" hidden="1" x14ac:dyDescent="0.3">
      <c r="A1095" s="275">
        <v>45881</v>
      </c>
      <c r="B1095" s="275" t="s">
        <v>212</v>
      </c>
      <c r="C1095" s="272" t="s">
        <v>180</v>
      </c>
      <c r="D1095" s="274" t="s">
        <v>181</v>
      </c>
      <c r="E1095" s="100">
        <v>24988.71</v>
      </c>
      <c r="F1095" s="110" t="s">
        <v>164</v>
      </c>
      <c r="G1095" s="137" t="s">
        <v>165</v>
      </c>
    </row>
    <row r="1096" spans="1:7" hidden="1" x14ac:dyDescent="0.3">
      <c r="A1096" s="275">
        <v>45881</v>
      </c>
      <c r="B1096" s="275" t="s">
        <v>212</v>
      </c>
      <c r="C1096" s="272" t="s">
        <v>180</v>
      </c>
      <c r="D1096" s="274" t="s">
        <v>181</v>
      </c>
      <c r="E1096" s="100">
        <v>2284.4499999999998</v>
      </c>
      <c r="F1096" s="110" t="s">
        <v>164</v>
      </c>
      <c r="G1096" s="137" t="s">
        <v>165</v>
      </c>
    </row>
    <row r="1097" spans="1:7" hidden="1" x14ac:dyDescent="0.3">
      <c r="A1097" s="275">
        <v>45881</v>
      </c>
      <c r="B1097" s="275" t="s">
        <v>212</v>
      </c>
      <c r="C1097" s="272" t="s">
        <v>180</v>
      </c>
      <c r="D1097" s="274" t="s">
        <v>181</v>
      </c>
      <c r="E1097" s="100">
        <v>16834.330000000002</v>
      </c>
      <c r="F1097" s="110" t="s">
        <v>164</v>
      </c>
      <c r="G1097" s="137" t="s">
        <v>165</v>
      </c>
    </row>
    <row r="1098" spans="1:7" hidden="1" x14ac:dyDescent="0.3">
      <c r="A1098" s="275">
        <v>45881</v>
      </c>
      <c r="B1098" s="275" t="s">
        <v>212</v>
      </c>
      <c r="C1098" s="272" t="s">
        <v>180</v>
      </c>
      <c r="D1098" s="274" t="s">
        <v>181</v>
      </c>
      <c r="E1098" s="100">
        <v>268.13</v>
      </c>
      <c r="F1098" s="110" t="s">
        <v>164</v>
      </c>
      <c r="G1098" s="137" t="s">
        <v>165</v>
      </c>
    </row>
    <row r="1099" spans="1:7" hidden="1" x14ac:dyDescent="0.3">
      <c r="A1099" s="275">
        <v>45881</v>
      </c>
      <c r="B1099" s="275" t="s">
        <v>212</v>
      </c>
      <c r="C1099" s="272" t="s">
        <v>180</v>
      </c>
      <c r="D1099" s="274" t="s">
        <v>181</v>
      </c>
      <c r="E1099" s="273">
        <v>12459.61</v>
      </c>
      <c r="F1099" s="110" t="s">
        <v>164</v>
      </c>
      <c r="G1099" s="137" t="s">
        <v>165</v>
      </c>
    </row>
    <row r="1100" spans="1:7" hidden="1" x14ac:dyDescent="0.3">
      <c r="A1100" s="470">
        <v>45884</v>
      </c>
      <c r="B1100" s="141" t="s">
        <v>212</v>
      </c>
      <c r="C1100" s="771" t="s">
        <v>33</v>
      </c>
      <c r="D1100" s="849" t="s">
        <v>804</v>
      </c>
      <c r="E1100" s="850">
        <v>42921.04</v>
      </c>
      <c r="F1100" s="851" t="s">
        <v>164</v>
      </c>
      <c r="G1100" s="472" t="s">
        <v>165</v>
      </c>
    </row>
    <row r="1101" spans="1:7" hidden="1" x14ac:dyDescent="0.3">
      <c r="A1101" s="135">
        <v>45911</v>
      </c>
      <c r="B1101" s="275" t="s">
        <v>213</v>
      </c>
      <c r="C1101" s="272" t="s">
        <v>33</v>
      </c>
      <c r="D1101" s="274" t="s">
        <v>804</v>
      </c>
      <c r="E1101" s="273">
        <v>42921.04</v>
      </c>
      <c r="F1101" s="278" t="s">
        <v>164</v>
      </c>
      <c r="G1101" s="137" t="s">
        <v>165</v>
      </c>
    </row>
    <row r="1102" spans="1:7" hidden="1" x14ac:dyDescent="0.3">
      <c r="A1102" s="483">
        <v>45943</v>
      </c>
      <c r="B1102" s="567" t="s">
        <v>216</v>
      </c>
      <c r="C1102" s="484" t="s">
        <v>33</v>
      </c>
      <c r="D1102" s="882" t="s">
        <v>804</v>
      </c>
      <c r="E1102" s="813">
        <v>42921.04</v>
      </c>
      <c r="F1102" s="883" t="s">
        <v>164</v>
      </c>
      <c r="G1102" s="487" t="s">
        <v>165</v>
      </c>
    </row>
    <row r="1103" spans="1:7" hidden="1" x14ac:dyDescent="0.3">
      <c r="A1103" s="135">
        <v>45972</v>
      </c>
      <c r="B1103" s="275" t="s">
        <v>217</v>
      </c>
      <c r="C1103" s="272" t="s">
        <v>33</v>
      </c>
      <c r="D1103" s="274" t="s">
        <v>804</v>
      </c>
      <c r="E1103" s="273">
        <v>42921.04</v>
      </c>
      <c r="F1103" s="278" t="s">
        <v>164</v>
      </c>
      <c r="G1103" s="137" t="s">
        <v>165</v>
      </c>
    </row>
    <row r="1104" spans="1:7" hidden="1" x14ac:dyDescent="0.3">
      <c r="A1104" s="275">
        <v>46002</v>
      </c>
      <c r="B1104" s="299" t="s">
        <v>221</v>
      </c>
      <c r="C1104" s="272" t="s">
        <v>33</v>
      </c>
      <c r="D1104" s="274" t="s">
        <v>804</v>
      </c>
      <c r="E1104" s="273">
        <v>42921.04</v>
      </c>
      <c r="F1104" s="278" t="s">
        <v>164</v>
      </c>
      <c r="G1104" s="137" t="s">
        <v>165</v>
      </c>
    </row>
    <row r="1105" spans="1:7" hidden="1" x14ac:dyDescent="0.3">
      <c r="A1105" s="275">
        <v>45882</v>
      </c>
      <c r="B1105" s="275" t="s">
        <v>212</v>
      </c>
      <c r="C1105" s="272" t="s">
        <v>166</v>
      </c>
      <c r="D1105" s="274" t="s">
        <v>163</v>
      </c>
      <c r="E1105" s="273">
        <v>900</v>
      </c>
      <c r="F1105" s="278" t="s">
        <v>164</v>
      </c>
      <c r="G1105" s="137" t="s">
        <v>79</v>
      </c>
    </row>
    <row r="1106" spans="1:7" hidden="1" x14ac:dyDescent="0.3">
      <c r="A1106" s="275">
        <v>45882</v>
      </c>
      <c r="B1106" s="275" t="s">
        <v>212</v>
      </c>
      <c r="C1106" s="272" t="s">
        <v>166</v>
      </c>
      <c r="D1106" s="276" t="s">
        <v>182</v>
      </c>
      <c r="E1106" s="277">
        <v>7850</v>
      </c>
      <c r="F1106" s="278" t="s">
        <v>164</v>
      </c>
      <c r="G1106" s="137" t="s">
        <v>165</v>
      </c>
    </row>
    <row r="1107" spans="1:7" hidden="1" x14ac:dyDescent="0.3">
      <c r="A1107" s="275">
        <v>45874</v>
      </c>
      <c r="B1107" s="275" t="s">
        <v>212</v>
      </c>
      <c r="C1107" s="272" t="s">
        <v>17</v>
      </c>
      <c r="D1107" s="53" t="s">
        <v>183</v>
      </c>
      <c r="E1107" s="273">
        <v>345280</v>
      </c>
      <c r="F1107" s="110" t="s">
        <v>164</v>
      </c>
      <c r="G1107" s="137" t="s">
        <v>165</v>
      </c>
    </row>
    <row r="1108" spans="1:7" s="514" customFormat="1" hidden="1" x14ac:dyDescent="0.3">
      <c r="A1108" s="515">
        <v>45896</v>
      </c>
      <c r="B1108" s="511" t="s">
        <v>212</v>
      </c>
      <c r="C1108" s="592" t="s">
        <v>44</v>
      </c>
      <c r="D1108" s="592" t="s">
        <v>232</v>
      </c>
      <c r="E1108" s="512">
        <v>-3135.73</v>
      </c>
      <c r="F1108" s="513" t="s">
        <v>8</v>
      </c>
      <c r="G1108" s="592" t="s">
        <v>233</v>
      </c>
    </row>
    <row r="1109" spans="1:7" s="514" customFormat="1" hidden="1" x14ac:dyDescent="0.3">
      <c r="A1109" s="515">
        <v>45896</v>
      </c>
      <c r="B1109" s="511" t="s">
        <v>212</v>
      </c>
      <c r="C1109" s="592" t="s">
        <v>72</v>
      </c>
      <c r="D1109" s="592" t="s">
        <v>1397</v>
      </c>
      <c r="E1109" s="512">
        <v>-1270.08</v>
      </c>
      <c r="F1109" s="513" t="s">
        <v>8</v>
      </c>
      <c r="G1109" s="592" t="s">
        <v>233</v>
      </c>
    </row>
    <row r="1110" spans="1:7" s="738" customFormat="1" ht="14.4" hidden="1" x14ac:dyDescent="0.3">
      <c r="A1110" s="781">
        <v>45896</v>
      </c>
      <c r="B1110" s="782" t="s">
        <v>212</v>
      </c>
      <c r="C1110" s="713" t="s">
        <v>25</v>
      </c>
      <c r="D1110" s="713" t="s">
        <v>1364</v>
      </c>
      <c r="E1110" s="716">
        <v>-295</v>
      </c>
      <c r="F1110" s="513" t="s">
        <v>8</v>
      </c>
      <c r="G1110" s="513" t="s">
        <v>8</v>
      </c>
    </row>
    <row r="1111" spans="1:7" s="738" customFormat="1" ht="14.4" hidden="1" x14ac:dyDescent="0.3">
      <c r="A1111" s="781">
        <v>45896</v>
      </c>
      <c r="B1111" s="782" t="s">
        <v>212</v>
      </c>
      <c r="C1111" s="783" t="s">
        <v>106</v>
      </c>
      <c r="D1111" s="713" t="s">
        <v>368</v>
      </c>
      <c r="E1111" s="716">
        <v>-100</v>
      </c>
      <c r="F1111" s="513" t="s">
        <v>8</v>
      </c>
      <c r="G1111" s="513" t="s">
        <v>8</v>
      </c>
    </row>
    <row r="1112" spans="1:7" s="738" customFormat="1" ht="14.4" hidden="1" x14ac:dyDescent="0.3">
      <c r="A1112" s="781">
        <v>45896</v>
      </c>
      <c r="B1112" s="782" t="s">
        <v>212</v>
      </c>
      <c r="C1112" s="783" t="s">
        <v>17</v>
      </c>
      <c r="D1112" s="713" t="s">
        <v>1322</v>
      </c>
      <c r="E1112" s="716">
        <v>-100</v>
      </c>
      <c r="F1112" s="513" t="s">
        <v>8</v>
      </c>
      <c r="G1112" s="513" t="s">
        <v>8</v>
      </c>
    </row>
    <row r="1113" spans="1:7" s="738" customFormat="1" ht="14.4" hidden="1" x14ac:dyDescent="0.3">
      <c r="A1113" s="781">
        <v>45896</v>
      </c>
      <c r="B1113" s="782" t="s">
        <v>212</v>
      </c>
      <c r="C1113" s="783" t="s">
        <v>17</v>
      </c>
      <c r="D1113" s="713" t="s">
        <v>1365</v>
      </c>
      <c r="E1113" s="716">
        <v>-140</v>
      </c>
      <c r="F1113" s="513" t="s">
        <v>8</v>
      </c>
      <c r="G1113" s="513" t="s">
        <v>8</v>
      </c>
    </row>
    <row r="1114" spans="1:7" s="738" customFormat="1" ht="14.4" hidden="1" x14ac:dyDescent="0.3">
      <c r="A1114" s="781">
        <v>45896</v>
      </c>
      <c r="B1114" s="782" t="s">
        <v>212</v>
      </c>
      <c r="C1114" s="784" t="s">
        <v>17</v>
      </c>
      <c r="D1114" s="713" t="s">
        <v>1367</v>
      </c>
      <c r="E1114" s="716">
        <v>-477.48</v>
      </c>
      <c r="F1114" s="513" t="s">
        <v>8</v>
      </c>
      <c r="G1114" s="785" t="s">
        <v>394</v>
      </c>
    </row>
    <row r="1115" spans="1:7" s="738" customFormat="1" ht="14.4" hidden="1" x14ac:dyDescent="0.3">
      <c r="A1115" s="781">
        <v>45896</v>
      </c>
      <c r="B1115" s="782" t="s">
        <v>212</v>
      </c>
      <c r="C1115" s="784" t="s">
        <v>17</v>
      </c>
      <c r="D1115" s="713" t="s">
        <v>1366</v>
      </c>
      <c r="E1115" s="716">
        <v>-186.84</v>
      </c>
      <c r="F1115" s="513" t="s">
        <v>8</v>
      </c>
      <c r="G1115" s="786" t="s">
        <v>99</v>
      </c>
    </row>
    <row r="1116" spans="1:7" s="738" customFormat="1" ht="14.4" hidden="1" x14ac:dyDescent="0.3">
      <c r="A1116" s="515">
        <v>45897</v>
      </c>
      <c r="B1116" s="511" t="s">
        <v>212</v>
      </c>
      <c r="C1116" s="592" t="s">
        <v>72</v>
      </c>
      <c r="D1116" s="713" t="s">
        <v>1404</v>
      </c>
      <c r="E1116" s="716">
        <v>-100</v>
      </c>
      <c r="F1116" s="513" t="s">
        <v>8</v>
      </c>
      <c r="G1116" s="785" t="s">
        <v>394</v>
      </c>
    </row>
    <row r="1117" spans="1:7" s="738" customFormat="1" ht="15" hidden="1" customHeight="1" x14ac:dyDescent="0.3">
      <c r="A1117" s="515">
        <v>45897</v>
      </c>
      <c r="B1117" s="511" t="s">
        <v>212</v>
      </c>
      <c r="C1117" s="592" t="s">
        <v>72</v>
      </c>
      <c r="D1117" s="713" t="s">
        <v>1406</v>
      </c>
      <c r="E1117" s="716">
        <v>-103.8</v>
      </c>
      <c r="F1117" s="513" t="s">
        <v>8</v>
      </c>
      <c r="G1117" s="785" t="s">
        <v>394</v>
      </c>
    </row>
    <row r="1118" spans="1:7" s="738" customFormat="1" ht="14.4" hidden="1" x14ac:dyDescent="0.3">
      <c r="A1118" s="515">
        <v>45897</v>
      </c>
      <c r="B1118" s="511" t="s">
        <v>212</v>
      </c>
      <c r="C1118" s="592" t="s">
        <v>72</v>
      </c>
      <c r="D1118" s="713" t="s">
        <v>1398</v>
      </c>
      <c r="E1118" s="716">
        <v>-193.9</v>
      </c>
      <c r="F1118" s="513" t="s">
        <v>8</v>
      </c>
      <c r="G1118" s="786" t="s">
        <v>1399</v>
      </c>
    </row>
    <row r="1119" spans="1:7" s="738" customFormat="1" ht="14.4" hidden="1" x14ac:dyDescent="0.3">
      <c r="A1119" s="515">
        <v>45897</v>
      </c>
      <c r="B1119" s="511" t="s">
        <v>212</v>
      </c>
      <c r="C1119" s="592" t="s">
        <v>72</v>
      </c>
      <c r="D1119" s="713" t="s">
        <v>1407</v>
      </c>
      <c r="E1119" s="716">
        <v>-100</v>
      </c>
      <c r="F1119" s="513" t="s">
        <v>8</v>
      </c>
      <c r="G1119" s="785" t="s">
        <v>394</v>
      </c>
    </row>
    <row r="1120" spans="1:7" s="514" customFormat="1" hidden="1" x14ac:dyDescent="0.3">
      <c r="A1120" s="626">
        <v>45896</v>
      </c>
      <c r="B1120" s="515" t="s">
        <v>212</v>
      </c>
      <c r="C1120" s="592" t="s">
        <v>72</v>
      </c>
      <c r="D1120" s="592" t="s">
        <v>1219</v>
      </c>
      <c r="E1120" s="512">
        <v>-1514.4703030000001</v>
      </c>
      <c r="F1120" s="518" t="s">
        <v>8</v>
      </c>
      <c r="G1120" s="518" t="s">
        <v>233</v>
      </c>
    </row>
    <row r="1121" spans="1:7" s="291" customFormat="1" hidden="1" x14ac:dyDescent="0.3">
      <c r="A1121" s="275">
        <v>45884</v>
      </c>
      <c r="B1121" s="275" t="s">
        <v>212</v>
      </c>
      <c r="C1121" s="272" t="s">
        <v>184</v>
      </c>
      <c r="D1121" s="53" t="s">
        <v>185</v>
      </c>
      <c r="E1121" s="54">
        <v>4960.8</v>
      </c>
      <c r="F1121" s="278" t="s">
        <v>164</v>
      </c>
      <c r="G1121" s="137" t="s">
        <v>165</v>
      </c>
    </row>
    <row r="1122" spans="1:7" s="291" customFormat="1" hidden="1" x14ac:dyDescent="0.3">
      <c r="A1122" s="275">
        <v>45884</v>
      </c>
      <c r="B1122" s="275" t="s">
        <v>212</v>
      </c>
      <c r="C1122" s="272" t="s">
        <v>184</v>
      </c>
      <c r="D1122" s="53" t="s">
        <v>185</v>
      </c>
      <c r="E1122" s="92">
        <v>900</v>
      </c>
      <c r="F1122" s="278" t="s">
        <v>164</v>
      </c>
      <c r="G1122" s="137" t="s">
        <v>165</v>
      </c>
    </row>
    <row r="1123" spans="1:7" ht="16.8" hidden="1" customHeight="1" x14ac:dyDescent="0.3">
      <c r="A1123" s="275">
        <v>45884</v>
      </c>
      <c r="B1123" s="275" t="s">
        <v>212</v>
      </c>
      <c r="C1123" s="272" t="s">
        <v>184</v>
      </c>
      <c r="D1123" s="53" t="s">
        <v>185</v>
      </c>
      <c r="E1123" s="279">
        <v>17956.39</v>
      </c>
      <c r="F1123" s="110" t="s">
        <v>164</v>
      </c>
      <c r="G1123" s="137" t="s">
        <v>165</v>
      </c>
    </row>
    <row r="1124" spans="1:7" hidden="1" x14ac:dyDescent="0.3">
      <c r="A1124" s="275">
        <v>45888</v>
      </c>
      <c r="B1124" s="275" t="s">
        <v>212</v>
      </c>
      <c r="C1124" s="272" t="s">
        <v>166</v>
      </c>
      <c r="D1124" s="53" t="s">
        <v>186</v>
      </c>
      <c r="E1124" s="100">
        <v>4717.4399999999996</v>
      </c>
      <c r="F1124" s="278" t="s">
        <v>164</v>
      </c>
      <c r="G1124" s="137" t="s">
        <v>165</v>
      </c>
    </row>
    <row r="1125" spans="1:7" hidden="1" x14ac:dyDescent="0.3">
      <c r="A1125" s="275">
        <v>45888</v>
      </c>
      <c r="B1125" s="275" t="s">
        <v>212</v>
      </c>
      <c r="C1125" s="272" t="s">
        <v>166</v>
      </c>
      <c r="D1125" s="53" t="s">
        <v>186</v>
      </c>
      <c r="E1125" s="100">
        <v>9938.39</v>
      </c>
      <c r="F1125" s="278" t="s">
        <v>164</v>
      </c>
      <c r="G1125" s="137" t="s">
        <v>165</v>
      </c>
    </row>
    <row r="1126" spans="1:7" hidden="1" x14ac:dyDescent="0.3">
      <c r="A1126" s="720">
        <v>45888</v>
      </c>
      <c r="B1126" s="720" t="s">
        <v>212</v>
      </c>
      <c r="C1126" s="771" t="s">
        <v>166</v>
      </c>
      <c r="D1126" s="811" t="s">
        <v>186</v>
      </c>
      <c r="E1126" s="143">
        <v>22139.98</v>
      </c>
      <c r="F1126" s="851" t="s">
        <v>164</v>
      </c>
      <c r="G1126" s="472" t="s">
        <v>165</v>
      </c>
    </row>
    <row r="1127" spans="1:7" hidden="1" x14ac:dyDescent="0.3">
      <c r="A1127" s="97">
        <v>45909</v>
      </c>
      <c r="B1127" s="275" t="s">
        <v>213</v>
      </c>
      <c r="C1127" s="272" t="s">
        <v>180</v>
      </c>
      <c r="D1127" s="53" t="s">
        <v>515</v>
      </c>
      <c r="E1127" s="126">
        <v>22930</v>
      </c>
      <c r="F1127" s="110" t="s">
        <v>164</v>
      </c>
      <c r="G1127" s="137" t="s">
        <v>165</v>
      </c>
    </row>
    <row r="1128" spans="1:7" hidden="1" x14ac:dyDescent="0.3">
      <c r="A1128" s="466">
        <v>45943</v>
      </c>
      <c r="B1128" s="567" t="s">
        <v>216</v>
      </c>
      <c r="C1128" s="484" t="s">
        <v>180</v>
      </c>
      <c r="D1128" s="568" t="s">
        <v>515</v>
      </c>
      <c r="E1128" s="486">
        <v>22930</v>
      </c>
      <c r="F1128" s="153" t="s">
        <v>164</v>
      </c>
      <c r="G1128" s="487" t="s">
        <v>165</v>
      </c>
    </row>
    <row r="1129" spans="1:7" hidden="1" x14ac:dyDescent="0.3">
      <c r="A1129" s="97">
        <v>45972</v>
      </c>
      <c r="B1129" s="275" t="s">
        <v>217</v>
      </c>
      <c r="C1129" s="272" t="s">
        <v>180</v>
      </c>
      <c r="D1129" s="53" t="s">
        <v>515</v>
      </c>
      <c r="E1129" s="126">
        <v>22930</v>
      </c>
      <c r="F1129" s="110" t="s">
        <v>164</v>
      </c>
      <c r="G1129" s="137" t="s">
        <v>165</v>
      </c>
    </row>
    <row r="1130" spans="1:7" hidden="1" x14ac:dyDescent="0.3">
      <c r="A1130" s="97">
        <v>46002</v>
      </c>
      <c r="B1130" s="275" t="s">
        <v>221</v>
      </c>
      <c r="C1130" s="272" t="s">
        <v>180</v>
      </c>
      <c r="D1130" s="53" t="s">
        <v>515</v>
      </c>
      <c r="E1130" s="126">
        <v>22930</v>
      </c>
      <c r="F1130" s="110" t="s">
        <v>164</v>
      </c>
      <c r="G1130" s="137" t="s">
        <v>165</v>
      </c>
    </row>
    <row r="1131" spans="1:7" hidden="1" x14ac:dyDescent="0.3">
      <c r="A1131" s="275">
        <v>45881</v>
      </c>
      <c r="B1131" s="275" t="s">
        <v>212</v>
      </c>
      <c r="C1131" s="272" t="s">
        <v>170</v>
      </c>
      <c r="D1131" s="474" t="s">
        <v>1210</v>
      </c>
      <c r="E1131" s="475">
        <v>1200</v>
      </c>
      <c r="F1131" s="278" t="s">
        <v>164</v>
      </c>
      <c r="G1131" s="137" t="s">
        <v>165</v>
      </c>
    </row>
    <row r="1132" spans="1:7" hidden="1" x14ac:dyDescent="0.3">
      <c r="A1132" s="275">
        <v>45881</v>
      </c>
      <c r="B1132" s="275" t="s">
        <v>212</v>
      </c>
      <c r="C1132" s="272" t="s">
        <v>170</v>
      </c>
      <c r="D1132" s="474" t="s">
        <v>171</v>
      </c>
      <c r="E1132" s="126">
        <v>1500</v>
      </c>
      <c r="F1132" s="278" t="s">
        <v>164</v>
      </c>
      <c r="G1132" s="137" t="s">
        <v>165</v>
      </c>
    </row>
    <row r="1133" spans="1:7" hidden="1" x14ac:dyDescent="0.3">
      <c r="A1133" s="97">
        <v>45881</v>
      </c>
      <c r="B1133" s="275" t="s">
        <v>212</v>
      </c>
      <c r="C1133" s="272" t="s">
        <v>166</v>
      </c>
      <c r="D1133" s="53" t="s">
        <v>804</v>
      </c>
      <c r="E1133" s="126">
        <v>600</v>
      </c>
      <c r="F1133" s="278" t="s">
        <v>164</v>
      </c>
      <c r="G1133" s="137" t="s">
        <v>79</v>
      </c>
    </row>
    <row r="1134" spans="1:7" hidden="1" x14ac:dyDescent="0.3">
      <c r="A1134" s="97">
        <v>45881</v>
      </c>
      <c r="B1134" s="275" t="s">
        <v>212</v>
      </c>
      <c r="C1134" s="272" t="s">
        <v>180</v>
      </c>
      <c r="D1134" s="53" t="s">
        <v>515</v>
      </c>
      <c r="E1134" s="475">
        <v>1565.33</v>
      </c>
      <c r="F1134" s="110" t="s">
        <v>164</v>
      </c>
      <c r="G1134" s="137" t="s">
        <v>165</v>
      </c>
    </row>
    <row r="1135" spans="1:7" hidden="1" x14ac:dyDescent="0.3">
      <c r="A1135" s="97">
        <v>45881</v>
      </c>
      <c r="B1135" s="275" t="s">
        <v>212</v>
      </c>
      <c r="C1135" s="272" t="s">
        <v>180</v>
      </c>
      <c r="D1135" s="53" t="s">
        <v>515</v>
      </c>
      <c r="E1135" s="126">
        <v>22930</v>
      </c>
      <c r="F1135" s="110" t="s">
        <v>164</v>
      </c>
      <c r="G1135" s="137" t="s">
        <v>165</v>
      </c>
    </row>
    <row r="1136" spans="1:7" hidden="1" x14ac:dyDescent="0.3">
      <c r="A1136" s="97">
        <v>45898</v>
      </c>
      <c r="B1136" s="275" t="s">
        <v>212</v>
      </c>
      <c r="C1136" s="272" t="s">
        <v>180</v>
      </c>
      <c r="D1136" s="53" t="s">
        <v>187</v>
      </c>
      <c r="E1136" s="126">
        <v>1500</v>
      </c>
      <c r="F1136" s="110" t="s">
        <v>164</v>
      </c>
      <c r="G1136" s="137" t="s">
        <v>165</v>
      </c>
    </row>
    <row r="1137" spans="1:7" hidden="1" x14ac:dyDescent="0.3">
      <c r="A1137" s="97">
        <v>45898</v>
      </c>
      <c r="B1137" s="275" t="s">
        <v>212</v>
      </c>
      <c r="C1137" s="272" t="s">
        <v>180</v>
      </c>
      <c r="D1137" s="53" t="s">
        <v>187</v>
      </c>
      <c r="E1137" s="126">
        <v>2373.31</v>
      </c>
      <c r="F1137" s="110" t="s">
        <v>164</v>
      </c>
      <c r="G1137" s="137" t="s">
        <v>165</v>
      </c>
    </row>
    <row r="1138" spans="1:7" hidden="1" x14ac:dyDescent="0.3">
      <c r="A1138" s="97">
        <v>45898</v>
      </c>
      <c r="B1138" s="275" t="s">
        <v>212</v>
      </c>
      <c r="C1138" s="272" t="s">
        <v>180</v>
      </c>
      <c r="D1138" s="53" t="s">
        <v>187</v>
      </c>
      <c r="E1138" s="126">
        <v>5823.82</v>
      </c>
      <c r="F1138" s="110" t="s">
        <v>164</v>
      </c>
      <c r="G1138" s="137" t="s">
        <v>165</v>
      </c>
    </row>
    <row r="1139" spans="1:7" hidden="1" x14ac:dyDescent="0.3">
      <c r="A1139" s="97">
        <v>45898</v>
      </c>
      <c r="B1139" s="275" t="s">
        <v>212</v>
      </c>
      <c r="C1139" s="272" t="s">
        <v>180</v>
      </c>
      <c r="D1139" s="53" t="s">
        <v>187</v>
      </c>
      <c r="E1139" s="126">
        <v>7526.95</v>
      </c>
      <c r="F1139" s="110" t="s">
        <v>164</v>
      </c>
      <c r="G1139" s="137" t="s">
        <v>165</v>
      </c>
    </row>
    <row r="1140" spans="1:7" hidden="1" x14ac:dyDescent="0.3">
      <c r="A1140" s="97">
        <v>45898</v>
      </c>
      <c r="B1140" s="275" t="s">
        <v>212</v>
      </c>
      <c r="C1140" s="272" t="s">
        <v>180</v>
      </c>
      <c r="D1140" s="53" t="s">
        <v>187</v>
      </c>
      <c r="E1140" s="126">
        <v>25756.63</v>
      </c>
      <c r="F1140" s="110" t="s">
        <v>164</v>
      </c>
      <c r="G1140" s="137" t="s">
        <v>165</v>
      </c>
    </row>
    <row r="1141" spans="1:7" ht="14.4" hidden="1" x14ac:dyDescent="0.3">
      <c r="A1141" s="141">
        <v>45898</v>
      </c>
      <c r="B1141" s="720" t="s">
        <v>212</v>
      </c>
      <c r="C1141" s="771" t="s">
        <v>180</v>
      </c>
      <c r="D1141" s="852" t="s">
        <v>1431</v>
      </c>
      <c r="E1141" s="800">
        <v>1073</v>
      </c>
      <c r="F1141" s="144" t="s">
        <v>164</v>
      </c>
      <c r="G1141" s="472" t="s">
        <v>165</v>
      </c>
    </row>
    <row r="1142" spans="1:7" hidden="1" x14ac:dyDescent="0.3">
      <c r="A1142" s="275">
        <v>45912</v>
      </c>
      <c r="B1142" s="275" t="s">
        <v>213</v>
      </c>
      <c r="C1142" s="272" t="s">
        <v>180</v>
      </c>
      <c r="D1142" s="53" t="s">
        <v>805</v>
      </c>
      <c r="E1142" s="126">
        <v>7440</v>
      </c>
      <c r="F1142" s="110" t="s">
        <v>164</v>
      </c>
      <c r="G1142" s="137" t="s">
        <v>165</v>
      </c>
    </row>
    <row r="1143" spans="1:7" hidden="1" x14ac:dyDescent="0.3">
      <c r="A1143" s="97">
        <v>45930</v>
      </c>
      <c r="B1143" s="275" t="s">
        <v>213</v>
      </c>
      <c r="C1143" s="272" t="s">
        <v>25</v>
      </c>
      <c r="D1143" s="53" t="s">
        <v>805</v>
      </c>
      <c r="E1143" s="126">
        <v>7440</v>
      </c>
      <c r="F1143" s="110" t="s">
        <v>164</v>
      </c>
      <c r="G1143" s="137" t="s">
        <v>165</v>
      </c>
    </row>
    <row r="1144" spans="1:7" hidden="1" x14ac:dyDescent="0.3">
      <c r="A1144" s="466">
        <v>45960</v>
      </c>
      <c r="B1144" s="567" t="s">
        <v>216</v>
      </c>
      <c r="C1144" s="484" t="s">
        <v>25</v>
      </c>
      <c r="D1144" s="568" t="s">
        <v>805</v>
      </c>
      <c r="E1144" s="486">
        <v>7440</v>
      </c>
      <c r="F1144" s="153" t="s">
        <v>164</v>
      </c>
      <c r="G1144" s="487" t="s">
        <v>165</v>
      </c>
    </row>
    <row r="1145" spans="1:7" hidden="1" x14ac:dyDescent="0.3">
      <c r="A1145" s="97">
        <v>45989</v>
      </c>
      <c r="B1145" s="275" t="s">
        <v>217</v>
      </c>
      <c r="C1145" s="272" t="s">
        <v>25</v>
      </c>
      <c r="D1145" s="53" t="s">
        <v>805</v>
      </c>
      <c r="E1145" s="126">
        <v>7440</v>
      </c>
      <c r="F1145" s="110" t="s">
        <v>164</v>
      </c>
      <c r="G1145" s="137" t="s">
        <v>165</v>
      </c>
    </row>
    <row r="1146" spans="1:7" hidden="1" x14ac:dyDescent="0.3">
      <c r="A1146" s="97">
        <v>46021</v>
      </c>
      <c r="B1146" s="275" t="s">
        <v>221</v>
      </c>
      <c r="C1146" s="272" t="s">
        <v>25</v>
      </c>
      <c r="D1146" s="53" t="s">
        <v>805</v>
      </c>
      <c r="E1146" s="126">
        <v>7440</v>
      </c>
      <c r="F1146" s="110" t="s">
        <v>164</v>
      </c>
      <c r="G1146" s="137" t="s">
        <v>165</v>
      </c>
    </row>
    <row r="1147" spans="1:7" ht="14.4" hidden="1" x14ac:dyDescent="0.3">
      <c r="A1147" s="97">
        <v>45888</v>
      </c>
      <c r="B1147" s="275" t="s">
        <v>212</v>
      </c>
      <c r="C1147" s="272" t="s">
        <v>173</v>
      </c>
      <c r="D1147" s="53" t="s">
        <v>188</v>
      </c>
      <c r="E1147" s="707">
        <v>688060.88</v>
      </c>
      <c r="F1147" s="110" t="s">
        <v>164</v>
      </c>
      <c r="G1147" s="137" t="s">
        <v>165</v>
      </c>
    </row>
    <row r="1148" spans="1:7" hidden="1" x14ac:dyDescent="0.3">
      <c r="A1148" s="97">
        <v>45897</v>
      </c>
      <c r="B1148" s="275" t="s">
        <v>212</v>
      </c>
      <c r="C1148" s="272" t="s">
        <v>173</v>
      </c>
      <c r="D1148" s="53" t="s">
        <v>1403</v>
      </c>
      <c r="E1148" s="280">
        <v>135668.9</v>
      </c>
      <c r="F1148" s="110" t="s">
        <v>164</v>
      </c>
      <c r="G1148" s="137" t="s">
        <v>165</v>
      </c>
    </row>
    <row r="1149" spans="1:7" s="514" customFormat="1" hidden="1" x14ac:dyDescent="0.3">
      <c r="A1149" s="626">
        <v>45894</v>
      </c>
      <c r="B1149" s="626" t="s">
        <v>212</v>
      </c>
      <c r="C1149" s="592" t="s">
        <v>72</v>
      </c>
      <c r="D1149" s="711" t="s">
        <v>1355</v>
      </c>
      <c r="E1149" s="774">
        <v>-1993.55</v>
      </c>
      <c r="F1149" s="513" t="s">
        <v>8</v>
      </c>
      <c r="G1149" s="772" t="s">
        <v>1246</v>
      </c>
    </row>
    <row r="1150" spans="1:7" s="514" customFormat="1" ht="13.2" hidden="1" customHeight="1" x14ac:dyDescent="0.3">
      <c r="A1150" s="515">
        <v>45894</v>
      </c>
      <c r="B1150" s="626" t="s">
        <v>212</v>
      </c>
      <c r="C1150" s="592" t="s">
        <v>6</v>
      </c>
      <c r="D1150" s="592" t="s">
        <v>1196</v>
      </c>
      <c r="E1150" s="512">
        <v>-2000</v>
      </c>
      <c r="F1150" s="766" t="s">
        <v>8</v>
      </c>
      <c r="G1150" s="767" t="s">
        <v>189</v>
      </c>
    </row>
    <row r="1151" spans="1:7" s="514" customFormat="1" hidden="1" x14ac:dyDescent="0.3">
      <c r="A1151" s="768">
        <v>45894</v>
      </c>
      <c r="B1151" s="746" t="s">
        <v>212</v>
      </c>
      <c r="C1151" s="769" t="s">
        <v>6</v>
      </c>
      <c r="D1151" s="769" t="s">
        <v>613</v>
      </c>
      <c r="E1151" s="770">
        <v>-2688.37</v>
      </c>
      <c r="F1151" s="766" t="s">
        <v>8</v>
      </c>
      <c r="G1151" s="767" t="s">
        <v>189</v>
      </c>
    </row>
    <row r="1152" spans="1:7" s="291" customFormat="1" hidden="1" x14ac:dyDescent="0.3">
      <c r="A1152" s="205">
        <v>45863</v>
      </c>
      <c r="B1152" s="10" t="s">
        <v>211</v>
      </c>
      <c r="C1152" s="26" t="s">
        <v>31</v>
      </c>
      <c r="D1152" s="26" t="s">
        <v>881</v>
      </c>
      <c r="E1152" s="573">
        <v>-87.32</v>
      </c>
      <c r="F1152" s="25" t="s">
        <v>8</v>
      </c>
      <c r="G1152" s="20" t="s">
        <v>76</v>
      </c>
    </row>
    <row r="1153" spans="1:7" s="291" customFormat="1" hidden="1" x14ac:dyDescent="0.3">
      <c r="A1153" s="205">
        <v>45863</v>
      </c>
      <c r="B1153" s="10" t="s">
        <v>211</v>
      </c>
      <c r="C1153" s="26" t="s">
        <v>31</v>
      </c>
      <c r="D1153" s="26" t="s">
        <v>881</v>
      </c>
      <c r="E1153" s="19">
        <v>-166.65</v>
      </c>
      <c r="F1153" s="25" t="s">
        <v>8</v>
      </c>
      <c r="G1153" s="20" t="s">
        <v>76</v>
      </c>
    </row>
    <row r="1154" spans="1:7" s="291" customFormat="1" ht="13.2" hidden="1" customHeight="1" x14ac:dyDescent="0.3">
      <c r="A1154" s="205">
        <v>45863</v>
      </c>
      <c r="B1154" s="10" t="s">
        <v>211</v>
      </c>
      <c r="C1154" s="26" t="s">
        <v>17</v>
      </c>
      <c r="D1154" s="26" t="s">
        <v>882</v>
      </c>
      <c r="E1154" s="19">
        <v>-169.78</v>
      </c>
      <c r="F1154" s="25" t="s">
        <v>8</v>
      </c>
      <c r="G1154" s="20" t="s">
        <v>76</v>
      </c>
    </row>
    <row r="1155" spans="1:7" s="291" customFormat="1" hidden="1" x14ac:dyDescent="0.3">
      <c r="A1155" s="205">
        <v>45860</v>
      </c>
      <c r="B1155" s="252" t="s">
        <v>211</v>
      </c>
      <c r="C1155" s="24" t="s">
        <v>31</v>
      </c>
      <c r="D1155" s="13" t="s">
        <v>614</v>
      </c>
      <c r="E1155" s="28">
        <v>-6371.92</v>
      </c>
      <c r="F1155" s="25" t="s">
        <v>8</v>
      </c>
      <c r="G1155" s="20" t="s">
        <v>46</v>
      </c>
    </row>
    <row r="1156" spans="1:7" s="291" customFormat="1" hidden="1" x14ac:dyDescent="0.3">
      <c r="A1156" s="205">
        <v>45860</v>
      </c>
      <c r="B1156" s="252" t="s">
        <v>211</v>
      </c>
      <c r="C1156" s="24" t="s">
        <v>25</v>
      </c>
      <c r="D1156" s="13" t="s">
        <v>807</v>
      </c>
      <c r="E1156" s="28">
        <v>-6456.32</v>
      </c>
      <c r="F1156" s="25" t="s">
        <v>8</v>
      </c>
      <c r="G1156" s="20" t="s">
        <v>46</v>
      </c>
    </row>
    <row r="1157" spans="1:7" s="291" customFormat="1" hidden="1" x14ac:dyDescent="0.3">
      <c r="A1157" s="201">
        <v>45860</v>
      </c>
      <c r="B1157" s="265" t="s">
        <v>211</v>
      </c>
      <c r="C1157" s="258" t="s">
        <v>25</v>
      </c>
      <c r="D1157" s="259" t="s">
        <v>925</v>
      </c>
      <c r="E1157" s="297">
        <v>-120</v>
      </c>
      <c r="F1157" s="51" t="s">
        <v>8</v>
      </c>
      <c r="G1157" s="232" t="s">
        <v>27</v>
      </c>
    </row>
    <row r="1158" spans="1:7" s="291" customFormat="1" hidden="1" x14ac:dyDescent="0.3">
      <c r="A1158" s="205">
        <v>45924</v>
      </c>
      <c r="B1158" s="252" t="s">
        <v>212</v>
      </c>
      <c r="C1158" s="24" t="s">
        <v>31</v>
      </c>
      <c r="D1158" s="13" t="s">
        <v>1396</v>
      </c>
      <c r="E1158" s="28">
        <v>-20000</v>
      </c>
      <c r="F1158" s="25" t="s">
        <v>8</v>
      </c>
      <c r="G1158" s="20" t="s">
        <v>76</v>
      </c>
    </row>
    <row r="1159" spans="1:7" s="514" customFormat="1" hidden="1" x14ac:dyDescent="0.3">
      <c r="A1159" s="768">
        <v>45895</v>
      </c>
      <c r="B1159" s="746" t="s">
        <v>212</v>
      </c>
      <c r="C1159" s="747" t="s">
        <v>31</v>
      </c>
      <c r="D1159" s="747" t="s">
        <v>1393</v>
      </c>
      <c r="E1159" s="812">
        <v>-6462.87</v>
      </c>
      <c r="F1159" s="766" t="s">
        <v>8</v>
      </c>
      <c r="G1159" s="767" t="s">
        <v>46</v>
      </c>
    </row>
    <row r="1160" spans="1:7" s="514" customFormat="1" ht="0.6" hidden="1" customHeight="1" x14ac:dyDescent="0.3">
      <c r="A1160" s="608">
        <v>45895</v>
      </c>
      <c r="B1160" s="644" t="s">
        <v>212</v>
      </c>
      <c r="C1160" s="588" t="s">
        <v>25</v>
      </c>
      <c r="D1160" s="588" t="s">
        <v>1394</v>
      </c>
      <c r="E1160" s="838">
        <v>-6555.83</v>
      </c>
      <c r="F1160" s="727" t="s">
        <v>8</v>
      </c>
      <c r="G1160" s="551" t="s">
        <v>46</v>
      </c>
    </row>
    <row r="1161" spans="1:7" s="514" customFormat="1" hidden="1" x14ac:dyDescent="0.3">
      <c r="A1161" s="515">
        <v>45901</v>
      </c>
      <c r="B1161" s="626" t="s">
        <v>213</v>
      </c>
      <c r="C1161" s="592" t="s">
        <v>17</v>
      </c>
      <c r="D1161" s="517" t="s">
        <v>1473</v>
      </c>
      <c r="E1161" s="512">
        <v>-136.43000599999999</v>
      </c>
      <c r="F1161" s="513" t="s">
        <v>8</v>
      </c>
      <c r="G1161" s="518" t="s">
        <v>142</v>
      </c>
    </row>
    <row r="1162" spans="1:7" s="738" customFormat="1" ht="14.4" hidden="1" x14ac:dyDescent="0.3">
      <c r="A1162" s="884">
        <v>45897</v>
      </c>
      <c r="B1162" s="885" t="s">
        <v>212</v>
      </c>
      <c r="C1162" s="875" t="s">
        <v>72</v>
      </c>
      <c r="D1162" s="875" t="s">
        <v>1368</v>
      </c>
      <c r="E1162" s="876">
        <v>-123.5</v>
      </c>
      <c r="F1162" s="886" t="s">
        <v>8</v>
      </c>
      <c r="G1162" s="887" t="s">
        <v>76</v>
      </c>
    </row>
    <row r="1163" spans="1:7" s="514" customFormat="1" ht="14.4" hidden="1" x14ac:dyDescent="0.3">
      <c r="A1163" s="515">
        <v>45897</v>
      </c>
      <c r="B1163" s="511" t="s">
        <v>212</v>
      </c>
      <c r="C1163" s="713" t="s">
        <v>17</v>
      </c>
      <c r="D1163" s="713" t="s">
        <v>1369</v>
      </c>
      <c r="E1163" s="716">
        <v>-83.04</v>
      </c>
      <c r="F1163" s="513" t="s">
        <v>8</v>
      </c>
      <c r="G1163" s="786" t="s">
        <v>394</v>
      </c>
    </row>
    <row r="1164" spans="1:7" s="514" customFormat="1" ht="14.4" hidden="1" x14ac:dyDescent="0.3">
      <c r="A1164" s="515">
        <v>45897</v>
      </c>
      <c r="B1164" s="511" t="s">
        <v>212</v>
      </c>
      <c r="C1164" s="713" t="s">
        <v>17</v>
      </c>
      <c r="D1164" s="713" t="s">
        <v>1370</v>
      </c>
      <c r="E1164" s="716">
        <v>-83.04</v>
      </c>
      <c r="F1164" s="513" t="s">
        <v>8</v>
      </c>
      <c r="G1164" s="786" t="s">
        <v>394</v>
      </c>
    </row>
    <row r="1165" spans="1:7" s="514" customFormat="1" ht="14.4" hidden="1" x14ac:dyDescent="0.3">
      <c r="A1165" s="515">
        <v>45897</v>
      </c>
      <c r="B1165" s="511" t="s">
        <v>212</v>
      </c>
      <c r="C1165" s="713" t="s">
        <v>17</v>
      </c>
      <c r="D1165" s="713" t="s">
        <v>1371</v>
      </c>
      <c r="E1165" s="716">
        <v>-83.04</v>
      </c>
      <c r="F1165" s="513" t="s">
        <v>8</v>
      </c>
      <c r="G1165" s="786" t="s">
        <v>394</v>
      </c>
    </row>
    <row r="1166" spans="1:7" s="514" customFormat="1" ht="14.4" hidden="1" x14ac:dyDescent="0.3">
      <c r="A1166" s="515">
        <v>45897</v>
      </c>
      <c r="B1166" s="782" t="s">
        <v>212</v>
      </c>
      <c r="C1166" s="713" t="s">
        <v>17</v>
      </c>
      <c r="D1166" s="713" t="s">
        <v>1372</v>
      </c>
      <c r="E1166" s="716">
        <v>-210</v>
      </c>
      <c r="F1166" s="513" t="s">
        <v>8</v>
      </c>
      <c r="G1166" s="786" t="s">
        <v>99</v>
      </c>
    </row>
    <row r="1167" spans="1:7" s="514" customFormat="1" ht="14.4" hidden="1" x14ac:dyDescent="0.3">
      <c r="A1167" s="515">
        <v>45897</v>
      </c>
      <c r="B1167" s="782" t="s">
        <v>212</v>
      </c>
      <c r="C1167" s="713" t="s">
        <v>25</v>
      </c>
      <c r="D1167" s="713" t="s">
        <v>1373</v>
      </c>
      <c r="E1167" s="716">
        <v>-86.1</v>
      </c>
      <c r="F1167" s="513" t="s">
        <v>8</v>
      </c>
      <c r="G1167" s="786" t="s">
        <v>83</v>
      </c>
    </row>
    <row r="1168" spans="1:7" s="514" customFormat="1" ht="15" hidden="1" customHeight="1" x14ac:dyDescent="0.3">
      <c r="A1168" s="515">
        <v>45897</v>
      </c>
      <c r="B1168" s="782" t="s">
        <v>212</v>
      </c>
      <c r="C1168" s="713" t="s">
        <v>25</v>
      </c>
      <c r="D1168" s="713" t="s">
        <v>1374</v>
      </c>
      <c r="E1168" s="716">
        <v>-151.19999999999999</v>
      </c>
      <c r="F1168" s="513" t="s">
        <v>8</v>
      </c>
      <c r="G1168" s="786" t="s">
        <v>83</v>
      </c>
    </row>
    <row r="1169" spans="1:7" s="514" customFormat="1" ht="14.4" hidden="1" x14ac:dyDescent="0.3">
      <c r="A1169" s="515">
        <v>45897</v>
      </c>
      <c r="B1169" s="782" t="s">
        <v>212</v>
      </c>
      <c r="C1169" s="713" t="s">
        <v>17</v>
      </c>
      <c r="D1169" s="713" t="s">
        <v>1375</v>
      </c>
      <c r="E1169" s="716">
        <v>-270</v>
      </c>
      <c r="F1169" s="513" t="s">
        <v>8</v>
      </c>
      <c r="G1169" s="786" t="s">
        <v>83</v>
      </c>
    </row>
    <row r="1170" spans="1:7" s="514" customFormat="1" ht="14.4" hidden="1" x14ac:dyDescent="0.3">
      <c r="A1170" s="515">
        <v>45897</v>
      </c>
      <c r="B1170" s="782" t="s">
        <v>212</v>
      </c>
      <c r="C1170" s="713" t="s">
        <v>17</v>
      </c>
      <c r="D1170" s="713" t="s">
        <v>1376</v>
      </c>
      <c r="E1170" s="716">
        <v>-270</v>
      </c>
      <c r="F1170" s="513" t="s">
        <v>8</v>
      </c>
      <c r="G1170" s="786" t="s">
        <v>83</v>
      </c>
    </row>
    <row r="1171" spans="1:7" s="514" customFormat="1" ht="14.4" hidden="1" x14ac:dyDescent="0.3">
      <c r="A1171" s="515">
        <v>45897</v>
      </c>
      <c r="B1171" s="782" t="s">
        <v>212</v>
      </c>
      <c r="C1171" s="713" t="s">
        <v>17</v>
      </c>
      <c r="D1171" s="713" t="s">
        <v>1377</v>
      </c>
      <c r="E1171" s="716">
        <v>-270</v>
      </c>
      <c r="F1171" s="513" t="s">
        <v>8</v>
      </c>
      <c r="G1171" s="786" t="s">
        <v>83</v>
      </c>
    </row>
    <row r="1172" spans="1:7" s="514" customFormat="1" ht="14.4" hidden="1" x14ac:dyDescent="0.3">
      <c r="A1172" s="515">
        <v>45897</v>
      </c>
      <c r="B1172" s="782" t="s">
        <v>212</v>
      </c>
      <c r="C1172" s="713" t="s">
        <v>25</v>
      </c>
      <c r="D1172" s="713" t="s">
        <v>1402</v>
      </c>
      <c r="E1172" s="716">
        <v>-2000</v>
      </c>
      <c r="F1172" s="513" t="s">
        <v>8</v>
      </c>
      <c r="G1172" s="786" t="s">
        <v>59</v>
      </c>
    </row>
    <row r="1173" spans="1:7" s="514" customFormat="1" ht="14.4" hidden="1" x14ac:dyDescent="0.3">
      <c r="A1173" s="608">
        <v>45897</v>
      </c>
      <c r="B1173" s="853" t="s">
        <v>212</v>
      </c>
      <c r="C1173" s="749" t="s">
        <v>25</v>
      </c>
      <c r="D1173" s="749" t="s">
        <v>1409</v>
      </c>
      <c r="E1173" s="750">
        <v>-400</v>
      </c>
      <c r="F1173" s="727" t="s">
        <v>8</v>
      </c>
      <c r="G1173" s="854" t="s">
        <v>142</v>
      </c>
    </row>
    <row r="1174" spans="1:7" s="291" customFormat="1" hidden="1" x14ac:dyDescent="0.3">
      <c r="A1174" s="252">
        <v>45917</v>
      </c>
      <c r="B1174" s="252" t="s">
        <v>213</v>
      </c>
      <c r="C1174" s="24" t="s">
        <v>6</v>
      </c>
      <c r="D1174" s="263" t="s">
        <v>200</v>
      </c>
      <c r="E1174" s="264">
        <v>-1905.5</v>
      </c>
      <c r="F1174" s="25" t="s">
        <v>8</v>
      </c>
      <c r="G1174" s="14" t="s">
        <v>51</v>
      </c>
    </row>
    <row r="1175" spans="1:7" s="514" customFormat="1" hidden="1" x14ac:dyDescent="0.3">
      <c r="A1175" s="768">
        <v>45898</v>
      </c>
      <c r="B1175" s="746" t="s">
        <v>212</v>
      </c>
      <c r="C1175" s="874" t="s">
        <v>44</v>
      </c>
      <c r="D1175" s="809" t="s">
        <v>1214</v>
      </c>
      <c r="E1175" s="770">
        <v>-1722.8</v>
      </c>
      <c r="F1175" s="772" t="s">
        <v>8</v>
      </c>
      <c r="G1175" s="888" t="s">
        <v>142</v>
      </c>
    </row>
    <row r="1176" spans="1:7" s="514" customFormat="1" hidden="1" x14ac:dyDescent="0.3">
      <c r="A1176" s="626">
        <v>45898</v>
      </c>
      <c r="B1176" s="626" t="s">
        <v>212</v>
      </c>
      <c r="C1176" s="592" t="s">
        <v>44</v>
      </c>
      <c r="D1176" s="517" t="s">
        <v>1432</v>
      </c>
      <c r="E1176" s="512">
        <v>-536</v>
      </c>
      <c r="F1176" s="513" t="s">
        <v>8</v>
      </c>
      <c r="G1176" s="518" t="s">
        <v>142</v>
      </c>
    </row>
    <row r="1177" spans="1:7" hidden="1" x14ac:dyDescent="0.3">
      <c r="A1177" s="532">
        <v>45884</v>
      </c>
      <c r="B1177" s="532" t="s">
        <v>212</v>
      </c>
      <c r="C1177" s="91" t="s">
        <v>1234</v>
      </c>
      <c r="D1177" s="91" t="s">
        <v>1235</v>
      </c>
      <c r="E1177" s="92">
        <v>110000</v>
      </c>
      <c r="F1177" s="93" t="s">
        <v>164</v>
      </c>
      <c r="G1177" s="94" t="s">
        <v>46</v>
      </c>
    </row>
    <row r="1178" spans="1:7" s="291" customFormat="1" ht="17.399999999999999" hidden="1" customHeight="1" x14ac:dyDescent="0.3">
      <c r="A1178" s="252">
        <v>45890</v>
      </c>
      <c r="B1178" s="252" t="s">
        <v>212</v>
      </c>
      <c r="C1178" s="26" t="s">
        <v>72</v>
      </c>
      <c r="D1178" s="26" t="s">
        <v>1229</v>
      </c>
      <c r="E1178" s="19">
        <v>-115</v>
      </c>
      <c r="F1178" s="25" t="s">
        <v>8</v>
      </c>
      <c r="G1178" s="20" t="s">
        <v>76</v>
      </c>
    </row>
    <row r="1179" spans="1:7" s="291" customFormat="1" ht="15" hidden="1" customHeight="1" x14ac:dyDescent="0.3">
      <c r="A1179" s="252">
        <v>45890</v>
      </c>
      <c r="B1179" s="252" t="s">
        <v>212</v>
      </c>
      <c r="C1179" s="36" t="s">
        <v>25</v>
      </c>
      <c r="D1179" s="36" t="s">
        <v>380</v>
      </c>
      <c r="E1179" s="174">
        <v>-135.30000000000001</v>
      </c>
      <c r="F1179" s="25" t="s">
        <v>8</v>
      </c>
      <c r="G1179" s="20" t="s">
        <v>83</v>
      </c>
    </row>
    <row r="1180" spans="1:7" s="738" customFormat="1" ht="15" hidden="1" customHeight="1" x14ac:dyDescent="0.3">
      <c r="A1180" s="737">
        <v>45891</v>
      </c>
      <c r="B1180" s="737" t="s">
        <v>212</v>
      </c>
      <c r="C1180" s="713" t="s">
        <v>25</v>
      </c>
      <c r="D1180" s="749" t="s">
        <v>1322</v>
      </c>
      <c r="E1180" s="750">
        <v>-100</v>
      </c>
      <c r="F1180" s="727" t="s">
        <v>8</v>
      </c>
      <c r="G1180" s="551" t="s">
        <v>83</v>
      </c>
    </row>
    <row r="1181" spans="1:7" s="514" customFormat="1" hidden="1" x14ac:dyDescent="0.3">
      <c r="A1181" s="626">
        <v>45891</v>
      </c>
      <c r="B1181" s="626" t="s">
        <v>212</v>
      </c>
      <c r="C1181" s="592" t="s">
        <v>25</v>
      </c>
      <c r="D1181" s="592" t="s">
        <v>1321</v>
      </c>
      <c r="E1181" s="512">
        <v>-135.30000000000001</v>
      </c>
      <c r="F1181" s="513" t="s">
        <v>8</v>
      </c>
      <c r="G1181" s="518" t="s">
        <v>83</v>
      </c>
    </row>
    <row r="1182" spans="1:7" s="514" customFormat="1" ht="14.4" hidden="1" x14ac:dyDescent="0.3">
      <c r="A1182" s="626">
        <v>45891</v>
      </c>
      <c r="B1182" s="626" t="s">
        <v>212</v>
      </c>
      <c r="C1182" s="713" t="s">
        <v>25</v>
      </c>
      <c r="D1182" s="713" t="s">
        <v>1317</v>
      </c>
      <c r="E1182" s="716">
        <v>-325</v>
      </c>
      <c r="F1182" s="513" t="s">
        <v>8</v>
      </c>
      <c r="G1182" s="518" t="s">
        <v>83</v>
      </c>
    </row>
    <row r="1183" spans="1:7" s="291" customFormat="1" ht="14.4" hidden="1" x14ac:dyDescent="0.3">
      <c r="A1183" s="252">
        <v>45890</v>
      </c>
      <c r="B1183" s="252" t="s">
        <v>212</v>
      </c>
      <c r="C1183" s="36" t="s">
        <v>25</v>
      </c>
      <c r="D1183" s="753" t="s">
        <v>876</v>
      </c>
      <c r="E1183" s="754">
        <v>-205</v>
      </c>
      <c r="F1183" s="262" t="s">
        <v>8</v>
      </c>
      <c r="G1183" s="168" t="s">
        <v>83</v>
      </c>
    </row>
    <row r="1184" spans="1:7" s="291" customFormat="1" ht="14.4" hidden="1" x14ac:dyDescent="0.3">
      <c r="A1184" s="252">
        <v>45890</v>
      </c>
      <c r="B1184" s="252" t="s">
        <v>212</v>
      </c>
      <c r="C1184" s="36" t="s">
        <v>25</v>
      </c>
      <c r="D1184" s="36" t="s">
        <v>429</v>
      </c>
      <c r="E1184" s="174">
        <v>-103.4</v>
      </c>
      <c r="F1184" s="25" t="s">
        <v>8</v>
      </c>
      <c r="G1184" s="20" t="s">
        <v>83</v>
      </c>
    </row>
    <row r="1185" spans="1:7" s="291" customFormat="1" ht="14.4" hidden="1" x14ac:dyDescent="0.3">
      <c r="A1185" s="252">
        <v>45890</v>
      </c>
      <c r="B1185" s="252" t="s">
        <v>212</v>
      </c>
      <c r="C1185" s="36" t="s">
        <v>25</v>
      </c>
      <c r="D1185" s="36" t="s">
        <v>873</v>
      </c>
      <c r="E1185" s="174">
        <v>-132</v>
      </c>
      <c r="F1185" s="25" t="s">
        <v>8</v>
      </c>
      <c r="G1185" s="20" t="s">
        <v>83</v>
      </c>
    </row>
    <row r="1186" spans="1:7" s="291" customFormat="1" ht="14.4" hidden="1" x14ac:dyDescent="0.3">
      <c r="A1186" s="252">
        <v>45890</v>
      </c>
      <c r="B1186" s="252" t="s">
        <v>212</v>
      </c>
      <c r="C1186" s="36" t="s">
        <v>25</v>
      </c>
      <c r="D1186" s="36" t="s">
        <v>874</v>
      </c>
      <c r="E1186" s="174">
        <v>-233</v>
      </c>
      <c r="F1186" s="25" t="s">
        <v>8</v>
      </c>
      <c r="G1186" s="20" t="s">
        <v>83</v>
      </c>
    </row>
    <row r="1187" spans="1:7" s="291" customFormat="1" ht="14.4" hidden="1" x14ac:dyDescent="0.3">
      <c r="A1187" s="252">
        <v>45890</v>
      </c>
      <c r="B1187" s="252" t="s">
        <v>212</v>
      </c>
      <c r="C1187" s="36" t="s">
        <v>25</v>
      </c>
      <c r="D1187" s="36" t="s">
        <v>524</v>
      </c>
      <c r="E1187" s="174">
        <v>-220</v>
      </c>
      <c r="F1187" s="25" t="s">
        <v>8</v>
      </c>
      <c r="G1187" s="20" t="s">
        <v>83</v>
      </c>
    </row>
    <row r="1188" spans="1:7" s="291" customFormat="1" ht="14.4" hidden="1" x14ac:dyDescent="0.3">
      <c r="A1188" s="252">
        <v>45890</v>
      </c>
      <c r="B1188" s="252" t="s">
        <v>212</v>
      </c>
      <c r="C1188" s="36" t="s">
        <v>25</v>
      </c>
      <c r="D1188" s="36" t="s">
        <v>1318</v>
      </c>
      <c r="E1188" s="174">
        <v>-123</v>
      </c>
      <c r="F1188" s="25" t="s">
        <v>8</v>
      </c>
      <c r="G1188" s="20" t="s">
        <v>83</v>
      </c>
    </row>
    <row r="1189" spans="1:7" s="291" customFormat="1" ht="14.4" hidden="1" x14ac:dyDescent="0.3">
      <c r="A1189" s="252">
        <v>45890</v>
      </c>
      <c r="B1189" s="252" t="s">
        <v>212</v>
      </c>
      <c r="C1189" s="36" t="s">
        <v>17</v>
      </c>
      <c r="D1189" s="36" t="s">
        <v>1319</v>
      </c>
      <c r="E1189" s="174">
        <v>-274</v>
      </c>
      <c r="F1189" s="25" t="s">
        <v>8</v>
      </c>
      <c r="G1189" s="20" t="s">
        <v>83</v>
      </c>
    </row>
    <row r="1190" spans="1:7" s="291" customFormat="1" ht="14.4" hidden="1" x14ac:dyDescent="0.3">
      <c r="A1190" s="252">
        <v>45890</v>
      </c>
      <c r="B1190" s="252" t="s">
        <v>212</v>
      </c>
      <c r="C1190" s="36" t="s">
        <v>17</v>
      </c>
      <c r="D1190" s="36" t="s">
        <v>1320</v>
      </c>
      <c r="E1190" s="174">
        <v>-51.8</v>
      </c>
      <c r="F1190" s="25" t="s">
        <v>8</v>
      </c>
      <c r="G1190" s="20" t="s">
        <v>83</v>
      </c>
    </row>
    <row r="1191" spans="1:7" s="291" customFormat="1" hidden="1" x14ac:dyDescent="0.3">
      <c r="A1191" s="252">
        <v>45890</v>
      </c>
      <c r="B1191" s="252" t="s">
        <v>212</v>
      </c>
      <c r="C1191" s="26" t="s">
        <v>17</v>
      </c>
      <c r="D1191" s="26" t="s">
        <v>1319</v>
      </c>
      <c r="E1191" s="569">
        <v>-228.36</v>
      </c>
      <c r="F1191" s="25" t="s">
        <v>8</v>
      </c>
      <c r="G1191" s="670" t="s">
        <v>394</v>
      </c>
    </row>
    <row r="1192" spans="1:7" s="291" customFormat="1" hidden="1" x14ac:dyDescent="0.3">
      <c r="A1192" s="252">
        <v>45890</v>
      </c>
      <c r="B1192" s="252" t="s">
        <v>212</v>
      </c>
      <c r="C1192" s="26" t="s">
        <v>17</v>
      </c>
      <c r="D1192" s="243" t="s">
        <v>384</v>
      </c>
      <c r="E1192" s="751">
        <v>-604.55999999999995</v>
      </c>
      <c r="F1192" s="51" t="s">
        <v>8</v>
      </c>
      <c r="G1192" s="752" t="s">
        <v>394</v>
      </c>
    </row>
    <row r="1193" spans="1:7" s="514" customFormat="1" hidden="1" x14ac:dyDescent="0.3">
      <c r="A1193" s="626">
        <v>45891</v>
      </c>
      <c r="B1193" s="626" t="s">
        <v>212</v>
      </c>
      <c r="C1193" s="600" t="s">
        <v>17</v>
      </c>
      <c r="D1193" s="726" t="s">
        <v>1336</v>
      </c>
      <c r="E1193" s="759">
        <v>-162</v>
      </c>
      <c r="F1193" s="513" t="s">
        <v>8</v>
      </c>
      <c r="G1193" s="518" t="s">
        <v>83</v>
      </c>
    </row>
    <row r="1194" spans="1:7" s="514" customFormat="1" hidden="1" x14ac:dyDescent="0.3">
      <c r="A1194" s="626">
        <v>45891</v>
      </c>
      <c r="B1194" s="626" t="s">
        <v>212</v>
      </c>
      <c r="C1194" s="600" t="s">
        <v>17</v>
      </c>
      <c r="D1194" s="726" t="s">
        <v>1337</v>
      </c>
      <c r="E1194" s="759">
        <v>-162</v>
      </c>
      <c r="F1194" s="513" t="s">
        <v>8</v>
      </c>
      <c r="G1194" s="518" t="s">
        <v>83</v>
      </c>
    </row>
    <row r="1195" spans="1:7" s="514" customFormat="1" hidden="1" x14ac:dyDescent="0.3">
      <c r="A1195" s="626">
        <v>45891</v>
      </c>
      <c r="B1195" s="626" t="s">
        <v>212</v>
      </c>
      <c r="C1195" s="600" t="s">
        <v>17</v>
      </c>
      <c r="D1195" s="726" t="s">
        <v>1338</v>
      </c>
      <c r="E1195" s="759">
        <v>-126</v>
      </c>
      <c r="F1195" s="513" t="s">
        <v>8</v>
      </c>
      <c r="G1195" s="518" t="s">
        <v>83</v>
      </c>
    </row>
    <row r="1196" spans="1:7" s="514" customFormat="1" hidden="1" x14ac:dyDescent="0.3">
      <c r="A1196" s="626">
        <v>45891</v>
      </c>
      <c r="B1196" s="626" t="s">
        <v>212</v>
      </c>
      <c r="C1196" s="600" t="s">
        <v>17</v>
      </c>
      <c r="D1196" s="726" t="s">
        <v>1341</v>
      </c>
      <c r="E1196" s="759">
        <v>-145.32</v>
      </c>
      <c r="F1196" s="513" t="s">
        <v>8</v>
      </c>
      <c r="G1196" s="518" t="s">
        <v>83</v>
      </c>
    </row>
    <row r="1197" spans="1:7" s="514" customFormat="1" hidden="1" x14ac:dyDescent="0.3">
      <c r="A1197" s="626">
        <v>45891</v>
      </c>
      <c r="B1197" s="626" t="s">
        <v>212</v>
      </c>
      <c r="C1197" s="600" t="s">
        <v>17</v>
      </c>
      <c r="D1197" s="726" t="s">
        <v>1339</v>
      </c>
      <c r="E1197" s="759">
        <v>-145.32</v>
      </c>
      <c r="F1197" s="727" t="s">
        <v>8</v>
      </c>
      <c r="G1197" s="760" t="s">
        <v>394</v>
      </c>
    </row>
    <row r="1198" spans="1:7" s="514" customFormat="1" hidden="1" x14ac:dyDescent="0.3">
      <c r="A1198" s="626">
        <v>45891</v>
      </c>
      <c r="B1198" s="626" t="s">
        <v>212</v>
      </c>
      <c r="C1198" s="600" t="s">
        <v>17</v>
      </c>
      <c r="D1198" s="726" t="s">
        <v>1340</v>
      </c>
      <c r="E1198" s="759">
        <v>-145.32</v>
      </c>
      <c r="F1198" s="727" t="s">
        <v>8</v>
      </c>
      <c r="G1198" s="760" t="s">
        <v>394</v>
      </c>
    </row>
    <row r="1199" spans="1:7" s="514" customFormat="1" hidden="1" x14ac:dyDescent="0.3">
      <c r="A1199" s="626">
        <v>45891</v>
      </c>
      <c r="B1199" s="626" t="s">
        <v>212</v>
      </c>
      <c r="C1199" s="599" t="s">
        <v>30</v>
      </c>
      <c r="D1199" s="592" t="s">
        <v>1335</v>
      </c>
      <c r="E1199" s="755">
        <v>-824.16</v>
      </c>
      <c r="F1199" s="513" t="s">
        <v>8</v>
      </c>
      <c r="G1199" s="518" t="s">
        <v>27</v>
      </c>
    </row>
    <row r="1200" spans="1:7" s="514" customFormat="1" hidden="1" x14ac:dyDescent="0.3">
      <c r="A1200" s="626">
        <v>45891</v>
      </c>
      <c r="B1200" s="626" t="s">
        <v>212</v>
      </c>
      <c r="C1200" s="599" t="s">
        <v>31</v>
      </c>
      <c r="D1200" s="592" t="s">
        <v>1342</v>
      </c>
      <c r="E1200" s="755">
        <v>-900</v>
      </c>
      <c r="F1200" s="513" t="s">
        <v>8</v>
      </c>
      <c r="G1200" s="518" t="s">
        <v>41</v>
      </c>
    </row>
    <row r="1201" spans="1:7" s="773" customFormat="1" ht="14.4" hidden="1" x14ac:dyDescent="0.3">
      <c r="A1201" s="626">
        <v>45894</v>
      </c>
      <c r="B1201" s="626" t="s">
        <v>212</v>
      </c>
      <c r="C1201" s="600" t="s">
        <v>31</v>
      </c>
      <c r="D1201" s="600" t="s">
        <v>1354</v>
      </c>
      <c r="E1201" s="627">
        <v>-69</v>
      </c>
      <c r="F1201" s="513" t="s">
        <v>8</v>
      </c>
      <c r="G1201" s="772" t="s">
        <v>1353</v>
      </c>
    </row>
    <row r="1202" spans="1:7" s="319" customFormat="1" hidden="1" x14ac:dyDescent="0.3">
      <c r="A1202" s="98">
        <v>45894</v>
      </c>
      <c r="B1202" s="275" t="s">
        <v>212</v>
      </c>
      <c r="C1202" s="272" t="s">
        <v>25</v>
      </c>
      <c r="D1202" s="778" t="s">
        <v>1357</v>
      </c>
      <c r="E1202" s="779">
        <v>8400</v>
      </c>
      <c r="F1202" s="278" t="s">
        <v>164</v>
      </c>
      <c r="G1202" s="105" t="s">
        <v>165</v>
      </c>
    </row>
    <row r="1203" spans="1:7" s="514" customFormat="1" hidden="1" x14ac:dyDescent="0.3">
      <c r="A1203" s="515">
        <v>45895</v>
      </c>
      <c r="B1203" s="626" t="s">
        <v>212</v>
      </c>
      <c r="C1203" s="592" t="s">
        <v>25</v>
      </c>
      <c r="D1203" s="592" t="s">
        <v>386</v>
      </c>
      <c r="E1203" s="512">
        <v>-174.6</v>
      </c>
      <c r="F1203" s="513" t="s">
        <v>8</v>
      </c>
      <c r="G1203" s="518" t="s">
        <v>83</v>
      </c>
    </row>
    <row r="1204" spans="1:7" s="514" customFormat="1" hidden="1" x14ac:dyDescent="0.3">
      <c r="A1204" s="515">
        <v>45895</v>
      </c>
      <c r="B1204" s="626" t="s">
        <v>212</v>
      </c>
      <c r="C1204" s="592" t="s">
        <v>72</v>
      </c>
      <c r="D1204" s="592" t="s">
        <v>1358</v>
      </c>
      <c r="E1204" s="512">
        <v>-100</v>
      </c>
      <c r="F1204" s="513" t="s">
        <v>8</v>
      </c>
      <c r="G1204" s="518" t="s">
        <v>83</v>
      </c>
    </row>
    <row r="1205" spans="1:7" s="514" customFormat="1" hidden="1" x14ac:dyDescent="0.3">
      <c r="A1205" s="515">
        <v>45895</v>
      </c>
      <c r="B1205" s="626" t="s">
        <v>212</v>
      </c>
      <c r="C1205" s="592" t="s">
        <v>72</v>
      </c>
      <c r="D1205" s="592" t="s">
        <v>1359</v>
      </c>
      <c r="E1205" s="512">
        <v>-100</v>
      </c>
      <c r="F1205" s="513" t="s">
        <v>8</v>
      </c>
      <c r="G1205" s="518" t="s">
        <v>83</v>
      </c>
    </row>
    <row r="1206" spans="1:7" s="514" customFormat="1" hidden="1" x14ac:dyDescent="0.3">
      <c r="A1206" s="515">
        <v>45895</v>
      </c>
      <c r="B1206" s="626" t="s">
        <v>212</v>
      </c>
      <c r="C1206" s="592" t="s">
        <v>72</v>
      </c>
      <c r="D1206" s="592" t="s">
        <v>1360</v>
      </c>
      <c r="E1206" s="512">
        <v>-100</v>
      </c>
      <c r="F1206" s="513" t="s">
        <v>8</v>
      </c>
      <c r="G1206" s="518" t="s">
        <v>83</v>
      </c>
    </row>
    <row r="1207" spans="1:7" s="514" customFormat="1" hidden="1" x14ac:dyDescent="0.3">
      <c r="A1207" s="515">
        <v>45895</v>
      </c>
      <c r="B1207" s="626" t="s">
        <v>212</v>
      </c>
      <c r="C1207" s="592" t="s">
        <v>72</v>
      </c>
      <c r="D1207" s="592" t="s">
        <v>1361</v>
      </c>
      <c r="E1207" s="512">
        <v>-100</v>
      </c>
      <c r="F1207" s="513" t="s">
        <v>8</v>
      </c>
      <c r="G1207" s="518" t="s">
        <v>83</v>
      </c>
    </row>
    <row r="1208" spans="1:7" s="514" customFormat="1" hidden="1" x14ac:dyDescent="0.3">
      <c r="A1208" s="515">
        <v>45895</v>
      </c>
      <c r="B1208" s="626" t="s">
        <v>212</v>
      </c>
      <c r="C1208" s="592" t="s">
        <v>72</v>
      </c>
      <c r="D1208" s="592" t="s">
        <v>1362</v>
      </c>
      <c r="E1208" s="512">
        <v>-100</v>
      </c>
      <c r="F1208" s="513" t="s">
        <v>8</v>
      </c>
      <c r="G1208" s="518" t="s">
        <v>83</v>
      </c>
    </row>
    <row r="1209" spans="1:7" s="514" customFormat="1" hidden="1" x14ac:dyDescent="0.3">
      <c r="A1209" s="515">
        <v>45895</v>
      </c>
      <c r="B1209" s="626" t="s">
        <v>212</v>
      </c>
      <c r="C1209" s="592" t="s">
        <v>72</v>
      </c>
      <c r="D1209" s="592" t="s">
        <v>1363</v>
      </c>
      <c r="E1209" s="512">
        <v>-100</v>
      </c>
      <c r="F1209" s="513" t="s">
        <v>8</v>
      </c>
      <c r="G1209" s="518" t="s">
        <v>83</v>
      </c>
    </row>
    <row r="1210" spans="1:7" s="514" customFormat="1" hidden="1" x14ac:dyDescent="0.3">
      <c r="A1210" s="515">
        <v>45895</v>
      </c>
      <c r="B1210" s="626" t="s">
        <v>212</v>
      </c>
      <c r="C1210" s="592" t="s">
        <v>17</v>
      </c>
      <c r="D1210" s="592" t="s">
        <v>1069</v>
      </c>
      <c r="E1210" s="512">
        <v>-61.5</v>
      </c>
      <c r="F1210" s="513" t="s">
        <v>8</v>
      </c>
      <c r="G1210" s="518" t="s">
        <v>83</v>
      </c>
    </row>
    <row r="1211" spans="1:7" s="514" customFormat="1" hidden="1" x14ac:dyDescent="0.3">
      <c r="A1211" s="608">
        <v>45895</v>
      </c>
      <c r="B1211" s="644" t="s">
        <v>212</v>
      </c>
      <c r="C1211" s="726" t="s">
        <v>17</v>
      </c>
      <c r="D1211" s="726" t="s">
        <v>469</v>
      </c>
      <c r="E1211" s="693">
        <v>-162</v>
      </c>
      <c r="F1211" s="727" t="s">
        <v>8</v>
      </c>
      <c r="G1211" s="551" t="s">
        <v>83</v>
      </c>
    </row>
    <row r="1212" spans="1:7" s="291" customFormat="1" hidden="1" x14ac:dyDescent="0.3">
      <c r="A1212" s="252">
        <v>45923</v>
      </c>
      <c r="B1212" s="252" t="s">
        <v>213</v>
      </c>
      <c r="C1212" s="26" t="s">
        <v>44</v>
      </c>
      <c r="D1212" s="18" t="s">
        <v>1534</v>
      </c>
      <c r="E1212" s="19">
        <v>-120000</v>
      </c>
      <c r="F1212" s="25" t="s">
        <v>8</v>
      </c>
      <c r="G1212" s="20" t="s">
        <v>46</v>
      </c>
    </row>
    <row r="1213" spans="1:7" s="514" customFormat="1" ht="14.4" hidden="1" x14ac:dyDescent="0.3">
      <c r="A1213" s="746">
        <v>45898</v>
      </c>
      <c r="B1213" s="746" t="s">
        <v>212</v>
      </c>
      <c r="C1213" s="875" t="s">
        <v>25</v>
      </c>
      <c r="D1213" s="875" t="s">
        <v>1411</v>
      </c>
      <c r="E1213" s="876">
        <v>-41.52</v>
      </c>
      <c r="F1213" s="766" t="s">
        <v>8</v>
      </c>
      <c r="G1213" s="772" t="s">
        <v>19</v>
      </c>
    </row>
    <row r="1214" spans="1:7" s="514" customFormat="1" ht="16.8" hidden="1" customHeight="1" x14ac:dyDescent="0.3">
      <c r="A1214" s="746">
        <v>45898</v>
      </c>
      <c r="B1214" s="746" t="s">
        <v>212</v>
      </c>
      <c r="C1214" s="747" t="s">
        <v>17</v>
      </c>
      <c r="D1214" s="748" t="s">
        <v>18</v>
      </c>
      <c r="E1214" s="798">
        <v>-17235</v>
      </c>
      <c r="F1214" s="766" t="s">
        <v>8</v>
      </c>
      <c r="G1214" s="772" t="s">
        <v>19</v>
      </c>
    </row>
    <row r="1215" spans="1:7" s="514" customFormat="1" hidden="1" x14ac:dyDescent="0.3">
      <c r="A1215" s="626">
        <v>45888</v>
      </c>
      <c r="B1215" s="626" t="s">
        <v>212</v>
      </c>
      <c r="C1215" s="517" t="s">
        <v>72</v>
      </c>
      <c r="D1215" s="592" t="s">
        <v>1305</v>
      </c>
      <c r="E1215" s="512">
        <v>-368.7</v>
      </c>
      <c r="F1215" s="513" t="s">
        <v>8</v>
      </c>
      <c r="G1215" s="518" t="s">
        <v>233</v>
      </c>
    </row>
    <row r="1216" spans="1:7" s="291" customFormat="1" hidden="1" x14ac:dyDescent="0.3">
      <c r="A1216" s="298">
        <v>45884</v>
      </c>
      <c r="B1216" s="298" t="s">
        <v>212</v>
      </c>
      <c r="C1216" s="261" t="s">
        <v>17</v>
      </c>
      <c r="D1216" s="26" t="s">
        <v>811</v>
      </c>
      <c r="E1216" s="19">
        <v>-1091.77</v>
      </c>
      <c r="F1216" s="25" t="s">
        <v>8</v>
      </c>
      <c r="G1216" s="20" t="s">
        <v>76</v>
      </c>
    </row>
    <row r="1217" spans="1:7" s="291" customFormat="1" hidden="1" x14ac:dyDescent="0.3">
      <c r="A1217" s="252">
        <v>45884</v>
      </c>
      <c r="B1217" s="252" t="s">
        <v>212</v>
      </c>
      <c r="C1217" s="261" t="s">
        <v>44</v>
      </c>
      <c r="D1217" s="26" t="s">
        <v>1239</v>
      </c>
      <c r="E1217" s="497">
        <v>-700</v>
      </c>
      <c r="F1217" s="25" t="s">
        <v>8</v>
      </c>
      <c r="G1217" s="20" t="s">
        <v>1238</v>
      </c>
    </row>
    <row r="1218" spans="1:7" s="291" customFormat="1" hidden="1" x14ac:dyDescent="0.3">
      <c r="A1218" s="252">
        <v>45884</v>
      </c>
      <c r="B1218" s="252" t="s">
        <v>212</v>
      </c>
      <c r="C1218" s="18" t="s">
        <v>72</v>
      </c>
      <c r="D1218" s="26" t="s">
        <v>1212</v>
      </c>
      <c r="E1218" s="497">
        <v>-860</v>
      </c>
      <c r="F1218" s="25" t="s">
        <v>8</v>
      </c>
      <c r="G1218" s="20" t="s">
        <v>27</v>
      </c>
    </row>
    <row r="1219" spans="1:7" s="291" customFormat="1" ht="13.2" hidden="1" customHeight="1" x14ac:dyDescent="0.3">
      <c r="A1219" s="252">
        <v>45884</v>
      </c>
      <c r="B1219" s="252" t="s">
        <v>212</v>
      </c>
      <c r="C1219" s="18" t="s">
        <v>72</v>
      </c>
      <c r="D1219" s="26" t="s">
        <v>1211</v>
      </c>
      <c r="E1219" s="19">
        <v>-1648.48</v>
      </c>
      <c r="F1219" s="25" t="s">
        <v>8</v>
      </c>
      <c r="G1219" s="20" t="s">
        <v>27</v>
      </c>
    </row>
    <row r="1220" spans="1:7" s="514" customFormat="1" hidden="1" x14ac:dyDescent="0.3">
      <c r="A1220" s="626">
        <v>45888</v>
      </c>
      <c r="B1220" s="626" t="s">
        <v>212</v>
      </c>
      <c r="C1220" s="517" t="s">
        <v>44</v>
      </c>
      <c r="D1220" s="592" t="s">
        <v>1293</v>
      </c>
      <c r="E1220" s="512">
        <v>-1382.3</v>
      </c>
      <c r="F1220" s="513" t="s">
        <v>8</v>
      </c>
      <c r="G1220" s="518" t="s">
        <v>233</v>
      </c>
    </row>
    <row r="1221" spans="1:7" s="291" customFormat="1" hidden="1" x14ac:dyDescent="0.3">
      <c r="A1221" s="252">
        <v>45884</v>
      </c>
      <c r="B1221" s="252" t="s">
        <v>212</v>
      </c>
      <c r="C1221" s="18" t="s">
        <v>6</v>
      </c>
      <c r="D1221" s="26" t="s">
        <v>1240</v>
      </c>
      <c r="E1221" s="19">
        <v>-163.12</v>
      </c>
      <c r="F1221" s="25" t="s">
        <v>8</v>
      </c>
      <c r="G1221" s="20" t="s">
        <v>189</v>
      </c>
    </row>
    <row r="1222" spans="1:7" s="291" customFormat="1" hidden="1" x14ac:dyDescent="0.3">
      <c r="A1222" s="252">
        <v>45884</v>
      </c>
      <c r="B1222" s="252" t="s">
        <v>212</v>
      </c>
      <c r="C1222" s="18" t="s">
        <v>6</v>
      </c>
      <c r="D1222" s="26" t="s">
        <v>1242</v>
      </c>
      <c r="E1222" s="19">
        <v>-177.04</v>
      </c>
      <c r="F1222" s="25" t="s">
        <v>8</v>
      </c>
      <c r="G1222" s="20" t="s">
        <v>1241</v>
      </c>
    </row>
    <row r="1223" spans="1:7" s="284" customFormat="1" hidden="1" x14ac:dyDescent="0.3">
      <c r="A1223" s="708">
        <v>45884</v>
      </c>
      <c r="B1223" s="708" t="s">
        <v>212</v>
      </c>
      <c r="C1223" s="314" t="s">
        <v>6</v>
      </c>
      <c r="D1223" s="269" t="s">
        <v>605</v>
      </c>
      <c r="E1223" s="270">
        <v>-3500</v>
      </c>
      <c r="F1223" s="20" t="s">
        <v>8</v>
      </c>
      <c r="G1223" s="20" t="s">
        <v>189</v>
      </c>
    </row>
    <row r="1224" spans="1:7" s="291" customFormat="1" hidden="1" x14ac:dyDescent="0.3">
      <c r="A1224" s="205">
        <v>45884</v>
      </c>
      <c r="B1224" s="252" t="s">
        <v>212</v>
      </c>
      <c r="C1224" s="271" t="s">
        <v>31</v>
      </c>
      <c r="D1224" s="26" t="s">
        <v>606</v>
      </c>
      <c r="E1224" s="19">
        <v>-1000</v>
      </c>
      <c r="F1224" s="20" t="s">
        <v>8</v>
      </c>
      <c r="G1224" s="20" t="s">
        <v>189</v>
      </c>
    </row>
    <row r="1225" spans="1:7" s="291" customFormat="1" hidden="1" x14ac:dyDescent="0.3">
      <c r="A1225" s="252">
        <v>45971</v>
      </c>
      <c r="B1225" s="252" t="s">
        <v>217</v>
      </c>
      <c r="C1225" s="26" t="s">
        <v>25</v>
      </c>
      <c r="D1225" s="26" t="s">
        <v>635</v>
      </c>
      <c r="E1225" s="19">
        <v>-5600</v>
      </c>
      <c r="F1225" s="20" t="s">
        <v>8</v>
      </c>
      <c r="G1225" s="20" t="s">
        <v>189</v>
      </c>
    </row>
    <row r="1226" spans="1:7" s="291" customFormat="1" hidden="1" x14ac:dyDescent="0.3">
      <c r="A1226" s="265">
        <v>45938</v>
      </c>
      <c r="B1226" s="265" t="s">
        <v>216</v>
      </c>
      <c r="C1226" s="243" t="s">
        <v>25</v>
      </c>
      <c r="D1226" s="243" t="s">
        <v>636</v>
      </c>
      <c r="E1226" s="204">
        <v>-5600</v>
      </c>
      <c r="F1226" s="232" t="s">
        <v>8</v>
      </c>
      <c r="G1226" s="232" t="s">
        <v>189</v>
      </c>
    </row>
    <row r="1227" spans="1:7" s="291" customFormat="1" ht="0.6" hidden="1" customHeight="1" x14ac:dyDescent="0.3">
      <c r="A1227" s="252">
        <v>45908</v>
      </c>
      <c r="B1227" s="252" t="s">
        <v>213</v>
      </c>
      <c r="C1227" s="26" t="s">
        <v>25</v>
      </c>
      <c r="D1227" s="26" t="s">
        <v>637</v>
      </c>
      <c r="E1227" s="19">
        <v>-5600</v>
      </c>
      <c r="F1227" s="20" t="s">
        <v>8</v>
      </c>
      <c r="G1227" s="20" t="s">
        <v>189</v>
      </c>
    </row>
    <row r="1228" spans="1:7" s="291" customFormat="1" hidden="1" x14ac:dyDescent="0.3">
      <c r="A1228" s="298">
        <v>45877</v>
      </c>
      <c r="B1228" s="298" t="s">
        <v>212</v>
      </c>
      <c r="C1228" s="238" t="s">
        <v>17</v>
      </c>
      <c r="D1228" s="228" t="s">
        <v>490</v>
      </c>
      <c r="E1228" s="229">
        <v>-155.27000000000001</v>
      </c>
      <c r="F1228" s="262" t="s">
        <v>8</v>
      </c>
      <c r="G1228" s="168" t="s">
        <v>76</v>
      </c>
    </row>
    <row r="1229" spans="1:7" s="291" customFormat="1" hidden="1" x14ac:dyDescent="0.3">
      <c r="A1229" s="252">
        <v>45877</v>
      </c>
      <c r="B1229" s="252" t="s">
        <v>212</v>
      </c>
      <c r="C1229" s="26" t="s">
        <v>106</v>
      </c>
      <c r="D1229" s="18" t="s">
        <v>1097</v>
      </c>
      <c r="E1229" s="19">
        <v>-166.39</v>
      </c>
      <c r="F1229" s="25" t="s">
        <v>8</v>
      </c>
      <c r="G1229" s="20" t="s">
        <v>76</v>
      </c>
    </row>
    <row r="1230" spans="1:7" s="291" customFormat="1" hidden="1" x14ac:dyDescent="0.3">
      <c r="A1230" s="252">
        <v>45877</v>
      </c>
      <c r="B1230" s="252" t="s">
        <v>212</v>
      </c>
      <c r="C1230" s="26" t="s">
        <v>44</v>
      </c>
      <c r="D1230" s="18" t="s">
        <v>1152</v>
      </c>
      <c r="E1230" s="19">
        <v>-90</v>
      </c>
      <c r="F1230" s="25" t="s">
        <v>8</v>
      </c>
      <c r="G1230" s="20" t="s">
        <v>83</v>
      </c>
    </row>
    <row r="1231" spans="1:7" s="291" customFormat="1" hidden="1" x14ac:dyDescent="0.3">
      <c r="A1231" s="252">
        <v>45877</v>
      </c>
      <c r="B1231" s="252" t="s">
        <v>212</v>
      </c>
      <c r="C1231" s="26" t="s">
        <v>25</v>
      </c>
      <c r="D1231" s="18" t="s">
        <v>386</v>
      </c>
      <c r="E1231" s="19">
        <v>-291</v>
      </c>
      <c r="F1231" s="25" t="s">
        <v>8</v>
      </c>
      <c r="G1231" s="20" t="s">
        <v>83</v>
      </c>
    </row>
    <row r="1232" spans="1:7" s="291" customFormat="1" hidden="1" x14ac:dyDescent="0.3">
      <c r="A1232" s="252">
        <v>45877</v>
      </c>
      <c r="B1232" s="252" t="s">
        <v>212</v>
      </c>
      <c r="C1232" s="26" t="s">
        <v>25</v>
      </c>
      <c r="D1232" s="18" t="s">
        <v>1153</v>
      </c>
      <c r="E1232" s="19">
        <v>-177</v>
      </c>
      <c r="F1232" s="25" t="s">
        <v>8</v>
      </c>
      <c r="G1232" s="20" t="s">
        <v>83</v>
      </c>
    </row>
    <row r="1233" spans="1:7" s="291" customFormat="1" hidden="1" x14ac:dyDescent="0.3">
      <c r="A1233" s="252">
        <v>45877</v>
      </c>
      <c r="B1233" s="252" t="s">
        <v>212</v>
      </c>
      <c r="C1233" s="26" t="s">
        <v>106</v>
      </c>
      <c r="D1233" s="18" t="s">
        <v>1154</v>
      </c>
      <c r="E1233" s="19">
        <v>-90</v>
      </c>
      <c r="F1233" s="25" t="s">
        <v>8</v>
      </c>
      <c r="G1233" s="20" t="s">
        <v>83</v>
      </c>
    </row>
    <row r="1234" spans="1:7" s="291" customFormat="1" hidden="1" x14ac:dyDescent="0.3">
      <c r="A1234" s="252">
        <v>45877</v>
      </c>
      <c r="B1234" s="252" t="s">
        <v>212</v>
      </c>
      <c r="C1234" s="26" t="s">
        <v>17</v>
      </c>
      <c r="D1234" s="18" t="s">
        <v>1069</v>
      </c>
      <c r="E1234" s="19">
        <v>-123</v>
      </c>
      <c r="F1234" s="25" t="s">
        <v>8</v>
      </c>
      <c r="G1234" s="20" t="s">
        <v>83</v>
      </c>
    </row>
    <row r="1235" spans="1:7" s="291" customFormat="1" hidden="1" x14ac:dyDescent="0.3">
      <c r="A1235" s="252">
        <v>45877</v>
      </c>
      <c r="B1235" s="252" t="s">
        <v>212</v>
      </c>
      <c r="C1235" s="26" t="s">
        <v>17</v>
      </c>
      <c r="D1235" s="18" t="s">
        <v>492</v>
      </c>
      <c r="E1235" s="19">
        <v>-224.2</v>
      </c>
      <c r="F1235" s="25" t="s">
        <v>8</v>
      </c>
      <c r="G1235" s="20" t="s">
        <v>83</v>
      </c>
    </row>
    <row r="1236" spans="1:7" s="291" customFormat="1" ht="15" hidden="1" customHeight="1" x14ac:dyDescent="0.3">
      <c r="A1236" s="252">
        <v>45877</v>
      </c>
      <c r="B1236" s="252" t="s">
        <v>212</v>
      </c>
      <c r="C1236" s="26" t="s">
        <v>17</v>
      </c>
      <c r="D1236" s="18" t="s">
        <v>1070</v>
      </c>
      <c r="E1236" s="19">
        <v>-100</v>
      </c>
      <c r="F1236" s="25" t="s">
        <v>8</v>
      </c>
      <c r="G1236" s="20" t="s">
        <v>83</v>
      </c>
    </row>
    <row r="1237" spans="1:7" s="291" customFormat="1" hidden="1" x14ac:dyDescent="0.3">
      <c r="A1237" s="252">
        <v>45877</v>
      </c>
      <c r="B1237" s="252" t="s">
        <v>212</v>
      </c>
      <c r="C1237" s="26" t="s">
        <v>17</v>
      </c>
      <c r="D1237" s="18" t="s">
        <v>1068</v>
      </c>
      <c r="E1237" s="19">
        <v>-123</v>
      </c>
      <c r="F1237" s="25" t="s">
        <v>8</v>
      </c>
      <c r="G1237" s="20" t="s">
        <v>83</v>
      </c>
    </row>
    <row r="1238" spans="1:7" s="291" customFormat="1" hidden="1" x14ac:dyDescent="0.3">
      <c r="A1238" s="252">
        <v>45877</v>
      </c>
      <c r="B1238" s="252" t="s">
        <v>212</v>
      </c>
      <c r="C1238" s="26" t="s">
        <v>17</v>
      </c>
      <c r="D1238" s="18" t="s">
        <v>469</v>
      </c>
      <c r="E1238" s="19">
        <v>-486</v>
      </c>
      <c r="F1238" s="25" t="s">
        <v>8</v>
      </c>
      <c r="G1238" s="20" t="s">
        <v>83</v>
      </c>
    </row>
    <row r="1239" spans="1:7" s="291" customFormat="1" hidden="1" x14ac:dyDescent="0.3">
      <c r="A1239" s="252">
        <v>45877</v>
      </c>
      <c r="B1239" s="252" t="s">
        <v>212</v>
      </c>
      <c r="C1239" s="26" t="s">
        <v>25</v>
      </c>
      <c r="D1239" s="18" t="s">
        <v>638</v>
      </c>
      <c r="E1239" s="19">
        <v>-5600</v>
      </c>
      <c r="F1239" s="20" t="s">
        <v>8</v>
      </c>
      <c r="G1239" s="20" t="s">
        <v>189</v>
      </c>
    </row>
    <row r="1240" spans="1:7" s="291" customFormat="1" hidden="1" x14ac:dyDescent="0.3">
      <c r="A1240" s="205">
        <v>45877</v>
      </c>
      <c r="B1240" s="252" t="s">
        <v>212</v>
      </c>
      <c r="C1240" s="17" t="s">
        <v>31</v>
      </c>
      <c r="D1240" s="18" t="s">
        <v>644</v>
      </c>
      <c r="E1240" s="19">
        <v>-1000</v>
      </c>
      <c r="F1240" s="20" t="s">
        <v>8</v>
      </c>
      <c r="G1240" s="20" t="s">
        <v>189</v>
      </c>
    </row>
    <row r="1241" spans="1:7" s="291" customFormat="1" hidden="1" x14ac:dyDescent="0.3">
      <c r="A1241" s="205">
        <v>45876</v>
      </c>
      <c r="B1241" s="252" t="s">
        <v>212</v>
      </c>
      <c r="C1241" s="244" t="s">
        <v>17</v>
      </c>
      <c r="D1241" s="18" t="s">
        <v>1138</v>
      </c>
      <c r="E1241" s="19">
        <v>-1000</v>
      </c>
      <c r="F1241" s="20" t="s">
        <v>8</v>
      </c>
      <c r="G1241" s="20" t="s">
        <v>142</v>
      </c>
    </row>
    <row r="1242" spans="1:7" s="291" customFormat="1" hidden="1" x14ac:dyDescent="0.3">
      <c r="A1242" s="205">
        <v>45876</v>
      </c>
      <c r="B1242" s="252" t="s">
        <v>212</v>
      </c>
      <c r="C1242" s="26" t="s">
        <v>31</v>
      </c>
      <c r="D1242" s="18" t="s">
        <v>1131</v>
      </c>
      <c r="E1242" s="19">
        <v>-84</v>
      </c>
      <c r="F1242" s="25" t="s">
        <v>8</v>
      </c>
      <c r="G1242" s="20" t="s">
        <v>83</v>
      </c>
    </row>
    <row r="1243" spans="1:7" s="291" customFormat="1" hidden="1" x14ac:dyDescent="0.3">
      <c r="A1243" s="205">
        <v>45876</v>
      </c>
      <c r="B1243" s="252" t="s">
        <v>212</v>
      </c>
      <c r="C1243" s="26" t="s">
        <v>25</v>
      </c>
      <c r="D1243" s="18" t="s">
        <v>1132</v>
      </c>
      <c r="E1243" s="19">
        <v>-288</v>
      </c>
      <c r="F1243" s="25" t="s">
        <v>8</v>
      </c>
      <c r="G1243" s="20" t="s">
        <v>83</v>
      </c>
    </row>
    <row r="1244" spans="1:7" s="291" customFormat="1" hidden="1" x14ac:dyDescent="0.3">
      <c r="A1244" s="205">
        <v>45876</v>
      </c>
      <c r="B1244" s="252" t="s">
        <v>212</v>
      </c>
      <c r="C1244" s="26" t="s">
        <v>25</v>
      </c>
      <c r="D1244" s="18" t="s">
        <v>1133</v>
      </c>
      <c r="E1244" s="19">
        <v>-224.2</v>
      </c>
      <c r="F1244" s="25" t="s">
        <v>8</v>
      </c>
      <c r="G1244" s="20" t="s">
        <v>83</v>
      </c>
    </row>
    <row r="1245" spans="1:7" s="291" customFormat="1" hidden="1" x14ac:dyDescent="0.3">
      <c r="A1245" s="205">
        <v>45876</v>
      </c>
      <c r="B1245" s="252" t="s">
        <v>212</v>
      </c>
      <c r="C1245" s="26" t="s">
        <v>25</v>
      </c>
      <c r="D1245" s="18" t="s">
        <v>1134</v>
      </c>
      <c r="E1245" s="19">
        <v>-200</v>
      </c>
      <c r="F1245" s="25" t="s">
        <v>8</v>
      </c>
      <c r="G1245" s="20" t="s">
        <v>83</v>
      </c>
    </row>
    <row r="1246" spans="1:7" s="291" customFormat="1" hidden="1" x14ac:dyDescent="0.3">
      <c r="A1246" s="205">
        <v>45876</v>
      </c>
      <c r="B1246" s="252" t="s">
        <v>212</v>
      </c>
      <c r="C1246" s="26" t="s">
        <v>25</v>
      </c>
      <c r="D1246" s="18" t="s">
        <v>1135</v>
      </c>
      <c r="E1246" s="19">
        <v>-472</v>
      </c>
      <c r="F1246" s="25" t="s">
        <v>8</v>
      </c>
      <c r="G1246" s="20" t="s">
        <v>83</v>
      </c>
    </row>
    <row r="1247" spans="1:7" s="291" customFormat="1" hidden="1" x14ac:dyDescent="0.3">
      <c r="A1247" s="205">
        <v>45876</v>
      </c>
      <c r="B1247" s="252" t="s">
        <v>212</v>
      </c>
      <c r="C1247" s="26" t="s">
        <v>25</v>
      </c>
      <c r="D1247" s="18" t="s">
        <v>1136</v>
      </c>
      <c r="E1247" s="19">
        <v>-177</v>
      </c>
      <c r="F1247" s="25" t="s">
        <v>8</v>
      </c>
      <c r="G1247" s="20" t="s">
        <v>83</v>
      </c>
    </row>
    <row r="1248" spans="1:7" s="291" customFormat="1" hidden="1" x14ac:dyDescent="0.3">
      <c r="A1248" s="205">
        <v>45876</v>
      </c>
      <c r="B1248" s="252" t="s">
        <v>212</v>
      </c>
      <c r="C1248" s="26" t="s">
        <v>17</v>
      </c>
      <c r="D1248" s="18" t="s">
        <v>1145</v>
      </c>
      <c r="E1248" s="19">
        <v>-70</v>
      </c>
      <c r="F1248" s="25" t="s">
        <v>8</v>
      </c>
      <c r="G1248" s="20" t="s">
        <v>83</v>
      </c>
    </row>
    <row r="1249" spans="1:7" s="291" customFormat="1" hidden="1" x14ac:dyDescent="0.3">
      <c r="A1249" s="205">
        <v>45876</v>
      </c>
      <c r="B1249" s="252" t="s">
        <v>212</v>
      </c>
      <c r="C1249" s="26" t="s">
        <v>25</v>
      </c>
      <c r="D1249" s="18" t="s">
        <v>1137</v>
      </c>
      <c r="E1249" s="19">
        <v>-252</v>
      </c>
      <c r="F1249" s="25" t="s">
        <v>8</v>
      </c>
      <c r="G1249" s="20" t="s">
        <v>83</v>
      </c>
    </row>
    <row r="1250" spans="1:7" s="291" customFormat="1" hidden="1" x14ac:dyDescent="0.3">
      <c r="A1250" s="205">
        <v>45876</v>
      </c>
      <c r="B1250" s="252" t="s">
        <v>212</v>
      </c>
      <c r="C1250" s="26" t="s">
        <v>17</v>
      </c>
      <c r="D1250" s="18" t="s">
        <v>1146</v>
      </c>
      <c r="E1250" s="19">
        <v>-708.24</v>
      </c>
      <c r="F1250" s="20" t="s">
        <v>8</v>
      </c>
      <c r="G1250" s="20" t="s">
        <v>394</v>
      </c>
    </row>
    <row r="1251" spans="1:7" hidden="1" x14ac:dyDescent="0.3">
      <c r="A1251" s="90">
        <v>45876</v>
      </c>
      <c r="B1251" s="532" t="s">
        <v>212</v>
      </c>
      <c r="C1251" s="91" t="s">
        <v>25</v>
      </c>
      <c r="D1251" s="663" t="s">
        <v>1148</v>
      </c>
      <c r="E1251" s="92">
        <v>8400</v>
      </c>
      <c r="F1251" s="94" t="s">
        <v>164</v>
      </c>
      <c r="G1251" s="94" t="s">
        <v>165</v>
      </c>
    </row>
    <row r="1252" spans="1:7" ht="13.2" hidden="1" customHeight="1" x14ac:dyDescent="0.3">
      <c r="A1252" s="90">
        <v>45876</v>
      </c>
      <c r="B1252" s="532" t="s">
        <v>212</v>
      </c>
      <c r="C1252" s="91" t="s">
        <v>25</v>
      </c>
      <c r="D1252" s="663" t="s">
        <v>1149</v>
      </c>
      <c r="E1252" s="92">
        <v>4935</v>
      </c>
      <c r="F1252" s="94" t="s">
        <v>164</v>
      </c>
      <c r="G1252" s="94" t="s">
        <v>165</v>
      </c>
    </row>
    <row r="1253" spans="1:7" s="291" customFormat="1" ht="13.8" hidden="1" customHeight="1" x14ac:dyDescent="0.3">
      <c r="A1253" s="205">
        <v>45876</v>
      </c>
      <c r="B1253" s="252" t="s">
        <v>212</v>
      </c>
      <c r="C1253" s="17" t="s">
        <v>6</v>
      </c>
      <c r="D1253" s="18" t="s">
        <v>598</v>
      </c>
      <c r="E1253" s="19">
        <v>-1000</v>
      </c>
      <c r="F1253" s="20" t="s">
        <v>8</v>
      </c>
      <c r="G1253" s="20" t="s">
        <v>189</v>
      </c>
    </row>
    <row r="1254" spans="1:7" s="514" customFormat="1" hidden="1" x14ac:dyDescent="0.3">
      <c r="A1254" s="644">
        <v>45898</v>
      </c>
      <c r="B1254" s="644" t="s">
        <v>212</v>
      </c>
      <c r="C1254" s="855" t="s">
        <v>17</v>
      </c>
      <c r="D1254" s="856" t="s">
        <v>1289</v>
      </c>
      <c r="E1254" s="857">
        <v>-430.22</v>
      </c>
      <c r="F1254" s="563" t="s">
        <v>8</v>
      </c>
      <c r="G1254" s="551" t="s">
        <v>934</v>
      </c>
    </row>
    <row r="1255" spans="1:7" s="291" customFormat="1" ht="13.2" hidden="1" customHeight="1" x14ac:dyDescent="0.3">
      <c r="A1255" s="252">
        <v>45917</v>
      </c>
      <c r="B1255" s="252" t="s">
        <v>213</v>
      </c>
      <c r="C1255" s="18" t="s">
        <v>6</v>
      </c>
      <c r="D1255" s="18" t="s">
        <v>913</v>
      </c>
      <c r="E1255" s="19">
        <v>-4636.07</v>
      </c>
      <c r="F1255" s="14" t="s">
        <v>8</v>
      </c>
      <c r="G1255" s="20" t="s">
        <v>127</v>
      </c>
    </row>
    <row r="1256" spans="1:7" s="291" customFormat="1" hidden="1" x14ac:dyDescent="0.3">
      <c r="A1256" s="252">
        <v>45917</v>
      </c>
      <c r="B1256" s="252" t="s">
        <v>213</v>
      </c>
      <c r="C1256" s="18" t="s">
        <v>6</v>
      </c>
      <c r="D1256" s="18" t="s">
        <v>914</v>
      </c>
      <c r="E1256" s="19">
        <v>-8011.38</v>
      </c>
      <c r="F1256" s="14" t="s">
        <v>8</v>
      </c>
      <c r="G1256" s="20" t="s">
        <v>127</v>
      </c>
    </row>
    <row r="1257" spans="1:7" s="514" customFormat="1" hidden="1" x14ac:dyDescent="0.3">
      <c r="A1257" s="768">
        <v>45898</v>
      </c>
      <c r="B1257" s="746" t="s">
        <v>212</v>
      </c>
      <c r="C1257" s="769" t="s">
        <v>6</v>
      </c>
      <c r="D1257" s="809" t="s">
        <v>502</v>
      </c>
      <c r="E1257" s="770">
        <v>-342.67</v>
      </c>
      <c r="F1257" s="772" t="s">
        <v>8</v>
      </c>
      <c r="G1257" s="767" t="s">
        <v>76</v>
      </c>
    </row>
    <row r="1258" spans="1:7" s="514" customFormat="1" hidden="1" x14ac:dyDescent="0.3">
      <c r="A1258" s="515">
        <v>45898</v>
      </c>
      <c r="B1258" s="626" t="s">
        <v>212</v>
      </c>
      <c r="C1258" s="592" t="s">
        <v>25</v>
      </c>
      <c r="D1258" s="517" t="s">
        <v>1380</v>
      </c>
      <c r="E1258" s="512">
        <v>-601.13</v>
      </c>
      <c r="F1258" s="519" t="s">
        <v>8</v>
      </c>
      <c r="G1258" s="518" t="s">
        <v>76</v>
      </c>
    </row>
    <row r="1259" spans="1:7" s="514" customFormat="1" hidden="1" x14ac:dyDescent="0.3">
      <c r="A1259" s="515">
        <v>45898</v>
      </c>
      <c r="B1259" s="626" t="s">
        <v>212</v>
      </c>
      <c r="C1259" s="592" t="s">
        <v>106</v>
      </c>
      <c r="D1259" s="517" t="s">
        <v>1381</v>
      </c>
      <c r="E1259" s="512">
        <v>-414.95</v>
      </c>
      <c r="F1259" s="519" t="s">
        <v>8</v>
      </c>
      <c r="G1259" s="518" t="s">
        <v>76</v>
      </c>
    </row>
    <row r="1260" spans="1:7" s="514" customFormat="1" hidden="1" x14ac:dyDescent="0.3">
      <c r="A1260" s="515">
        <v>45898</v>
      </c>
      <c r="B1260" s="626" t="s">
        <v>212</v>
      </c>
      <c r="C1260" s="592" t="s">
        <v>17</v>
      </c>
      <c r="D1260" s="517" t="s">
        <v>1382</v>
      </c>
      <c r="E1260" s="512">
        <v>-43.33</v>
      </c>
      <c r="F1260" s="519" t="s">
        <v>8</v>
      </c>
      <c r="G1260" s="518" t="s">
        <v>76</v>
      </c>
    </row>
    <row r="1261" spans="1:7" s="514" customFormat="1" hidden="1" x14ac:dyDescent="0.3">
      <c r="A1261" s="515">
        <v>45898</v>
      </c>
      <c r="B1261" s="626" t="s">
        <v>212</v>
      </c>
      <c r="C1261" s="592" t="s">
        <v>31</v>
      </c>
      <c r="D1261" s="517" t="s">
        <v>1383</v>
      </c>
      <c r="E1261" s="512">
        <v>-185.63</v>
      </c>
      <c r="F1261" s="519" t="s">
        <v>8</v>
      </c>
      <c r="G1261" s="518" t="s">
        <v>127</v>
      </c>
    </row>
    <row r="1262" spans="1:7" s="514" customFormat="1" ht="13.2" hidden="1" customHeight="1" x14ac:dyDescent="0.3">
      <c r="A1262" s="515">
        <v>45898</v>
      </c>
      <c r="B1262" s="626" t="s">
        <v>212</v>
      </c>
      <c r="C1262" s="592" t="s">
        <v>31</v>
      </c>
      <c r="D1262" s="517" t="s">
        <v>1414</v>
      </c>
      <c r="E1262" s="512">
        <v>-184.71</v>
      </c>
      <c r="F1262" s="519" t="s">
        <v>8</v>
      </c>
      <c r="G1262" s="518" t="s">
        <v>127</v>
      </c>
    </row>
    <row r="1263" spans="1:7" s="514" customFormat="1" hidden="1" x14ac:dyDescent="0.3">
      <c r="A1263" s="515">
        <v>45898</v>
      </c>
      <c r="B1263" s="626" t="s">
        <v>212</v>
      </c>
      <c r="C1263" s="592" t="s">
        <v>31</v>
      </c>
      <c r="D1263" s="517" t="s">
        <v>1384</v>
      </c>
      <c r="E1263" s="512">
        <v>-193.05</v>
      </c>
      <c r="F1263" s="519" t="s">
        <v>8</v>
      </c>
      <c r="G1263" s="518" t="s">
        <v>127</v>
      </c>
    </row>
    <row r="1264" spans="1:7" s="514" customFormat="1" hidden="1" x14ac:dyDescent="0.3">
      <c r="A1264" s="515">
        <v>45898</v>
      </c>
      <c r="B1264" s="626" t="s">
        <v>212</v>
      </c>
      <c r="C1264" s="592" t="s">
        <v>31</v>
      </c>
      <c r="D1264" s="517" t="s">
        <v>1386</v>
      </c>
      <c r="E1264" s="512">
        <v>-192.11</v>
      </c>
      <c r="F1264" s="519" t="s">
        <v>8</v>
      </c>
      <c r="G1264" s="518" t="s">
        <v>127</v>
      </c>
    </row>
    <row r="1265" spans="1:7" s="514" customFormat="1" hidden="1" x14ac:dyDescent="0.3">
      <c r="A1265" s="515">
        <v>45898</v>
      </c>
      <c r="B1265" s="626" t="s">
        <v>212</v>
      </c>
      <c r="C1265" s="592" t="s">
        <v>31</v>
      </c>
      <c r="D1265" s="517" t="s">
        <v>1385</v>
      </c>
      <c r="E1265" s="512">
        <v>-188.76</v>
      </c>
      <c r="F1265" s="519" t="s">
        <v>8</v>
      </c>
      <c r="G1265" s="518" t="s">
        <v>127</v>
      </c>
    </row>
    <row r="1266" spans="1:7" s="514" customFormat="1" hidden="1" x14ac:dyDescent="0.3">
      <c r="A1266" s="515">
        <v>45898</v>
      </c>
      <c r="B1266" s="626" t="s">
        <v>212</v>
      </c>
      <c r="C1266" s="592" t="s">
        <v>31</v>
      </c>
      <c r="D1266" s="517" t="s">
        <v>1387</v>
      </c>
      <c r="E1266" s="512">
        <v>-183.82</v>
      </c>
      <c r="F1266" s="519" t="s">
        <v>8</v>
      </c>
      <c r="G1266" s="518" t="s">
        <v>127</v>
      </c>
    </row>
    <row r="1267" spans="1:7" s="514" customFormat="1" ht="12.6" hidden="1" customHeight="1" x14ac:dyDescent="0.3">
      <c r="A1267" s="515">
        <v>45898</v>
      </c>
      <c r="B1267" s="626" t="s">
        <v>212</v>
      </c>
      <c r="C1267" s="592" t="s">
        <v>31</v>
      </c>
      <c r="D1267" s="517" t="s">
        <v>1388</v>
      </c>
      <c r="E1267" s="512">
        <v>-194.29</v>
      </c>
      <c r="F1267" s="519" t="s">
        <v>8</v>
      </c>
      <c r="G1267" s="518" t="s">
        <v>127</v>
      </c>
    </row>
    <row r="1268" spans="1:7" s="514" customFormat="1" hidden="1" x14ac:dyDescent="0.3">
      <c r="A1268" s="515">
        <v>45898</v>
      </c>
      <c r="B1268" s="626" t="s">
        <v>212</v>
      </c>
      <c r="C1268" s="592" t="s">
        <v>31</v>
      </c>
      <c r="D1268" s="517" t="s">
        <v>1413</v>
      </c>
      <c r="E1268" s="512">
        <v>-187.58</v>
      </c>
      <c r="F1268" s="519" t="s">
        <v>8</v>
      </c>
      <c r="G1268" s="518" t="s">
        <v>127</v>
      </c>
    </row>
    <row r="1269" spans="1:7" s="514" customFormat="1" hidden="1" x14ac:dyDescent="0.3">
      <c r="A1269" s="515">
        <v>45898</v>
      </c>
      <c r="B1269" s="626" t="s">
        <v>212</v>
      </c>
      <c r="C1269" s="592" t="s">
        <v>31</v>
      </c>
      <c r="D1269" s="517" t="s">
        <v>1389</v>
      </c>
      <c r="E1269" s="512">
        <v>-195.25</v>
      </c>
      <c r="F1269" s="519" t="s">
        <v>8</v>
      </c>
      <c r="G1269" s="518" t="s">
        <v>127</v>
      </c>
    </row>
    <row r="1270" spans="1:7" s="514" customFormat="1" hidden="1" x14ac:dyDescent="0.3">
      <c r="A1270" s="515">
        <v>45898</v>
      </c>
      <c r="B1270" s="626" t="s">
        <v>212</v>
      </c>
      <c r="C1270" s="592" t="s">
        <v>31</v>
      </c>
      <c r="D1270" s="517" t="s">
        <v>1390</v>
      </c>
      <c r="E1270" s="512">
        <v>-186.59</v>
      </c>
      <c r="F1270" s="519" t="s">
        <v>8</v>
      </c>
      <c r="G1270" s="518" t="s">
        <v>127</v>
      </c>
    </row>
    <row r="1271" spans="1:7" s="514" customFormat="1" hidden="1" x14ac:dyDescent="0.3">
      <c r="A1271" s="515">
        <v>45898</v>
      </c>
      <c r="B1271" s="626" t="s">
        <v>212</v>
      </c>
      <c r="C1271" s="592" t="s">
        <v>31</v>
      </c>
      <c r="D1271" s="517" t="s">
        <v>1391</v>
      </c>
      <c r="E1271" s="512">
        <v>-258.83999999999997</v>
      </c>
      <c r="F1271" s="519" t="s">
        <v>8</v>
      </c>
      <c r="G1271" s="518" t="s">
        <v>127</v>
      </c>
    </row>
    <row r="1272" spans="1:7" s="514" customFormat="1" hidden="1" x14ac:dyDescent="0.3">
      <c r="A1272" s="626">
        <v>45898</v>
      </c>
      <c r="B1272" s="626" t="s">
        <v>212</v>
      </c>
      <c r="C1272" s="592" t="s">
        <v>6</v>
      </c>
      <c r="D1272" s="517" t="s">
        <v>630</v>
      </c>
      <c r="E1272" s="512">
        <v>-2200</v>
      </c>
      <c r="F1272" s="518" t="s">
        <v>8</v>
      </c>
      <c r="G1272" s="518" t="s">
        <v>189</v>
      </c>
    </row>
    <row r="1273" spans="1:7" s="514" customFormat="1" hidden="1" x14ac:dyDescent="0.3">
      <c r="A1273" s="626">
        <v>45898</v>
      </c>
      <c r="B1273" s="626" t="s">
        <v>212</v>
      </c>
      <c r="C1273" s="592" t="s">
        <v>6</v>
      </c>
      <c r="D1273" s="517" t="s">
        <v>625</v>
      </c>
      <c r="E1273" s="512">
        <v>-1000</v>
      </c>
      <c r="F1273" s="518" t="s">
        <v>8</v>
      </c>
      <c r="G1273" s="518" t="s">
        <v>189</v>
      </c>
    </row>
    <row r="1274" spans="1:7" s="514" customFormat="1" hidden="1" x14ac:dyDescent="0.3">
      <c r="A1274" s="626">
        <v>45898</v>
      </c>
      <c r="B1274" s="626" t="s">
        <v>212</v>
      </c>
      <c r="C1274" s="592" t="s">
        <v>6</v>
      </c>
      <c r="D1274" s="517" t="s">
        <v>626</v>
      </c>
      <c r="E1274" s="512">
        <v>-3836.54</v>
      </c>
      <c r="F1274" s="518" t="s">
        <v>8</v>
      </c>
      <c r="G1274" s="518" t="s">
        <v>189</v>
      </c>
    </row>
    <row r="1275" spans="1:7" s="514" customFormat="1" hidden="1" x14ac:dyDescent="0.3">
      <c r="A1275" s="626">
        <v>45898</v>
      </c>
      <c r="B1275" s="626" t="s">
        <v>212</v>
      </c>
      <c r="C1275" s="592" t="s">
        <v>6</v>
      </c>
      <c r="D1275" s="517" t="s">
        <v>627</v>
      </c>
      <c r="E1275" s="512">
        <v>-3200</v>
      </c>
      <c r="F1275" s="518" t="s">
        <v>8</v>
      </c>
      <c r="G1275" s="518" t="s">
        <v>189</v>
      </c>
    </row>
    <row r="1276" spans="1:7" s="514" customFormat="1" hidden="1" x14ac:dyDescent="0.3">
      <c r="A1276" s="626">
        <v>45898</v>
      </c>
      <c r="B1276" s="626" t="s">
        <v>212</v>
      </c>
      <c r="C1276" s="592" t="s">
        <v>33</v>
      </c>
      <c r="D1276" s="795" t="s">
        <v>628</v>
      </c>
      <c r="E1276" s="512">
        <v>-1000</v>
      </c>
      <c r="F1276" s="518" t="s">
        <v>8</v>
      </c>
      <c r="G1276" s="518" t="s">
        <v>189</v>
      </c>
    </row>
    <row r="1277" spans="1:7" s="514" customFormat="1" hidden="1" x14ac:dyDescent="0.3">
      <c r="A1277" s="626">
        <v>45898</v>
      </c>
      <c r="B1277" s="626" t="s">
        <v>212</v>
      </c>
      <c r="C1277" s="592" t="s">
        <v>17</v>
      </c>
      <c r="D1277" s="517" t="s">
        <v>629</v>
      </c>
      <c r="E1277" s="684">
        <v>-2885.09</v>
      </c>
      <c r="F1277" s="518" t="s">
        <v>8</v>
      </c>
      <c r="G1277" s="518" t="s">
        <v>189</v>
      </c>
    </row>
    <row r="1278" spans="1:7" s="514" customFormat="1" hidden="1" x14ac:dyDescent="0.3">
      <c r="A1278" s="515">
        <v>45898</v>
      </c>
      <c r="B1278" s="626" t="s">
        <v>212</v>
      </c>
      <c r="C1278" s="516" t="s">
        <v>6</v>
      </c>
      <c r="D1278" s="517" t="s">
        <v>615</v>
      </c>
      <c r="E1278" s="512">
        <v>-2000</v>
      </c>
      <c r="F1278" s="518" t="s">
        <v>8</v>
      </c>
      <c r="G1278" s="518" t="s">
        <v>189</v>
      </c>
    </row>
    <row r="1279" spans="1:7" s="514" customFormat="1" hidden="1" x14ac:dyDescent="0.3">
      <c r="A1279" s="515">
        <v>45898</v>
      </c>
      <c r="B1279" s="626" t="s">
        <v>212</v>
      </c>
      <c r="C1279" s="791" t="s">
        <v>6</v>
      </c>
      <c r="D1279" s="517" t="s">
        <v>616</v>
      </c>
      <c r="E1279" s="512">
        <v>-501.54</v>
      </c>
      <c r="F1279" s="518" t="s">
        <v>8</v>
      </c>
      <c r="G1279" s="518" t="s">
        <v>189</v>
      </c>
    </row>
    <row r="1280" spans="1:7" s="291" customFormat="1" hidden="1" x14ac:dyDescent="0.3">
      <c r="A1280" s="205">
        <v>45884</v>
      </c>
      <c r="B1280" s="252" t="s">
        <v>212</v>
      </c>
      <c r="C1280" s="271" t="s">
        <v>6</v>
      </c>
      <c r="D1280" s="26" t="s">
        <v>607</v>
      </c>
      <c r="E1280" s="19">
        <v>-10000</v>
      </c>
      <c r="F1280" s="20" t="s">
        <v>8</v>
      </c>
      <c r="G1280" s="20" t="s">
        <v>189</v>
      </c>
    </row>
    <row r="1281" spans="1:7" s="514" customFormat="1" hidden="1" x14ac:dyDescent="0.3">
      <c r="A1281" s="515">
        <v>45898</v>
      </c>
      <c r="B1281" s="626" t="s">
        <v>212</v>
      </c>
      <c r="C1281" s="791" t="s">
        <v>44</v>
      </c>
      <c r="D1281" s="517" t="s">
        <v>617</v>
      </c>
      <c r="E1281" s="512">
        <v>-2500</v>
      </c>
      <c r="F1281" s="518" t="s">
        <v>8</v>
      </c>
      <c r="G1281" s="518" t="s">
        <v>189</v>
      </c>
    </row>
    <row r="1282" spans="1:7" s="291" customFormat="1" hidden="1" x14ac:dyDescent="0.3">
      <c r="A1282" s="205">
        <v>45884</v>
      </c>
      <c r="B1282" s="252" t="s">
        <v>212</v>
      </c>
      <c r="C1282" s="18" t="s">
        <v>106</v>
      </c>
      <c r="D1282" s="26" t="s">
        <v>838</v>
      </c>
      <c r="E1282" s="19">
        <v>-2000</v>
      </c>
      <c r="F1282" s="20" t="s">
        <v>8</v>
      </c>
      <c r="G1282" s="20" t="s">
        <v>189</v>
      </c>
    </row>
    <row r="1283" spans="1:7" s="291" customFormat="1" hidden="1" x14ac:dyDescent="0.3">
      <c r="A1283" s="205">
        <v>45877</v>
      </c>
      <c r="B1283" s="252" t="s">
        <v>212</v>
      </c>
      <c r="C1283" s="17" t="s">
        <v>106</v>
      </c>
      <c r="D1283" s="18" t="s">
        <v>639</v>
      </c>
      <c r="E1283" s="19">
        <v>-2000</v>
      </c>
      <c r="F1283" s="20" t="s">
        <v>8</v>
      </c>
      <c r="G1283" s="20" t="s">
        <v>189</v>
      </c>
    </row>
    <row r="1284" spans="1:7" s="291" customFormat="1" hidden="1" x14ac:dyDescent="0.3">
      <c r="A1284" s="252">
        <v>45877</v>
      </c>
      <c r="B1284" s="252" t="s">
        <v>212</v>
      </c>
      <c r="C1284" s="26" t="s">
        <v>72</v>
      </c>
      <c r="D1284" s="18" t="s">
        <v>1151</v>
      </c>
      <c r="E1284" s="19">
        <v>-100</v>
      </c>
      <c r="F1284" s="25" t="s">
        <v>8</v>
      </c>
      <c r="G1284" s="20" t="s">
        <v>1150</v>
      </c>
    </row>
    <row r="1285" spans="1:7" s="291" customFormat="1" hidden="1" x14ac:dyDescent="0.3">
      <c r="A1285" s="252">
        <v>45877</v>
      </c>
      <c r="B1285" s="252" t="s">
        <v>212</v>
      </c>
      <c r="C1285" s="26" t="s">
        <v>72</v>
      </c>
      <c r="D1285" s="18" t="s">
        <v>1157</v>
      </c>
      <c r="E1285" s="19">
        <v>-1500</v>
      </c>
      <c r="F1285" s="20" t="s">
        <v>8</v>
      </c>
      <c r="G1285" s="20" t="s">
        <v>59</v>
      </c>
    </row>
    <row r="1286" spans="1:7" s="291" customFormat="1" hidden="1" x14ac:dyDescent="0.3">
      <c r="A1286" s="205">
        <v>45877</v>
      </c>
      <c r="B1286" s="252" t="s">
        <v>212</v>
      </c>
      <c r="C1286" s="17" t="s">
        <v>106</v>
      </c>
      <c r="D1286" s="18" t="s">
        <v>1158</v>
      </c>
      <c r="E1286" s="19">
        <v>-20.76</v>
      </c>
      <c r="F1286" s="20" t="s">
        <v>8</v>
      </c>
      <c r="G1286" s="20" t="s">
        <v>19</v>
      </c>
    </row>
    <row r="1287" spans="1:7" s="514" customFormat="1" hidden="1" x14ac:dyDescent="0.3">
      <c r="A1287" s="515">
        <v>45898</v>
      </c>
      <c r="B1287" s="626" t="s">
        <v>212</v>
      </c>
      <c r="C1287" s="791" t="s">
        <v>17</v>
      </c>
      <c r="D1287" s="517" t="s">
        <v>618</v>
      </c>
      <c r="E1287" s="512">
        <v>-1916.67</v>
      </c>
      <c r="F1287" s="518" t="s">
        <v>8</v>
      </c>
      <c r="G1287" s="518" t="s">
        <v>189</v>
      </c>
    </row>
    <row r="1288" spans="1:7" s="291" customFormat="1" hidden="1" x14ac:dyDescent="0.3">
      <c r="A1288" s="252">
        <v>45870</v>
      </c>
      <c r="B1288" s="252" t="s">
        <v>212</v>
      </c>
      <c r="C1288" s="26" t="s">
        <v>33</v>
      </c>
      <c r="D1288" s="18" t="s">
        <v>1024</v>
      </c>
      <c r="E1288" s="19">
        <v>-2056.35</v>
      </c>
      <c r="F1288" s="25" t="s">
        <v>8</v>
      </c>
      <c r="G1288" s="20" t="s">
        <v>76</v>
      </c>
    </row>
    <row r="1289" spans="1:7" s="291" customFormat="1" hidden="1" x14ac:dyDescent="0.3">
      <c r="A1289" s="252">
        <v>45870</v>
      </c>
      <c r="B1289" s="252" t="s">
        <v>212</v>
      </c>
      <c r="C1289" s="26" t="s">
        <v>33</v>
      </c>
      <c r="D1289" s="18" t="s">
        <v>1025</v>
      </c>
      <c r="E1289" s="19">
        <v>-139.66</v>
      </c>
      <c r="F1289" s="25" t="s">
        <v>8</v>
      </c>
      <c r="G1289" s="20" t="s">
        <v>76</v>
      </c>
    </row>
    <row r="1290" spans="1:7" s="291" customFormat="1" hidden="1" x14ac:dyDescent="0.3">
      <c r="A1290" s="252">
        <v>45870</v>
      </c>
      <c r="B1290" s="252" t="s">
        <v>212</v>
      </c>
      <c r="C1290" s="26" t="s">
        <v>32</v>
      </c>
      <c r="D1290" s="18" t="s">
        <v>1027</v>
      </c>
      <c r="E1290" s="19">
        <v>-313.87</v>
      </c>
      <c r="F1290" s="25" t="s">
        <v>8</v>
      </c>
      <c r="G1290" s="20" t="s">
        <v>76</v>
      </c>
    </row>
    <row r="1291" spans="1:7" s="291" customFormat="1" hidden="1" x14ac:dyDescent="0.3">
      <c r="A1291" s="252">
        <v>45870</v>
      </c>
      <c r="B1291" s="252" t="s">
        <v>212</v>
      </c>
      <c r="C1291" s="26" t="s">
        <v>17</v>
      </c>
      <c r="D1291" s="18" t="s">
        <v>1026</v>
      </c>
      <c r="E1291" s="19">
        <v>-810.39</v>
      </c>
      <c r="F1291" s="25" t="s">
        <v>8</v>
      </c>
      <c r="G1291" s="20" t="s">
        <v>76</v>
      </c>
    </row>
    <row r="1292" spans="1:7" s="291" customFormat="1" hidden="1" x14ac:dyDescent="0.3">
      <c r="A1292" s="252">
        <v>45870</v>
      </c>
      <c r="B1292" s="252" t="s">
        <v>212</v>
      </c>
      <c r="C1292" s="26" t="s">
        <v>25</v>
      </c>
      <c r="D1292" s="18" t="s">
        <v>825</v>
      </c>
      <c r="E1292" s="19">
        <v>-82.6</v>
      </c>
      <c r="F1292" s="25" t="s">
        <v>8</v>
      </c>
      <c r="G1292" s="20" t="s">
        <v>83</v>
      </c>
    </row>
    <row r="1293" spans="1:7" s="291" customFormat="1" hidden="1" x14ac:dyDescent="0.3">
      <c r="A1293" s="252">
        <v>45870</v>
      </c>
      <c r="B1293" s="252" t="s">
        <v>212</v>
      </c>
      <c r="C1293" s="26" t="s">
        <v>25</v>
      </c>
      <c r="D1293" s="18" t="s">
        <v>380</v>
      </c>
      <c r="E1293" s="19">
        <v>-184.5</v>
      </c>
      <c r="F1293" s="25" t="s">
        <v>8</v>
      </c>
      <c r="G1293" s="20" t="s">
        <v>83</v>
      </c>
    </row>
    <row r="1294" spans="1:7" s="291" customFormat="1" hidden="1" x14ac:dyDescent="0.3">
      <c r="A1294" s="252">
        <v>45870</v>
      </c>
      <c r="B1294" s="252" t="s">
        <v>212</v>
      </c>
      <c r="C1294" s="26" t="s">
        <v>25</v>
      </c>
      <c r="D1294" s="18" t="s">
        <v>1066</v>
      </c>
      <c r="E1294" s="19">
        <v>-430.5</v>
      </c>
      <c r="F1294" s="25" t="s">
        <v>8</v>
      </c>
      <c r="G1294" s="20" t="s">
        <v>83</v>
      </c>
    </row>
    <row r="1295" spans="1:7" s="291" customFormat="1" hidden="1" x14ac:dyDescent="0.3">
      <c r="A1295" s="252">
        <v>45870</v>
      </c>
      <c r="B1295" s="252" t="s">
        <v>212</v>
      </c>
      <c r="C1295" s="26" t="s">
        <v>25</v>
      </c>
      <c r="D1295" s="18" t="s">
        <v>876</v>
      </c>
      <c r="E1295" s="19">
        <v>-307.5</v>
      </c>
      <c r="F1295" s="25" t="s">
        <v>8</v>
      </c>
      <c r="G1295" s="20" t="s">
        <v>83</v>
      </c>
    </row>
    <row r="1296" spans="1:7" s="291" customFormat="1" hidden="1" x14ac:dyDescent="0.3">
      <c r="A1296" s="252">
        <v>45870</v>
      </c>
      <c r="B1296" s="252" t="s">
        <v>212</v>
      </c>
      <c r="C1296" s="26" t="s">
        <v>25</v>
      </c>
      <c r="D1296" s="18" t="s">
        <v>874</v>
      </c>
      <c r="E1296" s="19">
        <v>-349.5</v>
      </c>
      <c r="F1296" s="25" t="s">
        <v>8</v>
      </c>
      <c r="G1296" s="20" t="s">
        <v>83</v>
      </c>
    </row>
    <row r="1297" spans="1:8" s="291" customFormat="1" hidden="1" x14ac:dyDescent="0.3">
      <c r="A1297" s="252">
        <v>45870</v>
      </c>
      <c r="B1297" s="252" t="s">
        <v>212</v>
      </c>
      <c r="C1297" s="26" t="s">
        <v>25</v>
      </c>
      <c r="D1297" s="18" t="s">
        <v>1067</v>
      </c>
      <c r="E1297" s="19">
        <v>-267</v>
      </c>
      <c r="F1297" s="25" t="s">
        <v>8</v>
      </c>
      <c r="G1297" s="20" t="s">
        <v>83</v>
      </c>
    </row>
    <row r="1298" spans="1:8" s="291" customFormat="1" ht="13.8" hidden="1" customHeight="1" x14ac:dyDescent="0.3">
      <c r="A1298" s="252">
        <v>45870</v>
      </c>
      <c r="B1298" s="252" t="s">
        <v>212</v>
      </c>
      <c r="C1298" s="26" t="s">
        <v>25</v>
      </c>
      <c r="D1298" s="18" t="s">
        <v>814</v>
      </c>
      <c r="E1298" s="19">
        <v>-184.5</v>
      </c>
      <c r="F1298" s="25" t="s">
        <v>8</v>
      </c>
      <c r="G1298" s="20" t="s">
        <v>83</v>
      </c>
    </row>
    <row r="1299" spans="1:8" s="291" customFormat="1" hidden="1" x14ac:dyDescent="0.3">
      <c r="A1299" s="252">
        <v>45870</v>
      </c>
      <c r="B1299" s="252" t="s">
        <v>212</v>
      </c>
      <c r="C1299" s="26" t="s">
        <v>17</v>
      </c>
      <c r="D1299" s="18" t="s">
        <v>492</v>
      </c>
      <c r="E1299" s="19">
        <v>-82.6</v>
      </c>
      <c r="F1299" s="25" t="s">
        <v>8</v>
      </c>
      <c r="G1299" s="20" t="s">
        <v>83</v>
      </c>
    </row>
    <row r="1300" spans="1:8" s="291" customFormat="1" hidden="1" x14ac:dyDescent="0.3">
      <c r="A1300" s="252">
        <v>45870</v>
      </c>
      <c r="B1300" s="252" t="s">
        <v>212</v>
      </c>
      <c r="C1300" s="26" t="s">
        <v>17</v>
      </c>
      <c r="D1300" s="18" t="s">
        <v>1068</v>
      </c>
      <c r="E1300" s="19">
        <v>-86.1</v>
      </c>
      <c r="F1300" s="25" t="s">
        <v>8</v>
      </c>
      <c r="G1300" s="20" t="s">
        <v>83</v>
      </c>
    </row>
    <row r="1301" spans="1:8" s="291" customFormat="1" hidden="1" x14ac:dyDescent="0.3">
      <c r="A1301" s="252">
        <v>45870</v>
      </c>
      <c r="B1301" s="252" t="s">
        <v>212</v>
      </c>
      <c r="C1301" s="26" t="s">
        <v>17</v>
      </c>
      <c r="D1301" s="18" t="s">
        <v>1069</v>
      </c>
      <c r="E1301" s="19">
        <v>-86.1</v>
      </c>
      <c r="F1301" s="25" t="s">
        <v>8</v>
      </c>
      <c r="G1301" s="20" t="s">
        <v>83</v>
      </c>
    </row>
    <row r="1302" spans="1:8" s="291" customFormat="1" hidden="1" x14ac:dyDescent="0.3">
      <c r="A1302" s="252">
        <v>45870</v>
      </c>
      <c r="B1302" s="252" t="s">
        <v>212</v>
      </c>
      <c r="C1302" s="26" t="s">
        <v>17</v>
      </c>
      <c r="D1302" s="18" t="s">
        <v>1070</v>
      </c>
      <c r="E1302" s="19">
        <v>-80</v>
      </c>
      <c r="F1302" s="25" t="s">
        <v>8</v>
      </c>
      <c r="G1302" s="20" t="s">
        <v>83</v>
      </c>
    </row>
    <row r="1303" spans="1:8" s="291" customFormat="1" hidden="1" x14ac:dyDescent="0.3">
      <c r="A1303" s="252">
        <v>45870</v>
      </c>
      <c r="B1303" s="252" t="s">
        <v>212</v>
      </c>
      <c r="C1303" s="26" t="s">
        <v>17</v>
      </c>
      <c r="D1303" s="18" t="s">
        <v>1071</v>
      </c>
      <c r="E1303" s="19">
        <v>-77</v>
      </c>
      <c r="F1303" s="25" t="s">
        <v>8</v>
      </c>
      <c r="G1303" s="20" t="s">
        <v>83</v>
      </c>
    </row>
    <row r="1304" spans="1:8" s="291" customFormat="1" hidden="1" x14ac:dyDescent="0.3">
      <c r="A1304" s="252">
        <v>45870</v>
      </c>
      <c r="B1304" s="252" t="s">
        <v>212</v>
      </c>
      <c r="C1304" s="26" t="s">
        <v>17</v>
      </c>
      <c r="D1304" s="18" t="s">
        <v>1072</v>
      </c>
      <c r="E1304" s="19">
        <v>-86.1</v>
      </c>
      <c r="F1304" s="25" t="s">
        <v>8</v>
      </c>
      <c r="G1304" s="20" t="s">
        <v>83</v>
      </c>
    </row>
    <row r="1305" spans="1:8" s="291" customFormat="1" ht="13.8" hidden="1" customHeight="1" x14ac:dyDescent="0.3">
      <c r="A1305" s="252">
        <v>45870</v>
      </c>
      <c r="B1305" s="252" t="s">
        <v>212</v>
      </c>
      <c r="C1305" s="26" t="s">
        <v>44</v>
      </c>
      <c r="D1305" s="18" t="s">
        <v>595</v>
      </c>
      <c r="E1305" s="19">
        <v>-3968.99</v>
      </c>
      <c r="F1305" s="20" t="s">
        <v>8</v>
      </c>
      <c r="G1305" s="20" t="s">
        <v>189</v>
      </c>
    </row>
    <row r="1306" spans="1:8" s="291" customFormat="1" hidden="1" x14ac:dyDescent="0.3">
      <c r="A1306" s="205">
        <v>45870</v>
      </c>
      <c r="B1306" s="252" t="s">
        <v>212</v>
      </c>
      <c r="C1306" s="17" t="s">
        <v>17</v>
      </c>
      <c r="D1306" s="18" t="s">
        <v>596</v>
      </c>
      <c r="E1306" s="19">
        <v>-1848.63</v>
      </c>
      <c r="F1306" s="20" t="s">
        <v>8</v>
      </c>
      <c r="G1306" s="20" t="s">
        <v>189</v>
      </c>
      <c r="H1306" s="295"/>
    </row>
    <row r="1307" spans="1:8" s="514" customFormat="1" ht="14.4" hidden="1" customHeight="1" x14ac:dyDescent="0.3">
      <c r="A1307" s="608">
        <v>45898</v>
      </c>
      <c r="B1307" s="644" t="s">
        <v>212</v>
      </c>
      <c r="C1307" s="757" t="s">
        <v>6</v>
      </c>
      <c r="D1307" s="758" t="s">
        <v>843</v>
      </c>
      <c r="E1307" s="693">
        <v>-2500</v>
      </c>
      <c r="F1307" s="551" t="s">
        <v>8</v>
      </c>
      <c r="G1307" s="551" t="s">
        <v>189</v>
      </c>
    </row>
    <row r="1308" spans="1:8" s="291" customFormat="1" hidden="1" x14ac:dyDescent="0.3">
      <c r="A1308" s="205">
        <v>45930</v>
      </c>
      <c r="B1308" s="252" t="s">
        <v>213</v>
      </c>
      <c r="C1308" s="26" t="s">
        <v>6</v>
      </c>
      <c r="D1308" s="26" t="s">
        <v>844</v>
      </c>
      <c r="E1308" s="19">
        <v>-2500</v>
      </c>
      <c r="F1308" s="20" t="s">
        <v>8</v>
      </c>
      <c r="G1308" s="20" t="s">
        <v>189</v>
      </c>
    </row>
    <row r="1309" spans="1:8" s="291" customFormat="1" hidden="1" x14ac:dyDescent="0.3">
      <c r="A1309" s="226">
        <v>45960</v>
      </c>
      <c r="B1309" s="298" t="s">
        <v>216</v>
      </c>
      <c r="C1309" s="238" t="s">
        <v>6</v>
      </c>
      <c r="D1309" s="238" t="s">
        <v>845</v>
      </c>
      <c r="E1309" s="229">
        <v>-2500</v>
      </c>
      <c r="F1309" s="168" t="s">
        <v>8</v>
      </c>
      <c r="G1309" s="168" t="s">
        <v>189</v>
      </c>
    </row>
    <row r="1310" spans="1:8" s="291" customFormat="1" hidden="1" x14ac:dyDescent="0.3">
      <c r="A1310" s="205">
        <v>45989</v>
      </c>
      <c r="B1310" s="252" t="s">
        <v>217</v>
      </c>
      <c r="C1310" s="26" t="s">
        <v>6</v>
      </c>
      <c r="D1310" s="26" t="s">
        <v>846</v>
      </c>
      <c r="E1310" s="19">
        <v>-2500</v>
      </c>
      <c r="F1310" s="20" t="s">
        <v>8</v>
      </c>
      <c r="G1310" s="20" t="s">
        <v>189</v>
      </c>
    </row>
    <row r="1311" spans="1:8" s="514" customFormat="1" ht="12.6" hidden="1" customHeight="1" x14ac:dyDescent="0.3">
      <c r="A1311" s="515">
        <v>45898</v>
      </c>
      <c r="B1311" s="626" t="s">
        <v>212</v>
      </c>
      <c r="C1311" s="596" t="s">
        <v>31</v>
      </c>
      <c r="D1311" s="517" t="s">
        <v>1197</v>
      </c>
      <c r="E1311" s="512">
        <v>-1500</v>
      </c>
      <c r="F1311" s="518" t="s">
        <v>8</v>
      </c>
      <c r="G1311" s="518" t="s">
        <v>189</v>
      </c>
    </row>
    <row r="1312" spans="1:8" s="514" customFormat="1" ht="12.6" hidden="1" customHeight="1" x14ac:dyDescent="0.3">
      <c r="A1312" s="515">
        <v>45898</v>
      </c>
      <c r="B1312" s="626" t="s">
        <v>212</v>
      </c>
      <c r="C1312" s="596" t="s">
        <v>31</v>
      </c>
      <c r="D1312" s="517" t="s">
        <v>1198</v>
      </c>
      <c r="E1312" s="512">
        <v>-1000</v>
      </c>
      <c r="F1312" s="518" t="s">
        <v>8</v>
      </c>
      <c r="G1312" s="518" t="s">
        <v>189</v>
      </c>
    </row>
    <row r="1313" spans="1:7" s="514" customFormat="1" hidden="1" x14ac:dyDescent="0.3">
      <c r="A1313" s="515">
        <v>45898</v>
      </c>
      <c r="B1313" s="626" t="s">
        <v>212</v>
      </c>
      <c r="C1313" s="596" t="s">
        <v>6</v>
      </c>
      <c r="D1313" s="517" t="s">
        <v>1199</v>
      </c>
      <c r="E1313" s="512">
        <v>-2500</v>
      </c>
      <c r="F1313" s="518" t="s">
        <v>8</v>
      </c>
      <c r="G1313" s="518" t="s">
        <v>189</v>
      </c>
    </row>
    <row r="1314" spans="1:7" s="514" customFormat="1" hidden="1" x14ac:dyDescent="0.3">
      <c r="A1314" s="515">
        <v>45898</v>
      </c>
      <c r="B1314" s="626" t="s">
        <v>212</v>
      </c>
      <c r="C1314" s="792" t="s">
        <v>6</v>
      </c>
      <c r="D1314" s="758" t="s">
        <v>1201</v>
      </c>
      <c r="E1314" s="693">
        <v>-1000</v>
      </c>
      <c r="F1314" s="551" t="s">
        <v>8</v>
      </c>
      <c r="G1314" s="518" t="s">
        <v>189</v>
      </c>
    </row>
    <row r="1315" spans="1:7" s="514" customFormat="1" hidden="1" x14ac:dyDescent="0.3">
      <c r="A1315" s="515">
        <v>45898</v>
      </c>
      <c r="B1315" s="626" t="s">
        <v>212</v>
      </c>
      <c r="C1315" s="592" t="s">
        <v>44</v>
      </c>
      <c r="D1315" s="517" t="s">
        <v>1200</v>
      </c>
      <c r="E1315" s="512">
        <v>-3800</v>
      </c>
      <c r="F1315" s="518" t="s">
        <v>8</v>
      </c>
      <c r="G1315" s="518" t="s">
        <v>189</v>
      </c>
    </row>
    <row r="1316" spans="1:7" s="514" customFormat="1" hidden="1" x14ac:dyDescent="0.3">
      <c r="A1316" s="515">
        <v>45898</v>
      </c>
      <c r="B1316" s="626" t="s">
        <v>212</v>
      </c>
      <c r="C1316" s="592" t="s">
        <v>17</v>
      </c>
      <c r="D1316" s="517" t="s">
        <v>1202</v>
      </c>
      <c r="E1316" s="512">
        <v>-2500</v>
      </c>
      <c r="F1316" s="518" t="s">
        <v>8</v>
      </c>
      <c r="G1316" s="518" t="s">
        <v>189</v>
      </c>
    </row>
    <row r="1317" spans="1:7" s="514" customFormat="1" ht="14.4" hidden="1" customHeight="1" x14ac:dyDescent="0.3">
      <c r="A1317" s="781">
        <v>45898</v>
      </c>
      <c r="B1317" s="737" t="s">
        <v>212</v>
      </c>
      <c r="C1317" s="793" t="s">
        <v>17</v>
      </c>
      <c r="D1317" s="794" t="s">
        <v>619</v>
      </c>
      <c r="E1317" s="716">
        <v>-1400</v>
      </c>
      <c r="F1317" s="786" t="s">
        <v>8</v>
      </c>
      <c r="G1317" s="518" t="s">
        <v>189</v>
      </c>
    </row>
    <row r="1318" spans="1:7" s="291" customFormat="1" hidden="1" x14ac:dyDescent="0.3">
      <c r="A1318" s="252">
        <v>45887</v>
      </c>
      <c r="B1318" s="252" t="s">
        <v>212</v>
      </c>
      <c r="C1318" s="26" t="s">
        <v>17</v>
      </c>
      <c r="D1318" s="26" t="s">
        <v>1274</v>
      </c>
      <c r="E1318" s="19">
        <v>-733.76</v>
      </c>
      <c r="F1318" s="14" t="s">
        <v>8</v>
      </c>
      <c r="G1318" s="20" t="s">
        <v>1273</v>
      </c>
    </row>
    <row r="1319" spans="1:7" s="291" customFormat="1" hidden="1" x14ac:dyDescent="0.3">
      <c r="A1319" s="252">
        <v>45887</v>
      </c>
      <c r="B1319" s="252" t="s">
        <v>212</v>
      </c>
      <c r="C1319" s="26" t="s">
        <v>31</v>
      </c>
      <c r="D1319" s="26" t="s">
        <v>1270</v>
      </c>
      <c r="E1319" s="19">
        <v>-303.24</v>
      </c>
      <c r="F1319" s="14" t="s">
        <v>8</v>
      </c>
      <c r="G1319" s="20" t="s">
        <v>51</v>
      </c>
    </row>
    <row r="1320" spans="1:7" s="291" customFormat="1" hidden="1" x14ac:dyDescent="0.3">
      <c r="A1320" s="252">
        <v>45887</v>
      </c>
      <c r="B1320" s="252" t="s">
        <v>212</v>
      </c>
      <c r="C1320" s="26" t="s">
        <v>6</v>
      </c>
      <c r="D1320" s="26" t="s">
        <v>1270</v>
      </c>
      <c r="E1320" s="19">
        <v>-383.04</v>
      </c>
      <c r="F1320" s="14" t="s">
        <v>8</v>
      </c>
      <c r="G1320" s="20" t="s">
        <v>51</v>
      </c>
    </row>
    <row r="1321" spans="1:7" s="291" customFormat="1" hidden="1" x14ac:dyDescent="0.3">
      <c r="A1321" s="252">
        <v>45887</v>
      </c>
      <c r="B1321" s="252" t="s">
        <v>212</v>
      </c>
      <c r="C1321" s="26" t="s">
        <v>44</v>
      </c>
      <c r="D1321" s="26" t="s">
        <v>1270</v>
      </c>
      <c r="E1321" s="19">
        <v>-383.04</v>
      </c>
      <c r="F1321" s="14" t="s">
        <v>8</v>
      </c>
      <c r="G1321" s="20" t="s">
        <v>51</v>
      </c>
    </row>
    <row r="1322" spans="1:7" s="291" customFormat="1" hidden="1" x14ac:dyDescent="0.3">
      <c r="A1322" s="252">
        <v>45887</v>
      </c>
      <c r="B1322" s="252" t="s">
        <v>212</v>
      </c>
      <c r="C1322" s="26" t="s">
        <v>25</v>
      </c>
      <c r="D1322" s="26" t="s">
        <v>1270</v>
      </c>
      <c r="E1322" s="19">
        <v>-941.64</v>
      </c>
      <c r="F1322" s="14" t="s">
        <v>8</v>
      </c>
      <c r="G1322" s="20" t="s">
        <v>51</v>
      </c>
    </row>
    <row r="1323" spans="1:7" s="291" customFormat="1" hidden="1" x14ac:dyDescent="0.3">
      <c r="A1323" s="252">
        <v>45887</v>
      </c>
      <c r="B1323" s="252" t="s">
        <v>212</v>
      </c>
      <c r="C1323" s="26" t="s">
        <v>33</v>
      </c>
      <c r="D1323" s="26" t="s">
        <v>1270</v>
      </c>
      <c r="E1323" s="19">
        <v>-271.32</v>
      </c>
      <c r="F1323" s="14" t="s">
        <v>8</v>
      </c>
      <c r="G1323" s="20" t="s">
        <v>51</v>
      </c>
    </row>
    <row r="1324" spans="1:7" s="291" customFormat="1" hidden="1" x14ac:dyDescent="0.3">
      <c r="A1324" s="252">
        <v>45887</v>
      </c>
      <c r="B1324" s="252" t="s">
        <v>212</v>
      </c>
      <c r="C1324" s="26" t="s">
        <v>106</v>
      </c>
      <c r="D1324" s="26" t="s">
        <v>1270</v>
      </c>
      <c r="E1324" s="19">
        <v>-287.27999999999997</v>
      </c>
      <c r="F1324" s="14" t="s">
        <v>8</v>
      </c>
      <c r="G1324" s="20" t="s">
        <v>51</v>
      </c>
    </row>
    <row r="1325" spans="1:7" s="291" customFormat="1" hidden="1" x14ac:dyDescent="0.3">
      <c r="A1325" s="252">
        <v>45887</v>
      </c>
      <c r="B1325" s="252" t="s">
        <v>212</v>
      </c>
      <c r="C1325" s="26" t="s">
        <v>32</v>
      </c>
      <c r="D1325" s="26" t="s">
        <v>1270</v>
      </c>
      <c r="E1325" s="19">
        <v>-590.52</v>
      </c>
      <c r="F1325" s="14" t="s">
        <v>8</v>
      </c>
      <c r="G1325" s="20" t="s">
        <v>51</v>
      </c>
    </row>
    <row r="1326" spans="1:7" s="291" customFormat="1" ht="13.2" hidden="1" customHeight="1" x14ac:dyDescent="0.3">
      <c r="A1326" s="252">
        <v>45887</v>
      </c>
      <c r="B1326" s="252" t="s">
        <v>212</v>
      </c>
      <c r="C1326" s="26" t="s">
        <v>72</v>
      </c>
      <c r="D1326" s="26" t="s">
        <v>1270</v>
      </c>
      <c r="E1326" s="19">
        <v>-351.12</v>
      </c>
      <c r="F1326" s="14" t="s">
        <v>8</v>
      </c>
      <c r="G1326" s="20" t="s">
        <v>51</v>
      </c>
    </row>
    <row r="1327" spans="1:7" s="291" customFormat="1" hidden="1" x14ac:dyDescent="0.3">
      <c r="A1327" s="252">
        <v>45887</v>
      </c>
      <c r="B1327" s="252" t="s">
        <v>212</v>
      </c>
      <c r="C1327" s="26" t="s">
        <v>17</v>
      </c>
      <c r="D1327" s="26" t="s">
        <v>1270</v>
      </c>
      <c r="E1327" s="19">
        <v>-207.48</v>
      </c>
      <c r="F1327" s="14" t="s">
        <v>8</v>
      </c>
      <c r="G1327" s="20" t="s">
        <v>51</v>
      </c>
    </row>
    <row r="1328" spans="1:7" s="514" customFormat="1" hidden="1" x14ac:dyDescent="0.3">
      <c r="A1328" s="626">
        <v>45888</v>
      </c>
      <c r="B1328" s="626" t="s">
        <v>212</v>
      </c>
      <c r="C1328" s="592" t="s">
        <v>17</v>
      </c>
      <c r="D1328" s="592" t="s">
        <v>1308</v>
      </c>
      <c r="E1328" s="593">
        <v>-3625.95</v>
      </c>
      <c r="F1328" s="519" t="s">
        <v>8</v>
      </c>
      <c r="G1328" s="518" t="s">
        <v>59</v>
      </c>
    </row>
    <row r="1329" spans="1:7" s="514" customFormat="1" hidden="1" x14ac:dyDescent="0.3">
      <c r="A1329" s="626">
        <v>45888</v>
      </c>
      <c r="B1329" s="626" t="s">
        <v>212</v>
      </c>
      <c r="C1329" s="592" t="s">
        <v>17</v>
      </c>
      <c r="D1329" s="592" t="s">
        <v>1290</v>
      </c>
      <c r="E1329" s="593">
        <v>-283.60000000000002</v>
      </c>
      <c r="F1329" s="519" t="s">
        <v>8</v>
      </c>
      <c r="G1329" s="518" t="s">
        <v>153</v>
      </c>
    </row>
    <row r="1330" spans="1:7" s="514" customFormat="1" hidden="1" x14ac:dyDescent="0.3">
      <c r="A1330" s="515">
        <v>45888</v>
      </c>
      <c r="B1330" s="626" t="s">
        <v>212</v>
      </c>
      <c r="C1330" s="516" t="s">
        <v>31</v>
      </c>
      <c r="D1330" s="592" t="s">
        <v>1299</v>
      </c>
      <c r="E1330" s="593">
        <v>-2324.85</v>
      </c>
      <c r="F1330" s="519" t="s">
        <v>8</v>
      </c>
      <c r="G1330" s="518" t="s">
        <v>86</v>
      </c>
    </row>
    <row r="1331" spans="1:7" s="514" customFormat="1" hidden="1" x14ac:dyDescent="0.3">
      <c r="A1331" s="515">
        <v>45888</v>
      </c>
      <c r="B1331" s="626" t="s">
        <v>212</v>
      </c>
      <c r="C1331" s="516" t="s">
        <v>6</v>
      </c>
      <c r="D1331" s="592" t="s">
        <v>1295</v>
      </c>
      <c r="E1331" s="593">
        <v>-2944.81</v>
      </c>
      <c r="F1331" s="519" t="s">
        <v>8</v>
      </c>
      <c r="G1331" s="518" t="s">
        <v>86</v>
      </c>
    </row>
    <row r="1332" spans="1:7" s="514" customFormat="1" hidden="1" x14ac:dyDescent="0.3">
      <c r="A1332" s="515">
        <v>45888</v>
      </c>
      <c r="B1332" s="626" t="s">
        <v>212</v>
      </c>
      <c r="C1332" s="516" t="s">
        <v>44</v>
      </c>
      <c r="D1332" s="592" t="s">
        <v>1297</v>
      </c>
      <c r="E1332" s="512">
        <v>-2867.31</v>
      </c>
      <c r="F1332" s="519" t="s">
        <v>8</v>
      </c>
      <c r="G1332" s="518" t="s">
        <v>86</v>
      </c>
    </row>
    <row r="1333" spans="1:7" s="514" customFormat="1" hidden="1" x14ac:dyDescent="0.3">
      <c r="A1333" s="515">
        <v>45888</v>
      </c>
      <c r="B1333" s="626" t="s">
        <v>212</v>
      </c>
      <c r="C1333" s="516" t="s">
        <v>44</v>
      </c>
      <c r="D1333" s="592" t="s">
        <v>1296</v>
      </c>
      <c r="E1333" s="512">
        <v>-852.44</v>
      </c>
      <c r="F1333" s="519" t="s">
        <v>8</v>
      </c>
      <c r="G1333" s="518" t="s">
        <v>86</v>
      </c>
    </row>
    <row r="1334" spans="1:7" s="514" customFormat="1" hidden="1" x14ac:dyDescent="0.3">
      <c r="A1334" s="515">
        <v>45888</v>
      </c>
      <c r="B1334" s="626" t="s">
        <v>212</v>
      </c>
      <c r="C1334" s="516" t="s">
        <v>25</v>
      </c>
      <c r="D1334" s="592" t="s">
        <v>1298</v>
      </c>
      <c r="E1334" s="512">
        <v>-2789.82</v>
      </c>
      <c r="F1334" s="519" t="s">
        <v>8</v>
      </c>
      <c r="G1334" s="518" t="s">
        <v>86</v>
      </c>
    </row>
    <row r="1335" spans="1:7" s="514" customFormat="1" hidden="1" x14ac:dyDescent="0.3">
      <c r="A1335" s="515">
        <v>45888</v>
      </c>
      <c r="B1335" s="626" t="s">
        <v>212</v>
      </c>
      <c r="C1335" s="516" t="s">
        <v>33</v>
      </c>
      <c r="D1335" s="592" t="s">
        <v>1301</v>
      </c>
      <c r="E1335" s="512">
        <v>-852.44</v>
      </c>
      <c r="F1335" s="519" t="s">
        <v>8</v>
      </c>
      <c r="G1335" s="518" t="s">
        <v>86</v>
      </c>
    </row>
    <row r="1336" spans="1:7" s="514" customFormat="1" hidden="1" x14ac:dyDescent="0.3">
      <c r="A1336" s="515">
        <v>45888</v>
      </c>
      <c r="B1336" s="626" t="s">
        <v>212</v>
      </c>
      <c r="C1336" s="516" t="s">
        <v>106</v>
      </c>
      <c r="D1336" s="592" t="s">
        <v>1300</v>
      </c>
      <c r="E1336" s="512">
        <v>-619.96</v>
      </c>
      <c r="F1336" s="519" t="s">
        <v>8</v>
      </c>
      <c r="G1336" s="518" t="s">
        <v>86</v>
      </c>
    </row>
    <row r="1337" spans="1:7" s="514" customFormat="1" ht="14.4" hidden="1" customHeight="1" x14ac:dyDescent="0.3">
      <c r="A1337" s="515">
        <v>45888</v>
      </c>
      <c r="B1337" s="626" t="s">
        <v>212</v>
      </c>
      <c r="C1337" s="516" t="s">
        <v>32</v>
      </c>
      <c r="D1337" s="592" t="s">
        <v>1306</v>
      </c>
      <c r="E1337" s="512">
        <v>-154.99</v>
      </c>
      <c r="F1337" s="519" t="s">
        <v>8</v>
      </c>
      <c r="G1337" s="518" t="s">
        <v>86</v>
      </c>
    </row>
    <row r="1338" spans="1:7" s="514" customFormat="1" hidden="1" x14ac:dyDescent="0.3">
      <c r="A1338" s="515">
        <v>45888</v>
      </c>
      <c r="B1338" s="626" t="s">
        <v>212</v>
      </c>
      <c r="C1338" s="516" t="s">
        <v>72</v>
      </c>
      <c r="D1338" s="592" t="s">
        <v>1302</v>
      </c>
      <c r="E1338" s="512">
        <v>-852.44</v>
      </c>
      <c r="F1338" s="519" t="s">
        <v>8</v>
      </c>
      <c r="G1338" s="518" t="s">
        <v>86</v>
      </c>
    </row>
    <row r="1339" spans="1:7" s="514" customFormat="1" hidden="1" x14ac:dyDescent="0.3">
      <c r="A1339" s="515">
        <v>45888</v>
      </c>
      <c r="B1339" s="644" t="s">
        <v>212</v>
      </c>
      <c r="C1339" s="715" t="s">
        <v>17</v>
      </c>
      <c r="D1339" s="592" t="s">
        <v>1311</v>
      </c>
      <c r="E1339" s="693">
        <v>-77.489999999999995</v>
      </c>
      <c r="F1339" s="563" t="s">
        <v>8</v>
      </c>
      <c r="G1339" s="518" t="s">
        <v>86</v>
      </c>
    </row>
    <row r="1340" spans="1:7" s="514" customFormat="1" ht="27.6" hidden="1" x14ac:dyDescent="0.3">
      <c r="A1340" s="515">
        <v>45888</v>
      </c>
      <c r="B1340" s="644" t="s">
        <v>212</v>
      </c>
      <c r="C1340" s="715" t="s">
        <v>17</v>
      </c>
      <c r="D1340" s="592" t="s">
        <v>1307</v>
      </c>
      <c r="E1340" s="693">
        <v>-36835.56</v>
      </c>
      <c r="F1340" s="563" t="s">
        <v>8</v>
      </c>
      <c r="G1340" s="518" t="s">
        <v>46</v>
      </c>
    </row>
    <row r="1341" spans="1:7" s="514" customFormat="1" hidden="1" x14ac:dyDescent="0.3">
      <c r="A1341" s="626">
        <v>45889</v>
      </c>
      <c r="B1341" s="626" t="s">
        <v>212</v>
      </c>
      <c r="C1341" s="592" t="s">
        <v>17</v>
      </c>
      <c r="D1341" s="592" t="s">
        <v>1192</v>
      </c>
      <c r="E1341" s="512">
        <v>-2500</v>
      </c>
      <c r="F1341" s="513" t="s">
        <v>8</v>
      </c>
      <c r="G1341" s="518" t="s">
        <v>389</v>
      </c>
    </row>
    <row r="1342" spans="1:7" s="514" customFormat="1" hidden="1" x14ac:dyDescent="0.3">
      <c r="A1342" s="626">
        <v>45889</v>
      </c>
      <c r="B1342" s="626" t="s">
        <v>212</v>
      </c>
      <c r="C1342" s="592" t="s">
        <v>25</v>
      </c>
      <c r="D1342" s="592" t="s">
        <v>1247</v>
      </c>
      <c r="E1342" s="512">
        <v>-60</v>
      </c>
      <c r="F1342" s="513" t="s">
        <v>8</v>
      </c>
      <c r="G1342" s="518" t="s">
        <v>83</v>
      </c>
    </row>
    <row r="1343" spans="1:7" s="514" customFormat="1" hidden="1" x14ac:dyDescent="0.3">
      <c r="A1343" s="626">
        <v>45889</v>
      </c>
      <c r="B1343" s="626" t="s">
        <v>212</v>
      </c>
      <c r="C1343" s="592" t="s">
        <v>25</v>
      </c>
      <c r="D1343" s="592" t="s">
        <v>1248</v>
      </c>
      <c r="E1343" s="512">
        <v>-123</v>
      </c>
      <c r="F1343" s="513" t="s">
        <v>8</v>
      </c>
      <c r="G1343" s="518" t="s">
        <v>83</v>
      </c>
    </row>
    <row r="1344" spans="1:7" s="514" customFormat="1" ht="13.8" hidden="1" customHeight="1" x14ac:dyDescent="0.3">
      <c r="A1344" s="626">
        <v>45889</v>
      </c>
      <c r="B1344" s="626" t="s">
        <v>212</v>
      </c>
      <c r="C1344" s="592" t="s">
        <v>32</v>
      </c>
      <c r="D1344" s="592" t="s">
        <v>1249</v>
      </c>
      <c r="E1344" s="512">
        <v>-186.4</v>
      </c>
      <c r="F1344" s="513" t="s">
        <v>8</v>
      </c>
      <c r="G1344" s="518" t="s">
        <v>83</v>
      </c>
    </row>
    <row r="1345" spans="1:7" s="514" customFormat="1" ht="13.8" hidden="1" customHeight="1" x14ac:dyDescent="0.3">
      <c r="A1345" s="626">
        <v>45889</v>
      </c>
      <c r="B1345" s="626" t="s">
        <v>212</v>
      </c>
      <c r="C1345" s="592" t="s">
        <v>32</v>
      </c>
      <c r="D1345" s="592" t="s">
        <v>1263</v>
      </c>
      <c r="E1345" s="512">
        <v>-166.08</v>
      </c>
      <c r="F1345" s="513" t="s">
        <v>8</v>
      </c>
      <c r="G1345" s="518" t="s">
        <v>394</v>
      </c>
    </row>
    <row r="1346" spans="1:7" s="514" customFormat="1" ht="15" hidden="1" customHeight="1" x14ac:dyDescent="0.3">
      <c r="A1346" s="626">
        <v>45889</v>
      </c>
      <c r="B1346" s="626" t="s">
        <v>212</v>
      </c>
      <c r="C1346" s="592" t="s">
        <v>72</v>
      </c>
      <c r="D1346" s="592" t="s">
        <v>1219</v>
      </c>
      <c r="E1346" s="512">
        <v>-1514.4698490000001</v>
      </c>
      <c r="F1346" s="513" t="s">
        <v>8</v>
      </c>
      <c r="G1346" s="518" t="s">
        <v>83</v>
      </c>
    </row>
    <row r="1347" spans="1:7" s="514" customFormat="1" hidden="1" x14ac:dyDescent="0.3">
      <c r="A1347" s="515">
        <v>45889</v>
      </c>
      <c r="B1347" s="626" t="s">
        <v>212</v>
      </c>
      <c r="C1347" s="592" t="s">
        <v>31</v>
      </c>
      <c r="D1347" s="592" t="s">
        <v>201</v>
      </c>
      <c r="E1347" s="512">
        <v>-1239.92</v>
      </c>
      <c r="F1347" s="519" t="s">
        <v>8</v>
      </c>
      <c r="G1347" s="518" t="s">
        <v>86</v>
      </c>
    </row>
    <row r="1348" spans="1:7" s="514" customFormat="1" ht="14.4" hidden="1" customHeight="1" x14ac:dyDescent="0.3">
      <c r="A1348" s="515">
        <v>45889</v>
      </c>
      <c r="B1348" s="626" t="s">
        <v>212</v>
      </c>
      <c r="C1348" s="592" t="s">
        <v>6</v>
      </c>
      <c r="D1348" s="592" t="s">
        <v>201</v>
      </c>
      <c r="E1348" s="512">
        <v>-1627.4</v>
      </c>
      <c r="F1348" s="519" t="s">
        <v>8</v>
      </c>
      <c r="G1348" s="518" t="s">
        <v>86</v>
      </c>
    </row>
    <row r="1349" spans="1:7" s="514" customFormat="1" ht="14.4" hidden="1" customHeight="1" x14ac:dyDescent="0.3">
      <c r="A1349" s="515">
        <v>45889</v>
      </c>
      <c r="B1349" s="626" t="s">
        <v>212</v>
      </c>
      <c r="C1349" s="592" t="s">
        <v>44</v>
      </c>
      <c r="D1349" s="596" t="s">
        <v>201</v>
      </c>
      <c r="E1349" s="512">
        <v>-1162.43</v>
      </c>
      <c r="F1349" s="519" t="s">
        <v>8</v>
      </c>
      <c r="G1349" s="518" t="s">
        <v>86</v>
      </c>
    </row>
    <row r="1350" spans="1:7" s="514" customFormat="1" hidden="1" x14ac:dyDescent="0.3">
      <c r="A1350" s="515">
        <v>45889</v>
      </c>
      <c r="B1350" s="626" t="s">
        <v>212</v>
      </c>
      <c r="C1350" s="592" t="s">
        <v>44</v>
      </c>
      <c r="D1350" s="596" t="s">
        <v>201</v>
      </c>
      <c r="E1350" s="512">
        <v>-3099.8</v>
      </c>
      <c r="F1350" s="519" t="s">
        <v>8</v>
      </c>
      <c r="G1350" s="518" t="s">
        <v>86</v>
      </c>
    </row>
    <row r="1351" spans="1:7" s="514" customFormat="1" hidden="1" x14ac:dyDescent="0.3">
      <c r="A1351" s="515">
        <v>45889</v>
      </c>
      <c r="B1351" s="626" t="s">
        <v>212</v>
      </c>
      <c r="C1351" s="592" t="s">
        <v>25</v>
      </c>
      <c r="D1351" s="592" t="s">
        <v>201</v>
      </c>
      <c r="E1351" s="512">
        <v>-3564.77</v>
      </c>
      <c r="F1351" s="519" t="s">
        <v>8</v>
      </c>
      <c r="G1351" s="518" t="s">
        <v>86</v>
      </c>
    </row>
    <row r="1352" spans="1:7" s="514" customFormat="1" hidden="1" x14ac:dyDescent="0.3">
      <c r="A1352" s="515">
        <v>45889</v>
      </c>
      <c r="B1352" s="626" t="s">
        <v>212</v>
      </c>
      <c r="C1352" s="592" t="s">
        <v>33</v>
      </c>
      <c r="D1352" s="592" t="s">
        <v>201</v>
      </c>
      <c r="E1352" s="512">
        <v>-929.94</v>
      </c>
      <c r="F1352" s="519" t="s">
        <v>8</v>
      </c>
      <c r="G1352" s="518" t="s">
        <v>86</v>
      </c>
    </row>
    <row r="1353" spans="1:7" s="514" customFormat="1" hidden="1" x14ac:dyDescent="0.3">
      <c r="A1353" s="515">
        <v>45889</v>
      </c>
      <c r="B1353" s="626" t="s">
        <v>212</v>
      </c>
      <c r="C1353" s="592" t="s">
        <v>106</v>
      </c>
      <c r="D1353" s="592" t="s">
        <v>201</v>
      </c>
      <c r="E1353" s="512">
        <v>-697.46</v>
      </c>
      <c r="F1353" s="519" t="s">
        <v>8</v>
      </c>
      <c r="G1353" s="518" t="s">
        <v>86</v>
      </c>
    </row>
    <row r="1354" spans="1:7" s="514" customFormat="1" hidden="1" x14ac:dyDescent="0.3">
      <c r="A1354" s="515">
        <v>45889</v>
      </c>
      <c r="B1354" s="626" t="s">
        <v>212</v>
      </c>
      <c r="C1354" s="592" t="s">
        <v>32</v>
      </c>
      <c r="D1354" s="592" t="s">
        <v>201</v>
      </c>
      <c r="E1354" s="512">
        <v>-2479.84</v>
      </c>
      <c r="F1354" s="519" t="s">
        <v>8</v>
      </c>
      <c r="G1354" s="518" t="s">
        <v>86</v>
      </c>
    </row>
    <row r="1355" spans="1:7" s="514" customFormat="1" hidden="1" x14ac:dyDescent="0.3">
      <c r="A1355" s="515">
        <v>45889</v>
      </c>
      <c r="B1355" s="626" t="s">
        <v>212</v>
      </c>
      <c r="C1355" s="592" t="s">
        <v>72</v>
      </c>
      <c r="D1355" s="592" t="s">
        <v>201</v>
      </c>
      <c r="E1355" s="512">
        <v>-1394.91</v>
      </c>
      <c r="F1355" s="519" t="s">
        <v>8</v>
      </c>
      <c r="G1355" s="518" t="s">
        <v>86</v>
      </c>
    </row>
    <row r="1356" spans="1:7" s="514" customFormat="1" hidden="1" x14ac:dyDescent="0.3">
      <c r="A1356" s="515">
        <v>45889</v>
      </c>
      <c r="B1356" s="626" t="s">
        <v>212</v>
      </c>
      <c r="C1356" s="592" t="s">
        <v>17</v>
      </c>
      <c r="D1356" s="592" t="s">
        <v>201</v>
      </c>
      <c r="E1356" s="512">
        <v>-619.96</v>
      </c>
      <c r="F1356" s="519" t="s">
        <v>8</v>
      </c>
      <c r="G1356" s="518" t="s">
        <v>86</v>
      </c>
    </row>
    <row r="1357" spans="1:7" s="291" customFormat="1" ht="15.6" hidden="1" customHeight="1" x14ac:dyDescent="0.3">
      <c r="A1357" s="252">
        <v>45881</v>
      </c>
      <c r="B1357" s="252" t="s">
        <v>212</v>
      </c>
      <c r="C1357" s="26" t="s">
        <v>31</v>
      </c>
      <c r="D1357" s="26" t="s">
        <v>1179</v>
      </c>
      <c r="E1357" s="497">
        <v>-266</v>
      </c>
      <c r="F1357" s="25" t="s">
        <v>8</v>
      </c>
      <c r="G1357" s="20" t="s">
        <v>83</v>
      </c>
    </row>
    <row r="1358" spans="1:7" s="291" customFormat="1" hidden="1" x14ac:dyDescent="0.3">
      <c r="A1358" s="252">
        <v>45881</v>
      </c>
      <c r="B1358" s="252" t="s">
        <v>212</v>
      </c>
      <c r="C1358" s="26" t="s">
        <v>44</v>
      </c>
      <c r="D1358" s="26" t="s">
        <v>1180</v>
      </c>
      <c r="E1358" s="497">
        <v>-140</v>
      </c>
      <c r="F1358" s="25" t="s">
        <v>8</v>
      </c>
      <c r="G1358" s="20" t="s">
        <v>83</v>
      </c>
    </row>
    <row r="1359" spans="1:7" s="291" customFormat="1" hidden="1" x14ac:dyDescent="0.3">
      <c r="A1359" s="252">
        <v>45881</v>
      </c>
      <c r="B1359" s="252" t="s">
        <v>212</v>
      </c>
      <c r="C1359" s="26" t="s">
        <v>17</v>
      </c>
      <c r="D1359" s="18" t="s">
        <v>1181</v>
      </c>
      <c r="E1359" s="499">
        <v>-114.48</v>
      </c>
      <c r="F1359" s="583" t="s">
        <v>8</v>
      </c>
      <c r="G1359" s="20" t="s">
        <v>76</v>
      </c>
    </row>
    <row r="1360" spans="1:7" s="291" customFormat="1" hidden="1" x14ac:dyDescent="0.3">
      <c r="A1360" s="205">
        <v>45881</v>
      </c>
      <c r="B1360" s="252" t="s">
        <v>212</v>
      </c>
      <c r="C1360" s="17" t="s">
        <v>44</v>
      </c>
      <c r="D1360" s="26" t="s">
        <v>1178</v>
      </c>
      <c r="E1360" s="19">
        <v>-1035.44</v>
      </c>
      <c r="F1360" s="14" t="s">
        <v>8</v>
      </c>
      <c r="G1360" s="303" t="s">
        <v>207</v>
      </c>
    </row>
    <row r="1361" spans="1:7" s="514" customFormat="1" ht="25.8" hidden="1" customHeight="1" x14ac:dyDescent="0.3">
      <c r="A1361" s="626">
        <v>45889</v>
      </c>
      <c r="B1361" s="626" t="s">
        <v>212</v>
      </c>
      <c r="C1361" s="592" t="s">
        <v>72</v>
      </c>
      <c r="D1361" s="592" t="s">
        <v>1216</v>
      </c>
      <c r="E1361" s="512">
        <v>-1514.4698490000001</v>
      </c>
      <c r="F1361" s="513" t="s">
        <v>8</v>
      </c>
      <c r="G1361" s="518" t="s">
        <v>233</v>
      </c>
    </row>
    <row r="1362" spans="1:7" s="514" customFormat="1" hidden="1" x14ac:dyDescent="0.3">
      <c r="A1362" s="626">
        <v>45889</v>
      </c>
      <c r="B1362" s="626" t="s">
        <v>212</v>
      </c>
      <c r="C1362" s="592" t="s">
        <v>25</v>
      </c>
      <c r="D1362" s="592" t="s">
        <v>1314</v>
      </c>
      <c r="E1362" s="512">
        <v>-62</v>
      </c>
      <c r="F1362" s="519" t="s">
        <v>8</v>
      </c>
      <c r="G1362" s="734" t="s">
        <v>19</v>
      </c>
    </row>
    <row r="1363" spans="1:7" s="514" customFormat="1" hidden="1" x14ac:dyDescent="0.3">
      <c r="A1363" s="626">
        <v>45889</v>
      </c>
      <c r="B1363" s="626" t="s">
        <v>212</v>
      </c>
      <c r="C1363" s="592" t="s">
        <v>25</v>
      </c>
      <c r="D1363" s="592" t="s">
        <v>1316</v>
      </c>
      <c r="E1363" s="512">
        <v>-26</v>
      </c>
      <c r="F1363" s="519" t="s">
        <v>8</v>
      </c>
      <c r="G1363" s="734" t="s">
        <v>19</v>
      </c>
    </row>
    <row r="1364" spans="1:7" s="514" customFormat="1" hidden="1" x14ac:dyDescent="0.3">
      <c r="A1364" s="626">
        <v>45889</v>
      </c>
      <c r="B1364" s="626" t="s">
        <v>212</v>
      </c>
      <c r="C1364" s="592" t="s">
        <v>25</v>
      </c>
      <c r="D1364" s="592" t="s">
        <v>1315</v>
      </c>
      <c r="E1364" s="512">
        <v>-50</v>
      </c>
      <c r="F1364" s="519" t="s">
        <v>8</v>
      </c>
      <c r="G1364" s="734" t="s">
        <v>19</v>
      </c>
    </row>
    <row r="1365" spans="1:7" s="291" customFormat="1" ht="22.2" hidden="1" customHeight="1" x14ac:dyDescent="0.3">
      <c r="A1365" s="252">
        <v>45882</v>
      </c>
      <c r="B1365" s="252" t="s">
        <v>212</v>
      </c>
      <c r="C1365" s="26" t="s">
        <v>72</v>
      </c>
      <c r="D1365" s="26" t="s">
        <v>1213</v>
      </c>
      <c r="E1365" s="19">
        <v>-115</v>
      </c>
      <c r="F1365" s="25" t="s">
        <v>8</v>
      </c>
      <c r="G1365" s="20" t="s">
        <v>207</v>
      </c>
    </row>
    <row r="1366" spans="1:7" s="291" customFormat="1" ht="15.6" hidden="1" customHeight="1" x14ac:dyDescent="0.3">
      <c r="A1366" s="252">
        <v>45882</v>
      </c>
      <c r="B1366" s="252" t="s">
        <v>212</v>
      </c>
      <c r="C1366" s="26" t="s">
        <v>25</v>
      </c>
      <c r="D1366" s="26" t="s">
        <v>382</v>
      </c>
      <c r="E1366" s="19">
        <v>-1094.46</v>
      </c>
      <c r="F1366" s="25" t="s">
        <v>8</v>
      </c>
      <c r="G1366" s="20" t="s">
        <v>76</v>
      </c>
    </row>
    <row r="1367" spans="1:7" s="291" customFormat="1" ht="15.6" hidden="1" customHeight="1" x14ac:dyDescent="0.3">
      <c r="A1367" s="252">
        <v>45882</v>
      </c>
      <c r="B1367" s="252" t="s">
        <v>212</v>
      </c>
      <c r="C1367" s="26" t="s">
        <v>32</v>
      </c>
      <c r="D1367" s="26" t="s">
        <v>1182</v>
      </c>
      <c r="E1367" s="19">
        <v>-1645.12</v>
      </c>
      <c r="F1367" s="25" t="s">
        <v>8</v>
      </c>
      <c r="G1367" s="20" t="s">
        <v>76</v>
      </c>
    </row>
    <row r="1368" spans="1:7" s="291" customFormat="1" hidden="1" x14ac:dyDescent="0.3">
      <c r="A1368" s="252">
        <v>45882</v>
      </c>
      <c r="B1368" s="252" t="s">
        <v>212</v>
      </c>
      <c r="C1368" s="26" t="s">
        <v>31</v>
      </c>
      <c r="D1368" s="26" t="s">
        <v>1101</v>
      </c>
      <c r="E1368" s="19">
        <v>-5416.21</v>
      </c>
      <c r="F1368" s="25" t="s">
        <v>8</v>
      </c>
      <c r="G1368" s="20" t="s">
        <v>76</v>
      </c>
    </row>
    <row r="1369" spans="1:7" s="291" customFormat="1" ht="14.4" hidden="1" x14ac:dyDescent="0.3">
      <c r="A1369" s="781">
        <v>45898</v>
      </c>
      <c r="B1369" s="737" t="s">
        <v>212</v>
      </c>
      <c r="C1369" s="793" t="s">
        <v>17</v>
      </c>
      <c r="D1369" s="26" t="s">
        <v>1398</v>
      </c>
      <c r="E1369" s="19">
        <v>-31.81</v>
      </c>
      <c r="F1369" s="786" t="s">
        <v>8</v>
      </c>
      <c r="G1369" s="20" t="s">
        <v>153</v>
      </c>
    </row>
    <row r="1370" spans="1:7" s="291" customFormat="1" ht="14.4" hidden="1" x14ac:dyDescent="0.3">
      <c r="A1370" s="781">
        <v>45898</v>
      </c>
      <c r="B1370" s="737" t="s">
        <v>212</v>
      </c>
      <c r="C1370" s="793" t="s">
        <v>17</v>
      </c>
      <c r="D1370" s="26" t="s">
        <v>1438</v>
      </c>
      <c r="E1370" s="19">
        <v>-69.8</v>
      </c>
      <c r="F1370" s="786" t="s">
        <v>8</v>
      </c>
      <c r="G1370" s="20" t="s">
        <v>153</v>
      </c>
    </row>
    <row r="1371" spans="1:7" s="291" customFormat="1" ht="14.4" hidden="1" x14ac:dyDescent="0.3">
      <c r="A1371" s="781">
        <v>45898</v>
      </c>
      <c r="B1371" s="737" t="s">
        <v>212</v>
      </c>
      <c r="C1371" s="793" t="s">
        <v>17</v>
      </c>
      <c r="D1371" s="26" t="s">
        <v>1439</v>
      </c>
      <c r="E1371" s="19">
        <v>-204.16</v>
      </c>
      <c r="F1371" s="786" t="s">
        <v>8</v>
      </c>
      <c r="G1371" s="20" t="s">
        <v>153</v>
      </c>
    </row>
    <row r="1372" spans="1:7" s="291" customFormat="1" ht="14.4" hidden="1" x14ac:dyDescent="0.3">
      <c r="A1372" s="781">
        <v>45898</v>
      </c>
      <c r="B1372" s="737" t="s">
        <v>212</v>
      </c>
      <c r="C1372" s="793" t="s">
        <v>17</v>
      </c>
      <c r="D1372" s="26" t="s">
        <v>1440</v>
      </c>
      <c r="E1372" s="19">
        <v>-62.28</v>
      </c>
      <c r="F1372" s="786" t="s">
        <v>8</v>
      </c>
      <c r="G1372" s="20" t="s">
        <v>153</v>
      </c>
    </row>
    <row r="1373" spans="1:7" s="514" customFormat="1" ht="14.4" hidden="1" x14ac:dyDescent="0.3">
      <c r="A1373" s="858">
        <v>45898</v>
      </c>
      <c r="B1373" s="810" t="s">
        <v>212</v>
      </c>
      <c r="C1373" s="749" t="s">
        <v>31</v>
      </c>
      <c r="D1373" s="749" t="s">
        <v>1412</v>
      </c>
      <c r="E1373" s="750">
        <v>-149.94999999999999</v>
      </c>
      <c r="F1373" s="854" t="s">
        <v>8</v>
      </c>
      <c r="G1373" s="551" t="s">
        <v>189</v>
      </c>
    </row>
    <row r="1374" spans="1:7" s="514" customFormat="1" hidden="1" x14ac:dyDescent="0.3">
      <c r="A1374" s="515">
        <v>45902</v>
      </c>
      <c r="B1374" s="626" t="s">
        <v>213</v>
      </c>
      <c r="C1374" s="592" t="s">
        <v>44</v>
      </c>
      <c r="D1374" s="592" t="s">
        <v>1487</v>
      </c>
      <c r="E1374" s="512">
        <v>-520</v>
      </c>
      <c r="F1374" s="513" t="s">
        <v>8</v>
      </c>
      <c r="G1374" s="519" t="s">
        <v>233</v>
      </c>
    </row>
    <row r="1375" spans="1:7" s="291" customFormat="1" hidden="1" x14ac:dyDescent="0.3">
      <c r="A1375" s="344">
        <v>45882</v>
      </c>
      <c r="B1375" s="343" t="s">
        <v>212</v>
      </c>
      <c r="C1375" s="349" t="s">
        <v>44</v>
      </c>
      <c r="D1375" s="254" t="s">
        <v>1222</v>
      </c>
      <c r="E1375" s="345">
        <v>-286.75</v>
      </c>
      <c r="F1375" s="353" t="s">
        <v>8</v>
      </c>
      <c r="G1375" s="889" t="s">
        <v>142</v>
      </c>
    </row>
    <row r="1376" spans="1:7" s="514" customFormat="1" hidden="1" x14ac:dyDescent="0.3">
      <c r="A1376" s="626">
        <v>45901</v>
      </c>
      <c r="B1376" s="626" t="s">
        <v>213</v>
      </c>
      <c r="C1376" s="787" t="s">
        <v>6</v>
      </c>
      <c r="D1376" s="600" t="s">
        <v>7</v>
      </c>
      <c r="E1376" s="627">
        <v>-237.82</v>
      </c>
      <c r="F1376" s="513" t="s">
        <v>8</v>
      </c>
      <c r="G1376" s="519" t="s">
        <v>9</v>
      </c>
    </row>
    <row r="1377" spans="1:7" s="514" customFormat="1" hidden="1" x14ac:dyDescent="0.3">
      <c r="A1377" s="626">
        <v>45901</v>
      </c>
      <c r="B1377" s="626" t="s">
        <v>213</v>
      </c>
      <c r="C1377" s="787" t="s">
        <v>6</v>
      </c>
      <c r="D1377" s="600" t="s">
        <v>10</v>
      </c>
      <c r="E1377" s="627">
        <v>-216.58</v>
      </c>
      <c r="F1377" s="513" t="s">
        <v>8</v>
      </c>
      <c r="G1377" s="519" t="s">
        <v>9</v>
      </c>
    </row>
    <row r="1378" spans="1:7" s="514" customFormat="1" hidden="1" x14ac:dyDescent="0.3">
      <c r="A1378" s="626">
        <v>45901</v>
      </c>
      <c r="B1378" s="626" t="s">
        <v>213</v>
      </c>
      <c r="C1378" s="599" t="s">
        <v>6</v>
      </c>
      <c r="D1378" s="600" t="s">
        <v>12</v>
      </c>
      <c r="E1378" s="627">
        <v>-142.61000000000001</v>
      </c>
      <c r="F1378" s="513" t="s">
        <v>8</v>
      </c>
      <c r="G1378" s="519" t="s">
        <v>9</v>
      </c>
    </row>
    <row r="1379" spans="1:7" s="291" customFormat="1" x14ac:dyDescent="0.3">
      <c r="A1379" s="252">
        <v>45912</v>
      </c>
      <c r="B1379" s="252" t="s">
        <v>213</v>
      </c>
      <c r="C1379" s="24" t="s">
        <v>13</v>
      </c>
      <c r="D1379" s="13" t="s">
        <v>14</v>
      </c>
      <c r="E1379" s="28">
        <v>-2000</v>
      </c>
      <c r="F1379" s="25" t="s">
        <v>8</v>
      </c>
      <c r="G1379" s="14" t="s">
        <v>15</v>
      </c>
    </row>
    <row r="1380" spans="1:7" s="514" customFormat="1" hidden="1" x14ac:dyDescent="0.3">
      <c r="A1380" s="626">
        <v>45904</v>
      </c>
      <c r="B1380" s="626" t="s">
        <v>213</v>
      </c>
      <c r="C1380" s="599" t="s">
        <v>13</v>
      </c>
      <c r="D1380" s="600" t="s">
        <v>505</v>
      </c>
      <c r="E1380" s="627">
        <v>-1500</v>
      </c>
      <c r="F1380" s="513" t="s">
        <v>8</v>
      </c>
      <c r="G1380" s="519" t="s">
        <v>15</v>
      </c>
    </row>
    <row r="1381" spans="1:7" s="824" customFormat="1" hidden="1" x14ac:dyDescent="0.3">
      <c r="A1381" s="820">
        <v>45905</v>
      </c>
      <c r="B1381" s="820" t="s">
        <v>213</v>
      </c>
      <c r="C1381" s="821" t="s">
        <v>44</v>
      </c>
      <c r="D1381" s="822" t="s">
        <v>1533</v>
      </c>
      <c r="E1381" s="895">
        <v>10000</v>
      </c>
      <c r="F1381" s="823" t="s">
        <v>164</v>
      </c>
      <c r="G1381" s="712" t="s">
        <v>46</v>
      </c>
    </row>
    <row r="1382" spans="1:7" s="514" customFormat="1" hidden="1" x14ac:dyDescent="0.3">
      <c r="A1382" s="626">
        <v>45905</v>
      </c>
      <c r="B1382" s="626" t="s">
        <v>213</v>
      </c>
      <c r="C1382" s="599" t="s">
        <v>17</v>
      </c>
      <c r="D1382" s="600" t="s">
        <v>18</v>
      </c>
      <c r="E1382" s="636">
        <v>-17235</v>
      </c>
      <c r="F1382" s="513" t="s">
        <v>8</v>
      </c>
      <c r="G1382" s="519" t="s">
        <v>19</v>
      </c>
    </row>
    <row r="1383" spans="1:7" s="514" customFormat="1" hidden="1" x14ac:dyDescent="0.3">
      <c r="A1383" s="626">
        <v>45902</v>
      </c>
      <c r="B1383" s="626" t="s">
        <v>213</v>
      </c>
      <c r="C1383" s="592" t="s">
        <v>72</v>
      </c>
      <c r="D1383" s="592" t="s">
        <v>1221</v>
      </c>
      <c r="E1383" s="512">
        <v>-2592.66</v>
      </c>
      <c r="F1383" s="513" t="s">
        <v>8</v>
      </c>
      <c r="G1383" s="519" t="s">
        <v>233</v>
      </c>
    </row>
    <row r="1384" spans="1:7" s="514" customFormat="1" hidden="1" x14ac:dyDescent="0.3">
      <c r="A1384" s="626">
        <v>45902</v>
      </c>
      <c r="B1384" s="626" t="s">
        <v>213</v>
      </c>
      <c r="C1384" s="592" t="s">
        <v>72</v>
      </c>
      <c r="D1384" s="592" t="s">
        <v>1488</v>
      </c>
      <c r="E1384" s="512">
        <v>-809.45</v>
      </c>
      <c r="F1384" s="513" t="s">
        <v>8</v>
      </c>
      <c r="G1384" s="519" t="s">
        <v>233</v>
      </c>
    </row>
    <row r="1385" spans="1:7" s="514" customFormat="1" hidden="1" x14ac:dyDescent="0.3">
      <c r="A1385" s="626">
        <v>45902</v>
      </c>
      <c r="B1385" s="626" t="s">
        <v>213</v>
      </c>
      <c r="C1385" s="592" t="s">
        <v>31</v>
      </c>
      <c r="D1385" s="592" t="s">
        <v>1465</v>
      </c>
      <c r="E1385" s="512">
        <v>-196.87</v>
      </c>
      <c r="F1385" s="513" t="s">
        <v>8</v>
      </c>
      <c r="G1385" s="728" t="s">
        <v>127</v>
      </c>
    </row>
    <row r="1386" spans="1:7" s="514" customFormat="1" hidden="1" x14ac:dyDescent="0.3">
      <c r="A1386" s="626">
        <v>45902</v>
      </c>
      <c r="B1386" s="626" t="s">
        <v>213</v>
      </c>
      <c r="C1386" s="592" t="s">
        <v>31</v>
      </c>
      <c r="D1386" s="592" t="s">
        <v>1466</v>
      </c>
      <c r="E1386" s="512">
        <v>-195.68</v>
      </c>
      <c r="F1386" s="513" t="s">
        <v>8</v>
      </c>
      <c r="G1386" s="728" t="s">
        <v>127</v>
      </c>
    </row>
    <row r="1387" spans="1:7" s="514" customFormat="1" hidden="1" x14ac:dyDescent="0.3">
      <c r="A1387" s="626">
        <v>45902</v>
      </c>
      <c r="B1387" s="626" t="s">
        <v>213</v>
      </c>
      <c r="C1387" s="592" t="s">
        <v>44</v>
      </c>
      <c r="D1387" s="592" t="s">
        <v>1486</v>
      </c>
      <c r="E1387" s="512">
        <v>-307.5</v>
      </c>
      <c r="F1387" s="513" t="s">
        <v>8</v>
      </c>
      <c r="G1387" s="518" t="s">
        <v>83</v>
      </c>
    </row>
    <row r="1388" spans="1:7" s="514" customFormat="1" hidden="1" x14ac:dyDescent="0.3">
      <c r="A1388" s="626">
        <v>45902</v>
      </c>
      <c r="B1388" s="626" t="s">
        <v>213</v>
      </c>
      <c r="C1388" s="592" t="s">
        <v>106</v>
      </c>
      <c r="D1388" s="592" t="s">
        <v>1227</v>
      </c>
      <c r="E1388" s="512">
        <v>-80</v>
      </c>
      <c r="F1388" s="513" t="s">
        <v>8</v>
      </c>
      <c r="G1388" s="518" t="s">
        <v>83</v>
      </c>
    </row>
    <row r="1389" spans="1:7" s="514" customFormat="1" hidden="1" x14ac:dyDescent="0.3">
      <c r="A1389" s="626">
        <v>45902</v>
      </c>
      <c r="B1389" s="626" t="s">
        <v>213</v>
      </c>
      <c r="C1389" s="516" t="s">
        <v>20</v>
      </c>
      <c r="D1389" s="517" t="s">
        <v>21</v>
      </c>
      <c r="E1389" s="627">
        <v>-669.22</v>
      </c>
      <c r="F1389" s="513" t="s">
        <v>8</v>
      </c>
      <c r="G1389" s="519" t="s">
        <v>22</v>
      </c>
    </row>
    <row r="1390" spans="1:7" s="514" customFormat="1" hidden="1" x14ac:dyDescent="0.3">
      <c r="A1390" s="626">
        <v>45903</v>
      </c>
      <c r="B1390" s="626" t="s">
        <v>213</v>
      </c>
      <c r="C1390" s="592" t="s">
        <v>44</v>
      </c>
      <c r="D1390" s="592" t="s">
        <v>1495</v>
      </c>
      <c r="E1390" s="512">
        <v>-210.65</v>
      </c>
      <c r="F1390" s="513" t="s">
        <v>8</v>
      </c>
      <c r="G1390" s="519" t="s">
        <v>207</v>
      </c>
    </row>
    <row r="1391" spans="1:7" s="514" customFormat="1" ht="15.6" hidden="1" customHeight="1" x14ac:dyDescent="0.3">
      <c r="A1391" s="626">
        <v>45903</v>
      </c>
      <c r="B1391" s="626" t="s">
        <v>213</v>
      </c>
      <c r="C1391" s="592" t="s">
        <v>25</v>
      </c>
      <c r="D1391" s="592" t="s">
        <v>1467</v>
      </c>
      <c r="E1391" s="512">
        <v>-225.3</v>
      </c>
      <c r="F1391" s="513" t="s">
        <v>8</v>
      </c>
      <c r="G1391" s="518" t="s">
        <v>83</v>
      </c>
    </row>
    <row r="1392" spans="1:7" s="514" customFormat="1" hidden="1" x14ac:dyDescent="0.3">
      <c r="A1392" s="626">
        <v>45903</v>
      </c>
      <c r="B1392" s="626" t="s">
        <v>213</v>
      </c>
      <c r="C1392" s="592" t="s">
        <v>25</v>
      </c>
      <c r="D1392" s="592" t="s">
        <v>814</v>
      </c>
      <c r="E1392" s="512">
        <v>-171.7</v>
      </c>
      <c r="F1392" s="513" t="s">
        <v>8</v>
      </c>
      <c r="G1392" s="518" t="s">
        <v>83</v>
      </c>
    </row>
    <row r="1393" spans="1:7" s="514" customFormat="1" hidden="1" x14ac:dyDescent="0.3">
      <c r="A1393" s="626">
        <v>45903</v>
      </c>
      <c r="B1393" s="626" t="s">
        <v>213</v>
      </c>
      <c r="C1393" s="592" t="s">
        <v>32</v>
      </c>
      <c r="D1393" s="592" t="s">
        <v>1462</v>
      </c>
      <c r="E1393" s="512">
        <v>-186.04</v>
      </c>
      <c r="F1393" s="513" t="s">
        <v>8</v>
      </c>
      <c r="G1393" s="518" t="s">
        <v>83</v>
      </c>
    </row>
    <row r="1394" spans="1:7" s="514" customFormat="1" hidden="1" x14ac:dyDescent="0.3">
      <c r="A1394" s="626">
        <v>45903</v>
      </c>
      <c r="B1394" s="626" t="s">
        <v>213</v>
      </c>
      <c r="C1394" s="592" t="s">
        <v>72</v>
      </c>
      <c r="D1394" s="592" t="s">
        <v>1392</v>
      </c>
      <c r="E1394" s="512">
        <v>-140</v>
      </c>
      <c r="F1394" s="513" t="s">
        <v>8</v>
      </c>
      <c r="G1394" s="518" t="s">
        <v>83</v>
      </c>
    </row>
    <row r="1395" spans="1:7" s="291" customFormat="1" hidden="1" x14ac:dyDescent="0.3">
      <c r="A1395" s="252">
        <v>45903</v>
      </c>
      <c r="B1395" s="252" t="s">
        <v>213</v>
      </c>
      <c r="C1395" s="26" t="s">
        <v>6</v>
      </c>
      <c r="D1395" s="26" t="s">
        <v>1490</v>
      </c>
      <c r="E1395" s="19">
        <v>-264</v>
      </c>
      <c r="F1395" s="25" t="s">
        <v>8</v>
      </c>
      <c r="G1395" s="825" t="s">
        <v>83</v>
      </c>
    </row>
    <row r="1396" spans="1:7" s="514" customFormat="1" hidden="1" x14ac:dyDescent="0.3">
      <c r="A1396" s="626">
        <v>45903</v>
      </c>
      <c r="B1396" s="626" t="s">
        <v>213</v>
      </c>
      <c r="C1396" s="592" t="s">
        <v>25</v>
      </c>
      <c r="D1396" s="592" t="s">
        <v>1491</v>
      </c>
      <c r="E1396" s="512">
        <v>-86.1</v>
      </c>
      <c r="F1396" s="513" t="s">
        <v>8</v>
      </c>
      <c r="G1396" s="518" t="s">
        <v>83</v>
      </c>
    </row>
    <row r="1397" spans="1:7" s="291" customFormat="1" hidden="1" x14ac:dyDescent="0.3">
      <c r="A1397" s="252">
        <v>45903</v>
      </c>
      <c r="B1397" s="252" t="s">
        <v>213</v>
      </c>
      <c r="C1397" s="26" t="s">
        <v>25</v>
      </c>
      <c r="D1397" s="26" t="s">
        <v>1321</v>
      </c>
      <c r="E1397" s="19">
        <v>-86.1</v>
      </c>
      <c r="F1397" s="25" t="s">
        <v>8</v>
      </c>
      <c r="G1397" s="825" t="s">
        <v>83</v>
      </c>
    </row>
    <row r="1398" spans="1:7" s="514" customFormat="1" hidden="1" x14ac:dyDescent="0.3">
      <c r="A1398" s="626">
        <v>45903</v>
      </c>
      <c r="B1398" s="626" t="s">
        <v>213</v>
      </c>
      <c r="C1398" s="592" t="s">
        <v>33</v>
      </c>
      <c r="D1398" s="592" t="s">
        <v>1492</v>
      </c>
      <c r="E1398" s="512">
        <v>-274</v>
      </c>
      <c r="F1398" s="513" t="s">
        <v>8</v>
      </c>
      <c r="G1398" s="518" t="s">
        <v>83</v>
      </c>
    </row>
    <row r="1399" spans="1:7" s="514" customFormat="1" hidden="1" x14ac:dyDescent="0.3">
      <c r="A1399" s="626">
        <v>45903</v>
      </c>
      <c r="B1399" s="626" t="s">
        <v>213</v>
      </c>
      <c r="C1399" s="592" t="s">
        <v>17</v>
      </c>
      <c r="D1399" s="592" t="s">
        <v>384</v>
      </c>
      <c r="E1399" s="512">
        <v>-177</v>
      </c>
      <c r="F1399" s="513" t="s">
        <v>8</v>
      </c>
      <c r="G1399" s="518" t="s">
        <v>99</v>
      </c>
    </row>
    <row r="1400" spans="1:7" s="514" customFormat="1" hidden="1" x14ac:dyDescent="0.3">
      <c r="A1400" s="626">
        <v>45903</v>
      </c>
      <c r="B1400" s="626" t="s">
        <v>213</v>
      </c>
      <c r="C1400" s="592" t="s">
        <v>17</v>
      </c>
      <c r="D1400" s="592" t="s">
        <v>1493</v>
      </c>
      <c r="E1400" s="512">
        <v>-145.32</v>
      </c>
      <c r="F1400" s="513" t="s">
        <v>8</v>
      </c>
      <c r="G1400" s="518" t="s">
        <v>394</v>
      </c>
    </row>
    <row r="1401" spans="1:7" s="514" customFormat="1" hidden="1" x14ac:dyDescent="0.3">
      <c r="A1401" s="626">
        <v>45903</v>
      </c>
      <c r="B1401" s="626" t="s">
        <v>213</v>
      </c>
      <c r="C1401" s="592" t="s">
        <v>44</v>
      </c>
      <c r="D1401" s="592" t="s">
        <v>1494</v>
      </c>
      <c r="E1401" s="512">
        <v>-3135.73</v>
      </c>
      <c r="F1401" s="513" t="s">
        <v>8</v>
      </c>
      <c r="G1401" s="518" t="s">
        <v>233</v>
      </c>
    </row>
    <row r="1402" spans="1:7" s="291" customFormat="1" x14ac:dyDescent="0.3">
      <c r="A1402" s="252">
        <v>45912</v>
      </c>
      <c r="B1402" s="252" t="s">
        <v>213</v>
      </c>
      <c r="C1402" s="26" t="s">
        <v>44</v>
      </c>
      <c r="D1402" s="26" t="s">
        <v>1508</v>
      </c>
      <c r="E1402" s="19">
        <v>-1000</v>
      </c>
      <c r="F1402" s="25" t="s">
        <v>8</v>
      </c>
      <c r="G1402" s="20" t="s">
        <v>233</v>
      </c>
    </row>
    <row r="1403" spans="1:7" s="514" customFormat="1" hidden="1" x14ac:dyDescent="0.3">
      <c r="A1403" s="626">
        <v>45904</v>
      </c>
      <c r="B1403" s="626" t="s">
        <v>213</v>
      </c>
      <c r="C1403" s="592" t="s">
        <v>44</v>
      </c>
      <c r="D1403" s="592" t="s">
        <v>464</v>
      </c>
      <c r="E1403" s="512">
        <v>-342.12</v>
      </c>
      <c r="F1403" s="513" t="s">
        <v>8</v>
      </c>
      <c r="G1403" s="518" t="s">
        <v>22</v>
      </c>
    </row>
    <row r="1404" spans="1:7" s="514" customFormat="1" hidden="1" x14ac:dyDescent="0.3">
      <c r="A1404" s="626">
        <v>45904</v>
      </c>
      <c r="B1404" s="626" t="s">
        <v>213</v>
      </c>
      <c r="C1404" s="592" t="s">
        <v>44</v>
      </c>
      <c r="D1404" s="592" t="s">
        <v>1497</v>
      </c>
      <c r="E1404" s="512">
        <v>-78.150000000000006</v>
      </c>
      <c r="F1404" s="513" t="s">
        <v>8</v>
      </c>
      <c r="G1404" s="518" t="s">
        <v>22</v>
      </c>
    </row>
    <row r="1405" spans="1:7" s="514" customFormat="1" hidden="1" x14ac:dyDescent="0.3">
      <c r="A1405" s="626">
        <v>45904</v>
      </c>
      <c r="B1405" s="626" t="s">
        <v>213</v>
      </c>
      <c r="C1405" s="787" t="s">
        <v>6</v>
      </c>
      <c r="D1405" s="600" t="s">
        <v>23</v>
      </c>
      <c r="E1405" s="627">
        <v>-3809.98</v>
      </c>
      <c r="F1405" s="513" t="s">
        <v>8</v>
      </c>
      <c r="G1405" s="519" t="s">
        <v>24</v>
      </c>
    </row>
    <row r="1406" spans="1:7" s="514" customFormat="1" hidden="1" x14ac:dyDescent="0.3">
      <c r="A1406" s="626">
        <v>45904</v>
      </c>
      <c r="B1406" s="626" t="s">
        <v>213</v>
      </c>
      <c r="C1406" s="599" t="s">
        <v>25</v>
      </c>
      <c r="D1406" s="600" t="s">
        <v>28</v>
      </c>
      <c r="E1406" s="627">
        <v>-389</v>
      </c>
      <c r="F1406" s="513" t="s">
        <v>8</v>
      </c>
      <c r="G1406" s="519" t="s">
        <v>29</v>
      </c>
    </row>
    <row r="1407" spans="1:7" s="514" customFormat="1" hidden="1" x14ac:dyDescent="0.3">
      <c r="A1407" s="626">
        <v>45904</v>
      </c>
      <c r="B1407" s="626" t="s">
        <v>213</v>
      </c>
      <c r="C1407" s="599" t="s">
        <v>32</v>
      </c>
      <c r="D1407" s="600" t="s">
        <v>28</v>
      </c>
      <c r="E1407" s="627">
        <v>-389</v>
      </c>
      <c r="F1407" s="513" t="s">
        <v>8</v>
      </c>
      <c r="G1407" s="519" t="s">
        <v>29</v>
      </c>
    </row>
    <row r="1408" spans="1:7" s="514" customFormat="1" hidden="1" x14ac:dyDescent="0.3">
      <c r="A1408" s="626">
        <v>45904</v>
      </c>
      <c r="B1408" s="626" t="s">
        <v>213</v>
      </c>
      <c r="C1408" s="599" t="s">
        <v>33</v>
      </c>
      <c r="D1408" s="600" t="s">
        <v>28</v>
      </c>
      <c r="E1408" s="627">
        <v>-389</v>
      </c>
      <c r="F1408" s="513" t="s">
        <v>8</v>
      </c>
      <c r="G1408" s="519" t="s">
        <v>29</v>
      </c>
    </row>
    <row r="1409" spans="1:7" s="514" customFormat="1" hidden="1" x14ac:dyDescent="0.3">
      <c r="A1409" s="626">
        <v>45904</v>
      </c>
      <c r="B1409" s="626" t="s">
        <v>213</v>
      </c>
      <c r="C1409" s="592" t="s">
        <v>25</v>
      </c>
      <c r="D1409" s="592" t="s">
        <v>878</v>
      </c>
      <c r="E1409" s="512">
        <v>-319.8</v>
      </c>
      <c r="F1409" s="513" t="s">
        <v>8</v>
      </c>
      <c r="G1409" s="518" t="s">
        <v>83</v>
      </c>
    </row>
    <row r="1410" spans="1:7" s="514" customFormat="1" hidden="1" x14ac:dyDescent="0.3">
      <c r="A1410" s="626">
        <v>45904</v>
      </c>
      <c r="B1410" s="626" t="s">
        <v>213</v>
      </c>
      <c r="C1410" s="592" t="s">
        <v>25</v>
      </c>
      <c r="D1410" s="592" t="s">
        <v>1499</v>
      </c>
      <c r="E1410" s="512">
        <v>-117.6</v>
      </c>
      <c r="F1410" s="513" t="s">
        <v>8</v>
      </c>
      <c r="G1410" s="518" t="s">
        <v>83</v>
      </c>
    </row>
    <row r="1411" spans="1:7" s="514" customFormat="1" hidden="1" x14ac:dyDescent="0.3">
      <c r="A1411" s="626">
        <v>45904</v>
      </c>
      <c r="B1411" s="626" t="s">
        <v>213</v>
      </c>
      <c r="C1411" s="592" t="s">
        <v>25</v>
      </c>
      <c r="D1411" s="592" t="s">
        <v>1500</v>
      </c>
      <c r="E1411" s="512">
        <v>-177</v>
      </c>
      <c r="F1411" s="513" t="s">
        <v>8</v>
      </c>
      <c r="G1411" s="518" t="s">
        <v>83</v>
      </c>
    </row>
    <row r="1412" spans="1:7" s="514" customFormat="1" hidden="1" x14ac:dyDescent="0.3">
      <c r="A1412" s="626">
        <v>45904</v>
      </c>
      <c r="B1412" s="626" t="s">
        <v>213</v>
      </c>
      <c r="C1412" s="592" t="s">
        <v>106</v>
      </c>
      <c r="D1412" s="592" t="s">
        <v>1501</v>
      </c>
      <c r="E1412" s="512">
        <v>-140</v>
      </c>
      <c r="F1412" s="513" t="s">
        <v>8</v>
      </c>
      <c r="G1412" s="518" t="s">
        <v>83</v>
      </c>
    </row>
    <row r="1413" spans="1:7" s="514" customFormat="1" hidden="1" x14ac:dyDescent="0.3">
      <c r="A1413" s="626">
        <v>45904</v>
      </c>
      <c r="B1413" s="626" t="s">
        <v>213</v>
      </c>
      <c r="C1413" s="592" t="s">
        <v>72</v>
      </c>
      <c r="D1413" s="600" t="s">
        <v>1498</v>
      </c>
      <c r="E1413" s="627">
        <v>-131</v>
      </c>
      <c r="F1413" s="513" t="s">
        <v>8</v>
      </c>
      <c r="G1413" s="519" t="s">
        <v>27</v>
      </c>
    </row>
    <row r="1414" spans="1:7" s="514" customFormat="1" hidden="1" x14ac:dyDescent="0.3">
      <c r="A1414" s="626">
        <v>45904</v>
      </c>
      <c r="B1414" s="626" t="s">
        <v>213</v>
      </c>
      <c r="C1414" s="592" t="s">
        <v>44</v>
      </c>
      <c r="D1414" s="592" t="s">
        <v>1502</v>
      </c>
      <c r="E1414" s="512">
        <v>-9520.32</v>
      </c>
      <c r="F1414" s="513" t="s">
        <v>8</v>
      </c>
      <c r="G1414" s="518" t="s">
        <v>233</v>
      </c>
    </row>
    <row r="1415" spans="1:7" s="514" customFormat="1" ht="13.2" hidden="1" customHeight="1" x14ac:dyDescent="0.3">
      <c r="A1415" s="626">
        <v>45905</v>
      </c>
      <c r="B1415" s="626" t="s">
        <v>213</v>
      </c>
      <c r="C1415" s="592" t="s">
        <v>44</v>
      </c>
      <c r="D1415" s="592" t="s">
        <v>395</v>
      </c>
      <c r="E1415" s="512">
        <v>-215.21</v>
      </c>
      <c r="F1415" s="513" t="s">
        <v>8</v>
      </c>
      <c r="G1415" s="519" t="s">
        <v>37</v>
      </c>
    </row>
    <row r="1416" spans="1:7" s="514" customFormat="1" ht="13.2" hidden="1" customHeight="1" x14ac:dyDescent="0.3">
      <c r="A1416" s="626">
        <v>45905</v>
      </c>
      <c r="B1416" s="626" t="s">
        <v>213</v>
      </c>
      <c r="C1416" s="592" t="s">
        <v>106</v>
      </c>
      <c r="D1416" s="592" t="s">
        <v>395</v>
      </c>
      <c r="E1416" s="512">
        <v>-376.91</v>
      </c>
      <c r="F1416" s="513" t="s">
        <v>8</v>
      </c>
      <c r="G1416" s="519" t="s">
        <v>37</v>
      </c>
    </row>
    <row r="1417" spans="1:7" s="514" customFormat="1" hidden="1" x14ac:dyDescent="0.3">
      <c r="A1417" s="626">
        <v>45908</v>
      </c>
      <c r="B1417" s="626" t="s">
        <v>212</v>
      </c>
      <c r="C1417" s="592" t="s">
        <v>17</v>
      </c>
      <c r="D1417" s="592" t="s">
        <v>393</v>
      </c>
      <c r="E1417" s="512">
        <v>-643.76</v>
      </c>
      <c r="F1417" s="513" t="s">
        <v>8</v>
      </c>
      <c r="G1417" s="518" t="s">
        <v>19</v>
      </c>
    </row>
    <row r="1418" spans="1:7" s="514" customFormat="1" hidden="1" x14ac:dyDescent="0.3">
      <c r="A1418" s="626">
        <v>45908</v>
      </c>
      <c r="B1418" s="626" t="s">
        <v>213</v>
      </c>
      <c r="C1418" s="592" t="s">
        <v>25</v>
      </c>
      <c r="D1418" s="592" t="s">
        <v>1266</v>
      </c>
      <c r="E1418" s="512">
        <v>-5600</v>
      </c>
      <c r="F1418" s="513" t="s">
        <v>8</v>
      </c>
      <c r="G1418" s="519" t="s">
        <v>189</v>
      </c>
    </row>
    <row r="1419" spans="1:7" s="514" customFormat="1" ht="14.4" hidden="1" customHeight="1" x14ac:dyDescent="0.3">
      <c r="A1419" s="626">
        <v>45908</v>
      </c>
      <c r="B1419" s="626" t="s">
        <v>213</v>
      </c>
      <c r="C1419" s="592" t="s">
        <v>72</v>
      </c>
      <c r="D1419" s="592" t="s">
        <v>1267</v>
      </c>
      <c r="E1419" s="512">
        <v>-1000</v>
      </c>
      <c r="F1419" s="513" t="s">
        <v>8</v>
      </c>
      <c r="G1419" s="519" t="s">
        <v>189</v>
      </c>
    </row>
    <row r="1420" spans="1:7" s="514" customFormat="1" hidden="1" x14ac:dyDescent="0.3">
      <c r="A1420" s="626">
        <v>45908</v>
      </c>
      <c r="B1420" s="626" t="s">
        <v>213</v>
      </c>
      <c r="C1420" s="592" t="s">
        <v>17</v>
      </c>
      <c r="D1420" s="592" t="s">
        <v>1324</v>
      </c>
      <c r="E1420" s="512">
        <v>-1000</v>
      </c>
      <c r="F1420" s="513" t="s">
        <v>8</v>
      </c>
      <c r="G1420" s="519" t="s">
        <v>189</v>
      </c>
    </row>
    <row r="1421" spans="1:7" s="514" customFormat="1" hidden="1" x14ac:dyDescent="0.3">
      <c r="A1421" s="626">
        <v>45908</v>
      </c>
      <c r="B1421" s="626" t="s">
        <v>213</v>
      </c>
      <c r="C1421" s="592" t="s">
        <v>17</v>
      </c>
      <c r="D1421" s="592" t="s">
        <v>469</v>
      </c>
      <c r="E1421" s="512">
        <v>-318.8</v>
      </c>
      <c r="F1421" s="513" t="s">
        <v>8</v>
      </c>
      <c r="G1421" s="518" t="s">
        <v>76</v>
      </c>
    </row>
    <row r="1422" spans="1:7" s="514" customFormat="1" hidden="1" x14ac:dyDescent="0.3">
      <c r="A1422" s="626">
        <v>45908</v>
      </c>
      <c r="B1422" s="626" t="s">
        <v>213</v>
      </c>
      <c r="C1422" s="592" t="s">
        <v>17</v>
      </c>
      <c r="D1422" s="592" t="s">
        <v>1464</v>
      </c>
      <c r="E1422" s="512">
        <v>-1470</v>
      </c>
      <c r="F1422" s="513" t="s">
        <v>8</v>
      </c>
      <c r="G1422" s="518" t="s">
        <v>1514</v>
      </c>
    </row>
    <row r="1423" spans="1:7" s="514" customFormat="1" hidden="1" x14ac:dyDescent="0.3">
      <c r="A1423" s="626">
        <v>45908</v>
      </c>
      <c r="B1423" s="626" t="s">
        <v>213</v>
      </c>
      <c r="C1423" s="592" t="s">
        <v>17</v>
      </c>
      <c r="D1423" s="592" t="s">
        <v>397</v>
      </c>
      <c r="E1423" s="512">
        <v>-59.34</v>
      </c>
      <c r="F1423" s="513" t="s">
        <v>8</v>
      </c>
      <c r="G1423" s="519" t="s">
        <v>142</v>
      </c>
    </row>
    <row r="1424" spans="1:7" s="514" customFormat="1" hidden="1" x14ac:dyDescent="0.3">
      <c r="A1424" s="626">
        <v>45908</v>
      </c>
      <c r="B1424" s="626" t="s">
        <v>213</v>
      </c>
      <c r="C1424" s="516" t="s">
        <v>31</v>
      </c>
      <c r="D1424" s="517" t="s">
        <v>38</v>
      </c>
      <c r="E1424" s="627">
        <v>-701.1</v>
      </c>
      <c r="F1424" s="513" t="s">
        <v>8</v>
      </c>
      <c r="G1424" s="518" t="s">
        <v>39</v>
      </c>
    </row>
    <row r="1425" spans="1:7" s="514" customFormat="1" hidden="1" x14ac:dyDescent="0.3">
      <c r="A1425" s="626">
        <v>45905</v>
      </c>
      <c r="B1425" s="626" t="s">
        <v>213</v>
      </c>
      <c r="C1425" s="599" t="s">
        <v>6</v>
      </c>
      <c r="D1425" s="600" t="s">
        <v>40</v>
      </c>
      <c r="E1425" s="636">
        <v>-461722.54</v>
      </c>
      <c r="F1425" s="513" t="s">
        <v>8</v>
      </c>
      <c r="G1425" s="519" t="s">
        <v>41</v>
      </c>
    </row>
    <row r="1426" spans="1:7" s="514" customFormat="1" hidden="1" x14ac:dyDescent="0.3">
      <c r="A1426" s="626">
        <v>45905</v>
      </c>
      <c r="B1426" s="626" t="s">
        <v>213</v>
      </c>
      <c r="C1426" s="599" t="s">
        <v>6</v>
      </c>
      <c r="D1426" s="600" t="s">
        <v>42</v>
      </c>
      <c r="E1426" s="627">
        <v>-500</v>
      </c>
      <c r="F1426" s="513" t="s">
        <v>8</v>
      </c>
      <c r="G1426" s="519" t="s">
        <v>41</v>
      </c>
    </row>
    <row r="1427" spans="1:7" s="514" customFormat="1" hidden="1" x14ac:dyDescent="0.3">
      <c r="A1427" s="626">
        <v>45905</v>
      </c>
      <c r="B1427" s="626" t="s">
        <v>213</v>
      </c>
      <c r="C1427" s="599" t="s">
        <v>6</v>
      </c>
      <c r="D1427" s="600" t="s">
        <v>1512</v>
      </c>
      <c r="E1427" s="627">
        <v>-1500</v>
      </c>
      <c r="F1427" s="513" t="s">
        <v>8</v>
      </c>
      <c r="G1427" s="519" t="s">
        <v>41</v>
      </c>
    </row>
    <row r="1428" spans="1:7" s="514" customFormat="1" hidden="1" x14ac:dyDescent="0.3">
      <c r="A1428" s="626">
        <v>45905</v>
      </c>
      <c r="B1428" s="626" t="s">
        <v>213</v>
      </c>
      <c r="C1428" s="599" t="s">
        <v>6</v>
      </c>
      <c r="D1428" s="600" t="s">
        <v>826</v>
      </c>
      <c r="E1428" s="512">
        <v>-1974.52</v>
      </c>
      <c r="F1428" s="513" t="s">
        <v>8</v>
      </c>
      <c r="G1428" s="519" t="s">
        <v>41</v>
      </c>
    </row>
    <row r="1429" spans="1:7" s="291" customFormat="1" hidden="1" x14ac:dyDescent="0.3">
      <c r="A1429" s="252">
        <v>45916</v>
      </c>
      <c r="B1429" s="252" t="s">
        <v>213</v>
      </c>
      <c r="C1429" s="17" t="s">
        <v>44</v>
      </c>
      <c r="D1429" s="18" t="s">
        <v>214</v>
      </c>
      <c r="E1429" s="19">
        <v>-5523.75</v>
      </c>
      <c r="F1429" s="25" t="s">
        <v>8</v>
      </c>
      <c r="G1429" s="20" t="s">
        <v>46</v>
      </c>
    </row>
    <row r="1430" spans="1:7" s="514" customFormat="1" hidden="1" x14ac:dyDescent="0.3">
      <c r="A1430" s="626">
        <v>45905</v>
      </c>
      <c r="B1430" s="626" t="s">
        <v>213</v>
      </c>
      <c r="C1430" s="592" t="s">
        <v>44</v>
      </c>
      <c r="D1430" s="592" t="s">
        <v>1510</v>
      </c>
      <c r="E1430" s="512">
        <v>-480</v>
      </c>
      <c r="F1430" s="513" t="s">
        <v>8</v>
      </c>
      <c r="G1430" s="518" t="s">
        <v>233</v>
      </c>
    </row>
    <row r="1431" spans="1:7" s="514" customFormat="1" hidden="1" x14ac:dyDescent="0.3">
      <c r="A1431" s="626">
        <v>45905</v>
      </c>
      <c r="B1431" s="626" t="s">
        <v>213</v>
      </c>
      <c r="C1431" s="592" t="s">
        <v>44</v>
      </c>
      <c r="D1431" s="592" t="s">
        <v>1511</v>
      </c>
      <c r="E1431" s="512">
        <v>-531</v>
      </c>
      <c r="F1431" s="513" t="s">
        <v>8</v>
      </c>
      <c r="G1431" s="518" t="s">
        <v>233</v>
      </c>
    </row>
    <row r="1432" spans="1:7" s="514" customFormat="1" hidden="1" x14ac:dyDescent="0.3">
      <c r="A1432" s="626">
        <v>45905</v>
      </c>
      <c r="B1432" s="626" t="s">
        <v>213</v>
      </c>
      <c r="C1432" s="592" t="s">
        <v>17</v>
      </c>
      <c r="D1432" s="592" t="s">
        <v>205</v>
      </c>
      <c r="E1432" s="512">
        <v>-304.5</v>
      </c>
      <c r="F1432" s="513" t="s">
        <v>8</v>
      </c>
      <c r="G1432" s="518" t="s">
        <v>142</v>
      </c>
    </row>
    <row r="1433" spans="1:7" s="514" customFormat="1" hidden="1" x14ac:dyDescent="0.3">
      <c r="A1433" s="626">
        <v>45908</v>
      </c>
      <c r="B1433" s="626" t="s">
        <v>213</v>
      </c>
      <c r="C1433" s="516" t="s">
        <v>13</v>
      </c>
      <c r="D1433" s="600" t="s">
        <v>47</v>
      </c>
      <c r="E1433" s="627">
        <v>-6740</v>
      </c>
      <c r="F1433" s="513" t="s">
        <v>8</v>
      </c>
      <c r="G1433" s="519" t="s">
        <v>27</v>
      </c>
    </row>
    <row r="1434" spans="1:7" s="291" customFormat="1" x14ac:dyDescent="0.3">
      <c r="A1434" s="252">
        <v>45912</v>
      </c>
      <c r="B1434" s="252" t="s">
        <v>213</v>
      </c>
      <c r="C1434" s="24" t="s">
        <v>17</v>
      </c>
      <c r="D1434" s="13" t="s">
        <v>18</v>
      </c>
      <c r="E1434" s="21">
        <v>-17235</v>
      </c>
      <c r="F1434" s="25" t="s">
        <v>8</v>
      </c>
      <c r="G1434" s="14" t="s">
        <v>19</v>
      </c>
    </row>
    <row r="1435" spans="1:7" s="514" customFormat="1" hidden="1" x14ac:dyDescent="0.3">
      <c r="A1435" s="515">
        <v>45910</v>
      </c>
      <c r="B1435" s="626" t="s">
        <v>213</v>
      </c>
      <c r="C1435" s="516" t="s">
        <v>32</v>
      </c>
      <c r="D1435" s="517" t="s">
        <v>48</v>
      </c>
      <c r="E1435" s="512">
        <v>-434.35</v>
      </c>
      <c r="F1435" s="513" t="s">
        <v>8</v>
      </c>
      <c r="G1435" s="518" t="s">
        <v>49</v>
      </c>
    </row>
    <row r="1436" spans="1:7" s="291" customFormat="1" hidden="1" x14ac:dyDescent="0.3">
      <c r="A1436" s="205">
        <v>45916</v>
      </c>
      <c r="B1436" s="252" t="s">
        <v>213</v>
      </c>
      <c r="C1436" s="668" t="s">
        <v>31</v>
      </c>
      <c r="D1436" s="15" t="s">
        <v>1098</v>
      </c>
      <c r="E1436" s="669">
        <v>-353.3</v>
      </c>
      <c r="F1436" s="25" t="s">
        <v>8</v>
      </c>
      <c r="G1436" s="14" t="s">
        <v>51</v>
      </c>
    </row>
    <row r="1437" spans="1:7" s="291" customFormat="1" hidden="1" x14ac:dyDescent="0.3">
      <c r="A1437" s="205">
        <v>45916</v>
      </c>
      <c r="B1437" s="252" t="s">
        <v>213</v>
      </c>
      <c r="C1437" s="668" t="s">
        <v>6</v>
      </c>
      <c r="D1437" s="15" t="s">
        <v>1098</v>
      </c>
      <c r="E1437" s="669">
        <v>-812.59</v>
      </c>
      <c r="F1437" s="25" t="s">
        <v>8</v>
      </c>
      <c r="G1437" s="14" t="s">
        <v>51</v>
      </c>
    </row>
    <row r="1438" spans="1:7" s="291" customFormat="1" hidden="1" x14ac:dyDescent="0.3">
      <c r="A1438" s="205">
        <v>45916</v>
      </c>
      <c r="B1438" s="252" t="s">
        <v>213</v>
      </c>
      <c r="C1438" s="668" t="s">
        <v>44</v>
      </c>
      <c r="D1438" s="15" t="s">
        <v>1098</v>
      </c>
      <c r="E1438" s="669">
        <v>-847.92</v>
      </c>
      <c r="F1438" s="25" t="s">
        <v>8</v>
      </c>
      <c r="G1438" s="14" t="s">
        <v>51</v>
      </c>
    </row>
    <row r="1439" spans="1:7" s="291" customFormat="1" hidden="1" x14ac:dyDescent="0.3">
      <c r="A1439" s="205">
        <v>45916</v>
      </c>
      <c r="B1439" s="252" t="s">
        <v>213</v>
      </c>
      <c r="C1439" s="668" t="s">
        <v>25</v>
      </c>
      <c r="D1439" s="15" t="s">
        <v>1098</v>
      </c>
      <c r="E1439" s="669">
        <v>-1766.5</v>
      </c>
      <c r="F1439" s="25" t="s">
        <v>8</v>
      </c>
      <c r="G1439" s="14" t="s">
        <v>51</v>
      </c>
    </row>
    <row r="1440" spans="1:7" s="291" customFormat="1" hidden="1" x14ac:dyDescent="0.3">
      <c r="A1440" s="205">
        <v>45916</v>
      </c>
      <c r="B1440" s="252" t="s">
        <v>213</v>
      </c>
      <c r="C1440" s="668" t="s">
        <v>33</v>
      </c>
      <c r="D1440" s="15" t="s">
        <v>1098</v>
      </c>
      <c r="E1440" s="669">
        <v>-529.95000000000005</v>
      </c>
      <c r="F1440" s="25" t="s">
        <v>8</v>
      </c>
      <c r="G1440" s="14" t="s">
        <v>51</v>
      </c>
    </row>
    <row r="1441" spans="1:7" s="291" customFormat="1" hidden="1" x14ac:dyDescent="0.3">
      <c r="A1441" s="205">
        <v>45916</v>
      </c>
      <c r="B1441" s="252" t="s">
        <v>213</v>
      </c>
      <c r="C1441" s="668" t="s">
        <v>106</v>
      </c>
      <c r="D1441" s="15" t="s">
        <v>1098</v>
      </c>
      <c r="E1441" s="669">
        <v>-812.59</v>
      </c>
      <c r="F1441" s="25" t="s">
        <v>8</v>
      </c>
      <c r="G1441" s="14" t="s">
        <v>51</v>
      </c>
    </row>
    <row r="1442" spans="1:7" s="291" customFormat="1" hidden="1" x14ac:dyDescent="0.3">
      <c r="A1442" s="205">
        <v>45916</v>
      </c>
      <c r="B1442" s="252" t="s">
        <v>213</v>
      </c>
      <c r="C1442" s="668" t="s">
        <v>32</v>
      </c>
      <c r="D1442" s="15" t="s">
        <v>1098</v>
      </c>
      <c r="E1442" s="669">
        <v>-1589.85</v>
      </c>
      <c r="F1442" s="25" t="s">
        <v>8</v>
      </c>
      <c r="G1442" s="14" t="s">
        <v>51</v>
      </c>
    </row>
    <row r="1443" spans="1:7" s="291" customFormat="1" hidden="1" x14ac:dyDescent="0.3">
      <c r="A1443" s="205">
        <v>45916</v>
      </c>
      <c r="B1443" s="252" t="s">
        <v>213</v>
      </c>
      <c r="C1443" s="668" t="s">
        <v>72</v>
      </c>
      <c r="D1443" s="15" t="s">
        <v>1098</v>
      </c>
      <c r="E1443" s="669">
        <v>-918.58</v>
      </c>
      <c r="F1443" s="25" t="s">
        <v>8</v>
      </c>
      <c r="G1443" s="14" t="s">
        <v>51</v>
      </c>
    </row>
    <row r="1444" spans="1:7" s="291" customFormat="1" hidden="1" x14ac:dyDescent="0.3">
      <c r="A1444" s="205">
        <v>45916</v>
      </c>
      <c r="B1444" s="252" t="s">
        <v>213</v>
      </c>
      <c r="C1444" s="668" t="s">
        <v>17</v>
      </c>
      <c r="D1444" s="15" t="s">
        <v>1098</v>
      </c>
      <c r="E1444" s="669">
        <v>-989.24</v>
      </c>
      <c r="F1444" s="25" t="s">
        <v>8</v>
      </c>
      <c r="G1444" s="14" t="s">
        <v>51</v>
      </c>
    </row>
    <row r="1445" spans="1:7" s="514" customFormat="1" hidden="1" x14ac:dyDescent="0.3">
      <c r="A1445" s="626">
        <v>45910</v>
      </c>
      <c r="B1445" s="626" t="s">
        <v>213</v>
      </c>
      <c r="C1445" s="599" t="s">
        <v>6</v>
      </c>
      <c r="D1445" s="600" t="s">
        <v>52</v>
      </c>
      <c r="E1445" s="512">
        <v>-356.64</v>
      </c>
      <c r="F1445" s="513" t="s">
        <v>8</v>
      </c>
      <c r="G1445" s="519" t="s">
        <v>53</v>
      </c>
    </row>
    <row r="1446" spans="1:7" s="291" customFormat="1" hidden="1" x14ac:dyDescent="0.3">
      <c r="A1446" s="252">
        <v>45925</v>
      </c>
      <c r="B1446" s="252" t="s">
        <v>213</v>
      </c>
      <c r="C1446" s="24" t="s">
        <v>13</v>
      </c>
      <c r="D1446" s="13" t="s">
        <v>1545</v>
      </c>
      <c r="E1446" s="28">
        <v>-1000</v>
      </c>
      <c r="F1446" s="25" t="s">
        <v>8</v>
      </c>
      <c r="G1446" s="14" t="s">
        <v>55</v>
      </c>
    </row>
    <row r="1447" spans="1:7" s="514" customFormat="1" hidden="1" x14ac:dyDescent="0.3">
      <c r="A1447" s="626">
        <v>45910</v>
      </c>
      <c r="B1447" s="626" t="s">
        <v>213</v>
      </c>
      <c r="C1447" s="599" t="s">
        <v>17</v>
      </c>
      <c r="D1447" s="600" t="s">
        <v>512</v>
      </c>
      <c r="E1447" s="627">
        <v>-10500</v>
      </c>
      <c r="F1447" s="513" t="s">
        <v>8</v>
      </c>
      <c r="G1447" s="519" t="s">
        <v>57</v>
      </c>
    </row>
    <row r="1448" spans="1:7" s="514" customFormat="1" hidden="1" x14ac:dyDescent="0.3">
      <c r="A1448" s="626">
        <v>45911</v>
      </c>
      <c r="B1448" s="626" t="s">
        <v>213</v>
      </c>
      <c r="C1448" s="592" t="s">
        <v>44</v>
      </c>
      <c r="D1448" s="592" t="s">
        <v>1585</v>
      </c>
      <c r="E1448" s="512">
        <v>-833</v>
      </c>
      <c r="F1448" s="513" t="s">
        <v>8</v>
      </c>
      <c r="G1448" s="519" t="s">
        <v>142</v>
      </c>
    </row>
    <row r="1449" spans="1:7" s="514" customFormat="1" hidden="1" x14ac:dyDescent="0.3">
      <c r="A1449" s="626">
        <v>45911</v>
      </c>
      <c r="B1449" s="626" t="s">
        <v>213</v>
      </c>
      <c r="C1449" s="592" t="s">
        <v>25</v>
      </c>
      <c r="D1449" s="592" t="s">
        <v>1562</v>
      </c>
      <c r="E1449" s="512">
        <v>-100</v>
      </c>
      <c r="F1449" s="513" t="s">
        <v>8</v>
      </c>
      <c r="G1449" s="518" t="s">
        <v>389</v>
      </c>
    </row>
    <row r="1450" spans="1:7" s="514" customFormat="1" hidden="1" x14ac:dyDescent="0.3">
      <c r="A1450" s="626">
        <v>45911</v>
      </c>
      <c r="B1450" s="626" t="s">
        <v>213</v>
      </c>
      <c r="C1450" s="592" t="s">
        <v>25</v>
      </c>
      <c r="D1450" s="592" t="s">
        <v>1563</v>
      </c>
      <c r="E1450" s="512">
        <v>-400</v>
      </c>
      <c r="F1450" s="513" t="s">
        <v>8</v>
      </c>
      <c r="G1450" s="518" t="s">
        <v>389</v>
      </c>
    </row>
    <row r="1451" spans="1:7" s="514" customFormat="1" hidden="1" x14ac:dyDescent="0.3">
      <c r="A1451" s="955">
        <v>45911</v>
      </c>
      <c r="B1451" s="955" t="s">
        <v>213</v>
      </c>
      <c r="C1451" s="604" t="s">
        <v>72</v>
      </c>
      <c r="D1451" s="604" t="s">
        <v>1561</v>
      </c>
      <c r="E1451" s="956">
        <v>-220.49</v>
      </c>
      <c r="F1451" s="957" t="s">
        <v>8</v>
      </c>
      <c r="G1451" s="518" t="s">
        <v>389</v>
      </c>
    </row>
    <row r="1452" spans="1:7" s="514" customFormat="1" hidden="1" x14ac:dyDescent="0.3">
      <c r="A1452" s="955">
        <v>45911</v>
      </c>
      <c r="B1452" s="955" t="s">
        <v>213</v>
      </c>
      <c r="C1452" s="962" t="s">
        <v>67</v>
      </c>
      <c r="D1452" s="963" t="s">
        <v>68</v>
      </c>
      <c r="E1452" s="956">
        <v>-397.05</v>
      </c>
      <c r="F1452" s="957" t="s">
        <v>8</v>
      </c>
      <c r="G1452" s="519" t="s">
        <v>69</v>
      </c>
    </row>
    <row r="1453" spans="1:7" s="514" customFormat="1" hidden="1" x14ac:dyDescent="0.3">
      <c r="A1453" s="955">
        <v>45911</v>
      </c>
      <c r="B1453" s="955" t="s">
        <v>213</v>
      </c>
      <c r="C1453" s="604" t="s">
        <v>72</v>
      </c>
      <c r="D1453" s="604" t="s">
        <v>1586</v>
      </c>
      <c r="E1453" s="956">
        <v>-886.67</v>
      </c>
      <c r="F1453" s="957" t="s">
        <v>8</v>
      </c>
      <c r="G1453" s="519" t="s">
        <v>233</v>
      </c>
    </row>
    <row r="1454" spans="1:7" s="291" customFormat="1" hidden="1" x14ac:dyDescent="0.3">
      <c r="A1454" s="252">
        <v>45916</v>
      </c>
      <c r="B1454" s="252" t="s">
        <v>213</v>
      </c>
      <c r="C1454" s="24" t="s">
        <v>13</v>
      </c>
      <c r="D1454" s="13" t="s">
        <v>58</v>
      </c>
      <c r="E1454" s="669">
        <v>-980.34</v>
      </c>
      <c r="F1454" s="25" t="s">
        <v>8</v>
      </c>
      <c r="G1454" s="14" t="s">
        <v>55</v>
      </c>
    </row>
    <row r="1455" spans="1:7" s="514" customFormat="1" hidden="1" x14ac:dyDescent="0.3">
      <c r="A1455" s="626">
        <v>45910</v>
      </c>
      <c r="B1455" s="626" t="s">
        <v>213</v>
      </c>
      <c r="C1455" s="599" t="s">
        <v>31</v>
      </c>
      <c r="D1455" s="600" t="s">
        <v>902</v>
      </c>
      <c r="E1455" s="627">
        <v>-3000</v>
      </c>
      <c r="F1455" s="513" t="s">
        <v>8</v>
      </c>
      <c r="G1455" s="519" t="s">
        <v>59</v>
      </c>
    </row>
    <row r="1456" spans="1:7" s="514" customFormat="1" hidden="1" x14ac:dyDescent="0.3">
      <c r="A1456" s="626">
        <v>45910</v>
      </c>
      <c r="B1456" s="626" t="s">
        <v>213</v>
      </c>
      <c r="C1456" s="599" t="s">
        <v>31</v>
      </c>
      <c r="D1456" s="600" t="s">
        <v>60</v>
      </c>
      <c r="E1456" s="627">
        <v>-3412.15</v>
      </c>
      <c r="F1456" s="513" t="s">
        <v>8</v>
      </c>
      <c r="G1456" s="519" t="s">
        <v>59</v>
      </c>
    </row>
    <row r="1457" spans="1:7" s="514" customFormat="1" hidden="1" x14ac:dyDescent="0.3">
      <c r="A1457" s="626">
        <v>45910</v>
      </c>
      <c r="B1457" s="626" t="s">
        <v>213</v>
      </c>
      <c r="C1457" s="599" t="s">
        <v>44</v>
      </c>
      <c r="D1457" s="600" t="s">
        <v>61</v>
      </c>
      <c r="E1457" s="512">
        <v>-6536.85</v>
      </c>
      <c r="F1457" s="519" t="s">
        <v>8</v>
      </c>
      <c r="G1457" s="519" t="s">
        <v>62</v>
      </c>
    </row>
    <row r="1458" spans="1:7" s="514" customFormat="1" hidden="1" x14ac:dyDescent="0.3">
      <c r="A1458" s="626">
        <v>45910</v>
      </c>
      <c r="B1458" s="626" t="s">
        <v>213</v>
      </c>
      <c r="C1458" s="599" t="s">
        <v>6</v>
      </c>
      <c r="D1458" s="600" t="s">
        <v>63</v>
      </c>
      <c r="E1458" s="512">
        <v>-7479.07</v>
      </c>
      <c r="F1458" s="513" t="s">
        <v>8</v>
      </c>
      <c r="G1458" s="519" t="s">
        <v>64</v>
      </c>
    </row>
    <row r="1459" spans="1:7" s="514" customFormat="1" hidden="1" x14ac:dyDescent="0.3">
      <c r="A1459" s="626">
        <v>45910</v>
      </c>
      <c r="B1459" s="626" t="s">
        <v>213</v>
      </c>
      <c r="C1459" s="787" t="s">
        <v>65</v>
      </c>
      <c r="D1459" s="600" t="s">
        <v>66</v>
      </c>
      <c r="E1459" s="627">
        <v>-442.04</v>
      </c>
      <c r="F1459" s="513" t="s">
        <v>8</v>
      </c>
      <c r="G1459" s="519" t="s">
        <v>39</v>
      </c>
    </row>
    <row r="1460" spans="1:7" s="514" customFormat="1" hidden="1" x14ac:dyDescent="0.3">
      <c r="A1460" s="955">
        <v>45911</v>
      </c>
      <c r="B1460" s="955" t="s">
        <v>213</v>
      </c>
      <c r="C1460" s="604" t="s">
        <v>6</v>
      </c>
      <c r="D1460" s="604" t="s">
        <v>1570</v>
      </c>
      <c r="E1460" s="956">
        <v>-61.5</v>
      </c>
      <c r="F1460" s="957" t="s">
        <v>8</v>
      </c>
      <c r="G1460" s="518" t="s">
        <v>83</v>
      </c>
    </row>
    <row r="1461" spans="1:7" s="514" customFormat="1" hidden="1" x14ac:dyDescent="0.3">
      <c r="A1461" s="955">
        <v>45911</v>
      </c>
      <c r="B1461" s="955" t="s">
        <v>213</v>
      </c>
      <c r="C1461" s="604" t="s">
        <v>25</v>
      </c>
      <c r="D1461" s="604" t="s">
        <v>1571</v>
      </c>
      <c r="E1461" s="956">
        <v>-280</v>
      </c>
      <c r="F1461" s="957" t="s">
        <v>8</v>
      </c>
      <c r="G1461" s="518" t="s">
        <v>83</v>
      </c>
    </row>
    <row r="1462" spans="1:7" s="514" customFormat="1" hidden="1" x14ac:dyDescent="0.3">
      <c r="A1462" s="955">
        <v>45911</v>
      </c>
      <c r="B1462" s="955" t="s">
        <v>213</v>
      </c>
      <c r="C1462" s="604" t="s">
        <v>25</v>
      </c>
      <c r="D1462" s="604" t="s">
        <v>1572</v>
      </c>
      <c r="E1462" s="956">
        <v>-289</v>
      </c>
      <c r="F1462" s="957" t="s">
        <v>8</v>
      </c>
      <c r="G1462" s="518" t="s">
        <v>83</v>
      </c>
    </row>
    <row r="1463" spans="1:7" s="514" customFormat="1" hidden="1" x14ac:dyDescent="0.3">
      <c r="A1463" s="955">
        <v>45911</v>
      </c>
      <c r="B1463" s="955" t="s">
        <v>213</v>
      </c>
      <c r="C1463" s="604" t="s">
        <v>25</v>
      </c>
      <c r="D1463" s="604" t="s">
        <v>1573</v>
      </c>
      <c r="E1463" s="956">
        <v>-205</v>
      </c>
      <c r="F1463" s="957" t="s">
        <v>8</v>
      </c>
      <c r="G1463" s="518" t="s">
        <v>83</v>
      </c>
    </row>
    <row r="1464" spans="1:7" s="439" customFormat="1" hidden="1" x14ac:dyDescent="0.3">
      <c r="A1464" s="958">
        <v>45911</v>
      </c>
      <c r="B1464" s="958" t="s">
        <v>213</v>
      </c>
      <c r="C1464" s="959" t="s">
        <v>32</v>
      </c>
      <c r="D1464" s="959" t="s">
        <v>1574</v>
      </c>
      <c r="E1464" s="960">
        <v>-205</v>
      </c>
      <c r="F1464" s="961" t="s">
        <v>8</v>
      </c>
      <c r="G1464" s="435" t="s">
        <v>83</v>
      </c>
    </row>
    <row r="1465" spans="1:7" s="291" customFormat="1" hidden="1" x14ac:dyDescent="0.3">
      <c r="A1465" s="252">
        <v>45917</v>
      </c>
      <c r="B1465" s="252" t="s">
        <v>213</v>
      </c>
      <c r="C1465" s="17" t="s">
        <v>72</v>
      </c>
      <c r="D1465" s="18" t="s">
        <v>599</v>
      </c>
      <c r="E1465" s="19">
        <v>-4347.01</v>
      </c>
      <c r="F1465" s="25" t="s">
        <v>8</v>
      </c>
      <c r="G1465" s="20" t="s">
        <v>74</v>
      </c>
    </row>
    <row r="1466" spans="1:7" s="291" customFormat="1" hidden="1" x14ac:dyDescent="0.3">
      <c r="A1466" s="252">
        <v>45917</v>
      </c>
      <c r="B1466" s="252" t="s">
        <v>213</v>
      </c>
      <c r="C1466" s="17" t="s">
        <v>72</v>
      </c>
      <c r="D1466" s="18" t="s">
        <v>599</v>
      </c>
      <c r="E1466" s="19">
        <v>-2173.96</v>
      </c>
      <c r="F1466" s="25" t="s">
        <v>8</v>
      </c>
      <c r="G1466" s="20" t="s">
        <v>74</v>
      </c>
    </row>
    <row r="1467" spans="1:7" s="291" customFormat="1" x14ac:dyDescent="0.3">
      <c r="A1467" s="252">
        <v>45912</v>
      </c>
      <c r="B1467" s="252" t="s">
        <v>213</v>
      </c>
      <c r="C1467" s="17" t="s">
        <v>72</v>
      </c>
      <c r="D1467" s="18" t="s">
        <v>75</v>
      </c>
      <c r="E1467" s="19">
        <v>-4375.75</v>
      </c>
      <c r="F1467" s="25" t="s">
        <v>8</v>
      </c>
      <c r="G1467" s="20" t="s">
        <v>74</v>
      </c>
    </row>
    <row r="1468" spans="1:7" s="291" customFormat="1" x14ac:dyDescent="0.3">
      <c r="A1468" s="252">
        <v>45912</v>
      </c>
      <c r="B1468" s="252" t="s">
        <v>213</v>
      </c>
      <c r="C1468" s="26" t="s">
        <v>6</v>
      </c>
      <c r="D1468" s="26" t="s">
        <v>77</v>
      </c>
      <c r="E1468" s="19">
        <v>-2045</v>
      </c>
      <c r="F1468" s="25" t="s">
        <v>8</v>
      </c>
      <c r="G1468" s="20" t="s">
        <v>142</v>
      </c>
    </row>
    <row r="1469" spans="1:7" s="291" customFormat="1" x14ac:dyDescent="0.3">
      <c r="A1469" s="252">
        <v>45912</v>
      </c>
      <c r="B1469" s="252" t="s">
        <v>213</v>
      </c>
      <c r="C1469" s="668" t="s">
        <v>72</v>
      </c>
      <c r="D1469" s="668" t="s">
        <v>357</v>
      </c>
      <c r="E1469" s="669">
        <v>-247</v>
      </c>
      <c r="F1469" s="25" t="s">
        <v>8</v>
      </c>
      <c r="G1469" s="20" t="s">
        <v>207</v>
      </c>
    </row>
    <row r="1470" spans="1:7" s="291" customFormat="1" hidden="1" x14ac:dyDescent="0.3">
      <c r="A1470" s="252">
        <v>45917</v>
      </c>
      <c r="B1470" s="252" t="s">
        <v>213</v>
      </c>
      <c r="C1470" s="938" t="s">
        <v>6</v>
      </c>
      <c r="D1470" s="938" t="s">
        <v>1578</v>
      </c>
      <c r="E1470" s="940">
        <v>-1279.42</v>
      </c>
      <c r="F1470" s="25" t="s">
        <v>8</v>
      </c>
      <c r="G1470" s="20" t="s">
        <v>76</v>
      </c>
    </row>
    <row r="1471" spans="1:7" s="291" customFormat="1" hidden="1" x14ac:dyDescent="0.3">
      <c r="A1471" s="252">
        <v>45917</v>
      </c>
      <c r="B1471" s="252" t="s">
        <v>213</v>
      </c>
      <c r="C1471" s="17" t="s">
        <v>6</v>
      </c>
      <c r="D1471" s="18" t="s">
        <v>76</v>
      </c>
      <c r="E1471" s="19">
        <v>-23000</v>
      </c>
      <c r="F1471" s="25" t="s">
        <v>8</v>
      </c>
      <c r="G1471" s="20" t="s">
        <v>76</v>
      </c>
    </row>
    <row r="1472" spans="1:7" s="291" customFormat="1" hidden="1" x14ac:dyDescent="0.3">
      <c r="A1472" s="252">
        <v>45916</v>
      </c>
      <c r="B1472" s="252" t="s">
        <v>213</v>
      </c>
      <c r="C1472" s="24" t="s">
        <v>6</v>
      </c>
      <c r="D1472" s="13" t="s">
        <v>545</v>
      </c>
      <c r="E1472" s="28">
        <v>-70423.179999999993</v>
      </c>
      <c r="F1472" s="14" t="s">
        <v>8</v>
      </c>
      <c r="G1472" s="14" t="s">
        <v>41</v>
      </c>
    </row>
    <row r="1473" spans="1:7" s="291" customFormat="1" hidden="1" x14ac:dyDescent="0.3">
      <c r="A1473" s="252">
        <v>45916</v>
      </c>
      <c r="B1473" s="252" t="s">
        <v>213</v>
      </c>
      <c r="C1473" s="668" t="s">
        <v>17</v>
      </c>
      <c r="D1473" s="668" t="s">
        <v>1519</v>
      </c>
      <c r="E1473" s="669">
        <v>-900</v>
      </c>
      <c r="F1473" s="25" t="s">
        <v>8</v>
      </c>
      <c r="G1473" s="14" t="s">
        <v>79</v>
      </c>
    </row>
    <row r="1474" spans="1:7" s="291" customFormat="1" hidden="1" x14ac:dyDescent="0.3">
      <c r="A1474" s="252">
        <v>45916</v>
      </c>
      <c r="B1474" s="252" t="s">
        <v>213</v>
      </c>
      <c r="C1474" s="668" t="s">
        <v>17</v>
      </c>
      <c r="D1474" s="668" t="s">
        <v>1189</v>
      </c>
      <c r="E1474" s="669">
        <v>-15600</v>
      </c>
      <c r="F1474" s="25" t="s">
        <v>8</v>
      </c>
      <c r="G1474" s="14" t="s">
        <v>79</v>
      </c>
    </row>
    <row r="1475" spans="1:7" s="291" customFormat="1" hidden="1" x14ac:dyDescent="0.3">
      <c r="A1475" s="252">
        <v>45916</v>
      </c>
      <c r="B1475" s="252" t="s">
        <v>213</v>
      </c>
      <c r="C1475" s="668" t="s">
        <v>17</v>
      </c>
      <c r="D1475" s="668" t="s">
        <v>1520</v>
      </c>
      <c r="E1475" s="669">
        <v>-4500</v>
      </c>
      <c r="F1475" s="25" t="s">
        <v>8</v>
      </c>
      <c r="G1475" s="14" t="s">
        <v>79</v>
      </c>
    </row>
    <row r="1476" spans="1:7" s="291" customFormat="1" ht="15.6" hidden="1" customHeight="1" x14ac:dyDescent="0.3">
      <c r="A1476" s="252">
        <v>45916</v>
      </c>
      <c r="B1476" s="252" t="s">
        <v>213</v>
      </c>
      <c r="C1476" s="668" t="s">
        <v>17</v>
      </c>
      <c r="D1476" s="668" t="s">
        <v>1521</v>
      </c>
      <c r="E1476" s="669">
        <v>-24000</v>
      </c>
      <c r="F1476" s="25" t="s">
        <v>8</v>
      </c>
      <c r="G1476" s="14" t="s">
        <v>79</v>
      </c>
    </row>
    <row r="1477" spans="1:7" s="291" customFormat="1" ht="15.6" hidden="1" customHeight="1" x14ac:dyDescent="0.3">
      <c r="A1477" s="252">
        <v>45916</v>
      </c>
      <c r="B1477" s="252" t="s">
        <v>213</v>
      </c>
      <c r="C1477" s="938" t="s">
        <v>25</v>
      </c>
      <c r="D1477" s="938" t="s">
        <v>1571</v>
      </c>
      <c r="E1477" s="939">
        <v>-352.92</v>
      </c>
      <c r="F1477" s="25" t="s">
        <v>8</v>
      </c>
      <c r="G1477" s="947" t="s">
        <v>19</v>
      </c>
    </row>
    <row r="1478" spans="1:7" s="291" customFormat="1" ht="15.6" hidden="1" customHeight="1" x14ac:dyDescent="0.3">
      <c r="A1478" s="252">
        <v>45916</v>
      </c>
      <c r="B1478" s="252" t="s">
        <v>213</v>
      </c>
      <c r="C1478" s="938" t="s">
        <v>25</v>
      </c>
      <c r="D1478" s="938" t="s">
        <v>392</v>
      </c>
      <c r="E1478" s="939">
        <v>-435.96</v>
      </c>
      <c r="F1478" s="25" t="s">
        <v>8</v>
      </c>
      <c r="G1478" s="947" t="s">
        <v>19</v>
      </c>
    </row>
    <row r="1479" spans="1:7" s="291" customFormat="1" ht="15.6" hidden="1" customHeight="1" x14ac:dyDescent="0.3">
      <c r="A1479" s="252">
        <v>45916</v>
      </c>
      <c r="B1479" s="252" t="s">
        <v>213</v>
      </c>
      <c r="C1479" s="938" t="s">
        <v>25</v>
      </c>
      <c r="D1479" s="938" t="s">
        <v>1506</v>
      </c>
      <c r="E1479" s="939">
        <v>-435.96</v>
      </c>
      <c r="F1479" s="25" t="s">
        <v>8</v>
      </c>
      <c r="G1479" s="947" t="s">
        <v>19</v>
      </c>
    </row>
    <row r="1480" spans="1:7" s="291" customFormat="1" ht="15.6" hidden="1" customHeight="1" x14ac:dyDescent="0.3">
      <c r="A1480" s="252">
        <v>45916</v>
      </c>
      <c r="B1480" s="252" t="s">
        <v>213</v>
      </c>
      <c r="C1480" s="938" t="s">
        <v>17</v>
      </c>
      <c r="D1480" s="938" t="s">
        <v>384</v>
      </c>
      <c r="E1480" s="939">
        <v>-44157.08</v>
      </c>
      <c r="F1480" s="25" t="s">
        <v>8</v>
      </c>
      <c r="G1480" s="947" t="s">
        <v>19</v>
      </c>
    </row>
    <row r="1481" spans="1:7" s="291" customFormat="1" ht="15.6" hidden="1" customHeight="1" x14ac:dyDescent="0.3">
      <c r="A1481" s="252">
        <v>45916</v>
      </c>
      <c r="B1481" s="252" t="s">
        <v>213</v>
      </c>
      <c r="C1481" s="938" t="s">
        <v>17</v>
      </c>
      <c r="D1481" s="938" t="s">
        <v>384</v>
      </c>
      <c r="E1481" s="939">
        <v>-42433.760000000002</v>
      </c>
      <c r="F1481" s="25" t="s">
        <v>8</v>
      </c>
      <c r="G1481" s="947" t="s">
        <v>19</v>
      </c>
    </row>
    <row r="1482" spans="1:7" s="291" customFormat="1" ht="15.6" hidden="1" customHeight="1" x14ac:dyDescent="0.3">
      <c r="A1482" s="252">
        <v>45916</v>
      </c>
      <c r="B1482" s="252" t="s">
        <v>213</v>
      </c>
      <c r="C1482" s="938" t="s">
        <v>17</v>
      </c>
      <c r="D1482" s="938" t="s">
        <v>519</v>
      </c>
      <c r="E1482" s="939">
        <v>-435.96</v>
      </c>
      <c r="F1482" s="25" t="s">
        <v>8</v>
      </c>
      <c r="G1482" s="947" t="s">
        <v>19</v>
      </c>
    </row>
    <row r="1483" spans="1:7" s="291" customFormat="1" ht="15.6" hidden="1" customHeight="1" x14ac:dyDescent="0.3">
      <c r="A1483" s="252">
        <v>45916</v>
      </c>
      <c r="B1483" s="252" t="s">
        <v>213</v>
      </c>
      <c r="C1483" s="938" t="s">
        <v>17</v>
      </c>
      <c r="D1483" s="938" t="s">
        <v>384</v>
      </c>
      <c r="E1483" s="939">
        <v>-435.96</v>
      </c>
      <c r="F1483" s="25" t="s">
        <v>8</v>
      </c>
      <c r="G1483" s="947" t="s">
        <v>19</v>
      </c>
    </row>
    <row r="1484" spans="1:7" s="291" customFormat="1" ht="15.6" hidden="1" customHeight="1" x14ac:dyDescent="0.3">
      <c r="A1484" s="252">
        <v>45916</v>
      </c>
      <c r="B1484" s="252" t="s">
        <v>213</v>
      </c>
      <c r="C1484" s="938" t="s">
        <v>17</v>
      </c>
      <c r="D1484" s="938" t="s">
        <v>522</v>
      </c>
      <c r="E1484" s="939">
        <v>-435.96</v>
      </c>
      <c r="F1484" s="25" t="s">
        <v>8</v>
      </c>
      <c r="G1484" s="947" t="s">
        <v>19</v>
      </c>
    </row>
    <row r="1485" spans="1:7" s="291" customFormat="1" ht="15.6" hidden="1" customHeight="1" x14ac:dyDescent="0.3">
      <c r="A1485" s="252">
        <v>45916</v>
      </c>
      <c r="B1485" s="252" t="s">
        <v>213</v>
      </c>
      <c r="C1485" s="938" t="s">
        <v>17</v>
      </c>
      <c r="D1485" s="938" t="s">
        <v>85</v>
      </c>
      <c r="E1485" s="939">
        <v>-415.2</v>
      </c>
      <c r="F1485" s="25" t="s">
        <v>8</v>
      </c>
      <c r="G1485" s="947" t="s">
        <v>19</v>
      </c>
    </row>
    <row r="1486" spans="1:7" s="291" customFormat="1" ht="14.4" hidden="1" x14ac:dyDescent="0.3">
      <c r="A1486" s="252">
        <v>45916</v>
      </c>
      <c r="B1486" s="252" t="s">
        <v>213</v>
      </c>
      <c r="C1486" s="938" t="s">
        <v>6</v>
      </c>
      <c r="D1486" s="938" t="s">
        <v>525</v>
      </c>
      <c r="E1486" s="939">
        <v>-276</v>
      </c>
      <c r="F1486" s="25" t="s">
        <v>8</v>
      </c>
      <c r="G1486" s="943" t="s">
        <v>83</v>
      </c>
    </row>
    <row r="1487" spans="1:7" s="291" customFormat="1" ht="14.4" hidden="1" x14ac:dyDescent="0.3">
      <c r="A1487" s="252">
        <v>45916</v>
      </c>
      <c r="B1487" s="252" t="s">
        <v>213</v>
      </c>
      <c r="C1487" s="938" t="s">
        <v>25</v>
      </c>
      <c r="D1487" s="938" t="s">
        <v>392</v>
      </c>
      <c r="E1487" s="939">
        <v>-301.39999999999998</v>
      </c>
      <c r="F1487" s="25" t="s">
        <v>8</v>
      </c>
      <c r="G1487" s="943" t="s">
        <v>83</v>
      </c>
    </row>
    <row r="1488" spans="1:7" s="291" customFormat="1" ht="14.4" hidden="1" x14ac:dyDescent="0.3">
      <c r="A1488" s="252">
        <v>45916</v>
      </c>
      <c r="B1488" s="252" t="s">
        <v>213</v>
      </c>
      <c r="C1488" s="938" t="s">
        <v>25</v>
      </c>
      <c r="D1488" s="938" t="s">
        <v>1576</v>
      </c>
      <c r="E1488" s="939">
        <v>-250</v>
      </c>
      <c r="F1488" s="25" t="s">
        <v>8</v>
      </c>
      <c r="G1488" s="943" t="s">
        <v>83</v>
      </c>
    </row>
    <row r="1489" spans="1:7" s="291" customFormat="1" ht="14.4" hidden="1" x14ac:dyDescent="0.3">
      <c r="A1489" s="252">
        <v>45916</v>
      </c>
      <c r="B1489" s="252" t="s">
        <v>213</v>
      </c>
      <c r="C1489" s="938" t="s">
        <v>25</v>
      </c>
      <c r="D1489" s="938" t="s">
        <v>826</v>
      </c>
      <c r="E1489" s="939">
        <v>-90</v>
      </c>
      <c r="F1489" s="25" t="s">
        <v>8</v>
      </c>
      <c r="G1489" s="943" t="s">
        <v>83</v>
      </c>
    </row>
    <row r="1490" spans="1:7" s="291" customFormat="1" ht="14.4" hidden="1" x14ac:dyDescent="0.3">
      <c r="A1490" s="252">
        <v>45916</v>
      </c>
      <c r="B1490" s="252" t="s">
        <v>213</v>
      </c>
      <c r="C1490" s="938" t="s">
        <v>32</v>
      </c>
      <c r="D1490" s="938" t="s">
        <v>520</v>
      </c>
      <c r="E1490" s="939">
        <v>-100</v>
      </c>
      <c r="F1490" s="25" t="s">
        <v>8</v>
      </c>
      <c r="G1490" s="943" t="s">
        <v>83</v>
      </c>
    </row>
    <row r="1491" spans="1:7" s="291" customFormat="1" ht="14.4" hidden="1" x14ac:dyDescent="0.3">
      <c r="A1491" s="252">
        <v>45916</v>
      </c>
      <c r="B1491" s="252" t="s">
        <v>213</v>
      </c>
      <c r="C1491" s="938" t="s">
        <v>32</v>
      </c>
      <c r="D1491" s="938" t="s">
        <v>1462</v>
      </c>
      <c r="E1491" s="939">
        <v>-256.08</v>
      </c>
      <c r="F1491" s="25" t="s">
        <v>8</v>
      </c>
      <c r="G1491" s="943" t="s">
        <v>83</v>
      </c>
    </row>
    <row r="1492" spans="1:7" s="291" customFormat="1" ht="14.4" hidden="1" x14ac:dyDescent="0.3">
      <c r="A1492" s="252">
        <v>45916</v>
      </c>
      <c r="B1492" s="252" t="s">
        <v>213</v>
      </c>
      <c r="C1492" s="938" t="s">
        <v>32</v>
      </c>
      <c r="D1492" s="938" t="s">
        <v>1319</v>
      </c>
      <c r="E1492" s="939">
        <v>-301.39999999999998</v>
      </c>
      <c r="F1492" s="25" t="s">
        <v>8</v>
      </c>
      <c r="G1492" s="943" t="s">
        <v>83</v>
      </c>
    </row>
    <row r="1493" spans="1:7" s="291" customFormat="1" ht="14.4" hidden="1" x14ac:dyDescent="0.3">
      <c r="A1493" s="252">
        <v>45916</v>
      </c>
      <c r="B1493" s="252" t="s">
        <v>213</v>
      </c>
      <c r="C1493" s="938" t="s">
        <v>32</v>
      </c>
      <c r="D1493" s="938" t="s">
        <v>26</v>
      </c>
      <c r="E1493" s="939">
        <v>-100</v>
      </c>
      <c r="F1493" s="25" t="s">
        <v>8</v>
      </c>
      <c r="G1493" s="943" t="s">
        <v>83</v>
      </c>
    </row>
    <row r="1494" spans="1:7" s="291" customFormat="1" ht="14.4" hidden="1" x14ac:dyDescent="0.3">
      <c r="A1494" s="252">
        <v>45916</v>
      </c>
      <c r="B1494" s="252" t="s">
        <v>213</v>
      </c>
      <c r="C1494" s="938" t="s">
        <v>72</v>
      </c>
      <c r="D1494" s="938" t="s">
        <v>526</v>
      </c>
      <c r="E1494" s="939">
        <v>-100</v>
      </c>
      <c r="F1494" s="25" t="s">
        <v>8</v>
      </c>
      <c r="G1494" s="943" t="s">
        <v>83</v>
      </c>
    </row>
    <row r="1495" spans="1:7" s="291" customFormat="1" ht="14.4" hidden="1" x14ac:dyDescent="0.3">
      <c r="A1495" s="252">
        <v>45916</v>
      </c>
      <c r="B1495" s="252" t="s">
        <v>213</v>
      </c>
      <c r="C1495" s="938" t="s">
        <v>17</v>
      </c>
      <c r="D1495" s="938" t="s">
        <v>85</v>
      </c>
      <c r="E1495" s="939">
        <v>-286.36</v>
      </c>
      <c r="F1495" s="25" t="s">
        <v>8</v>
      </c>
      <c r="G1495" s="943" t="s">
        <v>83</v>
      </c>
    </row>
    <row r="1496" spans="1:7" s="291" customFormat="1" ht="14.4" hidden="1" x14ac:dyDescent="0.3">
      <c r="A1496" s="252">
        <v>45916</v>
      </c>
      <c r="B1496" s="252" t="s">
        <v>213</v>
      </c>
      <c r="C1496" s="938" t="s">
        <v>17</v>
      </c>
      <c r="D1496" s="938" t="s">
        <v>529</v>
      </c>
      <c r="E1496" s="939">
        <v>-275</v>
      </c>
      <c r="F1496" s="25" t="s">
        <v>8</v>
      </c>
      <c r="G1496" s="943" t="s">
        <v>83</v>
      </c>
    </row>
    <row r="1497" spans="1:7" s="291" customFormat="1" ht="14.4" hidden="1" x14ac:dyDescent="0.3">
      <c r="A1497" s="252">
        <v>45916</v>
      </c>
      <c r="B1497" s="252" t="s">
        <v>213</v>
      </c>
      <c r="C1497" s="938" t="s">
        <v>17</v>
      </c>
      <c r="D1497" s="938" t="s">
        <v>519</v>
      </c>
      <c r="E1497" s="939">
        <v>-100</v>
      </c>
      <c r="F1497" s="25" t="s">
        <v>8</v>
      </c>
      <c r="G1497" s="943" t="s">
        <v>83</v>
      </c>
    </row>
    <row r="1498" spans="1:7" s="291" customFormat="1" ht="14.4" hidden="1" x14ac:dyDescent="0.3">
      <c r="A1498" s="252">
        <v>45916</v>
      </c>
      <c r="B1498" s="252" t="s">
        <v>213</v>
      </c>
      <c r="C1498" s="938" t="s">
        <v>17</v>
      </c>
      <c r="D1498" s="938" t="s">
        <v>527</v>
      </c>
      <c r="E1498" s="939">
        <v>-249.9</v>
      </c>
      <c r="F1498" s="25" t="s">
        <v>8</v>
      </c>
      <c r="G1498" s="943" t="s">
        <v>83</v>
      </c>
    </row>
    <row r="1499" spans="1:7" s="291" customFormat="1" hidden="1" x14ac:dyDescent="0.3">
      <c r="A1499" s="252">
        <v>45916</v>
      </c>
      <c r="B1499" s="252" t="s">
        <v>213</v>
      </c>
      <c r="C1499" s="24" t="s">
        <v>17</v>
      </c>
      <c r="D1499" s="13" t="s">
        <v>84</v>
      </c>
      <c r="E1499" s="28">
        <v>-20000</v>
      </c>
      <c r="F1499" s="25" t="s">
        <v>8</v>
      </c>
      <c r="G1499" s="14" t="s">
        <v>59</v>
      </c>
    </row>
    <row r="1500" spans="1:7" s="291" customFormat="1" hidden="1" x14ac:dyDescent="0.3">
      <c r="A1500" s="252">
        <v>45916</v>
      </c>
      <c r="B1500" s="252" t="s">
        <v>213</v>
      </c>
      <c r="C1500" s="17" t="s">
        <v>17</v>
      </c>
      <c r="D1500" s="18" t="s">
        <v>85</v>
      </c>
      <c r="E1500" s="28">
        <v>-144.68</v>
      </c>
      <c r="F1500" s="14" t="s">
        <v>8</v>
      </c>
      <c r="G1500" s="14" t="s">
        <v>86</v>
      </c>
    </row>
    <row r="1501" spans="1:7" s="291" customFormat="1" hidden="1" x14ac:dyDescent="0.3">
      <c r="A1501" s="252">
        <v>45916</v>
      </c>
      <c r="B1501" s="252" t="s">
        <v>213</v>
      </c>
      <c r="C1501" s="24" t="s">
        <v>13</v>
      </c>
      <c r="D1501" s="13" t="s">
        <v>88</v>
      </c>
      <c r="E1501" s="28">
        <v>-1375</v>
      </c>
      <c r="F1501" s="14" t="s">
        <v>8</v>
      </c>
      <c r="G1501" s="14" t="s">
        <v>41</v>
      </c>
    </row>
    <row r="1502" spans="1:7" s="291" customFormat="1" hidden="1" x14ac:dyDescent="0.3">
      <c r="A1502" s="252">
        <v>45916</v>
      </c>
      <c r="B1502" s="252" t="s">
        <v>213</v>
      </c>
      <c r="C1502" s="27" t="s">
        <v>89</v>
      </c>
      <c r="D1502" s="13" t="s">
        <v>90</v>
      </c>
      <c r="E1502" s="28">
        <v>-2281.6999999999998</v>
      </c>
      <c r="F1502" s="14" t="s">
        <v>8</v>
      </c>
      <c r="G1502" s="14" t="s">
        <v>41</v>
      </c>
    </row>
    <row r="1503" spans="1:7" s="291" customFormat="1" hidden="1" x14ac:dyDescent="0.3">
      <c r="A1503" s="252">
        <v>45916</v>
      </c>
      <c r="B1503" s="252" t="s">
        <v>213</v>
      </c>
      <c r="C1503" s="24" t="s">
        <v>6</v>
      </c>
      <c r="D1503" s="13" t="s">
        <v>1237</v>
      </c>
      <c r="E1503" s="28">
        <v>-3962.8</v>
      </c>
      <c r="F1503" s="14" t="s">
        <v>8</v>
      </c>
      <c r="G1503" s="14" t="s">
        <v>64</v>
      </c>
    </row>
    <row r="1504" spans="1:7" s="291" customFormat="1" hidden="1" x14ac:dyDescent="0.3">
      <c r="A1504" s="252">
        <v>45916</v>
      </c>
      <c r="B1504" s="252" t="s">
        <v>213</v>
      </c>
      <c r="C1504" s="24" t="s">
        <v>17</v>
      </c>
      <c r="D1504" s="13" t="s">
        <v>92</v>
      </c>
      <c r="E1504" s="28">
        <v>-9572.4</v>
      </c>
      <c r="F1504" s="25" t="s">
        <v>8</v>
      </c>
      <c r="G1504" s="14" t="s">
        <v>93</v>
      </c>
    </row>
    <row r="1505" spans="1:7" s="291" customFormat="1" hidden="1" x14ac:dyDescent="0.3">
      <c r="A1505" s="252">
        <v>45916</v>
      </c>
      <c r="B1505" s="252" t="s">
        <v>213</v>
      </c>
      <c r="C1505" s="17" t="s">
        <v>31</v>
      </c>
      <c r="D1505" s="256" t="s">
        <v>93</v>
      </c>
      <c r="E1505" s="28">
        <v>-2324.5500000000002</v>
      </c>
      <c r="F1505" s="25" t="s">
        <v>8</v>
      </c>
      <c r="G1505" s="14" t="s">
        <v>93</v>
      </c>
    </row>
    <row r="1506" spans="1:7" s="291" customFormat="1" hidden="1" x14ac:dyDescent="0.3">
      <c r="A1506" s="252">
        <v>45916</v>
      </c>
      <c r="B1506" s="252" t="s">
        <v>213</v>
      </c>
      <c r="C1506" s="27" t="s">
        <v>25</v>
      </c>
      <c r="D1506" s="256" t="s">
        <v>93</v>
      </c>
      <c r="E1506" s="28">
        <v>-1297.19</v>
      </c>
      <c r="F1506" s="25" t="s">
        <v>8</v>
      </c>
      <c r="G1506" s="14" t="s">
        <v>93</v>
      </c>
    </row>
    <row r="1507" spans="1:7" s="291" customFormat="1" x14ac:dyDescent="0.3">
      <c r="A1507" s="708">
        <v>45912</v>
      </c>
      <c r="B1507" s="708" t="s">
        <v>213</v>
      </c>
      <c r="C1507" s="938" t="s">
        <v>17</v>
      </c>
      <c r="D1507" s="938" t="s">
        <v>1061</v>
      </c>
      <c r="E1507" s="939">
        <v>-1699.81</v>
      </c>
      <c r="F1507" s="294" t="s">
        <v>8</v>
      </c>
      <c r="G1507" s="825" t="s">
        <v>76</v>
      </c>
    </row>
    <row r="1508" spans="1:7" s="291" customFormat="1" x14ac:dyDescent="0.3">
      <c r="A1508" s="708">
        <v>45912</v>
      </c>
      <c r="B1508" s="708" t="s">
        <v>213</v>
      </c>
      <c r="C1508" s="938" t="s">
        <v>17</v>
      </c>
      <c r="D1508" s="938" t="s">
        <v>1061</v>
      </c>
      <c r="E1508" s="939">
        <v>-243.64</v>
      </c>
      <c r="F1508" s="294" t="s">
        <v>8</v>
      </c>
      <c r="G1508" s="825" t="s">
        <v>76</v>
      </c>
    </row>
    <row r="1509" spans="1:7" s="291" customFormat="1" x14ac:dyDescent="0.3">
      <c r="A1509" s="708">
        <v>45912</v>
      </c>
      <c r="B1509" s="708" t="s">
        <v>213</v>
      </c>
      <c r="C1509" s="938" t="s">
        <v>25</v>
      </c>
      <c r="D1509" s="938" t="s">
        <v>950</v>
      </c>
      <c r="E1509" s="939">
        <v>-1280.94</v>
      </c>
      <c r="F1509" s="294" t="s">
        <v>8</v>
      </c>
      <c r="G1509" s="825" t="s">
        <v>76</v>
      </c>
    </row>
    <row r="1510" spans="1:7" s="291" customFormat="1" x14ac:dyDescent="0.3">
      <c r="A1510" s="708">
        <v>45912</v>
      </c>
      <c r="B1510" s="708" t="s">
        <v>213</v>
      </c>
      <c r="C1510" s="938" t="s">
        <v>32</v>
      </c>
      <c r="D1510" s="938" t="s">
        <v>1575</v>
      </c>
      <c r="E1510" s="939">
        <v>-369.34</v>
      </c>
      <c r="F1510" s="294" t="s">
        <v>8</v>
      </c>
      <c r="G1510" s="825" t="s">
        <v>76</v>
      </c>
    </row>
    <row r="1511" spans="1:7" s="291" customFormat="1" x14ac:dyDescent="0.3">
      <c r="A1511" s="708">
        <v>45912</v>
      </c>
      <c r="B1511" s="708" t="s">
        <v>213</v>
      </c>
      <c r="C1511" s="938" t="s">
        <v>44</v>
      </c>
      <c r="D1511" s="938" t="s">
        <v>1152</v>
      </c>
      <c r="E1511" s="939">
        <v>-5.28</v>
      </c>
      <c r="F1511" s="294" t="s">
        <v>8</v>
      </c>
      <c r="G1511" s="825" t="s">
        <v>76</v>
      </c>
    </row>
    <row r="1512" spans="1:7" s="291" customFormat="1" x14ac:dyDescent="0.3">
      <c r="A1512" s="252">
        <v>45912</v>
      </c>
      <c r="B1512" s="252" t="s">
        <v>213</v>
      </c>
      <c r="C1512" s="668" t="s">
        <v>25</v>
      </c>
      <c r="D1512" s="668" t="s">
        <v>1518</v>
      </c>
      <c r="E1512" s="669">
        <v>-975.67</v>
      </c>
      <c r="F1512" s="25" t="s">
        <v>8</v>
      </c>
      <c r="G1512" s="825" t="s">
        <v>76</v>
      </c>
    </row>
    <row r="1513" spans="1:7" s="291" customFormat="1" x14ac:dyDescent="0.3">
      <c r="A1513" s="252">
        <v>45912</v>
      </c>
      <c r="B1513" s="252" t="s">
        <v>213</v>
      </c>
      <c r="C1513" s="668" t="s">
        <v>25</v>
      </c>
      <c r="D1513" s="668" t="s">
        <v>1517</v>
      </c>
      <c r="E1513" s="669">
        <v>-5608.44</v>
      </c>
      <c r="F1513" s="25" t="s">
        <v>8</v>
      </c>
      <c r="G1513" s="825" t="s">
        <v>76</v>
      </c>
    </row>
    <row r="1514" spans="1:7" s="291" customFormat="1" x14ac:dyDescent="0.3">
      <c r="A1514" s="252">
        <v>45912</v>
      </c>
      <c r="B1514" s="252" t="s">
        <v>213</v>
      </c>
      <c r="C1514" s="668" t="s">
        <v>25</v>
      </c>
      <c r="D1514" s="668" t="s">
        <v>1589</v>
      </c>
      <c r="E1514" s="669">
        <v>-1700</v>
      </c>
      <c r="F1514" s="25" t="s">
        <v>8</v>
      </c>
      <c r="G1514" s="825" t="s">
        <v>127</v>
      </c>
    </row>
    <row r="1515" spans="1:7" s="291" customFormat="1" x14ac:dyDescent="0.3">
      <c r="A1515" s="252">
        <v>45912</v>
      </c>
      <c r="B1515" s="252" t="s">
        <v>213</v>
      </c>
      <c r="C1515" s="24" t="s">
        <v>6</v>
      </c>
      <c r="D1515" s="13" t="s">
        <v>600</v>
      </c>
      <c r="E1515" s="28">
        <v>-2012.45</v>
      </c>
      <c r="F1515" s="25" t="s">
        <v>8</v>
      </c>
      <c r="G1515" s="20" t="s">
        <v>46</v>
      </c>
    </row>
    <row r="1516" spans="1:7" s="291" customFormat="1" hidden="1" x14ac:dyDescent="0.3">
      <c r="A1516" s="252">
        <v>45916</v>
      </c>
      <c r="B1516" s="252" t="s">
        <v>213</v>
      </c>
      <c r="C1516" s="24" t="s">
        <v>6</v>
      </c>
      <c r="D1516" s="13" t="s">
        <v>94</v>
      </c>
      <c r="E1516" s="28">
        <v>-171.1</v>
      </c>
      <c r="F1516" s="25" t="s">
        <v>8</v>
      </c>
      <c r="G1516" s="14" t="s">
        <v>29</v>
      </c>
    </row>
    <row r="1517" spans="1:7" s="291" customFormat="1" hidden="1" x14ac:dyDescent="0.3">
      <c r="A1517" s="252">
        <v>45916</v>
      </c>
      <c r="B1517" s="252" t="s">
        <v>213</v>
      </c>
      <c r="C1517" s="24" t="s">
        <v>44</v>
      </c>
      <c r="D1517" s="13" t="s">
        <v>94</v>
      </c>
      <c r="E1517" s="28">
        <v>-171.1</v>
      </c>
      <c r="F1517" s="25" t="s">
        <v>8</v>
      </c>
      <c r="G1517" s="14" t="s">
        <v>29</v>
      </c>
    </row>
    <row r="1518" spans="1:7" s="291" customFormat="1" hidden="1" x14ac:dyDescent="0.3">
      <c r="A1518" s="252">
        <v>45916</v>
      </c>
      <c r="B1518" s="252" t="s">
        <v>213</v>
      </c>
      <c r="C1518" s="24" t="s">
        <v>13</v>
      </c>
      <c r="D1518" s="13" t="s">
        <v>94</v>
      </c>
      <c r="E1518" s="28">
        <v>-171.1</v>
      </c>
      <c r="F1518" s="25" t="s">
        <v>8</v>
      </c>
      <c r="G1518" s="14" t="s">
        <v>29</v>
      </c>
    </row>
    <row r="1519" spans="1:7" s="291" customFormat="1" hidden="1" x14ac:dyDescent="0.3">
      <c r="A1519" s="252">
        <v>45916</v>
      </c>
      <c r="B1519" s="252" t="s">
        <v>213</v>
      </c>
      <c r="C1519" s="24" t="s">
        <v>686</v>
      </c>
      <c r="D1519" s="13" t="s">
        <v>94</v>
      </c>
      <c r="E1519" s="28">
        <v>-171.1</v>
      </c>
      <c r="F1519" s="25" t="s">
        <v>8</v>
      </c>
      <c r="G1519" s="14" t="s">
        <v>29</v>
      </c>
    </row>
    <row r="1520" spans="1:7" s="291" customFormat="1" hidden="1" x14ac:dyDescent="0.3">
      <c r="A1520" s="252">
        <v>45916</v>
      </c>
      <c r="B1520" s="252" t="s">
        <v>213</v>
      </c>
      <c r="C1520" s="24" t="s">
        <v>31</v>
      </c>
      <c r="D1520" s="13" t="s">
        <v>94</v>
      </c>
      <c r="E1520" s="28">
        <v>-171.1</v>
      </c>
      <c r="F1520" s="25" t="s">
        <v>8</v>
      </c>
      <c r="G1520" s="14" t="s">
        <v>29</v>
      </c>
    </row>
    <row r="1521" spans="1:7" s="291" customFormat="1" hidden="1" x14ac:dyDescent="0.3">
      <c r="A1521" s="252">
        <v>45916</v>
      </c>
      <c r="B1521" s="252" t="s">
        <v>213</v>
      </c>
      <c r="C1521" s="24" t="s">
        <v>65</v>
      </c>
      <c r="D1521" s="13" t="s">
        <v>94</v>
      </c>
      <c r="E1521" s="28">
        <v>-171.1</v>
      </c>
      <c r="F1521" s="25" t="s">
        <v>8</v>
      </c>
      <c r="G1521" s="14" t="s">
        <v>29</v>
      </c>
    </row>
    <row r="1522" spans="1:7" s="291" customFormat="1" hidden="1" x14ac:dyDescent="0.3">
      <c r="A1522" s="252">
        <v>45916</v>
      </c>
      <c r="B1522" s="252" t="s">
        <v>213</v>
      </c>
      <c r="C1522" s="17" t="s">
        <v>17</v>
      </c>
      <c r="D1522" s="13" t="s">
        <v>94</v>
      </c>
      <c r="E1522" s="28">
        <v>-171.1</v>
      </c>
      <c r="F1522" s="25" t="s">
        <v>8</v>
      </c>
      <c r="G1522" s="14" t="s">
        <v>29</v>
      </c>
    </row>
    <row r="1523" spans="1:7" s="291" customFormat="1" hidden="1" x14ac:dyDescent="0.3">
      <c r="A1523" s="252">
        <v>45916</v>
      </c>
      <c r="B1523" s="252" t="s">
        <v>213</v>
      </c>
      <c r="C1523" s="17" t="s">
        <v>685</v>
      </c>
      <c r="D1523" s="13" t="s">
        <v>94</v>
      </c>
      <c r="E1523" s="28">
        <v>-171.1</v>
      </c>
      <c r="F1523" s="25" t="s">
        <v>8</v>
      </c>
      <c r="G1523" s="14" t="s">
        <v>29</v>
      </c>
    </row>
    <row r="1524" spans="1:7" s="291" customFormat="1" hidden="1" x14ac:dyDescent="0.3">
      <c r="A1524" s="252">
        <v>45916</v>
      </c>
      <c r="B1524" s="252" t="s">
        <v>213</v>
      </c>
      <c r="C1524" s="17" t="s">
        <v>30</v>
      </c>
      <c r="D1524" s="13" t="s">
        <v>94</v>
      </c>
      <c r="E1524" s="28">
        <v>-171.1</v>
      </c>
      <c r="F1524" s="25" t="s">
        <v>8</v>
      </c>
      <c r="G1524" s="14" t="s">
        <v>29</v>
      </c>
    </row>
    <row r="1525" spans="1:7" s="291" customFormat="1" hidden="1" x14ac:dyDescent="0.3">
      <c r="A1525" s="252">
        <v>45916</v>
      </c>
      <c r="B1525" s="252" t="s">
        <v>213</v>
      </c>
      <c r="C1525" s="17" t="s">
        <v>95</v>
      </c>
      <c r="D1525" s="13" t="s">
        <v>94</v>
      </c>
      <c r="E1525" s="28">
        <v>-171.1</v>
      </c>
      <c r="F1525" s="25" t="s">
        <v>8</v>
      </c>
      <c r="G1525" s="14" t="s">
        <v>29</v>
      </c>
    </row>
    <row r="1526" spans="1:7" s="291" customFormat="1" hidden="1" x14ac:dyDescent="0.3">
      <c r="A1526" s="252">
        <v>45916</v>
      </c>
      <c r="B1526" s="252" t="s">
        <v>213</v>
      </c>
      <c r="C1526" s="17" t="s">
        <v>33</v>
      </c>
      <c r="D1526" s="13" t="s">
        <v>94</v>
      </c>
      <c r="E1526" s="28">
        <v>-171.1</v>
      </c>
      <c r="F1526" s="25" t="s">
        <v>8</v>
      </c>
      <c r="G1526" s="14" t="s">
        <v>29</v>
      </c>
    </row>
    <row r="1527" spans="1:7" s="291" customFormat="1" hidden="1" x14ac:dyDescent="0.3">
      <c r="A1527" s="252">
        <v>45916</v>
      </c>
      <c r="B1527" s="252" t="s">
        <v>213</v>
      </c>
      <c r="C1527" s="17" t="s">
        <v>96</v>
      </c>
      <c r="D1527" s="13" t="s">
        <v>94</v>
      </c>
      <c r="E1527" s="28">
        <v>-171.1</v>
      </c>
      <c r="F1527" s="25" t="s">
        <v>8</v>
      </c>
      <c r="G1527" s="14" t="s">
        <v>29</v>
      </c>
    </row>
    <row r="1528" spans="1:7" s="291" customFormat="1" hidden="1" x14ac:dyDescent="0.3">
      <c r="A1528" s="252">
        <v>45916</v>
      </c>
      <c r="B1528" s="252" t="s">
        <v>213</v>
      </c>
      <c r="C1528" s="17" t="s">
        <v>32</v>
      </c>
      <c r="D1528" s="13" t="s">
        <v>94</v>
      </c>
      <c r="E1528" s="28">
        <v>-171.1</v>
      </c>
      <c r="F1528" s="25" t="s">
        <v>8</v>
      </c>
      <c r="G1528" s="14" t="s">
        <v>29</v>
      </c>
    </row>
    <row r="1529" spans="1:7" s="291" customFormat="1" hidden="1" x14ac:dyDescent="0.3">
      <c r="A1529" s="252">
        <v>45916</v>
      </c>
      <c r="B1529" s="252" t="s">
        <v>213</v>
      </c>
      <c r="C1529" s="17" t="s">
        <v>34</v>
      </c>
      <c r="D1529" s="13" t="s">
        <v>94</v>
      </c>
      <c r="E1529" s="28">
        <v>-171.1</v>
      </c>
      <c r="F1529" s="25" t="s">
        <v>8</v>
      </c>
      <c r="G1529" s="14" t="s">
        <v>29</v>
      </c>
    </row>
    <row r="1530" spans="1:7" s="291" customFormat="1" hidden="1" x14ac:dyDescent="0.3">
      <c r="A1530" s="252">
        <v>45916</v>
      </c>
      <c r="B1530" s="252" t="s">
        <v>213</v>
      </c>
      <c r="C1530" s="27" t="s">
        <v>65</v>
      </c>
      <c r="D1530" s="13" t="s">
        <v>97</v>
      </c>
      <c r="E1530" s="28">
        <v>-877.96</v>
      </c>
      <c r="F1530" s="14" t="s">
        <v>8</v>
      </c>
      <c r="G1530" s="14" t="s">
        <v>39</v>
      </c>
    </row>
    <row r="1531" spans="1:7" s="291" customFormat="1" hidden="1" x14ac:dyDescent="0.3">
      <c r="A1531" s="252">
        <v>45916</v>
      </c>
      <c r="B1531" s="252" t="s">
        <v>213</v>
      </c>
      <c r="C1531" s="24" t="s">
        <v>6</v>
      </c>
      <c r="D1531" s="13" t="s">
        <v>1577</v>
      </c>
      <c r="E1531" s="948">
        <v>-7225</v>
      </c>
      <c r="F1531" s="25" t="s">
        <v>8</v>
      </c>
      <c r="G1531" s="14" t="s">
        <v>99</v>
      </c>
    </row>
    <row r="1532" spans="1:7" s="291" customFormat="1" hidden="1" x14ac:dyDescent="0.3">
      <c r="A1532" s="252">
        <v>45917</v>
      </c>
      <c r="B1532" s="252" t="s">
        <v>213</v>
      </c>
      <c r="C1532" s="24" t="s">
        <v>6</v>
      </c>
      <c r="D1532" s="13" t="s">
        <v>100</v>
      </c>
      <c r="E1532" s="28">
        <v>-141.69999999999999</v>
      </c>
      <c r="F1532" s="25" t="s">
        <v>8</v>
      </c>
      <c r="G1532" s="14" t="s">
        <v>101</v>
      </c>
    </row>
    <row r="1533" spans="1:7" s="291" customFormat="1" hidden="1" x14ac:dyDescent="0.3">
      <c r="A1533" s="252">
        <v>45917</v>
      </c>
      <c r="B1533" s="252" t="s">
        <v>213</v>
      </c>
      <c r="C1533" s="24" t="s">
        <v>6</v>
      </c>
      <c r="D1533" s="13" t="s">
        <v>102</v>
      </c>
      <c r="E1533" s="28">
        <v>-141.69999999999999</v>
      </c>
      <c r="F1533" s="25" t="s">
        <v>8</v>
      </c>
      <c r="G1533" s="14" t="s">
        <v>101</v>
      </c>
    </row>
    <row r="1534" spans="1:7" s="291" customFormat="1" hidden="1" x14ac:dyDescent="0.3">
      <c r="A1534" s="252">
        <v>45917</v>
      </c>
      <c r="B1534" s="252" t="s">
        <v>213</v>
      </c>
      <c r="C1534" s="24" t="s">
        <v>6</v>
      </c>
      <c r="D1534" s="13" t="s">
        <v>103</v>
      </c>
      <c r="E1534" s="28">
        <v>-141.69999999999999</v>
      </c>
      <c r="F1534" s="25" t="s">
        <v>8</v>
      </c>
      <c r="G1534" s="14" t="s">
        <v>101</v>
      </c>
    </row>
    <row r="1535" spans="1:7" s="291" customFormat="1" hidden="1" x14ac:dyDescent="0.3">
      <c r="A1535" s="252">
        <v>45917</v>
      </c>
      <c r="B1535" s="252" t="s">
        <v>213</v>
      </c>
      <c r="C1535" s="24" t="s">
        <v>6</v>
      </c>
      <c r="D1535" s="13" t="s">
        <v>104</v>
      </c>
      <c r="E1535" s="28">
        <v>-139.25</v>
      </c>
      <c r="F1535" s="25" t="s">
        <v>8</v>
      </c>
      <c r="G1535" s="14" t="s">
        <v>101</v>
      </c>
    </row>
    <row r="1536" spans="1:7" s="291" customFormat="1" hidden="1" x14ac:dyDescent="0.3">
      <c r="A1536" s="252">
        <v>45916</v>
      </c>
      <c r="B1536" s="252" t="s">
        <v>213</v>
      </c>
      <c r="C1536" s="27" t="s">
        <v>32</v>
      </c>
      <c r="D1536" s="13" t="s">
        <v>105</v>
      </c>
      <c r="E1536" s="28">
        <v>-244.5</v>
      </c>
      <c r="F1536" s="14" t="s">
        <v>8</v>
      </c>
      <c r="G1536" s="14" t="s">
        <v>69</v>
      </c>
    </row>
    <row r="1537" spans="1:7" s="291" customFormat="1" hidden="1" x14ac:dyDescent="0.3">
      <c r="A1537" s="252">
        <v>45916</v>
      </c>
      <c r="B1537" s="252" t="s">
        <v>213</v>
      </c>
      <c r="C1537" s="27" t="s">
        <v>106</v>
      </c>
      <c r="D1537" s="13" t="s">
        <v>105</v>
      </c>
      <c r="E1537" s="28">
        <v>-300</v>
      </c>
      <c r="F1537" s="14" t="s">
        <v>8</v>
      </c>
      <c r="G1537" s="14" t="s">
        <v>69</v>
      </c>
    </row>
    <row r="1538" spans="1:7" s="291" customFormat="1" hidden="1" x14ac:dyDescent="0.3">
      <c r="A1538" s="252">
        <v>45916</v>
      </c>
      <c r="B1538" s="252" t="s">
        <v>213</v>
      </c>
      <c r="C1538" s="27" t="s">
        <v>35</v>
      </c>
      <c r="D1538" s="13" t="s">
        <v>105</v>
      </c>
      <c r="E1538" s="28">
        <v>-300</v>
      </c>
      <c r="F1538" s="14" t="s">
        <v>8</v>
      </c>
      <c r="G1538" s="14" t="s">
        <v>69</v>
      </c>
    </row>
    <row r="1539" spans="1:7" s="291" customFormat="1" hidden="1" x14ac:dyDescent="0.3">
      <c r="A1539" s="252">
        <v>45916</v>
      </c>
      <c r="B1539" s="252" t="s">
        <v>213</v>
      </c>
      <c r="C1539" s="27" t="s">
        <v>107</v>
      </c>
      <c r="D1539" s="13" t="s">
        <v>105</v>
      </c>
      <c r="E1539" s="28">
        <v>-300</v>
      </c>
      <c r="F1539" s="14" t="s">
        <v>8</v>
      </c>
      <c r="G1539" s="14" t="s">
        <v>69</v>
      </c>
    </row>
    <row r="1540" spans="1:7" s="291" customFormat="1" hidden="1" x14ac:dyDescent="0.3">
      <c r="A1540" s="252">
        <v>45916</v>
      </c>
      <c r="B1540" s="252" t="s">
        <v>213</v>
      </c>
      <c r="C1540" s="27" t="s">
        <v>108</v>
      </c>
      <c r="D1540" s="13" t="s">
        <v>105</v>
      </c>
      <c r="E1540" s="28">
        <v>-275</v>
      </c>
      <c r="F1540" s="14" t="s">
        <v>8</v>
      </c>
      <c r="G1540" s="14" t="s">
        <v>69</v>
      </c>
    </row>
    <row r="1541" spans="1:7" s="291" customFormat="1" hidden="1" x14ac:dyDescent="0.3">
      <c r="A1541" s="252">
        <v>45916</v>
      </c>
      <c r="B1541" s="252" t="s">
        <v>213</v>
      </c>
      <c r="C1541" s="27" t="s">
        <v>72</v>
      </c>
      <c r="D1541" s="13" t="s">
        <v>105</v>
      </c>
      <c r="E1541" s="28">
        <v>-300</v>
      </c>
      <c r="F1541" s="14" t="s">
        <v>8</v>
      </c>
      <c r="G1541" s="14" t="s">
        <v>69</v>
      </c>
    </row>
    <row r="1542" spans="1:7" s="291" customFormat="1" hidden="1" x14ac:dyDescent="0.3">
      <c r="A1542" s="252">
        <v>45916</v>
      </c>
      <c r="B1542" s="252" t="s">
        <v>213</v>
      </c>
      <c r="C1542" s="27" t="s">
        <v>109</v>
      </c>
      <c r="D1542" s="13" t="s">
        <v>105</v>
      </c>
      <c r="E1542" s="28">
        <v>-300</v>
      </c>
      <c r="F1542" s="14" t="s">
        <v>8</v>
      </c>
      <c r="G1542" s="14" t="s">
        <v>69</v>
      </c>
    </row>
    <row r="1543" spans="1:7" s="291" customFormat="1" hidden="1" x14ac:dyDescent="0.3">
      <c r="A1543" s="252">
        <v>45916</v>
      </c>
      <c r="B1543" s="252" t="s">
        <v>213</v>
      </c>
      <c r="C1543" s="27" t="s">
        <v>110</v>
      </c>
      <c r="D1543" s="13" t="s">
        <v>105</v>
      </c>
      <c r="E1543" s="28">
        <v>-350</v>
      </c>
      <c r="F1543" s="14" t="s">
        <v>8</v>
      </c>
      <c r="G1543" s="14" t="s">
        <v>69</v>
      </c>
    </row>
    <row r="1544" spans="1:7" s="291" customFormat="1" hidden="1" x14ac:dyDescent="0.3">
      <c r="A1544" s="252">
        <v>45916</v>
      </c>
      <c r="B1544" s="252" t="s">
        <v>213</v>
      </c>
      <c r="C1544" s="27" t="s">
        <v>111</v>
      </c>
      <c r="D1544" s="13" t="s">
        <v>105</v>
      </c>
      <c r="E1544" s="28">
        <v>-373.51</v>
      </c>
      <c r="F1544" s="14" t="s">
        <v>8</v>
      </c>
      <c r="G1544" s="14" t="s">
        <v>69</v>
      </c>
    </row>
    <row r="1545" spans="1:7" s="291" customFormat="1" hidden="1" x14ac:dyDescent="0.3">
      <c r="A1545" s="205">
        <v>45916</v>
      </c>
      <c r="B1545" s="252" t="s">
        <v>213</v>
      </c>
      <c r="C1545" s="26" t="s">
        <v>6</v>
      </c>
      <c r="D1545" s="26" t="s">
        <v>77</v>
      </c>
      <c r="E1545" s="19">
        <v>-2003.33</v>
      </c>
      <c r="F1545" s="20" t="s">
        <v>8</v>
      </c>
      <c r="G1545" s="20" t="s">
        <v>142</v>
      </c>
    </row>
    <row r="1546" spans="1:7" s="291" customFormat="1" hidden="1" x14ac:dyDescent="0.3">
      <c r="A1546" s="205">
        <v>45916</v>
      </c>
      <c r="B1546" s="252" t="s">
        <v>213</v>
      </c>
      <c r="C1546" s="17" t="s">
        <v>31</v>
      </c>
      <c r="D1546" s="26" t="s">
        <v>201</v>
      </c>
      <c r="E1546" s="19">
        <v>-3177.29</v>
      </c>
      <c r="F1546" s="20" t="s">
        <v>8</v>
      </c>
      <c r="G1546" s="20" t="s">
        <v>86</v>
      </c>
    </row>
    <row r="1547" spans="1:7" s="291" customFormat="1" hidden="1" x14ac:dyDescent="0.3">
      <c r="A1547" s="205">
        <v>45916</v>
      </c>
      <c r="B1547" s="252" t="s">
        <v>213</v>
      </c>
      <c r="C1547" s="17" t="s">
        <v>6</v>
      </c>
      <c r="D1547" s="26" t="s">
        <v>201</v>
      </c>
      <c r="E1547" s="19">
        <v>-2247.35</v>
      </c>
      <c r="F1547" s="20" t="s">
        <v>8</v>
      </c>
      <c r="G1547" s="20" t="s">
        <v>86</v>
      </c>
    </row>
    <row r="1548" spans="1:7" s="291" customFormat="1" hidden="1" x14ac:dyDescent="0.3">
      <c r="A1548" s="205">
        <v>45916</v>
      </c>
      <c r="B1548" s="252" t="s">
        <v>213</v>
      </c>
      <c r="C1548" s="17" t="s">
        <v>44</v>
      </c>
      <c r="D1548" s="26" t="s">
        <v>201</v>
      </c>
      <c r="E1548" s="19">
        <v>-1239.92</v>
      </c>
      <c r="F1548" s="20" t="s">
        <v>8</v>
      </c>
      <c r="G1548" s="20" t="s">
        <v>86</v>
      </c>
    </row>
    <row r="1549" spans="1:7" s="291" customFormat="1" hidden="1" x14ac:dyDescent="0.3">
      <c r="A1549" s="205">
        <v>45916</v>
      </c>
      <c r="B1549" s="252" t="s">
        <v>213</v>
      </c>
      <c r="C1549" s="17" t="s">
        <v>44</v>
      </c>
      <c r="D1549" s="26" t="s">
        <v>201</v>
      </c>
      <c r="E1549" s="19">
        <v>-3409.78</v>
      </c>
      <c r="F1549" s="20" t="s">
        <v>8</v>
      </c>
      <c r="G1549" s="20" t="s">
        <v>86</v>
      </c>
    </row>
    <row r="1550" spans="1:7" s="291" customFormat="1" hidden="1" x14ac:dyDescent="0.3">
      <c r="A1550" s="205">
        <v>45916</v>
      </c>
      <c r="B1550" s="252" t="s">
        <v>213</v>
      </c>
      <c r="C1550" s="17" t="s">
        <v>25</v>
      </c>
      <c r="D1550" s="26" t="s">
        <v>201</v>
      </c>
      <c r="E1550" s="19">
        <v>-3332.29</v>
      </c>
      <c r="F1550" s="20" t="s">
        <v>8</v>
      </c>
      <c r="G1550" s="20" t="s">
        <v>86</v>
      </c>
    </row>
    <row r="1551" spans="1:7" s="291" customFormat="1" hidden="1" x14ac:dyDescent="0.3">
      <c r="A1551" s="205">
        <v>45916</v>
      </c>
      <c r="B1551" s="252" t="s">
        <v>213</v>
      </c>
      <c r="C1551" s="17" t="s">
        <v>33</v>
      </c>
      <c r="D1551" s="26" t="s">
        <v>201</v>
      </c>
      <c r="E1551" s="19">
        <v>-929.94</v>
      </c>
      <c r="F1551" s="20" t="s">
        <v>8</v>
      </c>
      <c r="G1551" s="20" t="s">
        <v>86</v>
      </c>
    </row>
    <row r="1552" spans="1:7" s="291" customFormat="1" hidden="1" x14ac:dyDescent="0.3">
      <c r="A1552" s="205">
        <v>45916</v>
      </c>
      <c r="B1552" s="252" t="s">
        <v>213</v>
      </c>
      <c r="C1552" s="17" t="s">
        <v>106</v>
      </c>
      <c r="D1552" s="26" t="s">
        <v>201</v>
      </c>
      <c r="E1552" s="19">
        <v>-929.94</v>
      </c>
      <c r="F1552" s="20" t="s">
        <v>8</v>
      </c>
      <c r="G1552" s="20" t="s">
        <v>86</v>
      </c>
    </row>
    <row r="1553" spans="1:7" s="291" customFormat="1" hidden="1" x14ac:dyDescent="0.3">
      <c r="A1553" s="205">
        <v>45916</v>
      </c>
      <c r="B1553" s="252" t="s">
        <v>213</v>
      </c>
      <c r="C1553" s="17" t="s">
        <v>32</v>
      </c>
      <c r="D1553" s="26" t="s">
        <v>201</v>
      </c>
      <c r="E1553" s="19">
        <v>-232.49</v>
      </c>
      <c r="F1553" s="20" t="s">
        <v>8</v>
      </c>
      <c r="G1553" s="20" t="s">
        <v>86</v>
      </c>
    </row>
    <row r="1554" spans="1:7" s="291" customFormat="1" ht="15" hidden="1" customHeight="1" x14ac:dyDescent="0.3">
      <c r="A1554" s="205">
        <v>45916</v>
      </c>
      <c r="B1554" s="252" t="s">
        <v>213</v>
      </c>
      <c r="C1554" s="17" t="s">
        <v>72</v>
      </c>
      <c r="D1554" s="26" t="s">
        <v>201</v>
      </c>
      <c r="E1554" s="19">
        <v>-1084.93</v>
      </c>
      <c r="F1554" s="20" t="s">
        <v>8</v>
      </c>
      <c r="G1554" s="20" t="s">
        <v>86</v>
      </c>
    </row>
    <row r="1555" spans="1:7" s="291" customFormat="1" hidden="1" x14ac:dyDescent="0.3">
      <c r="A1555" s="205">
        <v>45916</v>
      </c>
      <c r="B1555" s="252" t="s">
        <v>213</v>
      </c>
      <c r="C1555" s="17" t="s">
        <v>17</v>
      </c>
      <c r="D1555" s="26" t="s">
        <v>201</v>
      </c>
      <c r="E1555" s="19">
        <v>-154.99</v>
      </c>
      <c r="F1555" s="20" t="s">
        <v>8</v>
      </c>
      <c r="G1555" s="20" t="s">
        <v>86</v>
      </c>
    </row>
    <row r="1556" spans="1:7" s="291" customFormat="1" hidden="1" x14ac:dyDescent="0.3">
      <c r="A1556" s="252">
        <v>45918</v>
      </c>
      <c r="B1556" s="252" t="s">
        <v>213</v>
      </c>
      <c r="C1556" s="26" t="s">
        <v>6</v>
      </c>
      <c r="D1556" s="26" t="s">
        <v>77</v>
      </c>
      <c r="E1556" s="19">
        <v>-3619.33</v>
      </c>
      <c r="F1556" s="25" t="s">
        <v>8</v>
      </c>
      <c r="G1556" s="20" t="s">
        <v>142</v>
      </c>
    </row>
    <row r="1557" spans="1:7" s="291" customFormat="1" ht="14.4" hidden="1" customHeight="1" x14ac:dyDescent="0.3">
      <c r="A1557" s="252">
        <v>45918</v>
      </c>
      <c r="B1557" s="252" t="s">
        <v>213</v>
      </c>
      <c r="C1557" s="668" t="s">
        <v>72</v>
      </c>
      <c r="D1557" s="668" t="s">
        <v>234</v>
      </c>
      <c r="E1557" s="669">
        <v>-354.28</v>
      </c>
      <c r="F1557" s="25" t="s">
        <v>8</v>
      </c>
      <c r="G1557" s="20" t="s">
        <v>233</v>
      </c>
    </row>
    <row r="1558" spans="1:7" s="291" customFormat="1" hidden="1" x14ac:dyDescent="0.3">
      <c r="A1558" s="252">
        <v>45918</v>
      </c>
      <c r="B1558" s="252" t="s">
        <v>213</v>
      </c>
      <c r="C1558" s="908" t="s">
        <v>17</v>
      </c>
      <c r="D1558" s="668" t="s">
        <v>205</v>
      </c>
      <c r="E1558" s="669">
        <v>-315</v>
      </c>
      <c r="F1558" s="25" t="s">
        <v>8</v>
      </c>
      <c r="G1558" s="20" t="s">
        <v>142</v>
      </c>
    </row>
    <row r="1559" spans="1:7" s="953" customFormat="1" ht="14.4" hidden="1" x14ac:dyDescent="0.3">
      <c r="A1559" s="945">
        <v>45918</v>
      </c>
      <c r="B1559" s="945" t="s">
        <v>213</v>
      </c>
      <c r="C1559" s="941" t="s">
        <v>6</v>
      </c>
      <c r="D1559" s="942" t="s">
        <v>1580</v>
      </c>
      <c r="E1559" s="944">
        <v>-2000</v>
      </c>
      <c r="F1559" s="25" t="s">
        <v>8</v>
      </c>
      <c r="G1559" s="952" t="s">
        <v>189</v>
      </c>
    </row>
    <row r="1560" spans="1:7" s="284" customFormat="1" hidden="1" x14ac:dyDescent="0.3">
      <c r="A1560" s="708">
        <v>45918</v>
      </c>
      <c r="B1560" s="708" t="s">
        <v>213</v>
      </c>
      <c r="C1560" s="954" t="s">
        <v>31</v>
      </c>
      <c r="D1560" s="938" t="s">
        <v>1579</v>
      </c>
      <c r="E1560" s="939">
        <v>-1931.22</v>
      </c>
      <c r="F1560" s="25" t="s">
        <v>8</v>
      </c>
      <c r="G1560" s="303" t="s">
        <v>127</v>
      </c>
    </row>
    <row r="1561" spans="1:7" s="291" customFormat="1" hidden="1" x14ac:dyDescent="0.3">
      <c r="A1561" s="252">
        <v>45918</v>
      </c>
      <c r="B1561" s="252" t="s">
        <v>213</v>
      </c>
      <c r="C1561" s="220" t="s">
        <v>13</v>
      </c>
      <c r="D1561" s="13" t="s">
        <v>1539</v>
      </c>
      <c r="E1561" s="28">
        <v>-5028.43</v>
      </c>
      <c r="F1561" s="25" t="s">
        <v>8</v>
      </c>
      <c r="G1561" s="20" t="s">
        <v>46</v>
      </c>
    </row>
    <row r="1562" spans="1:7" s="291" customFormat="1" hidden="1" x14ac:dyDescent="0.3">
      <c r="A1562" s="252">
        <v>45922</v>
      </c>
      <c r="B1562" s="252" t="s">
        <v>213</v>
      </c>
      <c r="C1562" s="584" t="s">
        <v>6</v>
      </c>
      <c r="D1562" s="13" t="s">
        <v>121</v>
      </c>
      <c r="E1562" s="28">
        <v>-16000</v>
      </c>
      <c r="F1562" s="25" t="s">
        <v>8</v>
      </c>
      <c r="G1562" s="14" t="s">
        <v>122</v>
      </c>
    </row>
    <row r="1563" spans="1:7" s="291" customFormat="1" hidden="1" x14ac:dyDescent="0.3">
      <c r="A1563" s="252">
        <v>45923</v>
      </c>
      <c r="B1563" s="252" t="s">
        <v>213</v>
      </c>
      <c r="C1563" s="27" t="s">
        <v>6</v>
      </c>
      <c r="D1563" s="13" t="s">
        <v>123</v>
      </c>
      <c r="E1563" s="28">
        <v>-600</v>
      </c>
      <c r="F1563" s="25" t="s">
        <v>8</v>
      </c>
      <c r="G1563" s="14" t="s">
        <v>19</v>
      </c>
    </row>
    <row r="1564" spans="1:7" s="291" customFormat="1" hidden="1" x14ac:dyDescent="0.3">
      <c r="A1564" s="252">
        <v>45922</v>
      </c>
      <c r="B1564" s="252" t="s">
        <v>213</v>
      </c>
      <c r="C1564" s="584" t="s">
        <v>6</v>
      </c>
      <c r="D1564" s="13" t="s">
        <v>124</v>
      </c>
      <c r="E1564" s="669">
        <v>-1114.33</v>
      </c>
      <c r="F1564" s="25" t="s">
        <v>8</v>
      </c>
      <c r="G1564" s="14" t="s">
        <v>69</v>
      </c>
    </row>
    <row r="1565" spans="1:7" s="291" customFormat="1" hidden="1" x14ac:dyDescent="0.3">
      <c r="A1565" s="252">
        <v>45922</v>
      </c>
      <c r="B1565" s="252" t="s">
        <v>213</v>
      </c>
      <c r="C1565" s="584" t="s">
        <v>6</v>
      </c>
      <c r="D1565" s="13" t="s">
        <v>125</v>
      </c>
      <c r="E1565" s="28">
        <v>-39.799999999999997</v>
      </c>
      <c r="F1565" s="25" t="s">
        <v>8</v>
      </c>
      <c r="G1565" s="14" t="s">
        <v>69</v>
      </c>
    </row>
    <row r="1566" spans="1:7" s="291" customFormat="1" hidden="1" x14ac:dyDescent="0.3">
      <c r="A1566" s="252">
        <v>45919</v>
      </c>
      <c r="B1566" s="252" t="s">
        <v>213</v>
      </c>
      <c r="C1566" s="24" t="s">
        <v>6</v>
      </c>
      <c r="D1566" s="13" t="s">
        <v>126</v>
      </c>
      <c r="E1566" s="28">
        <v>-20000</v>
      </c>
      <c r="F1566" s="25" t="s">
        <v>8</v>
      </c>
      <c r="G1566" s="257" t="s">
        <v>127</v>
      </c>
    </row>
    <row r="1567" spans="1:7" s="291" customFormat="1" hidden="1" x14ac:dyDescent="0.3">
      <c r="A1567" s="252">
        <v>45919</v>
      </c>
      <c r="B1567" s="252" t="s">
        <v>213</v>
      </c>
      <c r="C1567" s="17" t="s">
        <v>17</v>
      </c>
      <c r="D1567" s="18" t="s">
        <v>128</v>
      </c>
      <c r="E1567" s="28">
        <v>-15000</v>
      </c>
      <c r="F1567" s="25" t="s">
        <v>8</v>
      </c>
      <c r="G1567" s="257" t="s">
        <v>127</v>
      </c>
    </row>
    <row r="1568" spans="1:7" s="291" customFormat="1" hidden="1" x14ac:dyDescent="0.3">
      <c r="A1568" s="252">
        <v>45919</v>
      </c>
      <c r="B1568" s="252" t="s">
        <v>213</v>
      </c>
      <c r="C1568" s="17" t="s">
        <v>17</v>
      </c>
      <c r="D1568" s="18" t="s">
        <v>129</v>
      </c>
      <c r="E1568" s="28">
        <v>-3000</v>
      </c>
      <c r="F1568" s="25" t="s">
        <v>8</v>
      </c>
      <c r="G1568" s="257" t="s">
        <v>127</v>
      </c>
    </row>
    <row r="1569" spans="1:7" s="291" customFormat="1" hidden="1" x14ac:dyDescent="0.3">
      <c r="A1569" s="252">
        <v>45919</v>
      </c>
      <c r="B1569" s="252" t="s">
        <v>213</v>
      </c>
      <c r="C1569" s="24" t="s">
        <v>6</v>
      </c>
      <c r="D1569" s="13" t="s">
        <v>130</v>
      </c>
      <c r="E1569" s="21">
        <v>-55000</v>
      </c>
      <c r="F1569" s="25" t="s">
        <v>8</v>
      </c>
      <c r="G1569" s="257" t="s">
        <v>127</v>
      </c>
    </row>
    <row r="1570" spans="1:7" s="291" customFormat="1" hidden="1" x14ac:dyDescent="0.3">
      <c r="A1570" s="252">
        <v>45919</v>
      </c>
      <c r="B1570" s="252" t="s">
        <v>213</v>
      </c>
      <c r="C1570" s="24" t="s">
        <v>6</v>
      </c>
      <c r="D1570" s="18" t="s">
        <v>131</v>
      </c>
      <c r="E1570" s="28">
        <v>-50000</v>
      </c>
      <c r="F1570" s="25" t="s">
        <v>8</v>
      </c>
      <c r="G1570" s="257" t="s">
        <v>127</v>
      </c>
    </row>
    <row r="1571" spans="1:7" s="291" customFormat="1" hidden="1" x14ac:dyDescent="0.3">
      <c r="A1571" s="252">
        <v>45922</v>
      </c>
      <c r="B1571" s="252" t="s">
        <v>213</v>
      </c>
      <c r="C1571" s="584" t="s">
        <v>6</v>
      </c>
      <c r="D1571" s="13" t="s">
        <v>1540</v>
      </c>
      <c r="E1571" s="28">
        <v>-110000</v>
      </c>
      <c r="F1571" s="25" t="s">
        <v>8</v>
      </c>
      <c r="G1571" s="14" t="s">
        <v>27</v>
      </c>
    </row>
    <row r="1572" spans="1:7" s="291" customFormat="1" hidden="1" x14ac:dyDescent="0.3">
      <c r="A1572" s="252">
        <v>45919</v>
      </c>
      <c r="B1572" s="252" t="s">
        <v>213</v>
      </c>
      <c r="C1572" s="24" t="s">
        <v>6</v>
      </c>
      <c r="D1572" s="13" t="s">
        <v>132</v>
      </c>
      <c r="E1572" s="21">
        <v>-41000</v>
      </c>
      <c r="F1572" s="25" t="s">
        <v>8</v>
      </c>
      <c r="G1572" s="14" t="s">
        <v>83</v>
      </c>
    </row>
    <row r="1573" spans="1:7" s="291" customFormat="1" hidden="1" x14ac:dyDescent="0.3">
      <c r="A1573" s="252">
        <v>45922</v>
      </c>
      <c r="B1573" s="252" t="s">
        <v>213</v>
      </c>
      <c r="C1573" s="584" t="s">
        <v>6</v>
      </c>
      <c r="D1573" s="13" t="s">
        <v>47</v>
      </c>
      <c r="E1573" s="28">
        <v>-8000</v>
      </c>
      <c r="F1573" s="25" t="s">
        <v>8</v>
      </c>
      <c r="G1573" s="14" t="s">
        <v>27</v>
      </c>
    </row>
    <row r="1574" spans="1:7" s="291" customFormat="1" hidden="1" x14ac:dyDescent="0.3">
      <c r="A1574" s="252">
        <v>45922</v>
      </c>
      <c r="B1574" s="252" t="s">
        <v>213</v>
      </c>
      <c r="C1574" s="584" t="s">
        <v>25</v>
      </c>
      <c r="D1574" s="13" t="s">
        <v>1548</v>
      </c>
      <c r="E1574" s="28">
        <v>-3003.13</v>
      </c>
      <c r="F1574" s="25" t="s">
        <v>8</v>
      </c>
      <c r="G1574" s="214" t="s">
        <v>156</v>
      </c>
    </row>
    <row r="1575" spans="1:7" s="291" customFormat="1" hidden="1" x14ac:dyDescent="0.3">
      <c r="A1575" s="205">
        <v>45922</v>
      </c>
      <c r="B1575" s="252" t="s">
        <v>213</v>
      </c>
      <c r="C1575" s="220" t="s">
        <v>17</v>
      </c>
      <c r="D1575" s="13" t="s">
        <v>134</v>
      </c>
      <c r="E1575" s="28">
        <v>-1700</v>
      </c>
      <c r="F1575" s="25" t="s">
        <v>8</v>
      </c>
      <c r="G1575" s="14" t="s">
        <v>135</v>
      </c>
    </row>
    <row r="1576" spans="1:7" s="291" customFormat="1" hidden="1" x14ac:dyDescent="0.3">
      <c r="A1576" s="252">
        <v>45919</v>
      </c>
      <c r="B1576" s="252" t="s">
        <v>213</v>
      </c>
      <c r="C1576" s="24" t="s">
        <v>65</v>
      </c>
      <c r="D1576" s="13" t="s">
        <v>136</v>
      </c>
      <c r="E1576" s="28">
        <v>-8937.32</v>
      </c>
      <c r="F1576" s="25" t="s">
        <v>8</v>
      </c>
      <c r="G1576" s="14" t="s">
        <v>39</v>
      </c>
    </row>
    <row r="1577" spans="1:7" s="291" customFormat="1" hidden="1" x14ac:dyDescent="0.3">
      <c r="A1577" s="252">
        <v>45919</v>
      </c>
      <c r="B1577" s="252" t="s">
        <v>213</v>
      </c>
      <c r="C1577" s="24" t="s">
        <v>17</v>
      </c>
      <c r="D1577" s="13" t="s">
        <v>18</v>
      </c>
      <c r="E1577" s="21">
        <v>-17235</v>
      </c>
      <c r="F1577" s="25" t="s">
        <v>8</v>
      </c>
      <c r="G1577" s="14" t="s">
        <v>19</v>
      </c>
    </row>
    <row r="1578" spans="1:7" s="291" customFormat="1" hidden="1" x14ac:dyDescent="0.3">
      <c r="A1578" s="252">
        <v>45926</v>
      </c>
      <c r="B1578" s="252" t="s">
        <v>213</v>
      </c>
      <c r="C1578" s="24" t="s">
        <v>17</v>
      </c>
      <c r="D1578" s="13" t="s">
        <v>18</v>
      </c>
      <c r="E1578" s="21">
        <v>-17235</v>
      </c>
      <c r="F1578" s="25" t="s">
        <v>8</v>
      </c>
      <c r="G1578" s="14" t="s">
        <v>19</v>
      </c>
    </row>
    <row r="1579" spans="1:7" s="291" customFormat="1" hidden="1" x14ac:dyDescent="0.3">
      <c r="A1579" s="205">
        <v>45925</v>
      </c>
      <c r="B1579" s="252" t="s">
        <v>213</v>
      </c>
      <c r="C1579" s="24" t="s">
        <v>6</v>
      </c>
      <c r="D1579" s="13" t="s">
        <v>1543</v>
      </c>
      <c r="E1579" s="28">
        <v>-9000</v>
      </c>
      <c r="F1579" s="25" t="s">
        <v>8</v>
      </c>
      <c r="G1579" s="14" t="s">
        <v>64</v>
      </c>
    </row>
    <row r="1580" spans="1:7" s="291" customFormat="1" hidden="1" x14ac:dyDescent="0.3">
      <c r="A1580" s="205">
        <v>45925</v>
      </c>
      <c r="B1580" s="252" t="s">
        <v>213</v>
      </c>
      <c r="C1580" s="24" t="s">
        <v>17</v>
      </c>
      <c r="D1580" s="13" t="s">
        <v>137</v>
      </c>
      <c r="E1580" s="667">
        <v>-84.3</v>
      </c>
      <c r="F1580" s="25" t="s">
        <v>8</v>
      </c>
      <c r="G1580" s="14" t="s">
        <v>69</v>
      </c>
    </row>
    <row r="1581" spans="1:7" s="291" customFormat="1" hidden="1" x14ac:dyDescent="0.3">
      <c r="A1581" s="226">
        <v>45863</v>
      </c>
      <c r="B1581" s="46" t="s">
        <v>211</v>
      </c>
      <c r="C1581" s="238" t="s">
        <v>25</v>
      </c>
      <c r="D1581" s="238" t="s">
        <v>936</v>
      </c>
      <c r="E1581" s="229">
        <v>-1470.99</v>
      </c>
      <c r="F1581" s="262" t="s">
        <v>8</v>
      </c>
      <c r="G1581" s="168" t="s">
        <v>76</v>
      </c>
    </row>
    <row r="1582" spans="1:7" s="291" customFormat="1" hidden="1" x14ac:dyDescent="0.3">
      <c r="A1582" s="205">
        <v>45863</v>
      </c>
      <c r="B1582" s="10" t="s">
        <v>211</v>
      </c>
      <c r="C1582" s="26" t="s">
        <v>32</v>
      </c>
      <c r="D1582" s="26" t="s">
        <v>937</v>
      </c>
      <c r="E1582" s="19">
        <v>-178.81</v>
      </c>
      <c r="F1582" s="25" t="s">
        <v>8</v>
      </c>
      <c r="G1582" s="20" t="s">
        <v>76</v>
      </c>
    </row>
    <row r="1583" spans="1:7" s="291" customFormat="1" hidden="1" x14ac:dyDescent="0.3">
      <c r="A1583" s="205">
        <v>45863</v>
      </c>
      <c r="B1583" s="10" t="s">
        <v>211</v>
      </c>
      <c r="C1583" s="26" t="s">
        <v>32</v>
      </c>
      <c r="D1583" s="26" t="s">
        <v>935</v>
      </c>
      <c r="E1583" s="19">
        <v>-2258</v>
      </c>
      <c r="F1583" s="25" t="s">
        <v>8</v>
      </c>
      <c r="G1583" s="20" t="s">
        <v>76</v>
      </c>
    </row>
    <row r="1584" spans="1:7" s="291" customFormat="1" ht="13.8" hidden="1" customHeight="1" x14ac:dyDescent="0.3">
      <c r="A1584" s="205">
        <v>45863</v>
      </c>
      <c r="B1584" s="10" t="s">
        <v>211</v>
      </c>
      <c r="C1584" s="26" t="s">
        <v>17</v>
      </c>
      <c r="D1584" s="26" t="s">
        <v>979</v>
      </c>
      <c r="E1584" s="19">
        <v>-176.4</v>
      </c>
      <c r="F1584" s="25" t="s">
        <v>8</v>
      </c>
      <c r="G1584" s="20" t="s">
        <v>83</v>
      </c>
    </row>
    <row r="1585" spans="1:7" s="291" customFormat="1" hidden="1" x14ac:dyDescent="0.3">
      <c r="A1585" s="205">
        <v>45863</v>
      </c>
      <c r="B1585" s="10" t="s">
        <v>211</v>
      </c>
      <c r="C1585" s="26" t="s">
        <v>25</v>
      </c>
      <c r="D1585" s="26" t="s">
        <v>980</v>
      </c>
      <c r="E1585" s="19">
        <v>-284.39999999999998</v>
      </c>
      <c r="F1585" s="25" t="s">
        <v>8</v>
      </c>
      <c r="G1585" s="20" t="s">
        <v>83</v>
      </c>
    </row>
    <row r="1586" spans="1:7" s="291" customFormat="1" hidden="1" x14ac:dyDescent="0.3">
      <c r="A1586" s="205">
        <v>45863</v>
      </c>
      <c r="B1586" s="10" t="s">
        <v>211</v>
      </c>
      <c r="C1586" s="26" t="s">
        <v>25</v>
      </c>
      <c r="D1586" s="26" t="s">
        <v>981</v>
      </c>
      <c r="E1586" s="19">
        <v>-345.6</v>
      </c>
      <c r="F1586" s="25" t="s">
        <v>8</v>
      </c>
      <c r="G1586" s="20" t="s">
        <v>83</v>
      </c>
    </row>
    <row r="1587" spans="1:7" s="291" customFormat="1" hidden="1" x14ac:dyDescent="0.3">
      <c r="A1587" s="205">
        <v>45863</v>
      </c>
      <c r="B1587" s="10" t="s">
        <v>211</v>
      </c>
      <c r="C1587" s="26" t="s">
        <v>25</v>
      </c>
      <c r="D1587" s="26" t="s">
        <v>982</v>
      </c>
      <c r="E1587" s="19">
        <v>-1000</v>
      </c>
      <c r="F1587" s="25" t="s">
        <v>8</v>
      </c>
      <c r="G1587" s="20" t="s">
        <v>27</v>
      </c>
    </row>
    <row r="1588" spans="1:7" s="291" customFormat="1" hidden="1" x14ac:dyDescent="0.3">
      <c r="A1588" s="205">
        <v>45863</v>
      </c>
      <c r="B1588" s="10" t="s">
        <v>211</v>
      </c>
      <c r="C1588" s="26" t="s">
        <v>6</v>
      </c>
      <c r="D1588" s="26" t="s">
        <v>652</v>
      </c>
      <c r="E1588" s="19">
        <v>-2688.37</v>
      </c>
      <c r="F1588" s="25" t="s">
        <v>8</v>
      </c>
      <c r="G1588" s="20" t="s">
        <v>189</v>
      </c>
    </row>
    <row r="1589" spans="1:7" s="291" customFormat="1" hidden="1" x14ac:dyDescent="0.3">
      <c r="A1589" s="205">
        <v>45863</v>
      </c>
      <c r="B1589" s="10" t="s">
        <v>211</v>
      </c>
      <c r="C1589" s="63" t="s">
        <v>72</v>
      </c>
      <c r="D1589" s="26" t="s">
        <v>992</v>
      </c>
      <c r="E1589" s="19">
        <v>-1500</v>
      </c>
      <c r="F1589" s="25" t="s">
        <v>8</v>
      </c>
      <c r="G1589" s="20" t="s">
        <v>15</v>
      </c>
    </row>
    <row r="1590" spans="1:7" s="291" customFormat="1" hidden="1" x14ac:dyDescent="0.3">
      <c r="A1590" s="205">
        <v>45863</v>
      </c>
      <c r="B1590" s="10" t="s">
        <v>211</v>
      </c>
      <c r="C1590" s="63" t="s">
        <v>72</v>
      </c>
      <c r="D1590" s="26" t="s">
        <v>994</v>
      </c>
      <c r="E1590" s="19">
        <v>-1500</v>
      </c>
      <c r="F1590" s="25" t="s">
        <v>8</v>
      </c>
      <c r="G1590" s="20" t="s">
        <v>15</v>
      </c>
    </row>
    <row r="1591" spans="1:7" s="291" customFormat="1" hidden="1" x14ac:dyDescent="0.3">
      <c r="A1591" s="201">
        <v>45863</v>
      </c>
      <c r="B1591" s="50" t="s">
        <v>211</v>
      </c>
      <c r="C1591" s="243" t="s">
        <v>6</v>
      </c>
      <c r="D1591" s="243" t="s">
        <v>993</v>
      </c>
      <c r="E1591" s="204">
        <v>-1399</v>
      </c>
      <c r="F1591" s="51" t="s">
        <v>8</v>
      </c>
      <c r="G1591" s="232" t="s">
        <v>27</v>
      </c>
    </row>
    <row r="1592" spans="1:7" s="291" customFormat="1" hidden="1" x14ac:dyDescent="0.3">
      <c r="A1592" s="205">
        <v>45925</v>
      </c>
      <c r="B1592" s="252" t="s">
        <v>213</v>
      </c>
      <c r="C1592" s="26" t="s">
        <v>6</v>
      </c>
      <c r="D1592" s="26" t="s">
        <v>652</v>
      </c>
      <c r="E1592" s="19">
        <v>-2688.37</v>
      </c>
      <c r="F1592" s="25" t="s">
        <v>8</v>
      </c>
      <c r="G1592" s="20" t="s">
        <v>189</v>
      </c>
    </row>
    <row r="1593" spans="1:7" s="291" customFormat="1" hidden="1" x14ac:dyDescent="0.3">
      <c r="A1593" s="205">
        <v>45925</v>
      </c>
      <c r="B1593" s="252" t="s">
        <v>213</v>
      </c>
      <c r="C1593" s="24" t="s">
        <v>6</v>
      </c>
      <c r="D1593" s="13" t="s">
        <v>1546</v>
      </c>
      <c r="E1593" s="28">
        <v>-294.8</v>
      </c>
      <c r="F1593" s="25" t="s">
        <v>8</v>
      </c>
      <c r="G1593" s="14" t="s">
        <v>139</v>
      </c>
    </row>
    <row r="1594" spans="1:7" s="291" customFormat="1" hidden="1" x14ac:dyDescent="0.3">
      <c r="A1594" s="205">
        <v>45925</v>
      </c>
      <c r="B1594" s="252" t="s">
        <v>213</v>
      </c>
      <c r="C1594" s="26" t="s">
        <v>44</v>
      </c>
      <c r="D1594" s="26" t="s">
        <v>208</v>
      </c>
      <c r="E1594" s="19">
        <v>-4484.68</v>
      </c>
      <c r="F1594" s="25" t="s">
        <v>8</v>
      </c>
      <c r="G1594" s="14" t="s">
        <v>233</v>
      </c>
    </row>
    <row r="1595" spans="1:7" s="291" customFormat="1" hidden="1" x14ac:dyDescent="0.3">
      <c r="A1595" s="205">
        <v>45925</v>
      </c>
      <c r="B1595" s="252" t="s">
        <v>213</v>
      </c>
      <c r="C1595" s="26" t="s">
        <v>72</v>
      </c>
      <c r="D1595" s="26" t="s">
        <v>206</v>
      </c>
      <c r="E1595" s="19">
        <v>-886.67</v>
      </c>
      <c r="F1595" s="25" t="s">
        <v>8</v>
      </c>
      <c r="G1595" s="14" t="s">
        <v>207</v>
      </c>
    </row>
    <row r="1596" spans="1:7" s="291" customFormat="1" hidden="1" x14ac:dyDescent="0.3">
      <c r="A1596" s="205">
        <v>45925</v>
      </c>
      <c r="B1596" s="252" t="s">
        <v>213</v>
      </c>
      <c r="C1596" s="26" t="s">
        <v>6</v>
      </c>
      <c r="D1596" s="26" t="s">
        <v>1525</v>
      </c>
      <c r="E1596" s="569">
        <v>-2000</v>
      </c>
      <c r="F1596" s="25" t="s">
        <v>8</v>
      </c>
      <c r="G1596" s="20" t="s">
        <v>189</v>
      </c>
    </row>
    <row r="1597" spans="1:7" s="291" customFormat="1" hidden="1" x14ac:dyDescent="0.3">
      <c r="A1597" s="205">
        <v>45925</v>
      </c>
      <c r="B1597" s="252" t="s">
        <v>213</v>
      </c>
      <c r="C1597" s="24" t="s">
        <v>25</v>
      </c>
      <c r="D1597" s="13" t="s">
        <v>1549</v>
      </c>
      <c r="E1597" s="28">
        <v>-1956.28</v>
      </c>
      <c r="F1597" s="25" t="s">
        <v>8</v>
      </c>
      <c r="G1597" s="214" t="s">
        <v>156</v>
      </c>
    </row>
    <row r="1598" spans="1:7" s="291" customFormat="1" hidden="1" x14ac:dyDescent="0.3">
      <c r="A1598" s="252">
        <v>45919</v>
      </c>
      <c r="B1598" s="252" t="s">
        <v>213</v>
      </c>
      <c r="C1598" s="24" t="s">
        <v>17</v>
      </c>
      <c r="D1598" s="13" t="s">
        <v>143</v>
      </c>
      <c r="E1598" s="28">
        <v>-9980</v>
      </c>
      <c r="F1598" s="25" t="s">
        <v>8</v>
      </c>
      <c r="G1598" s="14" t="s">
        <v>59</v>
      </c>
    </row>
    <row r="1599" spans="1:7" s="291" customFormat="1" hidden="1" x14ac:dyDescent="0.3">
      <c r="A1599" s="205">
        <v>45929</v>
      </c>
      <c r="B1599" s="252" t="s">
        <v>213</v>
      </c>
      <c r="C1599" s="26" t="s">
        <v>44</v>
      </c>
      <c r="D1599" s="26" t="s">
        <v>141</v>
      </c>
      <c r="E1599" s="19">
        <v>-536.6</v>
      </c>
      <c r="F1599" s="25" t="s">
        <v>8</v>
      </c>
      <c r="G1599" s="20" t="s">
        <v>142</v>
      </c>
    </row>
    <row r="1600" spans="1:7" s="291" customFormat="1" hidden="1" x14ac:dyDescent="0.3">
      <c r="A1600" s="205">
        <v>45929</v>
      </c>
      <c r="B1600" s="252" t="s">
        <v>213</v>
      </c>
      <c r="C1600" s="24" t="s">
        <v>13</v>
      </c>
      <c r="D1600" s="24" t="s">
        <v>144</v>
      </c>
      <c r="E1600" s="28">
        <v>-500</v>
      </c>
      <c r="F1600" s="25" t="s">
        <v>8</v>
      </c>
      <c r="G1600" s="14" t="s">
        <v>69</v>
      </c>
    </row>
    <row r="1601" spans="1:7" s="291" customFormat="1" hidden="1" x14ac:dyDescent="0.3">
      <c r="A1601" s="205">
        <v>45930</v>
      </c>
      <c r="B1601" s="252" t="s">
        <v>213</v>
      </c>
      <c r="C1601" s="27" t="s">
        <v>65</v>
      </c>
      <c r="D1601" s="13" t="s">
        <v>97</v>
      </c>
      <c r="E1601" s="28">
        <v>-5000</v>
      </c>
      <c r="F1601" s="14" t="s">
        <v>8</v>
      </c>
      <c r="G1601" s="14" t="s">
        <v>39</v>
      </c>
    </row>
    <row r="1602" spans="1:7" s="291" customFormat="1" hidden="1" x14ac:dyDescent="0.3">
      <c r="A1602" s="205">
        <v>45930</v>
      </c>
      <c r="B1602" s="252" t="s">
        <v>213</v>
      </c>
      <c r="C1602" s="17" t="s">
        <v>17</v>
      </c>
      <c r="D1602" s="18" t="s">
        <v>145</v>
      </c>
      <c r="E1602" s="28">
        <v>-2530.4299999999998</v>
      </c>
      <c r="F1602" s="25" t="s">
        <v>8</v>
      </c>
      <c r="G1602" s="14" t="s">
        <v>69</v>
      </c>
    </row>
    <row r="1603" spans="1:7" s="291" customFormat="1" hidden="1" x14ac:dyDescent="0.3">
      <c r="A1603" s="205">
        <v>45930</v>
      </c>
      <c r="B1603" s="252" t="s">
        <v>213</v>
      </c>
      <c r="C1603" s="17" t="s">
        <v>17</v>
      </c>
      <c r="D1603" s="18" t="s">
        <v>145</v>
      </c>
      <c r="E1603" s="28">
        <v>-1339.5</v>
      </c>
      <c r="F1603" s="25" t="s">
        <v>8</v>
      </c>
      <c r="G1603" s="14" t="s">
        <v>69</v>
      </c>
    </row>
    <row r="1604" spans="1:7" s="514" customFormat="1" ht="2.4" hidden="1" customHeight="1" x14ac:dyDescent="0.3">
      <c r="A1604" s="626">
        <v>45905</v>
      </c>
      <c r="B1604" s="626" t="s">
        <v>213</v>
      </c>
      <c r="C1604" s="592" t="s">
        <v>17</v>
      </c>
      <c r="D1604" s="592" t="s">
        <v>1468</v>
      </c>
      <c r="E1604" s="512">
        <v>-15000</v>
      </c>
      <c r="F1604" s="513" t="s">
        <v>8</v>
      </c>
      <c r="G1604" s="519" t="s">
        <v>41</v>
      </c>
    </row>
    <row r="1605" spans="1:7" s="514" customFormat="1" hidden="1" x14ac:dyDescent="0.3">
      <c r="A1605" s="626">
        <v>45908</v>
      </c>
      <c r="B1605" s="626" t="s">
        <v>213</v>
      </c>
      <c r="C1605" s="592" t="s">
        <v>31</v>
      </c>
      <c r="D1605" s="592" t="s">
        <v>1552</v>
      </c>
      <c r="E1605" s="512">
        <v>-1200</v>
      </c>
      <c r="F1605" s="513" t="s">
        <v>8</v>
      </c>
      <c r="G1605" s="519" t="s">
        <v>27</v>
      </c>
    </row>
    <row r="1606" spans="1:7" s="514" customFormat="1" hidden="1" x14ac:dyDescent="0.3">
      <c r="A1606" s="626">
        <v>45908</v>
      </c>
      <c r="B1606" s="626" t="s">
        <v>213</v>
      </c>
      <c r="C1606" s="592" t="s">
        <v>31</v>
      </c>
      <c r="D1606" s="592" t="s">
        <v>1551</v>
      </c>
      <c r="E1606" s="512">
        <v>-1100</v>
      </c>
      <c r="F1606" s="513" t="s">
        <v>8</v>
      </c>
      <c r="G1606" s="519" t="s">
        <v>27</v>
      </c>
    </row>
    <row r="1607" spans="1:7" s="514" customFormat="1" hidden="1" x14ac:dyDescent="0.3">
      <c r="A1607" s="626">
        <v>45908</v>
      </c>
      <c r="B1607" s="626" t="s">
        <v>213</v>
      </c>
      <c r="C1607" s="592" t="s">
        <v>31</v>
      </c>
      <c r="D1607" s="592" t="s">
        <v>1553</v>
      </c>
      <c r="E1607" s="512">
        <v>-200</v>
      </c>
      <c r="F1607" s="513" t="s">
        <v>8</v>
      </c>
      <c r="G1607" s="519" t="s">
        <v>27</v>
      </c>
    </row>
    <row r="1608" spans="1:7" s="514" customFormat="1" hidden="1" x14ac:dyDescent="0.3">
      <c r="A1608" s="626">
        <v>45908</v>
      </c>
      <c r="B1608" s="626" t="s">
        <v>213</v>
      </c>
      <c r="C1608" s="592" t="s">
        <v>31</v>
      </c>
      <c r="D1608" s="592" t="s">
        <v>1554</v>
      </c>
      <c r="E1608" s="512">
        <v>-1000</v>
      </c>
      <c r="F1608" s="513" t="s">
        <v>8</v>
      </c>
      <c r="G1608" s="519" t="s">
        <v>27</v>
      </c>
    </row>
    <row r="1609" spans="1:7" s="514" customFormat="1" hidden="1" x14ac:dyDescent="0.3">
      <c r="A1609" s="626">
        <v>45908</v>
      </c>
      <c r="B1609" s="626" t="s">
        <v>213</v>
      </c>
      <c r="C1609" s="592" t="s">
        <v>31</v>
      </c>
      <c r="D1609" s="592" t="s">
        <v>1555</v>
      </c>
      <c r="E1609" s="512">
        <v>-750</v>
      </c>
      <c r="F1609" s="513" t="s">
        <v>8</v>
      </c>
      <c r="G1609" s="519" t="s">
        <v>27</v>
      </c>
    </row>
    <row r="1610" spans="1:7" s="514" customFormat="1" hidden="1" x14ac:dyDescent="0.3">
      <c r="A1610" s="626">
        <v>45908</v>
      </c>
      <c r="B1610" s="626" t="s">
        <v>213</v>
      </c>
      <c r="C1610" s="592" t="s">
        <v>31</v>
      </c>
      <c r="D1610" s="592" t="s">
        <v>1556</v>
      </c>
      <c r="E1610" s="512">
        <v>-900</v>
      </c>
      <c r="F1610" s="513" t="s">
        <v>8</v>
      </c>
      <c r="G1610" s="519" t="s">
        <v>27</v>
      </c>
    </row>
    <row r="1611" spans="1:7" s="514" customFormat="1" hidden="1" x14ac:dyDescent="0.3">
      <c r="A1611" s="626">
        <v>45908</v>
      </c>
      <c r="B1611" s="626" t="s">
        <v>213</v>
      </c>
      <c r="C1611" s="592" t="s">
        <v>31</v>
      </c>
      <c r="D1611" s="592" t="s">
        <v>1557</v>
      </c>
      <c r="E1611" s="512">
        <v>-1000</v>
      </c>
      <c r="F1611" s="513" t="s">
        <v>8</v>
      </c>
      <c r="G1611" s="519" t="s">
        <v>27</v>
      </c>
    </row>
    <row r="1612" spans="1:7" s="514" customFormat="1" hidden="1" x14ac:dyDescent="0.3">
      <c r="A1612" s="626">
        <v>45908</v>
      </c>
      <c r="B1612" s="626" t="s">
        <v>213</v>
      </c>
      <c r="C1612" s="592" t="s">
        <v>31</v>
      </c>
      <c r="D1612" s="592" t="s">
        <v>1550</v>
      </c>
      <c r="E1612" s="512">
        <v>-500</v>
      </c>
      <c r="F1612" s="513" t="s">
        <v>8</v>
      </c>
      <c r="G1612" s="519" t="s">
        <v>142</v>
      </c>
    </row>
    <row r="1613" spans="1:7" s="514" customFormat="1" hidden="1" x14ac:dyDescent="0.3">
      <c r="A1613" s="626">
        <v>45905</v>
      </c>
      <c r="B1613" s="626" t="s">
        <v>213</v>
      </c>
      <c r="C1613" s="592" t="s">
        <v>44</v>
      </c>
      <c r="D1613" s="592" t="s">
        <v>1509</v>
      </c>
      <c r="E1613" s="512">
        <v>-810</v>
      </c>
      <c r="F1613" s="513" t="s">
        <v>8</v>
      </c>
      <c r="G1613" s="519" t="s">
        <v>142</v>
      </c>
    </row>
    <row r="1614" spans="1:7" s="514" customFormat="1" hidden="1" x14ac:dyDescent="0.3">
      <c r="A1614" s="626">
        <v>45905</v>
      </c>
      <c r="B1614" s="626" t="s">
        <v>213</v>
      </c>
      <c r="C1614" s="592" t="s">
        <v>31</v>
      </c>
      <c r="D1614" s="592" t="s">
        <v>1507</v>
      </c>
      <c r="E1614" s="512">
        <v>-1446.81</v>
      </c>
      <c r="F1614" s="513" t="s">
        <v>8</v>
      </c>
      <c r="G1614" s="518" t="s">
        <v>76</v>
      </c>
    </row>
    <row r="1615" spans="1:7" s="514" customFormat="1" hidden="1" x14ac:dyDescent="0.3">
      <c r="A1615" s="626">
        <v>45905</v>
      </c>
      <c r="B1615" s="626" t="s">
        <v>213</v>
      </c>
      <c r="C1615" s="592" t="s">
        <v>33</v>
      </c>
      <c r="D1615" s="592" t="s">
        <v>1095</v>
      </c>
      <c r="E1615" s="512">
        <v>-3356.61</v>
      </c>
      <c r="F1615" s="513" t="s">
        <v>8</v>
      </c>
      <c r="G1615" s="518" t="s">
        <v>76</v>
      </c>
    </row>
    <row r="1616" spans="1:7" s="514" customFormat="1" hidden="1" x14ac:dyDescent="0.3">
      <c r="A1616" s="626">
        <v>45905</v>
      </c>
      <c r="B1616" s="626" t="s">
        <v>213</v>
      </c>
      <c r="C1616" s="592" t="s">
        <v>33</v>
      </c>
      <c r="D1616" s="592" t="s">
        <v>1469</v>
      </c>
      <c r="E1616" s="512">
        <v>-485.24</v>
      </c>
      <c r="F1616" s="513" t="s">
        <v>8</v>
      </c>
      <c r="G1616" s="518" t="s">
        <v>76</v>
      </c>
    </row>
    <row r="1617" spans="1:7" s="514" customFormat="1" hidden="1" x14ac:dyDescent="0.3">
      <c r="A1617" s="626">
        <v>45905</v>
      </c>
      <c r="B1617" s="626" t="s">
        <v>213</v>
      </c>
      <c r="C1617" s="592" t="s">
        <v>17</v>
      </c>
      <c r="D1617" s="592" t="s">
        <v>469</v>
      </c>
      <c r="E1617" s="512">
        <v>-2696.79</v>
      </c>
      <c r="F1617" s="513" t="s">
        <v>8</v>
      </c>
      <c r="G1617" s="518" t="s">
        <v>76</v>
      </c>
    </row>
    <row r="1618" spans="1:7" s="514" customFormat="1" hidden="1" x14ac:dyDescent="0.3">
      <c r="A1618" s="626">
        <v>45905</v>
      </c>
      <c r="B1618" s="626" t="s">
        <v>213</v>
      </c>
      <c r="C1618" s="592" t="s">
        <v>17</v>
      </c>
      <c r="D1618" s="592" t="s">
        <v>1506</v>
      </c>
      <c r="E1618" s="512">
        <v>-55</v>
      </c>
      <c r="F1618" s="513" t="s">
        <v>8</v>
      </c>
      <c r="G1618" s="518" t="s">
        <v>83</v>
      </c>
    </row>
    <row r="1619" spans="1:7" s="514" customFormat="1" hidden="1" x14ac:dyDescent="0.3">
      <c r="A1619" s="626">
        <v>45908</v>
      </c>
      <c r="B1619" s="626" t="s">
        <v>213</v>
      </c>
      <c r="C1619" s="592" t="s">
        <v>25</v>
      </c>
      <c r="D1619" s="592" t="s">
        <v>1506</v>
      </c>
      <c r="E1619" s="512">
        <v>-122.4</v>
      </c>
      <c r="F1619" s="513" t="s">
        <v>8</v>
      </c>
      <c r="G1619" s="519" t="s">
        <v>83</v>
      </c>
    </row>
    <row r="1620" spans="1:7" s="291" customFormat="1" hidden="1" x14ac:dyDescent="0.3">
      <c r="A1620" s="205">
        <v>45930</v>
      </c>
      <c r="B1620" s="252" t="s">
        <v>213</v>
      </c>
      <c r="C1620" s="24" t="s">
        <v>81</v>
      </c>
      <c r="D1620" s="13" t="s">
        <v>82</v>
      </c>
      <c r="E1620" s="28">
        <v>-15000</v>
      </c>
      <c r="F1620" s="25" t="s">
        <v>8</v>
      </c>
      <c r="G1620" s="14" t="s">
        <v>83</v>
      </c>
    </row>
    <row r="1621" spans="1:7" s="291" customFormat="1" hidden="1" x14ac:dyDescent="0.3">
      <c r="A1621" s="252">
        <v>45926</v>
      </c>
      <c r="B1621" s="252" t="s">
        <v>213</v>
      </c>
      <c r="C1621" s="668" t="s">
        <v>44</v>
      </c>
      <c r="D1621" s="668" t="s">
        <v>592</v>
      </c>
      <c r="E1621" s="669">
        <v>-371.04</v>
      </c>
      <c r="F1621" s="25" t="s">
        <v>8</v>
      </c>
      <c r="G1621" s="14" t="s">
        <v>207</v>
      </c>
    </row>
    <row r="1622" spans="1:7" s="291" customFormat="1" hidden="1" x14ac:dyDescent="0.3">
      <c r="A1622" s="252">
        <v>45926</v>
      </c>
      <c r="B1622" s="252" t="s">
        <v>213</v>
      </c>
      <c r="C1622" s="24" t="s">
        <v>17</v>
      </c>
      <c r="D1622" s="13" t="s">
        <v>143</v>
      </c>
      <c r="E1622" s="28">
        <v>-9980</v>
      </c>
      <c r="F1622" s="25" t="s">
        <v>8</v>
      </c>
      <c r="G1622" s="14" t="s">
        <v>59</v>
      </c>
    </row>
    <row r="1623" spans="1:7" s="291" customFormat="1" hidden="1" x14ac:dyDescent="0.3">
      <c r="A1623" s="205">
        <v>45930</v>
      </c>
      <c r="B1623" s="252" t="s">
        <v>213</v>
      </c>
      <c r="C1623" s="24" t="s">
        <v>17</v>
      </c>
      <c r="D1623" s="13" t="s">
        <v>143</v>
      </c>
      <c r="E1623" s="28">
        <v>-23498.18</v>
      </c>
      <c r="F1623" s="25" t="s">
        <v>8</v>
      </c>
      <c r="G1623" s="14" t="s">
        <v>59</v>
      </c>
    </row>
    <row r="1624" spans="1:7" s="291" customFormat="1" hidden="1" x14ac:dyDescent="0.3">
      <c r="A1624" s="205">
        <v>45930</v>
      </c>
      <c r="B1624" s="252" t="s">
        <v>213</v>
      </c>
      <c r="C1624" s="24" t="s">
        <v>6</v>
      </c>
      <c r="D1624" s="13" t="s">
        <v>147</v>
      </c>
      <c r="E1624" s="28">
        <v>-35000</v>
      </c>
      <c r="F1624" s="25" t="s">
        <v>8</v>
      </c>
      <c r="G1624" s="257" t="s">
        <v>127</v>
      </c>
    </row>
    <row r="1625" spans="1:7" s="291" customFormat="1" hidden="1" x14ac:dyDescent="0.3">
      <c r="A1625" s="205">
        <v>45930</v>
      </c>
      <c r="B1625" s="252" t="s">
        <v>213</v>
      </c>
      <c r="C1625" s="24" t="s">
        <v>6</v>
      </c>
      <c r="D1625" s="13" t="s">
        <v>148</v>
      </c>
      <c r="E1625" s="28">
        <v>-7000</v>
      </c>
      <c r="F1625" s="25" t="s">
        <v>8</v>
      </c>
      <c r="G1625" s="14" t="s">
        <v>99</v>
      </c>
    </row>
    <row r="1626" spans="1:7" s="291" customFormat="1" hidden="1" x14ac:dyDescent="0.3">
      <c r="A1626" s="205">
        <v>45930</v>
      </c>
      <c r="B1626" s="252" t="s">
        <v>213</v>
      </c>
      <c r="C1626" s="24" t="s">
        <v>17</v>
      </c>
      <c r="D1626" s="18" t="s">
        <v>149</v>
      </c>
      <c r="E1626" s="28">
        <v>-1500</v>
      </c>
      <c r="F1626" s="25" t="s">
        <v>8</v>
      </c>
      <c r="G1626" s="14" t="s">
        <v>150</v>
      </c>
    </row>
    <row r="1627" spans="1:7" s="291" customFormat="1" hidden="1" x14ac:dyDescent="0.3">
      <c r="A1627" s="205">
        <v>45930</v>
      </c>
      <c r="B1627" s="252" t="s">
        <v>213</v>
      </c>
      <c r="C1627" s="24" t="s">
        <v>17</v>
      </c>
      <c r="D1627" s="18" t="s">
        <v>151</v>
      </c>
      <c r="E1627" s="28">
        <v>-100</v>
      </c>
      <c r="F1627" s="25" t="s">
        <v>8</v>
      </c>
      <c r="G1627" s="14" t="s">
        <v>150</v>
      </c>
    </row>
    <row r="1628" spans="1:7" s="291" customFormat="1" hidden="1" x14ac:dyDescent="0.3">
      <c r="A1628" s="205">
        <v>45930</v>
      </c>
      <c r="B1628" s="252" t="s">
        <v>213</v>
      </c>
      <c r="C1628" s="24" t="s">
        <v>13</v>
      </c>
      <c r="D1628" s="13" t="s">
        <v>152</v>
      </c>
      <c r="E1628" s="28">
        <v>-800</v>
      </c>
      <c r="F1628" s="25" t="s">
        <v>8</v>
      </c>
      <c r="G1628" s="14" t="s">
        <v>153</v>
      </c>
    </row>
    <row r="1629" spans="1:7" s="291" customFormat="1" hidden="1" x14ac:dyDescent="0.3">
      <c r="A1629" s="205">
        <v>45930</v>
      </c>
      <c r="B1629" s="252" t="s">
        <v>213</v>
      </c>
      <c r="C1629" s="26" t="s">
        <v>17</v>
      </c>
      <c r="D1629" s="26" t="s">
        <v>519</v>
      </c>
      <c r="E1629" s="19">
        <v>-3256.25</v>
      </c>
      <c r="F1629" s="25" t="s">
        <v>8</v>
      </c>
      <c r="G1629" s="25" t="s">
        <v>155</v>
      </c>
    </row>
    <row r="1630" spans="1:7" s="291" customFormat="1" hidden="1" x14ac:dyDescent="0.3">
      <c r="A1630" s="205">
        <v>45930</v>
      </c>
      <c r="B1630" s="252" t="s">
        <v>213</v>
      </c>
      <c r="C1630" s="26" t="s">
        <v>72</v>
      </c>
      <c r="D1630" s="26" t="s">
        <v>209</v>
      </c>
      <c r="E1630" s="19">
        <v>-2141.69</v>
      </c>
      <c r="F1630" s="25" t="s">
        <v>8</v>
      </c>
      <c r="G1630" s="26" t="s">
        <v>233</v>
      </c>
    </row>
    <row r="1631" spans="1:7" s="291" customFormat="1" hidden="1" x14ac:dyDescent="0.3">
      <c r="A1631" s="205">
        <v>45930</v>
      </c>
      <c r="B1631" s="252" t="s">
        <v>213</v>
      </c>
      <c r="C1631" s="24" t="s">
        <v>6</v>
      </c>
      <c r="D1631" s="18" t="s">
        <v>154</v>
      </c>
      <c r="E1631" s="28">
        <v>-34000</v>
      </c>
      <c r="F1631" s="25" t="s">
        <v>8</v>
      </c>
      <c r="G1631" s="25" t="s">
        <v>155</v>
      </c>
    </row>
    <row r="1632" spans="1:7" s="291" customFormat="1" hidden="1" x14ac:dyDescent="0.3">
      <c r="A1632" s="205">
        <v>45930</v>
      </c>
      <c r="B1632" s="252" t="s">
        <v>213</v>
      </c>
      <c r="C1632" s="24" t="s">
        <v>17</v>
      </c>
      <c r="D1632" s="26" t="s">
        <v>809</v>
      </c>
      <c r="E1632" s="28">
        <v>-56900</v>
      </c>
      <c r="F1632" s="25" t="s">
        <v>8</v>
      </c>
      <c r="G1632" s="25" t="s">
        <v>156</v>
      </c>
    </row>
    <row r="1633" spans="1:7" s="291" customFormat="1" hidden="1" x14ac:dyDescent="0.3">
      <c r="A1633" s="205">
        <v>45930</v>
      </c>
      <c r="B1633" s="252" t="s">
        <v>213</v>
      </c>
      <c r="C1633" s="24" t="s">
        <v>17</v>
      </c>
      <c r="D1633" s="18" t="s">
        <v>157</v>
      </c>
      <c r="E1633" s="28">
        <v>-7000</v>
      </c>
      <c r="F1633" s="25" t="s">
        <v>8</v>
      </c>
      <c r="G1633" s="257" t="s">
        <v>127</v>
      </c>
    </row>
    <row r="1634" spans="1:7" s="291" customFormat="1" hidden="1" x14ac:dyDescent="0.3">
      <c r="A1634" s="205">
        <v>45930</v>
      </c>
      <c r="B1634" s="252" t="s">
        <v>213</v>
      </c>
      <c r="C1634" s="24" t="s">
        <v>44</v>
      </c>
      <c r="D1634" s="18" t="s">
        <v>158</v>
      </c>
      <c r="E1634" s="28">
        <v>-600</v>
      </c>
      <c r="F1634" s="25" t="s">
        <v>8</v>
      </c>
      <c r="G1634" s="257" t="s">
        <v>127</v>
      </c>
    </row>
    <row r="1635" spans="1:7" s="291" customFormat="1" hidden="1" x14ac:dyDescent="0.3">
      <c r="A1635" s="205">
        <v>45930</v>
      </c>
      <c r="B1635" s="252" t="s">
        <v>213</v>
      </c>
      <c r="C1635" s="24" t="s">
        <v>44</v>
      </c>
      <c r="D1635" s="18" t="s">
        <v>159</v>
      </c>
      <c r="E1635" s="28">
        <v>-4000</v>
      </c>
      <c r="F1635" s="25" t="s">
        <v>8</v>
      </c>
      <c r="G1635" s="257" t="s">
        <v>127</v>
      </c>
    </row>
    <row r="1636" spans="1:7" s="291" customFormat="1" hidden="1" x14ac:dyDescent="0.3">
      <c r="A1636" s="205">
        <v>45930</v>
      </c>
      <c r="B1636" s="252" t="s">
        <v>213</v>
      </c>
      <c r="C1636" s="24" t="s">
        <v>81</v>
      </c>
      <c r="D1636" s="13" t="s">
        <v>160</v>
      </c>
      <c r="E1636" s="28">
        <v>-9000</v>
      </c>
      <c r="F1636" s="25" t="s">
        <v>8</v>
      </c>
      <c r="G1636" s="257" t="s">
        <v>127</v>
      </c>
    </row>
    <row r="1637" spans="1:7" s="291" customFormat="1" hidden="1" x14ac:dyDescent="0.3">
      <c r="A1637" s="205">
        <v>45930</v>
      </c>
      <c r="B1637" s="252" t="s">
        <v>213</v>
      </c>
      <c r="C1637" s="24" t="s">
        <v>44</v>
      </c>
      <c r="D1637" s="13" t="s">
        <v>161</v>
      </c>
      <c r="E1637" s="28">
        <v>-1719.53</v>
      </c>
      <c r="F1637" s="25" t="s">
        <v>8</v>
      </c>
      <c r="G1637" s="25" t="s">
        <v>93</v>
      </c>
    </row>
    <row r="1638" spans="1:7" s="291" customFormat="1" hidden="1" x14ac:dyDescent="0.3">
      <c r="A1638" s="205">
        <v>45930</v>
      </c>
      <c r="B1638" s="252" t="s">
        <v>213</v>
      </c>
      <c r="C1638" s="24" t="s">
        <v>6</v>
      </c>
      <c r="D1638" s="13" t="s">
        <v>161</v>
      </c>
      <c r="E1638" s="28">
        <v>-1392.65</v>
      </c>
      <c r="F1638" s="25" t="s">
        <v>8</v>
      </c>
      <c r="G1638" s="25" t="s">
        <v>93</v>
      </c>
    </row>
    <row r="1639" spans="1:7" hidden="1" x14ac:dyDescent="0.3">
      <c r="A1639" s="275">
        <v>45903</v>
      </c>
      <c r="B1639" s="275" t="s">
        <v>213</v>
      </c>
      <c r="C1639" s="272" t="s">
        <v>162</v>
      </c>
      <c r="D1639" s="53" t="s">
        <v>163</v>
      </c>
      <c r="E1639" s="100">
        <v>23638.67</v>
      </c>
      <c r="F1639" s="110" t="s">
        <v>164</v>
      </c>
      <c r="G1639" s="137" t="s">
        <v>165</v>
      </c>
    </row>
    <row r="1640" spans="1:7" hidden="1" x14ac:dyDescent="0.3">
      <c r="A1640" s="275">
        <v>45903</v>
      </c>
      <c r="B1640" s="275" t="s">
        <v>213</v>
      </c>
      <c r="C1640" s="272" t="s">
        <v>166</v>
      </c>
      <c r="D1640" s="53" t="s">
        <v>167</v>
      </c>
      <c r="E1640" s="100">
        <v>799.2</v>
      </c>
      <c r="F1640" s="110" t="s">
        <v>164</v>
      </c>
      <c r="G1640" s="137" t="s">
        <v>165</v>
      </c>
    </row>
    <row r="1641" spans="1:7" hidden="1" x14ac:dyDescent="0.3">
      <c r="A1641" s="275">
        <v>45903</v>
      </c>
      <c r="B1641" s="275" t="s">
        <v>213</v>
      </c>
      <c r="C1641" s="272" t="s">
        <v>166</v>
      </c>
      <c r="D1641" s="53" t="s">
        <v>167</v>
      </c>
      <c r="E1641" s="100">
        <v>18532.8</v>
      </c>
      <c r="F1641" s="110" t="s">
        <v>164</v>
      </c>
      <c r="G1641" s="137" t="s">
        <v>165</v>
      </c>
    </row>
    <row r="1642" spans="1:7" hidden="1" x14ac:dyDescent="0.3">
      <c r="A1642" s="275">
        <v>45903</v>
      </c>
      <c r="B1642" s="275" t="s">
        <v>213</v>
      </c>
      <c r="C1642" s="272" t="s">
        <v>166</v>
      </c>
      <c r="D1642" s="53" t="s">
        <v>167</v>
      </c>
      <c r="E1642" s="100">
        <v>1200</v>
      </c>
      <c r="F1642" s="110" t="s">
        <v>164</v>
      </c>
      <c r="G1642" s="137" t="s">
        <v>165</v>
      </c>
    </row>
    <row r="1643" spans="1:7" hidden="1" x14ac:dyDescent="0.3">
      <c r="A1643" s="275">
        <v>45903</v>
      </c>
      <c r="B1643" s="275" t="s">
        <v>213</v>
      </c>
      <c r="C1643" s="272" t="s">
        <v>17</v>
      </c>
      <c r="D1643" s="53" t="s">
        <v>1503</v>
      </c>
      <c r="E1643" s="826">
        <v>4200</v>
      </c>
      <c r="F1643" s="110" t="s">
        <v>164</v>
      </c>
      <c r="G1643" s="137" t="s">
        <v>165</v>
      </c>
    </row>
    <row r="1644" spans="1:7" ht="14.4" hidden="1" x14ac:dyDescent="0.3">
      <c r="A1644" s="275">
        <v>45903</v>
      </c>
      <c r="B1644" s="275" t="s">
        <v>213</v>
      </c>
      <c r="C1644" s="272" t="s">
        <v>168</v>
      </c>
      <c r="D1644" s="53" t="s">
        <v>169</v>
      </c>
      <c r="E1644" s="937">
        <v>919.19</v>
      </c>
      <c r="F1644" s="110" t="s">
        <v>164</v>
      </c>
      <c r="G1644" s="137" t="s">
        <v>165</v>
      </c>
    </row>
    <row r="1645" spans="1:7" ht="14.4" hidden="1" x14ac:dyDescent="0.3">
      <c r="A1645" s="275">
        <v>45911</v>
      </c>
      <c r="B1645" s="275" t="s">
        <v>213</v>
      </c>
      <c r="C1645" s="272" t="s">
        <v>168</v>
      </c>
      <c r="D1645" s="53" t="s">
        <v>169</v>
      </c>
      <c r="E1645" s="913">
        <v>11225.96</v>
      </c>
      <c r="F1645" s="110" t="s">
        <v>164</v>
      </c>
      <c r="G1645" s="137" t="s">
        <v>165</v>
      </c>
    </row>
    <row r="1646" spans="1:7" ht="14.4" hidden="1" x14ac:dyDescent="0.3">
      <c r="A1646" s="275">
        <v>45911</v>
      </c>
      <c r="B1646" s="275" t="s">
        <v>213</v>
      </c>
      <c r="C1646" s="272" t="s">
        <v>168</v>
      </c>
      <c r="D1646" s="53" t="s">
        <v>169</v>
      </c>
      <c r="E1646" s="913">
        <v>600</v>
      </c>
      <c r="F1646" s="110" t="s">
        <v>164</v>
      </c>
      <c r="G1646" s="137" t="s">
        <v>165</v>
      </c>
    </row>
    <row r="1647" spans="1:7" ht="14.4" hidden="1" x14ac:dyDescent="0.3">
      <c r="A1647" s="275">
        <v>45917</v>
      </c>
      <c r="B1647" s="275" t="s">
        <v>213</v>
      </c>
      <c r="C1647" s="272" t="s">
        <v>168</v>
      </c>
      <c r="D1647" s="53" t="s">
        <v>1569</v>
      </c>
      <c r="E1647" s="913">
        <v>11225.96</v>
      </c>
      <c r="F1647" s="110" t="s">
        <v>164</v>
      </c>
      <c r="G1647" s="137" t="s">
        <v>165</v>
      </c>
    </row>
    <row r="1648" spans="1:7" hidden="1" x14ac:dyDescent="0.3">
      <c r="A1648" s="275">
        <v>45902</v>
      </c>
      <c r="B1648" s="275" t="s">
        <v>213</v>
      </c>
      <c r="C1648" s="272" t="s">
        <v>170</v>
      </c>
      <c r="D1648" s="53" t="s">
        <v>171</v>
      </c>
      <c r="E1648" s="100">
        <v>14482.07</v>
      </c>
      <c r="F1648" s="110" t="s">
        <v>164</v>
      </c>
      <c r="G1648" s="137" t="s">
        <v>165</v>
      </c>
    </row>
    <row r="1649" spans="1:7" hidden="1" x14ac:dyDescent="0.3">
      <c r="A1649" s="275">
        <v>45902</v>
      </c>
      <c r="B1649" s="275" t="s">
        <v>213</v>
      </c>
      <c r="C1649" s="272" t="s">
        <v>170</v>
      </c>
      <c r="D1649" s="53" t="s">
        <v>171</v>
      </c>
      <c r="E1649" s="100">
        <v>23943.3</v>
      </c>
      <c r="F1649" s="110" t="s">
        <v>164</v>
      </c>
      <c r="G1649" s="137" t="s">
        <v>165</v>
      </c>
    </row>
    <row r="1650" spans="1:7" hidden="1" x14ac:dyDescent="0.3">
      <c r="A1650" s="275">
        <v>45902</v>
      </c>
      <c r="B1650" s="275" t="s">
        <v>213</v>
      </c>
      <c r="C1650" s="272" t="s">
        <v>170</v>
      </c>
      <c r="D1650" s="53" t="s">
        <v>171</v>
      </c>
      <c r="E1650" s="100">
        <v>21852.37</v>
      </c>
      <c r="F1650" s="110" t="s">
        <v>164</v>
      </c>
      <c r="G1650" s="137" t="s">
        <v>165</v>
      </c>
    </row>
    <row r="1651" spans="1:7" hidden="1" x14ac:dyDescent="0.3">
      <c r="A1651" s="275">
        <v>45902</v>
      </c>
      <c r="B1651" s="275" t="s">
        <v>213</v>
      </c>
      <c r="C1651" s="272" t="s">
        <v>170</v>
      </c>
      <c r="D1651" s="53" t="s">
        <v>171</v>
      </c>
      <c r="E1651" s="54">
        <v>4683.53</v>
      </c>
      <c r="F1651" s="110" t="s">
        <v>164</v>
      </c>
      <c r="G1651" s="137" t="s">
        <v>165</v>
      </c>
    </row>
    <row r="1652" spans="1:7" hidden="1" x14ac:dyDescent="0.3">
      <c r="A1652" s="275">
        <v>45902</v>
      </c>
      <c r="B1652" s="275" t="s">
        <v>213</v>
      </c>
      <c r="C1652" s="272" t="s">
        <v>170</v>
      </c>
      <c r="D1652" s="53" t="s">
        <v>171</v>
      </c>
      <c r="E1652" s="100">
        <v>196</v>
      </c>
      <c r="F1652" s="110" t="s">
        <v>164</v>
      </c>
      <c r="G1652" s="137" t="s">
        <v>165</v>
      </c>
    </row>
    <row r="1653" spans="1:7" s="514" customFormat="1" hidden="1" x14ac:dyDescent="0.3">
      <c r="A1653" s="626">
        <v>45910</v>
      </c>
      <c r="B1653" s="626" t="s">
        <v>213</v>
      </c>
      <c r="C1653" s="599" t="s">
        <v>13</v>
      </c>
      <c r="D1653" s="517" t="s">
        <v>1535</v>
      </c>
      <c r="E1653" s="636">
        <v>-34431.25</v>
      </c>
      <c r="F1653" s="513" t="s">
        <v>8</v>
      </c>
      <c r="G1653" s="518" t="s">
        <v>27</v>
      </c>
    </row>
    <row r="1654" spans="1:7" s="514" customFormat="1" hidden="1" x14ac:dyDescent="0.3">
      <c r="A1654" s="626">
        <v>45910</v>
      </c>
      <c r="B1654" s="626" t="s">
        <v>213</v>
      </c>
      <c r="C1654" s="599" t="s">
        <v>13</v>
      </c>
      <c r="D1654" s="517" t="s">
        <v>1536</v>
      </c>
      <c r="E1654" s="636">
        <v>-13794.61</v>
      </c>
      <c r="F1654" s="513" t="s">
        <v>8</v>
      </c>
      <c r="G1654" s="518" t="s">
        <v>27</v>
      </c>
    </row>
    <row r="1655" spans="1:7" s="291" customFormat="1" hidden="1" x14ac:dyDescent="0.3">
      <c r="A1655" s="275">
        <v>45912</v>
      </c>
      <c r="B1655" s="275" t="s">
        <v>213</v>
      </c>
      <c r="C1655" s="272" t="s">
        <v>173</v>
      </c>
      <c r="D1655" s="200" t="s">
        <v>174</v>
      </c>
      <c r="E1655" s="273">
        <v>8041</v>
      </c>
      <c r="F1655" s="110" t="s">
        <v>164</v>
      </c>
      <c r="G1655" s="105" t="s">
        <v>165</v>
      </c>
    </row>
    <row r="1656" spans="1:7" s="291" customFormat="1" hidden="1" x14ac:dyDescent="0.3">
      <c r="A1656" s="275">
        <v>45912</v>
      </c>
      <c r="B1656" s="275" t="s">
        <v>213</v>
      </c>
      <c r="C1656" s="272" t="s">
        <v>173</v>
      </c>
      <c r="D1656" s="200" t="s">
        <v>174</v>
      </c>
      <c r="E1656" s="273">
        <v>33748.379999999997</v>
      </c>
      <c r="F1656" s="110" t="s">
        <v>164</v>
      </c>
      <c r="G1656" s="137" t="s">
        <v>165</v>
      </c>
    </row>
    <row r="1657" spans="1:7" s="291" customFormat="1" ht="14.4" hidden="1" x14ac:dyDescent="0.3">
      <c r="A1657" s="275">
        <v>45910</v>
      </c>
      <c r="B1657" s="275" t="s">
        <v>213</v>
      </c>
      <c r="C1657" s="272" t="s">
        <v>173</v>
      </c>
      <c r="D1657" s="911" t="s">
        <v>515</v>
      </c>
      <c r="E1657" s="913">
        <v>6559.12</v>
      </c>
      <c r="F1657" s="110" t="s">
        <v>164</v>
      </c>
      <c r="G1657" s="137" t="s">
        <v>165</v>
      </c>
    </row>
    <row r="1658" spans="1:7" hidden="1" x14ac:dyDescent="0.3">
      <c r="A1658" s="275">
        <v>45910</v>
      </c>
      <c r="B1658" s="275" t="s">
        <v>213</v>
      </c>
      <c r="C1658" s="272" t="s">
        <v>173</v>
      </c>
      <c r="D1658" s="912" t="s">
        <v>175</v>
      </c>
      <c r="E1658" s="273">
        <v>-600</v>
      </c>
      <c r="F1658" s="110" t="s">
        <v>164</v>
      </c>
      <c r="G1658" s="137" t="s">
        <v>165</v>
      </c>
    </row>
    <row r="1659" spans="1:7" hidden="1" x14ac:dyDescent="0.3">
      <c r="A1659" s="275">
        <v>45910</v>
      </c>
      <c r="B1659" s="275" t="s">
        <v>213</v>
      </c>
      <c r="C1659" s="272" t="s">
        <v>173</v>
      </c>
      <c r="D1659" s="53" t="s">
        <v>175</v>
      </c>
      <c r="E1659" s="273">
        <v>5062.8</v>
      </c>
      <c r="F1659" s="110" t="s">
        <v>164</v>
      </c>
      <c r="G1659" s="137" t="s">
        <v>165</v>
      </c>
    </row>
    <row r="1660" spans="1:7" ht="14.4" hidden="1" x14ac:dyDescent="0.3">
      <c r="A1660" s="135">
        <v>45911</v>
      </c>
      <c r="B1660" s="275" t="s">
        <v>213</v>
      </c>
      <c r="C1660" s="272" t="s">
        <v>33</v>
      </c>
      <c r="D1660" s="274" t="s">
        <v>804</v>
      </c>
      <c r="E1660" s="480">
        <v>1200</v>
      </c>
      <c r="F1660" s="278" t="s">
        <v>164</v>
      </c>
      <c r="G1660" s="137" t="s">
        <v>165</v>
      </c>
    </row>
    <row r="1661" spans="1:7" hidden="1" x14ac:dyDescent="0.3">
      <c r="A1661" s="275">
        <v>45911</v>
      </c>
      <c r="B1661" s="275" t="s">
        <v>213</v>
      </c>
      <c r="C1661" s="272" t="s">
        <v>170</v>
      </c>
      <c r="D1661" s="53" t="s">
        <v>176</v>
      </c>
      <c r="E1661" s="273">
        <v>603.26</v>
      </c>
      <c r="F1661" s="110" t="s">
        <v>164</v>
      </c>
      <c r="G1661" s="137" t="s">
        <v>165</v>
      </c>
    </row>
    <row r="1662" spans="1:7" hidden="1" x14ac:dyDescent="0.3">
      <c r="A1662" s="275">
        <v>45911</v>
      </c>
      <c r="B1662" s="275" t="s">
        <v>213</v>
      </c>
      <c r="C1662" s="272" t="s">
        <v>170</v>
      </c>
      <c r="D1662" s="53" t="s">
        <v>176</v>
      </c>
      <c r="E1662" s="273">
        <v>1106.1400000000001</v>
      </c>
      <c r="F1662" s="110" t="s">
        <v>164</v>
      </c>
      <c r="G1662" s="137" t="s">
        <v>165</v>
      </c>
    </row>
    <row r="1663" spans="1:7" hidden="1" x14ac:dyDescent="0.3">
      <c r="A1663" s="275">
        <v>45911</v>
      </c>
      <c r="B1663" s="275" t="s">
        <v>213</v>
      </c>
      <c r="C1663" s="272" t="s">
        <v>170</v>
      </c>
      <c r="D1663" s="53" t="s">
        <v>176</v>
      </c>
      <c r="E1663" s="273">
        <v>9631</v>
      </c>
      <c r="F1663" s="110" t="s">
        <v>164</v>
      </c>
      <c r="G1663" s="137" t="s">
        <v>165</v>
      </c>
    </row>
    <row r="1664" spans="1:7" hidden="1" x14ac:dyDescent="0.3">
      <c r="A1664" s="275">
        <v>45911</v>
      </c>
      <c r="B1664" s="275" t="s">
        <v>213</v>
      </c>
      <c r="C1664" s="272" t="s">
        <v>177</v>
      </c>
      <c r="D1664" s="53" t="s">
        <v>178</v>
      </c>
      <c r="E1664" s="126">
        <v>257.81</v>
      </c>
      <c r="F1664" s="110" t="s">
        <v>164</v>
      </c>
      <c r="G1664" s="137" t="s">
        <v>165</v>
      </c>
    </row>
    <row r="1665" spans="1:7" hidden="1" x14ac:dyDescent="0.3">
      <c r="A1665" s="275">
        <v>45912</v>
      </c>
      <c r="B1665" s="275" t="s">
        <v>213</v>
      </c>
      <c r="C1665" s="272" t="s">
        <v>177</v>
      </c>
      <c r="D1665" s="53" t="s">
        <v>179</v>
      </c>
      <c r="E1665" s="273">
        <v>680.03</v>
      </c>
      <c r="F1665" s="110" t="s">
        <v>164</v>
      </c>
      <c r="G1665" s="137" t="s">
        <v>165</v>
      </c>
    </row>
    <row r="1666" spans="1:7" hidden="1" x14ac:dyDescent="0.3">
      <c r="A1666" s="275">
        <v>45911</v>
      </c>
      <c r="B1666" s="275" t="s">
        <v>213</v>
      </c>
      <c r="C1666" s="272" t="s">
        <v>180</v>
      </c>
      <c r="D1666" s="274" t="s">
        <v>181</v>
      </c>
      <c r="E1666" s="100">
        <v>24988.71</v>
      </c>
      <c r="F1666" s="110" t="s">
        <v>164</v>
      </c>
      <c r="G1666" s="137" t="s">
        <v>165</v>
      </c>
    </row>
    <row r="1667" spans="1:7" hidden="1" x14ac:dyDescent="0.3">
      <c r="A1667" s="275">
        <v>45911</v>
      </c>
      <c r="B1667" s="275" t="s">
        <v>213</v>
      </c>
      <c r="C1667" s="272" t="s">
        <v>180</v>
      </c>
      <c r="D1667" s="274" t="s">
        <v>181</v>
      </c>
      <c r="E1667" s="100">
        <v>16834.330000000002</v>
      </c>
      <c r="F1667" s="110" t="s">
        <v>164</v>
      </c>
      <c r="G1667" s="137" t="s">
        <v>165</v>
      </c>
    </row>
    <row r="1668" spans="1:7" hidden="1" x14ac:dyDescent="0.3">
      <c r="A1668" s="275">
        <v>45911</v>
      </c>
      <c r="B1668" s="275" t="s">
        <v>213</v>
      </c>
      <c r="C1668" s="272" t="s">
        <v>180</v>
      </c>
      <c r="D1668" s="274" t="s">
        <v>181</v>
      </c>
      <c r="E1668" s="100">
        <v>268.13</v>
      </c>
      <c r="F1668" s="110" t="s">
        <v>164</v>
      </c>
      <c r="G1668" s="137" t="s">
        <v>165</v>
      </c>
    </row>
    <row r="1669" spans="1:7" hidden="1" x14ac:dyDescent="0.3">
      <c r="A1669" s="275">
        <v>45911</v>
      </c>
      <c r="B1669" s="275" t="s">
        <v>213</v>
      </c>
      <c r="C1669" s="272" t="s">
        <v>180</v>
      </c>
      <c r="D1669" s="274" t="s">
        <v>181</v>
      </c>
      <c r="E1669" s="273">
        <v>12459.61</v>
      </c>
      <c r="F1669" s="110" t="s">
        <v>164</v>
      </c>
      <c r="G1669" s="137" t="s">
        <v>165</v>
      </c>
    </row>
    <row r="1670" spans="1:7" hidden="1" x14ac:dyDescent="0.3">
      <c r="A1670" s="275">
        <v>45911</v>
      </c>
      <c r="B1670" s="275" t="s">
        <v>213</v>
      </c>
      <c r="C1670" s="272" t="s">
        <v>166</v>
      </c>
      <c r="D1670" s="276" t="s">
        <v>182</v>
      </c>
      <c r="E1670" s="277">
        <v>7850</v>
      </c>
      <c r="F1670" s="278" t="s">
        <v>164</v>
      </c>
      <c r="G1670" s="137" t="s">
        <v>165</v>
      </c>
    </row>
    <row r="1671" spans="1:7" hidden="1" x14ac:dyDescent="0.3">
      <c r="A1671" s="890">
        <v>45898</v>
      </c>
      <c r="B1671" s="890" t="s">
        <v>212</v>
      </c>
      <c r="C1671" s="891" t="s">
        <v>17</v>
      </c>
      <c r="D1671" s="892" t="s">
        <v>1429</v>
      </c>
      <c r="E1671" s="893">
        <v>357602.09</v>
      </c>
      <c r="F1671" s="321" t="s">
        <v>164</v>
      </c>
      <c r="G1671" s="894" t="s">
        <v>165</v>
      </c>
    </row>
    <row r="1672" spans="1:7" s="291" customFormat="1" hidden="1" x14ac:dyDescent="0.3">
      <c r="A1672" s="252">
        <v>45924</v>
      </c>
      <c r="B1672" s="252" t="s">
        <v>213</v>
      </c>
      <c r="C1672" s="17" t="s">
        <v>25</v>
      </c>
      <c r="D1672" s="668" t="s">
        <v>209</v>
      </c>
      <c r="E1672" s="667">
        <v>-985.45</v>
      </c>
      <c r="F1672" s="25" t="s">
        <v>8</v>
      </c>
      <c r="G1672" s="668" t="s">
        <v>233</v>
      </c>
    </row>
    <row r="1673" spans="1:7" s="291" customFormat="1" hidden="1" x14ac:dyDescent="0.3">
      <c r="A1673" s="205">
        <v>45916</v>
      </c>
      <c r="B1673" s="252" t="s">
        <v>213</v>
      </c>
      <c r="C1673" s="668" t="s">
        <v>44</v>
      </c>
      <c r="D1673" s="668" t="s">
        <v>1268</v>
      </c>
      <c r="E1673" s="669">
        <v>-700</v>
      </c>
      <c r="F1673" s="20" t="s">
        <v>8</v>
      </c>
      <c r="G1673" s="20" t="s">
        <v>207</v>
      </c>
    </row>
    <row r="1674" spans="1:7" s="291" customFormat="1" hidden="1" x14ac:dyDescent="0.3">
      <c r="A1674" s="205">
        <v>45916</v>
      </c>
      <c r="B1674" s="252" t="s">
        <v>213</v>
      </c>
      <c r="C1674" s="668" t="s">
        <v>72</v>
      </c>
      <c r="D1674" s="668" t="s">
        <v>209</v>
      </c>
      <c r="E1674" s="669">
        <v>-2141.69</v>
      </c>
      <c r="F1674" s="20" t="s">
        <v>8</v>
      </c>
      <c r="G1674" s="20" t="s">
        <v>233</v>
      </c>
    </row>
    <row r="1675" spans="1:7" s="291" customFormat="1" hidden="1" x14ac:dyDescent="0.3">
      <c r="A1675" s="205">
        <v>45916</v>
      </c>
      <c r="B1675" s="252" t="s">
        <v>213</v>
      </c>
      <c r="C1675" s="668" t="s">
        <v>31</v>
      </c>
      <c r="D1675" s="668" t="s">
        <v>1522</v>
      </c>
      <c r="E1675" s="669">
        <v>-4101.5</v>
      </c>
      <c r="F1675" s="20" t="s">
        <v>8</v>
      </c>
      <c r="G1675" s="825" t="s">
        <v>76</v>
      </c>
    </row>
    <row r="1676" spans="1:7" s="13" customFormat="1" ht="15" hidden="1" customHeight="1" x14ac:dyDescent="0.3">
      <c r="A1676" s="205">
        <v>45916</v>
      </c>
      <c r="B1676" s="252" t="s">
        <v>213</v>
      </c>
      <c r="C1676" s="26" t="s">
        <v>17</v>
      </c>
      <c r="D1676" s="26" t="s">
        <v>397</v>
      </c>
      <c r="E1676" s="19">
        <v>-57.82</v>
      </c>
      <c r="F1676" s="20" t="s">
        <v>8</v>
      </c>
      <c r="G1676" s="20" t="s">
        <v>233</v>
      </c>
    </row>
    <row r="1677" spans="1:7" hidden="1" x14ac:dyDescent="0.3">
      <c r="A1677" s="275">
        <v>45916</v>
      </c>
      <c r="B1677" s="275" t="s">
        <v>213</v>
      </c>
      <c r="C1677" s="272" t="s">
        <v>184</v>
      </c>
      <c r="D1677" s="53" t="s">
        <v>185</v>
      </c>
      <c r="E1677" s="279">
        <v>17956.39</v>
      </c>
      <c r="F1677" s="110" t="s">
        <v>164</v>
      </c>
      <c r="G1677" s="137" t="s">
        <v>165</v>
      </c>
    </row>
    <row r="1678" spans="1:7" hidden="1" x14ac:dyDescent="0.3">
      <c r="A1678" s="275">
        <v>45918</v>
      </c>
      <c r="B1678" s="275" t="s">
        <v>213</v>
      </c>
      <c r="C1678" s="272" t="s">
        <v>166</v>
      </c>
      <c r="D1678" s="53" t="s">
        <v>186</v>
      </c>
      <c r="E1678" s="100">
        <v>4717.4399999999996</v>
      </c>
      <c r="F1678" s="278" t="s">
        <v>164</v>
      </c>
      <c r="G1678" s="137" t="s">
        <v>165</v>
      </c>
    </row>
    <row r="1679" spans="1:7" hidden="1" x14ac:dyDescent="0.3">
      <c r="A1679" s="275">
        <v>45918</v>
      </c>
      <c r="B1679" s="275" t="s">
        <v>213</v>
      </c>
      <c r="C1679" s="272" t="s">
        <v>166</v>
      </c>
      <c r="D1679" s="53" t="s">
        <v>186</v>
      </c>
      <c r="E1679" s="100">
        <v>9938.39</v>
      </c>
      <c r="F1679" s="278" t="s">
        <v>164</v>
      </c>
      <c r="G1679" s="137" t="s">
        <v>165</v>
      </c>
    </row>
    <row r="1680" spans="1:7" ht="0.6" hidden="1" customHeight="1" x14ac:dyDescent="0.3">
      <c r="A1680" s="275">
        <v>45918</v>
      </c>
      <c r="B1680" s="275" t="s">
        <v>213</v>
      </c>
      <c r="C1680" s="272" t="s">
        <v>166</v>
      </c>
      <c r="D1680" s="53" t="s">
        <v>186</v>
      </c>
      <c r="E1680" s="100">
        <v>22139.98</v>
      </c>
      <c r="F1680" s="278" t="s">
        <v>164</v>
      </c>
      <c r="G1680" s="137" t="s">
        <v>165</v>
      </c>
    </row>
    <row r="1681" spans="1:8" hidden="1" x14ac:dyDescent="0.3">
      <c r="A1681" s="97">
        <v>45926</v>
      </c>
      <c r="B1681" s="275" t="s">
        <v>213</v>
      </c>
      <c r="C1681" s="272" t="s">
        <v>180</v>
      </c>
      <c r="D1681" s="53" t="s">
        <v>187</v>
      </c>
      <c r="E1681" s="126">
        <v>2373.8200000000002</v>
      </c>
      <c r="F1681" s="110" t="s">
        <v>164</v>
      </c>
      <c r="G1681" s="137" t="s">
        <v>165</v>
      </c>
    </row>
    <row r="1682" spans="1:8" hidden="1" x14ac:dyDescent="0.3">
      <c r="A1682" s="97">
        <v>45926</v>
      </c>
      <c r="B1682" s="275" t="s">
        <v>213</v>
      </c>
      <c r="C1682" s="272" t="s">
        <v>180</v>
      </c>
      <c r="D1682" s="53" t="s">
        <v>187</v>
      </c>
      <c r="E1682" s="126">
        <v>5823.82</v>
      </c>
      <c r="F1682" s="110" t="s">
        <v>164</v>
      </c>
      <c r="G1682" s="137" t="s">
        <v>165</v>
      </c>
    </row>
    <row r="1683" spans="1:8" hidden="1" x14ac:dyDescent="0.3">
      <c r="A1683" s="97">
        <v>45926</v>
      </c>
      <c r="B1683" s="275" t="s">
        <v>213</v>
      </c>
      <c r="C1683" s="272" t="s">
        <v>180</v>
      </c>
      <c r="D1683" s="53" t="s">
        <v>187</v>
      </c>
      <c r="E1683" s="126">
        <v>7526.95</v>
      </c>
      <c r="F1683" s="110" t="s">
        <v>164</v>
      </c>
      <c r="G1683" s="137" t="s">
        <v>165</v>
      </c>
    </row>
    <row r="1684" spans="1:8" hidden="1" x14ac:dyDescent="0.3">
      <c r="A1684" s="97">
        <v>45926</v>
      </c>
      <c r="B1684" s="275" t="s">
        <v>213</v>
      </c>
      <c r="C1684" s="272" t="s">
        <v>180</v>
      </c>
      <c r="D1684" s="53" t="s">
        <v>187</v>
      </c>
      <c r="E1684" s="126">
        <v>25756.63</v>
      </c>
      <c r="F1684" s="110" t="s">
        <v>164</v>
      </c>
      <c r="G1684" s="137" t="s">
        <v>165</v>
      </c>
    </row>
    <row r="1685" spans="1:8" hidden="1" x14ac:dyDescent="0.3">
      <c r="A1685" s="98">
        <v>45930</v>
      </c>
      <c r="B1685" s="275" t="s">
        <v>213</v>
      </c>
      <c r="C1685" s="272" t="s">
        <v>173</v>
      </c>
      <c r="D1685" s="53" t="s">
        <v>188</v>
      </c>
      <c r="E1685" s="280">
        <v>816717.89</v>
      </c>
      <c r="F1685" s="110" t="s">
        <v>164</v>
      </c>
      <c r="G1685" s="137" t="s">
        <v>165</v>
      </c>
    </row>
    <row r="1686" spans="1:8" hidden="1" x14ac:dyDescent="0.3">
      <c r="A1686" s="252">
        <v>45923</v>
      </c>
      <c r="B1686" s="252" t="s">
        <v>213</v>
      </c>
      <c r="C1686" s="668" t="s">
        <v>72</v>
      </c>
      <c r="D1686" s="668" t="s">
        <v>209</v>
      </c>
      <c r="E1686" s="669">
        <v>-2141.69</v>
      </c>
      <c r="F1686" s="25" t="s">
        <v>8</v>
      </c>
      <c r="G1686" s="825" t="s">
        <v>233</v>
      </c>
    </row>
    <row r="1687" spans="1:8" hidden="1" x14ac:dyDescent="0.3">
      <c r="A1687" s="252">
        <v>45923</v>
      </c>
      <c r="B1687" s="252" t="s">
        <v>213</v>
      </c>
      <c r="C1687" s="668" t="s">
        <v>17</v>
      </c>
      <c r="D1687" s="668" t="s">
        <v>397</v>
      </c>
      <c r="E1687" s="669">
        <v>-84.56</v>
      </c>
      <c r="F1687" s="25" t="s">
        <v>8</v>
      </c>
      <c r="G1687" s="825" t="s">
        <v>233</v>
      </c>
    </row>
    <row r="1688" spans="1:8" s="284" customFormat="1" hidden="1" x14ac:dyDescent="0.3">
      <c r="A1688" s="708">
        <v>45923</v>
      </c>
      <c r="B1688" s="708" t="s">
        <v>213</v>
      </c>
      <c r="C1688" s="938" t="s">
        <v>25</v>
      </c>
      <c r="D1688" s="938" t="s">
        <v>1581</v>
      </c>
      <c r="E1688" s="939">
        <v>-2574.0700000000002</v>
      </c>
      <c r="F1688" s="25" t="s">
        <v>8</v>
      </c>
      <c r="G1688" s="947" t="s">
        <v>127</v>
      </c>
    </row>
    <row r="1689" spans="1:8" s="284" customFormat="1" hidden="1" x14ac:dyDescent="0.3">
      <c r="A1689" s="708">
        <v>45923</v>
      </c>
      <c r="B1689" s="708" t="s">
        <v>213</v>
      </c>
      <c r="C1689" s="938" t="s">
        <v>17</v>
      </c>
      <c r="D1689" s="938" t="s">
        <v>1582</v>
      </c>
      <c r="E1689" s="939">
        <v>-2669.79</v>
      </c>
      <c r="F1689" s="25" t="s">
        <v>8</v>
      </c>
      <c r="G1689" s="947" t="s">
        <v>127</v>
      </c>
    </row>
    <row r="1690" spans="1:8" s="291" customFormat="1" hidden="1" x14ac:dyDescent="0.3">
      <c r="A1690" s="205">
        <v>45923</v>
      </c>
      <c r="B1690" s="252" t="s">
        <v>213</v>
      </c>
      <c r="C1690" s="24" t="s">
        <v>31</v>
      </c>
      <c r="D1690" s="13" t="s">
        <v>1541</v>
      </c>
      <c r="E1690" s="28">
        <v>-7000</v>
      </c>
      <c r="F1690" s="25" t="s">
        <v>8</v>
      </c>
      <c r="G1690" s="20" t="s">
        <v>46</v>
      </c>
    </row>
    <row r="1691" spans="1:8" s="291" customFormat="1" hidden="1" x14ac:dyDescent="0.3">
      <c r="A1691" s="205">
        <v>45923</v>
      </c>
      <c r="B1691" s="252" t="s">
        <v>213</v>
      </c>
      <c r="C1691" s="24" t="s">
        <v>25</v>
      </c>
      <c r="D1691" s="13" t="s">
        <v>1542</v>
      </c>
      <c r="E1691" s="28">
        <v>-7000</v>
      </c>
      <c r="F1691" s="25" t="s">
        <v>8</v>
      </c>
      <c r="G1691" s="20" t="s">
        <v>46</v>
      </c>
    </row>
    <row r="1692" spans="1:8" s="291" customFormat="1" hidden="1" x14ac:dyDescent="0.3">
      <c r="A1692" s="252">
        <v>45917</v>
      </c>
      <c r="B1692" s="252" t="s">
        <v>213</v>
      </c>
      <c r="C1692" s="24" t="s">
        <v>6</v>
      </c>
      <c r="D1692" s="13" t="s">
        <v>117</v>
      </c>
      <c r="E1692" s="28">
        <v>-10030</v>
      </c>
      <c r="F1692" s="25" t="s">
        <v>8</v>
      </c>
      <c r="G1692" s="14" t="s">
        <v>51</v>
      </c>
      <c r="H1692" s="282"/>
    </row>
    <row r="1693" spans="1:8" s="291" customFormat="1" hidden="1" x14ac:dyDescent="0.3">
      <c r="A1693" s="252">
        <v>45917</v>
      </c>
      <c r="B1693" s="252" t="s">
        <v>213</v>
      </c>
      <c r="C1693" s="24" t="s">
        <v>6</v>
      </c>
      <c r="D1693" s="13" t="s">
        <v>118</v>
      </c>
      <c r="E1693" s="28">
        <v>-4500</v>
      </c>
      <c r="F1693" s="25" t="s">
        <v>8</v>
      </c>
      <c r="G1693" s="14" t="s">
        <v>51</v>
      </c>
    </row>
    <row r="1694" spans="1:8" s="291" customFormat="1" hidden="1" x14ac:dyDescent="0.3">
      <c r="A1694" s="252">
        <v>45917</v>
      </c>
      <c r="B1694" s="252" t="s">
        <v>213</v>
      </c>
      <c r="C1694" s="24" t="s">
        <v>31</v>
      </c>
      <c r="D1694" s="263" t="s">
        <v>199</v>
      </c>
      <c r="E1694" s="264">
        <v>-630</v>
      </c>
      <c r="F1694" s="25" t="s">
        <v>8</v>
      </c>
      <c r="G1694" s="14" t="s">
        <v>51</v>
      </c>
    </row>
    <row r="1695" spans="1:8" s="291" customFormat="1" hidden="1" x14ac:dyDescent="0.3">
      <c r="A1695" s="205">
        <v>45922</v>
      </c>
      <c r="B1695" s="252" t="s">
        <v>213</v>
      </c>
      <c r="C1695" s="908" t="s">
        <v>44</v>
      </c>
      <c r="D1695" s="668" t="s">
        <v>232</v>
      </c>
      <c r="E1695" s="669">
        <v>-2510.4499999999998</v>
      </c>
      <c r="F1695" s="25" t="s">
        <v>8</v>
      </c>
      <c r="G1695" s="825" t="s">
        <v>233</v>
      </c>
    </row>
    <row r="1696" spans="1:8" s="291" customFormat="1" hidden="1" x14ac:dyDescent="0.3">
      <c r="A1696" s="205">
        <v>45922</v>
      </c>
      <c r="B1696" s="252" t="s">
        <v>213</v>
      </c>
      <c r="C1696" s="908" t="s">
        <v>72</v>
      </c>
      <c r="D1696" s="668" t="s">
        <v>1524</v>
      </c>
      <c r="E1696" s="669">
        <v>-1101.8399999999999</v>
      </c>
      <c r="F1696" s="25" t="s">
        <v>8</v>
      </c>
      <c r="G1696" s="14" t="s">
        <v>86</v>
      </c>
    </row>
    <row r="1697" spans="1:7" s="291" customFormat="1" hidden="1" x14ac:dyDescent="0.3">
      <c r="A1697" s="708">
        <v>45917</v>
      </c>
      <c r="B1697" s="708" t="s">
        <v>213</v>
      </c>
      <c r="C1697" s="938" t="s">
        <v>25</v>
      </c>
      <c r="D1697" s="668" t="s">
        <v>1583</v>
      </c>
      <c r="E1697" s="669">
        <v>-230.81</v>
      </c>
      <c r="F1697" s="25" t="s">
        <v>8</v>
      </c>
      <c r="G1697" s="14" t="s">
        <v>153</v>
      </c>
    </row>
    <row r="1698" spans="1:7" s="291" customFormat="1" hidden="1" x14ac:dyDescent="0.3">
      <c r="A1698" s="708">
        <v>45917</v>
      </c>
      <c r="B1698" s="708" t="s">
        <v>213</v>
      </c>
      <c r="C1698" s="938" t="s">
        <v>25</v>
      </c>
      <c r="D1698" s="668" t="s">
        <v>1584</v>
      </c>
      <c r="E1698" s="669">
        <v>-416.28</v>
      </c>
      <c r="F1698" s="25" t="s">
        <v>8</v>
      </c>
      <c r="G1698" s="14" t="s">
        <v>153</v>
      </c>
    </row>
    <row r="1699" spans="1:7" s="514" customFormat="1" hidden="1" x14ac:dyDescent="0.3">
      <c r="A1699" s="955">
        <v>45911</v>
      </c>
      <c r="B1699" s="955" t="s">
        <v>213</v>
      </c>
      <c r="C1699" s="604" t="s">
        <v>25</v>
      </c>
      <c r="D1699" s="592" t="s">
        <v>1587</v>
      </c>
      <c r="E1699" s="512">
        <v>-12.3</v>
      </c>
      <c r="F1699" s="957" t="s">
        <v>8</v>
      </c>
      <c r="G1699" s="518" t="s">
        <v>83</v>
      </c>
    </row>
    <row r="1700" spans="1:7" s="514" customFormat="1" hidden="1" x14ac:dyDescent="0.3">
      <c r="A1700" s="515">
        <v>45911</v>
      </c>
      <c r="B1700" s="626" t="s">
        <v>213</v>
      </c>
      <c r="C1700" s="688" t="s">
        <v>25</v>
      </c>
      <c r="D1700" s="592" t="s">
        <v>1564</v>
      </c>
      <c r="E1700" s="512">
        <v>-600</v>
      </c>
      <c r="F1700" s="513" t="s">
        <v>8</v>
      </c>
      <c r="G1700" s="518" t="s">
        <v>27</v>
      </c>
    </row>
    <row r="1701" spans="1:7" s="291" customFormat="1" hidden="1" x14ac:dyDescent="0.3">
      <c r="A1701" s="205">
        <v>45922</v>
      </c>
      <c r="B1701" s="252" t="s">
        <v>213</v>
      </c>
      <c r="C1701" s="908" t="s">
        <v>31</v>
      </c>
      <c r="D1701" s="668" t="s">
        <v>201</v>
      </c>
      <c r="E1701" s="669">
        <v>-852.45</v>
      </c>
      <c r="F1701" s="14" t="s">
        <v>8</v>
      </c>
      <c r="G1701" s="14" t="s">
        <v>86</v>
      </c>
    </row>
    <row r="1702" spans="1:7" s="291" customFormat="1" hidden="1" x14ac:dyDescent="0.3">
      <c r="A1702" s="205">
        <v>45922</v>
      </c>
      <c r="B1702" s="252" t="s">
        <v>213</v>
      </c>
      <c r="C1702" s="908" t="s">
        <v>6</v>
      </c>
      <c r="D1702" s="668" t="s">
        <v>201</v>
      </c>
      <c r="E1702" s="669">
        <v>-1549.9</v>
      </c>
      <c r="F1702" s="14" t="s">
        <v>8</v>
      </c>
      <c r="G1702" s="14" t="s">
        <v>86</v>
      </c>
    </row>
    <row r="1703" spans="1:7" s="291" customFormat="1" hidden="1" x14ac:dyDescent="0.3">
      <c r="A1703" s="205">
        <v>45922</v>
      </c>
      <c r="B1703" s="252" t="s">
        <v>213</v>
      </c>
      <c r="C1703" s="908" t="s">
        <v>44</v>
      </c>
      <c r="D1703" s="668" t="s">
        <v>201</v>
      </c>
      <c r="E1703" s="669">
        <v>-1007.44</v>
      </c>
      <c r="F1703" s="14" t="s">
        <v>8</v>
      </c>
      <c r="G1703" s="14" t="s">
        <v>86</v>
      </c>
    </row>
    <row r="1704" spans="1:7" s="291" customFormat="1" hidden="1" x14ac:dyDescent="0.3">
      <c r="A1704" s="205">
        <v>45922</v>
      </c>
      <c r="B1704" s="252" t="s">
        <v>213</v>
      </c>
      <c r="C1704" s="908" t="s">
        <v>44</v>
      </c>
      <c r="D1704" s="668" t="s">
        <v>201</v>
      </c>
      <c r="E1704" s="669">
        <v>-4882.1899999999996</v>
      </c>
      <c r="F1704" s="14" t="s">
        <v>8</v>
      </c>
      <c r="G1704" s="14" t="s">
        <v>86</v>
      </c>
    </row>
    <row r="1705" spans="1:7" s="291" customFormat="1" hidden="1" x14ac:dyDescent="0.3">
      <c r="A1705" s="205">
        <v>45922</v>
      </c>
      <c r="B1705" s="252" t="s">
        <v>213</v>
      </c>
      <c r="C1705" s="908" t="s">
        <v>25</v>
      </c>
      <c r="D1705" s="668" t="s">
        <v>201</v>
      </c>
      <c r="E1705" s="669">
        <v>-2557.34</v>
      </c>
      <c r="F1705" s="14" t="s">
        <v>8</v>
      </c>
      <c r="G1705" s="14" t="s">
        <v>86</v>
      </c>
    </row>
    <row r="1706" spans="1:7" s="291" customFormat="1" hidden="1" x14ac:dyDescent="0.3">
      <c r="A1706" s="205">
        <v>45922</v>
      </c>
      <c r="B1706" s="252" t="s">
        <v>213</v>
      </c>
      <c r="C1706" s="908" t="s">
        <v>33</v>
      </c>
      <c r="D1706" s="668" t="s">
        <v>201</v>
      </c>
      <c r="E1706" s="669">
        <v>-852.45</v>
      </c>
      <c r="F1706" s="14" t="s">
        <v>8</v>
      </c>
      <c r="G1706" s="14" t="s">
        <v>86</v>
      </c>
    </row>
    <row r="1707" spans="1:7" s="291" customFormat="1" hidden="1" x14ac:dyDescent="0.3">
      <c r="A1707" s="205">
        <v>45922</v>
      </c>
      <c r="B1707" s="252" t="s">
        <v>213</v>
      </c>
      <c r="C1707" s="908" t="s">
        <v>106</v>
      </c>
      <c r="D1707" s="668" t="s">
        <v>201</v>
      </c>
      <c r="E1707" s="669">
        <v>-697.46</v>
      </c>
      <c r="F1707" s="14" t="s">
        <v>8</v>
      </c>
      <c r="G1707" s="14" t="s">
        <v>86</v>
      </c>
    </row>
    <row r="1708" spans="1:7" s="291" customFormat="1" hidden="1" x14ac:dyDescent="0.3">
      <c r="A1708" s="205">
        <v>45922</v>
      </c>
      <c r="B1708" s="252" t="s">
        <v>213</v>
      </c>
      <c r="C1708" s="908" t="s">
        <v>32</v>
      </c>
      <c r="D1708" s="668" t="s">
        <v>201</v>
      </c>
      <c r="E1708" s="669">
        <v>-2092.37</v>
      </c>
      <c r="F1708" s="14" t="s">
        <v>8</v>
      </c>
      <c r="G1708" s="14" t="s">
        <v>86</v>
      </c>
    </row>
    <row r="1709" spans="1:7" s="291" customFormat="1" hidden="1" x14ac:dyDescent="0.3">
      <c r="A1709" s="205">
        <v>45922</v>
      </c>
      <c r="B1709" s="252" t="s">
        <v>213</v>
      </c>
      <c r="C1709" s="908" t="s">
        <v>72</v>
      </c>
      <c r="D1709" s="668" t="s">
        <v>201</v>
      </c>
      <c r="E1709" s="669">
        <v>-1084.93</v>
      </c>
      <c r="F1709" s="14" t="s">
        <v>8</v>
      </c>
      <c r="G1709" s="14" t="s">
        <v>86</v>
      </c>
    </row>
    <row r="1710" spans="1:7" s="291" customFormat="1" hidden="1" x14ac:dyDescent="0.3">
      <c r="A1710" s="205">
        <v>45922</v>
      </c>
      <c r="B1710" s="252" t="s">
        <v>213</v>
      </c>
      <c r="C1710" s="668" t="s">
        <v>17</v>
      </c>
      <c r="D1710" s="668" t="s">
        <v>201</v>
      </c>
      <c r="E1710" s="669">
        <v>-309.98</v>
      </c>
      <c r="F1710" s="14" t="s">
        <v>8</v>
      </c>
      <c r="G1710" s="14" t="s">
        <v>86</v>
      </c>
    </row>
    <row r="1711" spans="1:7" s="514" customFormat="1" hidden="1" x14ac:dyDescent="0.3">
      <c r="A1711" s="626">
        <v>45910</v>
      </c>
      <c r="B1711" s="626" t="s">
        <v>213</v>
      </c>
      <c r="C1711" s="592" t="s">
        <v>25</v>
      </c>
      <c r="D1711" s="517" t="s">
        <v>1516</v>
      </c>
      <c r="E1711" s="512">
        <v>-161.1</v>
      </c>
      <c r="F1711" s="513" t="s">
        <v>8</v>
      </c>
      <c r="G1711" s="518" t="s">
        <v>83</v>
      </c>
    </row>
    <row r="1712" spans="1:7" s="514" customFormat="1" hidden="1" x14ac:dyDescent="0.3">
      <c r="A1712" s="626">
        <v>45910</v>
      </c>
      <c r="B1712" s="626" t="s">
        <v>213</v>
      </c>
      <c r="C1712" s="592" t="s">
        <v>25</v>
      </c>
      <c r="D1712" s="517" t="s">
        <v>1317</v>
      </c>
      <c r="E1712" s="512">
        <v>-321</v>
      </c>
      <c r="F1712" s="513" t="s">
        <v>8</v>
      </c>
      <c r="G1712" s="518" t="s">
        <v>83</v>
      </c>
    </row>
    <row r="1713" spans="1:7" s="514" customFormat="1" hidden="1" x14ac:dyDescent="0.3">
      <c r="A1713" s="626">
        <v>45910</v>
      </c>
      <c r="B1713" s="626" t="s">
        <v>213</v>
      </c>
      <c r="C1713" s="592" t="s">
        <v>25</v>
      </c>
      <c r="D1713" s="517" t="s">
        <v>1491</v>
      </c>
      <c r="E1713" s="512">
        <v>-209.1</v>
      </c>
      <c r="F1713" s="513" t="s">
        <v>8</v>
      </c>
      <c r="G1713" s="518" t="s">
        <v>83</v>
      </c>
    </row>
    <row r="1714" spans="1:7" s="514" customFormat="1" hidden="1" x14ac:dyDescent="0.3">
      <c r="A1714" s="626">
        <v>45910</v>
      </c>
      <c r="B1714" s="626" t="s">
        <v>213</v>
      </c>
      <c r="C1714" s="592" t="s">
        <v>44</v>
      </c>
      <c r="D1714" s="592" t="s">
        <v>1559</v>
      </c>
      <c r="E1714" s="512">
        <v>-140</v>
      </c>
      <c r="F1714" s="513" t="s">
        <v>8</v>
      </c>
      <c r="G1714" s="518" t="s">
        <v>83</v>
      </c>
    </row>
    <row r="1715" spans="1:7" s="514" customFormat="1" hidden="1" x14ac:dyDescent="0.3">
      <c r="A1715" s="626">
        <v>45910</v>
      </c>
      <c r="B1715" s="626" t="s">
        <v>213</v>
      </c>
      <c r="C1715" s="592" t="s">
        <v>25</v>
      </c>
      <c r="D1715" s="592" t="s">
        <v>1560</v>
      </c>
      <c r="E1715" s="512">
        <v>-143.5</v>
      </c>
      <c r="F1715" s="513" t="s">
        <v>8</v>
      </c>
      <c r="G1715" s="518" t="s">
        <v>83</v>
      </c>
    </row>
    <row r="1716" spans="1:7" s="514" customFormat="1" hidden="1" x14ac:dyDescent="0.3">
      <c r="A1716" s="626">
        <v>45910</v>
      </c>
      <c r="B1716" s="626" t="s">
        <v>213</v>
      </c>
      <c r="C1716" s="592" t="s">
        <v>17</v>
      </c>
      <c r="D1716" s="517" t="s">
        <v>1515</v>
      </c>
      <c r="E1716" s="512">
        <v>-363.81</v>
      </c>
      <c r="F1716" s="513" t="s">
        <v>8</v>
      </c>
      <c r="G1716" s="519" t="s">
        <v>41</v>
      </c>
    </row>
    <row r="1717" spans="1:7" s="514" customFormat="1" hidden="1" x14ac:dyDescent="0.3">
      <c r="A1717" s="626">
        <v>45910</v>
      </c>
      <c r="B1717" s="626" t="s">
        <v>213</v>
      </c>
      <c r="C1717" s="592" t="s">
        <v>25</v>
      </c>
      <c r="D1717" s="517" t="s">
        <v>1567</v>
      </c>
      <c r="E1717" s="512">
        <v>-2700</v>
      </c>
      <c r="F1717" s="513" t="s">
        <v>8</v>
      </c>
      <c r="G1717" s="519" t="s">
        <v>27</v>
      </c>
    </row>
    <row r="1718" spans="1:7" s="514" customFormat="1" hidden="1" x14ac:dyDescent="0.3">
      <c r="A1718" s="515">
        <v>45910</v>
      </c>
      <c r="B1718" s="626" t="s">
        <v>213</v>
      </c>
      <c r="C1718" s="516" t="s">
        <v>31</v>
      </c>
      <c r="D1718" s="517" t="s">
        <v>645</v>
      </c>
      <c r="E1718" s="512">
        <v>-1000</v>
      </c>
      <c r="F1718" s="518" t="s">
        <v>8</v>
      </c>
      <c r="G1718" s="518" t="s">
        <v>189</v>
      </c>
    </row>
    <row r="1719" spans="1:7" s="291" customFormat="1" hidden="1" x14ac:dyDescent="0.3">
      <c r="A1719" s="252">
        <v>45916</v>
      </c>
      <c r="B1719" s="252" t="s">
        <v>213</v>
      </c>
      <c r="C1719" s="668" t="s">
        <v>17</v>
      </c>
      <c r="D1719" s="668" t="s">
        <v>1464</v>
      </c>
      <c r="E1719" s="669">
        <v>-1470</v>
      </c>
      <c r="F1719" s="14" t="s">
        <v>8</v>
      </c>
      <c r="G1719" s="825" t="s">
        <v>53</v>
      </c>
    </row>
    <row r="1720" spans="1:7" s="291" customFormat="1" hidden="1" x14ac:dyDescent="0.3">
      <c r="A1720" s="252">
        <v>45916</v>
      </c>
      <c r="B1720" s="252" t="s">
        <v>213</v>
      </c>
      <c r="C1720" s="668" t="s">
        <v>72</v>
      </c>
      <c r="D1720" s="668" t="s">
        <v>1194</v>
      </c>
      <c r="E1720" s="669">
        <v>-900</v>
      </c>
      <c r="F1720" s="20" t="s">
        <v>8</v>
      </c>
      <c r="G1720" s="20" t="s">
        <v>207</v>
      </c>
    </row>
    <row r="1721" spans="1:7" s="291" customFormat="1" hidden="1" x14ac:dyDescent="0.3">
      <c r="A1721" s="252">
        <v>45916</v>
      </c>
      <c r="B1721" s="252" t="s">
        <v>213</v>
      </c>
      <c r="C1721" s="668" t="s">
        <v>44</v>
      </c>
      <c r="D1721" s="668" t="s">
        <v>592</v>
      </c>
      <c r="E1721" s="669">
        <v>-4781.3999999999996</v>
      </c>
      <c r="F1721" s="20" t="s">
        <v>8</v>
      </c>
      <c r="G1721" s="20" t="s">
        <v>207</v>
      </c>
    </row>
    <row r="1722" spans="1:7" s="291" customFormat="1" hidden="1" x14ac:dyDescent="0.3">
      <c r="A1722" s="252">
        <v>45916</v>
      </c>
      <c r="B1722" s="708" t="s">
        <v>213</v>
      </c>
      <c r="C1722" s="938" t="s">
        <v>25</v>
      </c>
      <c r="D1722" s="938" t="s">
        <v>520</v>
      </c>
      <c r="E1722" s="940">
        <v>-200</v>
      </c>
      <c r="F1722" s="20" t="s">
        <v>8</v>
      </c>
      <c r="G1722" s="947" t="s">
        <v>27</v>
      </c>
    </row>
    <row r="1723" spans="1:7" s="291" customFormat="1" hidden="1" x14ac:dyDescent="0.3">
      <c r="A1723" s="252">
        <v>45916</v>
      </c>
      <c r="B1723" s="298" t="s">
        <v>213</v>
      </c>
      <c r="C1723" s="949" t="s">
        <v>31</v>
      </c>
      <c r="D1723" s="949" t="s">
        <v>1522</v>
      </c>
      <c r="E1723" s="950">
        <v>-4101.5</v>
      </c>
      <c r="F1723" s="168" t="s">
        <v>8</v>
      </c>
      <c r="G1723" s="951" t="s">
        <v>76</v>
      </c>
    </row>
    <row r="1724" spans="1:7" s="291" customFormat="1" x14ac:dyDescent="0.3">
      <c r="A1724" s="252">
        <v>45912</v>
      </c>
      <c r="B1724" s="252" t="s">
        <v>213</v>
      </c>
      <c r="C1724" s="17" t="s">
        <v>31</v>
      </c>
      <c r="D1724" s="26" t="s">
        <v>649</v>
      </c>
      <c r="E1724" s="19">
        <v>-1000</v>
      </c>
      <c r="F1724" s="20" t="s">
        <v>8</v>
      </c>
      <c r="G1724" s="20" t="s">
        <v>189</v>
      </c>
    </row>
    <row r="1725" spans="1:7" s="291" customFormat="1" hidden="1" x14ac:dyDescent="0.3">
      <c r="A1725" s="205">
        <v>45930</v>
      </c>
      <c r="B1725" s="252" t="s">
        <v>213</v>
      </c>
      <c r="C1725" s="668" t="s">
        <v>6</v>
      </c>
      <c r="D1725" s="668" t="s">
        <v>1531</v>
      </c>
      <c r="E1725" s="669">
        <v>-3000</v>
      </c>
      <c r="F1725" s="20" t="s">
        <v>8</v>
      </c>
      <c r="G1725" s="20" t="s">
        <v>189</v>
      </c>
    </row>
    <row r="1726" spans="1:7" s="291" customFormat="1" hidden="1" x14ac:dyDescent="0.3">
      <c r="A1726" s="205">
        <v>45930</v>
      </c>
      <c r="B1726" s="252" t="s">
        <v>213</v>
      </c>
      <c r="C1726" s="668" t="s">
        <v>17</v>
      </c>
      <c r="D1726" s="668" t="s">
        <v>1532</v>
      </c>
      <c r="E1726" s="669">
        <v>-2000</v>
      </c>
      <c r="F1726" s="20" t="s">
        <v>8</v>
      </c>
      <c r="G1726" s="20" t="s">
        <v>189</v>
      </c>
    </row>
    <row r="1727" spans="1:7" s="291" customFormat="1" hidden="1" x14ac:dyDescent="0.3">
      <c r="A1727" s="205">
        <v>45930</v>
      </c>
      <c r="B1727" s="252" t="s">
        <v>213</v>
      </c>
      <c r="C1727" s="26" t="s">
        <v>6</v>
      </c>
      <c r="D1727" s="26" t="s">
        <v>190</v>
      </c>
      <c r="E1727" s="19">
        <v>-2000</v>
      </c>
      <c r="F1727" s="20" t="s">
        <v>8</v>
      </c>
      <c r="G1727" s="20" t="s">
        <v>189</v>
      </c>
    </row>
    <row r="1728" spans="1:7" s="291" customFormat="1" hidden="1" x14ac:dyDescent="0.3">
      <c r="A1728" s="205">
        <v>45930</v>
      </c>
      <c r="B1728" s="252" t="s">
        <v>213</v>
      </c>
      <c r="C1728" s="26" t="s">
        <v>6</v>
      </c>
      <c r="D1728" s="26" t="s">
        <v>620</v>
      </c>
      <c r="E1728" s="19">
        <v>-1465</v>
      </c>
      <c r="F1728" s="20" t="s">
        <v>8</v>
      </c>
      <c r="G1728" s="20" t="s">
        <v>189</v>
      </c>
    </row>
    <row r="1729" spans="1:7" s="291" customFormat="1" hidden="1" x14ac:dyDescent="0.3">
      <c r="A1729" s="205">
        <v>45930</v>
      </c>
      <c r="B1729" s="252" t="s">
        <v>213</v>
      </c>
      <c r="C1729" s="26" t="s">
        <v>6</v>
      </c>
      <c r="D1729" s="26" t="s">
        <v>621</v>
      </c>
      <c r="E1729" s="19">
        <v>-3836.54</v>
      </c>
      <c r="F1729" s="20" t="s">
        <v>8</v>
      </c>
      <c r="G1729" s="20" t="s">
        <v>189</v>
      </c>
    </row>
    <row r="1730" spans="1:7" s="291" customFormat="1" hidden="1" x14ac:dyDescent="0.3">
      <c r="A1730" s="205">
        <v>45930</v>
      </c>
      <c r="B1730" s="252" t="s">
        <v>213</v>
      </c>
      <c r="C1730" s="26" t="s">
        <v>6</v>
      </c>
      <c r="D1730" s="26" t="s">
        <v>622</v>
      </c>
      <c r="E1730" s="19">
        <v>-3200</v>
      </c>
      <c r="F1730" s="20" t="s">
        <v>8</v>
      </c>
      <c r="G1730" s="20" t="s">
        <v>189</v>
      </c>
    </row>
    <row r="1731" spans="1:7" s="291" customFormat="1" hidden="1" x14ac:dyDescent="0.3">
      <c r="A1731" s="205">
        <v>45930</v>
      </c>
      <c r="B1731" s="252" t="s">
        <v>213</v>
      </c>
      <c r="C1731" s="26" t="s">
        <v>44</v>
      </c>
      <c r="D1731" s="26" t="s">
        <v>193</v>
      </c>
      <c r="E1731" s="19">
        <v>-2500</v>
      </c>
      <c r="F1731" s="20" t="s">
        <v>8</v>
      </c>
      <c r="G1731" s="20" t="s">
        <v>189</v>
      </c>
    </row>
    <row r="1732" spans="1:7" s="291" customFormat="1" hidden="1" x14ac:dyDescent="0.3">
      <c r="A1732" s="205">
        <v>45930</v>
      </c>
      <c r="B1732" s="252" t="s">
        <v>213</v>
      </c>
      <c r="C1732" s="26" t="s">
        <v>33</v>
      </c>
      <c r="D1732" s="26" t="s">
        <v>623</v>
      </c>
      <c r="E1732" s="19">
        <v>-1000</v>
      </c>
      <c r="F1732" s="20" t="s">
        <v>8</v>
      </c>
      <c r="G1732" s="20" t="s">
        <v>189</v>
      </c>
    </row>
    <row r="1733" spans="1:7" s="291" customFormat="1" hidden="1" x14ac:dyDescent="0.3">
      <c r="A1733" s="205">
        <v>45930</v>
      </c>
      <c r="B1733" s="252" t="s">
        <v>213</v>
      </c>
      <c r="C1733" s="26" t="s">
        <v>17</v>
      </c>
      <c r="D1733" s="26" t="s">
        <v>624</v>
      </c>
      <c r="E1733" s="19">
        <v>-2864.92</v>
      </c>
      <c r="F1733" s="20" t="s">
        <v>8</v>
      </c>
      <c r="G1733" s="20" t="s">
        <v>189</v>
      </c>
    </row>
    <row r="1734" spans="1:7" s="291" customFormat="1" hidden="1" x14ac:dyDescent="0.3">
      <c r="A1734" s="205">
        <v>45930</v>
      </c>
      <c r="B1734" s="252" t="s">
        <v>213</v>
      </c>
      <c r="C1734" s="26" t="s">
        <v>17</v>
      </c>
      <c r="D1734" s="26" t="s">
        <v>197</v>
      </c>
      <c r="E1734" s="19">
        <v>-1400</v>
      </c>
      <c r="F1734" s="20" t="s">
        <v>8</v>
      </c>
      <c r="G1734" s="20" t="s">
        <v>189</v>
      </c>
    </row>
    <row r="1735" spans="1:7" s="291" customFormat="1" hidden="1" x14ac:dyDescent="0.3">
      <c r="A1735" s="205">
        <v>45930</v>
      </c>
      <c r="B1735" s="252" t="s">
        <v>213</v>
      </c>
      <c r="C1735" s="26" t="s">
        <v>17</v>
      </c>
      <c r="D1735" s="26" t="s">
        <v>195</v>
      </c>
      <c r="E1735" s="19">
        <v>-1916.67</v>
      </c>
      <c r="F1735" s="20" t="s">
        <v>8</v>
      </c>
      <c r="G1735" s="20" t="s">
        <v>189</v>
      </c>
    </row>
    <row r="1736" spans="1:7" s="291" customFormat="1" x14ac:dyDescent="0.3">
      <c r="A1736" s="252">
        <v>45912</v>
      </c>
      <c r="B1736" s="252" t="s">
        <v>213</v>
      </c>
      <c r="C1736" s="17" t="s">
        <v>6</v>
      </c>
      <c r="D1736" s="26" t="s">
        <v>650</v>
      </c>
      <c r="E1736" s="19">
        <v>-10000</v>
      </c>
      <c r="F1736" s="20" t="s">
        <v>8</v>
      </c>
      <c r="G1736" s="20" t="s">
        <v>189</v>
      </c>
    </row>
    <row r="1737" spans="1:7" s="514" customFormat="1" hidden="1" x14ac:dyDescent="0.3">
      <c r="A1737" s="515">
        <v>45909</v>
      </c>
      <c r="B1737" s="626" t="s">
        <v>213</v>
      </c>
      <c r="C1737" s="592" t="s">
        <v>72</v>
      </c>
      <c r="D1737" s="592" t="s">
        <v>1221</v>
      </c>
      <c r="E1737" s="512">
        <v>-2592.66</v>
      </c>
      <c r="F1737" s="518" t="s">
        <v>8</v>
      </c>
      <c r="G1737" s="518" t="s">
        <v>233</v>
      </c>
    </row>
    <row r="1738" spans="1:7" s="514" customFormat="1" hidden="1" x14ac:dyDescent="0.3">
      <c r="A1738" s="515">
        <v>45909</v>
      </c>
      <c r="B1738" s="626" t="s">
        <v>213</v>
      </c>
      <c r="C1738" s="592" t="s">
        <v>72</v>
      </c>
      <c r="D1738" s="592" t="s">
        <v>1565</v>
      </c>
      <c r="E1738" s="512">
        <v>-487.53</v>
      </c>
      <c r="F1738" s="518" t="s">
        <v>8</v>
      </c>
      <c r="G1738" s="518" t="s">
        <v>233</v>
      </c>
    </row>
    <row r="1739" spans="1:7" s="514" customFormat="1" hidden="1" x14ac:dyDescent="0.3">
      <c r="A1739" s="515">
        <v>45909</v>
      </c>
      <c r="B1739" s="626" t="s">
        <v>213</v>
      </c>
      <c r="C1739" s="516" t="s">
        <v>106</v>
      </c>
      <c r="D1739" s="592" t="s">
        <v>640</v>
      </c>
      <c r="E1739" s="512">
        <v>-2000</v>
      </c>
      <c r="F1739" s="518" t="s">
        <v>8</v>
      </c>
      <c r="G1739" s="518" t="s">
        <v>189</v>
      </c>
    </row>
    <row r="1740" spans="1:7" s="291" customFormat="1" x14ac:dyDescent="0.3">
      <c r="A1740" s="252">
        <v>45912</v>
      </c>
      <c r="B1740" s="252" t="s">
        <v>213</v>
      </c>
      <c r="C1740" s="17" t="s">
        <v>106</v>
      </c>
      <c r="D1740" s="30" t="s">
        <v>651</v>
      </c>
      <c r="E1740" s="19">
        <v>-2000</v>
      </c>
      <c r="F1740" s="20" t="s">
        <v>8</v>
      </c>
      <c r="G1740" s="20" t="s">
        <v>189</v>
      </c>
    </row>
    <row r="1741" spans="1:7" s="291" customFormat="1" hidden="1" x14ac:dyDescent="0.3">
      <c r="A1741" s="298">
        <v>45992</v>
      </c>
      <c r="B1741" s="298" t="s">
        <v>221</v>
      </c>
      <c r="C1741" s="238" t="s">
        <v>44</v>
      </c>
      <c r="D1741" s="238" t="s">
        <v>655</v>
      </c>
      <c r="E1741" s="229">
        <v>-3968.99</v>
      </c>
      <c r="F1741" s="262" t="s">
        <v>8</v>
      </c>
      <c r="G1741" s="168" t="s">
        <v>189</v>
      </c>
    </row>
    <row r="1742" spans="1:7" s="306" customFormat="1" hidden="1" x14ac:dyDescent="0.3">
      <c r="A1742" s="296">
        <v>45964</v>
      </c>
      <c r="B1742" s="296" t="s">
        <v>217</v>
      </c>
      <c r="C1742" s="510" t="s">
        <v>44</v>
      </c>
      <c r="D1742" s="510" t="s">
        <v>654</v>
      </c>
      <c r="E1742" s="224">
        <v>-3968.99</v>
      </c>
      <c r="F1742" s="255" t="s">
        <v>8</v>
      </c>
      <c r="G1742" s="225" t="s">
        <v>189</v>
      </c>
    </row>
    <row r="1743" spans="1:7" s="291" customFormat="1" hidden="1" x14ac:dyDescent="0.3">
      <c r="A1743" s="265">
        <v>45931</v>
      </c>
      <c r="B1743" s="265" t="s">
        <v>216</v>
      </c>
      <c r="C1743" s="243" t="s">
        <v>44</v>
      </c>
      <c r="D1743" s="243" t="s">
        <v>653</v>
      </c>
      <c r="E1743" s="204">
        <v>-3968.99</v>
      </c>
      <c r="F1743" s="51" t="s">
        <v>8</v>
      </c>
      <c r="G1743" s="232" t="s">
        <v>189</v>
      </c>
    </row>
    <row r="1744" spans="1:7" s="514" customFormat="1" hidden="1" x14ac:dyDescent="0.3">
      <c r="A1744" s="626">
        <v>45901</v>
      </c>
      <c r="B1744" s="626" t="s">
        <v>213</v>
      </c>
      <c r="C1744" s="592" t="s">
        <v>17</v>
      </c>
      <c r="D1744" s="592" t="s">
        <v>1472</v>
      </c>
      <c r="E1744" s="512">
        <v>-600</v>
      </c>
      <c r="F1744" s="513" t="s">
        <v>8</v>
      </c>
      <c r="G1744" s="518" t="s">
        <v>142</v>
      </c>
    </row>
    <row r="1745" spans="1:7" s="514" customFormat="1" hidden="1" x14ac:dyDescent="0.3">
      <c r="A1745" s="626">
        <v>45901</v>
      </c>
      <c r="B1745" s="626" t="s">
        <v>213</v>
      </c>
      <c r="C1745" s="592" t="s">
        <v>44</v>
      </c>
      <c r="D1745" s="592" t="s">
        <v>632</v>
      </c>
      <c r="E1745" s="512">
        <v>-3968.99</v>
      </c>
      <c r="F1745" s="513" t="s">
        <v>8</v>
      </c>
      <c r="G1745" s="518" t="s">
        <v>189</v>
      </c>
    </row>
    <row r="1746" spans="1:7" s="514" customFormat="1" hidden="1" x14ac:dyDescent="0.3">
      <c r="A1746" s="626">
        <v>45901</v>
      </c>
      <c r="B1746" s="626" t="s">
        <v>213</v>
      </c>
      <c r="C1746" s="592" t="s">
        <v>31</v>
      </c>
      <c r="D1746" s="592" t="s">
        <v>1442</v>
      </c>
      <c r="E1746" s="512">
        <v>-240</v>
      </c>
      <c r="F1746" s="513" t="s">
        <v>8</v>
      </c>
      <c r="G1746" s="518" t="s">
        <v>83</v>
      </c>
    </row>
    <row r="1747" spans="1:7" s="514" customFormat="1" hidden="1" x14ac:dyDescent="0.3">
      <c r="A1747" s="626">
        <v>45901</v>
      </c>
      <c r="B1747" s="626" t="s">
        <v>213</v>
      </c>
      <c r="C1747" s="592" t="s">
        <v>31</v>
      </c>
      <c r="D1747" s="592" t="s">
        <v>1443</v>
      </c>
      <c r="E1747" s="512">
        <v>-240</v>
      </c>
      <c r="F1747" s="513" t="s">
        <v>8</v>
      </c>
      <c r="G1747" s="518" t="s">
        <v>83</v>
      </c>
    </row>
    <row r="1748" spans="1:7" s="514" customFormat="1" hidden="1" x14ac:dyDescent="0.3">
      <c r="A1748" s="626">
        <v>45901</v>
      </c>
      <c r="B1748" s="626" t="s">
        <v>213</v>
      </c>
      <c r="C1748" s="592" t="s">
        <v>31</v>
      </c>
      <c r="D1748" s="592" t="s">
        <v>1444</v>
      </c>
      <c r="E1748" s="512">
        <v>-200</v>
      </c>
      <c r="F1748" s="513" t="s">
        <v>8</v>
      </c>
      <c r="G1748" s="518" t="s">
        <v>83</v>
      </c>
    </row>
    <row r="1749" spans="1:7" s="514" customFormat="1" hidden="1" x14ac:dyDescent="0.3">
      <c r="A1749" s="626">
        <v>45901</v>
      </c>
      <c r="B1749" s="626" t="s">
        <v>213</v>
      </c>
      <c r="C1749" s="592" t="s">
        <v>31</v>
      </c>
      <c r="D1749" s="592" t="s">
        <v>1445</v>
      </c>
      <c r="E1749" s="512">
        <v>-159.16</v>
      </c>
      <c r="F1749" s="513" t="s">
        <v>8</v>
      </c>
      <c r="G1749" s="518" t="s">
        <v>83</v>
      </c>
    </row>
    <row r="1750" spans="1:7" s="514" customFormat="1" hidden="1" x14ac:dyDescent="0.3">
      <c r="A1750" s="626">
        <v>45901</v>
      </c>
      <c r="B1750" s="626" t="s">
        <v>213</v>
      </c>
      <c r="C1750" s="592" t="s">
        <v>31</v>
      </c>
      <c r="D1750" s="592" t="s">
        <v>1446</v>
      </c>
      <c r="E1750" s="512">
        <v>-240</v>
      </c>
      <c r="F1750" s="513" t="s">
        <v>8</v>
      </c>
      <c r="G1750" s="518" t="s">
        <v>83</v>
      </c>
    </row>
    <row r="1751" spans="1:7" s="514" customFormat="1" hidden="1" x14ac:dyDescent="0.3">
      <c r="A1751" s="626">
        <v>45901</v>
      </c>
      <c r="B1751" s="626" t="s">
        <v>213</v>
      </c>
      <c r="C1751" s="592" t="s">
        <v>31</v>
      </c>
      <c r="D1751" s="592" t="s">
        <v>1447</v>
      </c>
      <c r="E1751" s="512">
        <v>-360</v>
      </c>
      <c r="F1751" s="513" t="s">
        <v>8</v>
      </c>
      <c r="G1751" s="518" t="s">
        <v>83</v>
      </c>
    </row>
    <row r="1752" spans="1:7" s="514" customFormat="1" hidden="1" x14ac:dyDescent="0.3">
      <c r="A1752" s="626">
        <v>45901</v>
      </c>
      <c r="B1752" s="626" t="s">
        <v>213</v>
      </c>
      <c r="C1752" s="592" t="s">
        <v>31</v>
      </c>
      <c r="D1752" s="592" t="s">
        <v>1448</v>
      </c>
      <c r="E1752" s="512">
        <v>-264</v>
      </c>
      <c r="F1752" s="513" t="s">
        <v>8</v>
      </c>
      <c r="G1752" s="518" t="s">
        <v>83</v>
      </c>
    </row>
    <row r="1753" spans="1:7" s="514" customFormat="1" ht="15.6" hidden="1" customHeight="1" x14ac:dyDescent="0.3">
      <c r="A1753" s="626">
        <v>45901</v>
      </c>
      <c r="B1753" s="626" t="s">
        <v>213</v>
      </c>
      <c r="C1753" s="592" t="s">
        <v>31</v>
      </c>
      <c r="D1753" s="592" t="s">
        <v>1449</v>
      </c>
      <c r="E1753" s="512">
        <v>-180</v>
      </c>
      <c r="F1753" s="513" t="s">
        <v>8</v>
      </c>
      <c r="G1753" s="518" t="s">
        <v>83</v>
      </c>
    </row>
    <row r="1754" spans="1:7" s="514" customFormat="1" hidden="1" x14ac:dyDescent="0.3">
      <c r="A1754" s="626">
        <v>45901</v>
      </c>
      <c r="B1754" s="626" t="s">
        <v>213</v>
      </c>
      <c r="C1754" s="592" t="s">
        <v>31</v>
      </c>
      <c r="D1754" s="592" t="s">
        <v>1450</v>
      </c>
      <c r="E1754" s="512">
        <v>-250</v>
      </c>
      <c r="F1754" s="513" t="s">
        <v>8</v>
      </c>
      <c r="G1754" s="518" t="s">
        <v>83</v>
      </c>
    </row>
    <row r="1755" spans="1:7" s="514" customFormat="1" hidden="1" x14ac:dyDescent="0.3">
      <c r="A1755" s="626">
        <v>45901</v>
      </c>
      <c r="B1755" s="626" t="s">
        <v>213</v>
      </c>
      <c r="C1755" s="592" t="s">
        <v>31</v>
      </c>
      <c r="D1755" s="592" t="s">
        <v>1451</v>
      </c>
      <c r="E1755" s="512">
        <v>-180</v>
      </c>
      <c r="F1755" s="513" t="s">
        <v>8</v>
      </c>
      <c r="G1755" s="518" t="s">
        <v>83</v>
      </c>
    </row>
    <row r="1756" spans="1:7" s="291" customFormat="1" ht="15.6" hidden="1" customHeight="1" x14ac:dyDescent="0.3">
      <c r="A1756" s="252">
        <v>45901</v>
      </c>
      <c r="B1756" s="252" t="s">
        <v>213</v>
      </c>
      <c r="C1756" s="668" t="s">
        <v>31</v>
      </c>
      <c r="D1756" s="668" t="s">
        <v>1452</v>
      </c>
      <c r="E1756" s="669">
        <v>-250</v>
      </c>
      <c r="F1756" s="25" t="s">
        <v>8</v>
      </c>
      <c r="G1756" s="825" t="s">
        <v>83</v>
      </c>
    </row>
    <row r="1757" spans="1:7" s="514" customFormat="1" hidden="1" x14ac:dyDescent="0.3">
      <c r="A1757" s="626">
        <v>45901</v>
      </c>
      <c r="B1757" s="626" t="s">
        <v>213</v>
      </c>
      <c r="C1757" s="592" t="s">
        <v>31</v>
      </c>
      <c r="D1757" s="592" t="s">
        <v>1453</v>
      </c>
      <c r="E1757" s="512">
        <v>-240</v>
      </c>
      <c r="F1757" s="513" t="s">
        <v>8</v>
      </c>
      <c r="G1757" s="518" t="s">
        <v>83</v>
      </c>
    </row>
    <row r="1758" spans="1:7" s="514" customFormat="1" hidden="1" x14ac:dyDescent="0.3">
      <c r="A1758" s="626">
        <v>45901</v>
      </c>
      <c r="B1758" s="626" t="s">
        <v>213</v>
      </c>
      <c r="C1758" s="592" t="s">
        <v>31</v>
      </c>
      <c r="D1758" s="592" t="s">
        <v>1454</v>
      </c>
      <c r="E1758" s="512">
        <v>-140</v>
      </c>
      <c r="F1758" s="513" t="s">
        <v>8</v>
      </c>
      <c r="G1758" s="518" t="s">
        <v>83</v>
      </c>
    </row>
    <row r="1759" spans="1:7" s="514" customFormat="1" hidden="1" x14ac:dyDescent="0.3">
      <c r="A1759" s="626">
        <v>45901</v>
      </c>
      <c r="B1759" s="626" t="s">
        <v>213</v>
      </c>
      <c r="C1759" s="592" t="s">
        <v>6</v>
      </c>
      <c r="D1759" s="592" t="s">
        <v>1455</v>
      </c>
      <c r="E1759" s="512">
        <v>-59</v>
      </c>
      <c r="F1759" s="513" t="s">
        <v>8</v>
      </c>
      <c r="G1759" s="518" t="s">
        <v>83</v>
      </c>
    </row>
    <row r="1760" spans="1:7" s="514" customFormat="1" hidden="1" x14ac:dyDescent="0.3">
      <c r="A1760" s="626">
        <v>45901</v>
      </c>
      <c r="B1760" s="626" t="s">
        <v>213</v>
      </c>
      <c r="C1760" s="592" t="s">
        <v>6</v>
      </c>
      <c r="D1760" s="592" t="s">
        <v>1456</v>
      </c>
      <c r="E1760" s="512">
        <v>-59</v>
      </c>
      <c r="F1760" s="513" t="s">
        <v>8</v>
      </c>
      <c r="G1760" s="518" t="s">
        <v>83</v>
      </c>
    </row>
    <row r="1761" spans="1:7" s="514" customFormat="1" hidden="1" x14ac:dyDescent="0.3">
      <c r="A1761" s="626">
        <v>45901</v>
      </c>
      <c r="B1761" s="626" t="s">
        <v>213</v>
      </c>
      <c r="C1761" s="592" t="s">
        <v>6</v>
      </c>
      <c r="D1761" s="592" t="s">
        <v>1457</v>
      </c>
      <c r="E1761" s="512">
        <v>-59</v>
      </c>
      <c r="F1761" s="513" t="s">
        <v>8</v>
      </c>
      <c r="G1761" s="518" t="s">
        <v>83</v>
      </c>
    </row>
    <row r="1762" spans="1:7" s="514" customFormat="1" hidden="1" x14ac:dyDescent="0.3">
      <c r="A1762" s="626">
        <v>45901</v>
      </c>
      <c r="B1762" s="626" t="s">
        <v>213</v>
      </c>
      <c r="C1762" s="592" t="s">
        <v>6</v>
      </c>
      <c r="D1762" s="592" t="s">
        <v>1458</v>
      </c>
      <c r="E1762" s="512">
        <v>-59</v>
      </c>
      <c r="F1762" s="513" t="s">
        <v>8</v>
      </c>
      <c r="G1762" s="518" t="s">
        <v>83</v>
      </c>
    </row>
    <row r="1763" spans="1:7" s="514" customFormat="1" hidden="1" x14ac:dyDescent="0.3">
      <c r="A1763" s="626">
        <v>45901</v>
      </c>
      <c r="B1763" s="626" t="s">
        <v>213</v>
      </c>
      <c r="C1763" s="592" t="s">
        <v>6</v>
      </c>
      <c r="D1763" s="592" t="s">
        <v>1459</v>
      </c>
      <c r="E1763" s="512">
        <v>-59</v>
      </c>
      <c r="F1763" s="513" t="s">
        <v>8</v>
      </c>
      <c r="G1763" s="518" t="s">
        <v>83</v>
      </c>
    </row>
    <row r="1764" spans="1:7" s="514" customFormat="1" hidden="1" x14ac:dyDescent="0.3">
      <c r="A1764" s="626">
        <v>45901</v>
      </c>
      <c r="B1764" s="626" t="s">
        <v>213</v>
      </c>
      <c r="C1764" s="592" t="s">
        <v>6</v>
      </c>
      <c r="D1764" s="592" t="s">
        <v>1418</v>
      </c>
      <c r="E1764" s="512">
        <v>-23.6</v>
      </c>
      <c r="F1764" s="513" t="s">
        <v>8</v>
      </c>
      <c r="G1764" s="518" t="s">
        <v>83</v>
      </c>
    </row>
    <row r="1765" spans="1:7" s="514" customFormat="1" hidden="1" x14ac:dyDescent="0.3">
      <c r="A1765" s="626">
        <v>45901</v>
      </c>
      <c r="B1765" s="626" t="s">
        <v>213</v>
      </c>
      <c r="C1765" s="592" t="s">
        <v>25</v>
      </c>
      <c r="D1765" s="592" t="s">
        <v>1460</v>
      </c>
      <c r="E1765" s="512">
        <v>-307.5</v>
      </c>
      <c r="F1765" s="513" t="s">
        <v>8</v>
      </c>
      <c r="G1765" s="518" t="s">
        <v>83</v>
      </c>
    </row>
    <row r="1766" spans="1:7" s="514" customFormat="1" hidden="1" x14ac:dyDescent="0.3">
      <c r="A1766" s="626">
        <v>45901</v>
      </c>
      <c r="B1766" s="626" t="s">
        <v>213</v>
      </c>
      <c r="C1766" s="592" t="s">
        <v>25</v>
      </c>
      <c r="D1766" s="592" t="s">
        <v>372</v>
      </c>
      <c r="E1766" s="512">
        <v>-566.4</v>
      </c>
      <c r="F1766" s="513" t="s">
        <v>8</v>
      </c>
      <c r="G1766" s="518" t="s">
        <v>83</v>
      </c>
    </row>
    <row r="1767" spans="1:7" s="514" customFormat="1" hidden="1" x14ac:dyDescent="0.3">
      <c r="A1767" s="626">
        <v>45901</v>
      </c>
      <c r="B1767" s="626" t="s">
        <v>213</v>
      </c>
      <c r="C1767" s="592" t="s">
        <v>25</v>
      </c>
      <c r="D1767" s="592" t="s">
        <v>1461</v>
      </c>
      <c r="E1767" s="512">
        <v>-220</v>
      </c>
      <c r="F1767" s="513" t="s">
        <v>8</v>
      </c>
      <c r="G1767" s="518" t="s">
        <v>83</v>
      </c>
    </row>
    <row r="1768" spans="1:7" s="514" customFormat="1" hidden="1" x14ac:dyDescent="0.3">
      <c r="A1768" s="626">
        <v>45901</v>
      </c>
      <c r="B1768" s="626" t="s">
        <v>213</v>
      </c>
      <c r="C1768" s="592" t="s">
        <v>25</v>
      </c>
      <c r="D1768" s="592" t="s">
        <v>874</v>
      </c>
      <c r="E1768" s="512">
        <v>-349.5</v>
      </c>
      <c r="F1768" s="513" t="s">
        <v>8</v>
      </c>
      <c r="G1768" s="518" t="s">
        <v>83</v>
      </c>
    </row>
    <row r="1769" spans="1:7" s="514" customFormat="1" hidden="1" x14ac:dyDescent="0.3">
      <c r="A1769" s="626">
        <v>45901</v>
      </c>
      <c r="B1769" s="626" t="s">
        <v>213</v>
      </c>
      <c r="C1769" s="592" t="s">
        <v>32</v>
      </c>
      <c r="D1769" s="592" t="s">
        <v>1462</v>
      </c>
      <c r="E1769" s="512">
        <v>-279.36</v>
      </c>
      <c r="F1769" s="513" t="s">
        <v>8</v>
      </c>
      <c r="G1769" s="518" t="s">
        <v>83</v>
      </c>
    </row>
    <row r="1770" spans="1:7" s="514" customFormat="1" hidden="1" x14ac:dyDescent="0.3">
      <c r="A1770" s="626">
        <v>45901</v>
      </c>
      <c r="B1770" s="626" t="s">
        <v>213</v>
      </c>
      <c r="C1770" s="592" t="s">
        <v>32</v>
      </c>
      <c r="D1770" s="592" t="s">
        <v>1463</v>
      </c>
      <c r="E1770" s="755">
        <v>-516.96</v>
      </c>
      <c r="F1770" s="518" t="s">
        <v>8</v>
      </c>
      <c r="G1770" s="518" t="s">
        <v>41</v>
      </c>
    </row>
    <row r="1771" spans="1:7" s="514" customFormat="1" hidden="1" x14ac:dyDescent="0.3">
      <c r="A1771" s="626">
        <v>45901</v>
      </c>
      <c r="B1771" s="626" t="s">
        <v>213</v>
      </c>
      <c r="C1771" s="592" t="s">
        <v>17</v>
      </c>
      <c r="D1771" s="592" t="s">
        <v>1464</v>
      </c>
      <c r="E1771" s="755">
        <v>-2100</v>
      </c>
      <c r="F1771" s="518" t="s">
        <v>8</v>
      </c>
      <c r="G1771" s="518" t="s">
        <v>1478</v>
      </c>
    </row>
    <row r="1772" spans="1:7" s="514" customFormat="1" hidden="1" x14ac:dyDescent="0.3">
      <c r="A1772" s="626">
        <v>45901</v>
      </c>
      <c r="B1772" s="626" t="s">
        <v>213</v>
      </c>
      <c r="C1772" s="599" t="s">
        <v>13</v>
      </c>
      <c r="D1772" s="592" t="s">
        <v>1474</v>
      </c>
      <c r="E1772" s="512">
        <v>-200</v>
      </c>
      <c r="F1772" s="513" t="s">
        <v>8</v>
      </c>
      <c r="G1772" s="518" t="s">
        <v>1150</v>
      </c>
    </row>
    <row r="1773" spans="1:7" s="514" customFormat="1" hidden="1" x14ac:dyDescent="0.3">
      <c r="A1773" s="515">
        <v>45901</v>
      </c>
      <c r="B1773" s="626" t="s">
        <v>213</v>
      </c>
      <c r="C1773" s="516" t="s">
        <v>17</v>
      </c>
      <c r="D1773" s="592" t="s">
        <v>633</v>
      </c>
      <c r="E1773" s="512">
        <v>-1848.63</v>
      </c>
      <c r="F1773" s="518" t="s">
        <v>8</v>
      </c>
      <c r="G1773" s="518" t="s">
        <v>189</v>
      </c>
    </row>
    <row r="1774" spans="1:7" s="514" customFormat="1" hidden="1" x14ac:dyDescent="0.3">
      <c r="A1774" s="515">
        <v>45901</v>
      </c>
      <c r="B1774" s="626" t="s">
        <v>213</v>
      </c>
      <c r="C1774" s="592" t="s">
        <v>25</v>
      </c>
      <c r="D1774" s="592" t="s">
        <v>1477</v>
      </c>
      <c r="E1774" s="512">
        <v>-500</v>
      </c>
      <c r="F1774" s="518" t="s">
        <v>8</v>
      </c>
      <c r="G1774" s="518" t="s">
        <v>1478</v>
      </c>
    </row>
    <row r="1775" spans="1:7" s="514" customFormat="1" hidden="1" x14ac:dyDescent="0.3">
      <c r="A1775" s="515">
        <v>45901</v>
      </c>
      <c r="B1775" s="626" t="s">
        <v>213</v>
      </c>
      <c r="C1775" s="592" t="s">
        <v>25</v>
      </c>
      <c r="D1775" s="592" t="s">
        <v>1482</v>
      </c>
      <c r="E1775" s="512">
        <v>-400</v>
      </c>
      <c r="F1775" s="518" t="s">
        <v>8</v>
      </c>
      <c r="G1775" s="518" t="s">
        <v>27</v>
      </c>
    </row>
    <row r="1776" spans="1:7" s="514" customFormat="1" hidden="1" x14ac:dyDescent="0.3">
      <c r="A1776" s="515">
        <v>45901</v>
      </c>
      <c r="B1776" s="626" t="s">
        <v>213</v>
      </c>
      <c r="C1776" s="592" t="s">
        <v>25</v>
      </c>
      <c r="D1776" s="592" t="s">
        <v>1479</v>
      </c>
      <c r="E1776" s="512">
        <v>-270</v>
      </c>
      <c r="F1776" s="518" t="s">
        <v>8</v>
      </c>
      <c r="G1776" s="518" t="s">
        <v>27</v>
      </c>
    </row>
    <row r="1777" spans="1:7" s="514" customFormat="1" hidden="1" x14ac:dyDescent="0.3">
      <c r="A1777" s="515">
        <v>45901</v>
      </c>
      <c r="B1777" s="626" t="s">
        <v>213</v>
      </c>
      <c r="C1777" s="592" t="s">
        <v>25</v>
      </c>
      <c r="D1777" s="592" t="s">
        <v>1480</v>
      </c>
      <c r="E1777" s="512">
        <v>-1717.2</v>
      </c>
      <c r="F1777" s="518" t="s">
        <v>8</v>
      </c>
      <c r="G1777" s="518" t="s">
        <v>27</v>
      </c>
    </row>
    <row r="1778" spans="1:7" s="514" customFormat="1" hidden="1" x14ac:dyDescent="0.3">
      <c r="A1778" s="515">
        <v>45901</v>
      </c>
      <c r="B1778" s="626" t="s">
        <v>213</v>
      </c>
      <c r="C1778" s="592" t="s">
        <v>25</v>
      </c>
      <c r="D1778" s="592" t="s">
        <v>1481</v>
      </c>
      <c r="E1778" s="512">
        <v>-1717.2</v>
      </c>
      <c r="F1778" s="518" t="s">
        <v>8</v>
      </c>
      <c r="G1778" s="518" t="s">
        <v>27</v>
      </c>
    </row>
    <row r="1779" spans="1:7" s="514" customFormat="1" hidden="1" x14ac:dyDescent="0.3">
      <c r="A1779" s="515">
        <v>45901</v>
      </c>
      <c r="B1779" s="626" t="s">
        <v>213</v>
      </c>
      <c r="C1779" s="592" t="s">
        <v>25</v>
      </c>
      <c r="D1779" s="592" t="s">
        <v>1483</v>
      </c>
      <c r="E1779" s="512">
        <v>-755.28</v>
      </c>
      <c r="F1779" s="518" t="s">
        <v>8</v>
      </c>
      <c r="G1779" s="518" t="s">
        <v>27</v>
      </c>
    </row>
    <row r="1780" spans="1:7" s="514" customFormat="1" hidden="1" x14ac:dyDescent="0.3">
      <c r="A1780" s="515">
        <v>45901</v>
      </c>
      <c r="B1780" s="626" t="s">
        <v>213</v>
      </c>
      <c r="C1780" s="592" t="s">
        <v>25</v>
      </c>
      <c r="D1780" s="592" t="s">
        <v>1484</v>
      </c>
      <c r="E1780" s="512">
        <v>-540</v>
      </c>
      <c r="F1780" s="518" t="s">
        <v>8</v>
      </c>
      <c r="G1780" s="518" t="s">
        <v>27</v>
      </c>
    </row>
    <row r="1781" spans="1:7" s="291" customFormat="1" hidden="1" x14ac:dyDescent="0.3">
      <c r="A1781" s="298">
        <v>45945</v>
      </c>
      <c r="B1781" s="298" t="s">
        <v>216</v>
      </c>
      <c r="C1781" s="260" t="s">
        <v>6</v>
      </c>
      <c r="D1781" s="261" t="s">
        <v>78</v>
      </c>
      <c r="E1781" s="253">
        <v>-100000</v>
      </c>
      <c r="F1781" s="47" t="s">
        <v>8</v>
      </c>
      <c r="G1781" s="47" t="s">
        <v>41</v>
      </c>
    </row>
    <row r="1782" spans="1:7" s="291" customFormat="1" hidden="1" x14ac:dyDescent="0.3">
      <c r="A1782" s="252">
        <v>45936</v>
      </c>
      <c r="B1782" s="252" t="s">
        <v>216</v>
      </c>
      <c r="C1782" s="24" t="s">
        <v>6</v>
      </c>
      <c r="D1782" s="13" t="s">
        <v>43</v>
      </c>
      <c r="E1782" s="28">
        <v>-9000</v>
      </c>
      <c r="F1782" s="25" t="s">
        <v>8</v>
      </c>
      <c r="G1782" s="14" t="s">
        <v>41</v>
      </c>
    </row>
    <row r="1783" spans="1:7" s="291" customFormat="1" hidden="1" x14ac:dyDescent="0.3">
      <c r="A1783" s="252">
        <v>45932</v>
      </c>
      <c r="B1783" s="252" t="s">
        <v>216</v>
      </c>
      <c r="C1783" s="17" t="s">
        <v>20</v>
      </c>
      <c r="D1783" s="18" t="s">
        <v>21</v>
      </c>
      <c r="E1783" s="28">
        <v>-900</v>
      </c>
      <c r="F1783" s="25" t="s">
        <v>8</v>
      </c>
      <c r="G1783" s="14" t="s">
        <v>22</v>
      </c>
    </row>
    <row r="1784" spans="1:7" s="291" customFormat="1" hidden="1" x14ac:dyDescent="0.3">
      <c r="A1784" s="205">
        <v>45961</v>
      </c>
      <c r="B1784" s="252" t="s">
        <v>216</v>
      </c>
      <c r="C1784" s="24" t="s">
        <v>17</v>
      </c>
      <c r="D1784" s="18" t="s">
        <v>149</v>
      </c>
      <c r="E1784" s="28">
        <v>-1500</v>
      </c>
      <c r="F1784" s="25" t="s">
        <v>8</v>
      </c>
      <c r="G1784" s="14" t="s">
        <v>150</v>
      </c>
    </row>
    <row r="1785" spans="1:7" s="291" customFormat="1" hidden="1" x14ac:dyDescent="0.3">
      <c r="A1785" s="205">
        <v>45961</v>
      </c>
      <c r="B1785" s="252" t="s">
        <v>216</v>
      </c>
      <c r="C1785" s="24" t="s">
        <v>17</v>
      </c>
      <c r="D1785" s="18" t="s">
        <v>151</v>
      </c>
      <c r="E1785" s="28">
        <v>-50</v>
      </c>
      <c r="F1785" s="25" t="s">
        <v>8</v>
      </c>
      <c r="G1785" s="14" t="s">
        <v>150</v>
      </c>
    </row>
    <row r="1786" spans="1:7" s="291" customFormat="1" hidden="1" x14ac:dyDescent="0.3">
      <c r="A1786" s="252">
        <v>45950</v>
      </c>
      <c r="B1786" s="252" t="s">
        <v>216</v>
      </c>
      <c r="C1786" s="24" t="s">
        <v>6</v>
      </c>
      <c r="D1786" s="13" t="s">
        <v>124</v>
      </c>
      <c r="E1786" s="28">
        <v>-1100</v>
      </c>
      <c r="F1786" s="25" t="s">
        <v>8</v>
      </c>
      <c r="G1786" s="14" t="s">
        <v>69</v>
      </c>
    </row>
    <row r="1787" spans="1:7" s="291" customFormat="1" hidden="1" x14ac:dyDescent="0.3">
      <c r="A1787" s="265">
        <v>45945</v>
      </c>
      <c r="B1787" s="265" t="s">
        <v>216</v>
      </c>
      <c r="C1787" s="258" t="s">
        <v>6</v>
      </c>
      <c r="D1787" s="259" t="s">
        <v>79</v>
      </c>
      <c r="E1787" s="297">
        <v>-40000</v>
      </c>
      <c r="F1787" s="51" t="s">
        <v>8</v>
      </c>
      <c r="G1787" s="68" t="s">
        <v>79</v>
      </c>
    </row>
    <row r="1788" spans="1:7" s="291" customFormat="1" hidden="1" x14ac:dyDescent="0.3">
      <c r="A1788" s="252">
        <v>45919</v>
      </c>
      <c r="B1788" s="252" t="s">
        <v>213</v>
      </c>
      <c r="C1788" s="668" t="s">
        <v>72</v>
      </c>
      <c r="D1788" s="668" t="s">
        <v>1194</v>
      </c>
      <c r="E1788" s="669">
        <v>-1400</v>
      </c>
      <c r="F1788" s="25" t="s">
        <v>8</v>
      </c>
      <c r="G1788" s="14" t="s">
        <v>233</v>
      </c>
    </row>
    <row r="1789" spans="1:7" s="291" customFormat="1" hidden="1" x14ac:dyDescent="0.3">
      <c r="A1789" s="252">
        <v>45919</v>
      </c>
      <c r="B1789" s="252" t="s">
        <v>213</v>
      </c>
      <c r="C1789" s="668" t="s">
        <v>72</v>
      </c>
      <c r="D1789" s="668" t="s">
        <v>357</v>
      </c>
      <c r="E1789" s="669">
        <v>-35.299999999999997</v>
      </c>
      <c r="F1789" s="25" t="s">
        <v>8</v>
      </c>
      <c r="G1789" s="825" t="s">
        <v>358</v>
      </c>
    </row>
    <row r="1790" spans="1:7" s="291" customFormat="1" hidden="1" x14ac:dyDescent="0.3">
      <c r="A1790" s="252">
        <v>45919</v>
      </c>
      <c r="B1790" s="252" t="s">
        <v>213</v>
      </c>
      <c r="C1790" s="24" t="s">
        <v>6</v>
      </c>
      <c r="D1790" s="13" t="s">
        <v>808</v>
      </c>
      <c r="E1790" s="28">
        <v>-4500</v>
      </c>
      <c r="F1790" s="25" t="s">
        <v>8</v>
      </c>
      <c r="G1790" s="14" t="s">
        <v>114</v>
      </c>
    </row>
    <row r="1791" spans="1:7" s="291" customFormat="1" hidden="1" x14ac:dyDescent="0.3">
      <c r="A1791" s="298">
        <v>45947</v>
      </c>
      <c r="B1791" s="298" t="s">
        <v>216</v>
      </c>
      <c r="C1791" s="260" t="s">
        <v>6</v>
      </c>
      <c r="D1791" s="261" t="s">
        <v>808</v>
      </c>
      <c r="E1791" s="253">
        <v>-4500</v>
      </c>
      <c r="F1791" s="262" t="s">
        <v>8</v>
      </c>
      <c r="G1791" s="47" t="s">
        <v>114</v>
      </c>
    </row>
    <row r="1792" spans="1:7" s="291" customFormat="1" hidden="1" x14ac:dyDescent="0.3">
      <c r="A1792" s="252">
        <v>45940</v>
      </c>
      <c r="B1792" s="252" t="s">
        <v>216</v>
      </c>
      <c r="C1792" s="24" t="s">
        <v>6</v>
      </c>
      <c r="D1792" s="13" t="s">
        <v>63</v>
      </c>
      <c r="E1792" s="28">
        <v>-9500</v>
      </c>
      <c r="F1792" s="25" t="s">
        <v>8</v>
      </c>
      <c r="G1792" s="14" t="s">
        <v>64</v>
      </c>
    </row>
    <row r="1793" spans="1:7" s="291" customFormat="1" hidden="1" x14ac:dyDescent="0.3">
      <c r="A1793" s="265">
        <v>45957</v>
      </c>
      <c r="B1793" s="265" t="s">
        <v>216</v>
      </c>
      <c r="C1793" s="258" t="s">
        <v>6</v>
      </c>
      <c r="D1793" s="259" t="s">
        <v>63</v>
      </c>
      <c r="E1793" s="297">
        <v>-9000</v>
      </c>
      <c r="F1793" s="51" t="s">
        <v>8</v>
      </c>
      <c r="G1793" s="68" t="s">
        <v>64</v>
      </c>
    </row>
    <row r="1794" spans="1:7" hidden="1" x14ac:dyDescent="0.3">
      <c r="A1794" s="275">
        <v>45933</v>
      </c>
      <c r="B1794" s="275" t="s">
        <v>216</v>
      </c>
      <c r="C1794" s="272" t="s">
        <v>17</v>
      </c>
      <c r="D1794" s="53" t="s">
        <v>183</v>
      </c>
      <c r="E1794" s="273">
        <v>345280</v>
      </c>
      <c r="F1794" s="110" t="s">
        <v>164</v>
      </c>
      <c r="G1794" s="137" t="s">
        <v>165</v>
      </c>
    </row>
    <row r="1795" spans="1:7" s="291" customFormat="1" hidden="1" x14ac:dyDescent="0.3">
      <c r="A1795" s="343">
        <v>45936</v>
      </c>
      <c r="B1795" s="343" t="s">
        <v>216</v>
      </c>
      <c r="C1795" s="350" t="s">
        <v>6</v>
      </c>
      <c r="D1795" s="351" t="s">
        <v>23</v>
      </c>
      <c r="E1795" s="352">
        <v>-3809.98</v>
      </c>
      <c r="F1795" s="212" t="s">
        <v>8</v>
      </c>
      <c r="G1795" s="353" t="s">
        <v>24</v>
      </c>
    </row>
    <row r="1796" spans="1:7" hidden="1" x14ac:dyDescent="0.3">
      <c r="A1796" s="275">
        <v>45946</v>
      </c>
      <c r="B1796" s="275" t="s">
        <v>216</v>
      </c>
      <c r="C1796" s="272" t="s">
        <v>184</v>
      </c>
      <c r="D1796" s="53" t="s">
        <v>185</v>
      </c>
      <c r="E1796" s="279">
        <v>17956.39</v>
      </c>
      <c r="F1796" s="110" t="s">
        <v>164</v>
      </c>
      <c r="G1796" s="137" t="s">
        <v>165</v>
      </c>
    </row>
    <row r="1797" spans="1:7" s="291" customFormat="1" hidden="1" x14ac:dyDescent="0.3">
      <c r="A1797" s="343">
        <v>45946</v>
      </c>
      <c r="B1797" s="343" t="s">
        <v>216</v>
      </c>
      <c r="C1797" s="347" t="s">
        <v>6</v>
      </c>
      <c r="D1797" s="351" t="s">
        <v>118</v>
      </c>
      <c r="E1797" s="352">
        <v>-4500</v>
      </c>
      <c r="F1797" s="212" t="s">
        <v>8</v>
      </c>
      <c r="G1797" s="353" t="s">
        <v>51</v>
      </c>
    </row>
    <row r="1798" spans="1:7" hidden="1" x14ac:dyDescent="0.3">
      <c r="A1798" s="97">
        <v>45960</v>
      </c>
      <c r="B1798" s="275" t="s">
        <v>216</v>
      </c>
      <c r="C1798" s="272" t="s">
        <v>173</v>
      </c>
      <c r="D1798" s="53" t="s">
        <v>188</v>
      </c>
      <c r="E1798" s="280">
        <v>816717.89</v>
      </c>
      <c r="F1798" s="110" t="s">
        <v>164</v>
      </c>
      <c r="G1798" s="137" t="s">
        <v>165</v>
      </c>
    </row>
    <row r="1799" spans="1:7" s="291" customFormat="1" hidden="1" x14ac:dyDescent="0.3">
      <c r="A1799" s="343">
        <v>45945</v>
      </c>
      <c r="B1799" s="343" t="s">
        <v>216</v>
      </c>
      <c r="C1799" s="347" t="s">
        <v>17</v>
      </c>
      <c r="D1799" s="351" t="s">
        <v>84</v>
      </c>
      <c r="E1799" s="352">
        <v>-20000</v>
      </c>
      <c r="F1799" s="212" t="s">
        <v>8</v>
      </c>
      <c r="G1799" s="353" t="s">
        <v>59</v>
      </c>
    </row>
    <row r="1800" spans="1:7" s="291" customFormat="1" hidden="1" x14ac:dyDescent="0.3">
      <c r="A1800" s="205">
        <v>45929</v>
      </c>
      <c r="B1800" s="252" t="s">
        <v>213</v>
      </c>
      <c r="C1800" s="26" t="s">
        <v>31</v>
      </c>
      <c r="D1800" s="26" t="s">
        <v>1526</v>
      </c>
      <c r="E1800" s="19">
        <v>-1500</v>
      </c>
      <c r="F1800" s="25" t="s">
        <v>8</v>
      </c>
      <c r="G1800" s="20" t="s">
        <v>189</v>
      </c>
    </row>
    <row r="1801" spans="1:7" s="291" customFormat="1" hidden="1" x14ac:dyDescent="0.3">
      <c r="A1801" s="205">
        <v>45929</v>
      </c>
      <c r="B1801" s="252" t="s">
        <v>213</v>
      </c>
      <c r="C1801" s="26" t="s">
        <v>6</v>
      </c>
      <c r="D1801" s="26" t="s">
        <v>1529</v>
      </c>
      <c r="E1801" s="19">
        <v>-1000</v>
      </c>
      <c r="F1801" s="25" t="s">
        <v>8</v>
      </c>
      <c r="G1801" s="20" t="s">
        <v>189</v>
      </c>
    </row>
    <row r="1802" spans="1:7" s="291" customFormat="1" hidden="1" x14ac:dyDescent="0.3">
      <c r="A1802" s="205">
        <v>45929</v>
      </c>
      <c r="B1802" s="252" t="s">
        <v>213</v>
      </c>
      <c r="C1802" s="26" t="s">
        <v>44</v>
      </c>
      <c r="D1802" s="26" t="s">
        <v>1528</v>
      </c>
      <c r="E1802" s="19">
        <v>-3800</v>
      </c>
      <c r="F1802" s="25" t="s">
        <v>8</v>
      </c>
      <c r="G1802" s="20" t="s">
        <v>189</v>
      </c>
    </row>
    <row r="1803" spans="1:7" s="291" customFormat="1" hidden="1" x14ac:dyDescent="0.3">
      <c r="A1803" s="205">
        <v>45929</v>
      </c>
      <c r="B1803" s="252" t="s">
        <v>213</v>
      </c>
      <c r="C1803" s="26" t="s">
        <v>31</v>
      </c>
      <c r="D1803" s="26" t="s">
        <v>1527</v>
      </c>
      <c r="E1803" s="19">
        <v>-1000</v>
      </c>
      <c r="F1803" s="25" t="s">
        <v>8</v>
      </c>
      <c r="G1803" s="20" t="s">
        <v>189</v>
      </c>
    </row>
    <row r="1804" spans="1:7" s="291" customFormat="1" hidden="1" x14ac:dyDescent="0.3">
      <c r="A1804" s="205">
        <v>45929</v>
      </c>
      <c r="B1804" s="252" t="s">
        <v>213</v>
      </c>
      <c r="C1804" s="26" t="s">
        <v>17</v>
      </c>
      <c r="D1804" s="26" t="s">
        <v>397</v>
      </c>
      <c r="E1804" s="19">
        <v>-136.44</v>
      </c>
      <c r="F1804" s="25" t="s">
        <v>8</v>
      </c>
      <c r="G1804" s="14" t="s">
        <v>233</v>
      </c>
    </row>
    <row r="1805" spans="1:7" s="291" customFormat="1" hidden="1" x14ac:dyDescent="0.3">
      <c r="A1805" s="205">
        <v>45929</v>
      </c>
      <c r="B1805" s="252" t="s">
        <v>213</v>
      </c>
      <c r="C1805" s="26" t="s">
        <v>72</v>
      </c>
      <c r="D1805" s="26" t="s">
        <v>1530</v>
      </c>
      <c r="E1805" s="19">
        <v>-1101.8399999999999</v>
      </c>
      <c r="F1805" s="25" t="s">
        <v>8</v>
      </c>
      <c r="G1805" s="14" t="s">
        <v>233</v>
      </c>
    </row>
    <row r="1806" spans="1:7" s="291" customFormat="1" hidden="1" x14ac:dyDescent="0.3">
      <c r="A1806" s="205">
        <v>45929</v>
      </c>
      <c r="B1806" s="252" t="s">
        <v>213</v>
      </c>
      <c r="C1806" s="26" t="s">
        <v>44</v>
      </c>
      <c r="D1806" s="26" t="s">
        <v>232</v>
      </c>
      <c r="E1806" s="19">
        <v>-2510.4499999999998</v>
      </c>
      <c r="F1806" s="25" t="s">
        <v>8</v>
      </c>
      <c r="G1806" s="14" t="s">
        <v>233</v>
      </c>
    </row>
    <row r="1807" spans="1:7" s="291" customFormat="1" hidden="1" x14ac:dyDescent="0.3">
      <c r="A1807" s="205">
        <v>45929</v>
      </c>
      <c r="B1807" s="252" t="s">
        <v>213</v>
      </c>
      <c r="C1807" s="26" t="s">
        <v>72</v>
      </c>
      <c r="D1807" s="26" t="s">
        <v>234</v>
      </c>
      <c r="E1807" s="19">
        <v>-354.28</v>
      </c>
      <c r="F1807" s="25" t="s">
        <v>8</v>
      </c>
      <c r="G1807" s="14" t="s">
        <v>233</v>
      </c>
    </row>
    <row r="1808" spans="1:7" s="291" customFormat="1" hidden="1" x14ac:dyDescent="0.3">
      <c r="A1808" s="205">
        <v>45929</v>
      </c>
      <c r="B1808" s="252" t="s">
        <v>213</v>
      </c>
      <c r="C1808" s="26" t="s">
        <v>25</v>
      </c>
      <c r="D1808" s="26" t="s">
        <v>522</v>
      </c>
      <c r="E1808" s="19">
        <v>-61.28</v>
      </c>
      <c r="F1808" s="25" t="s">
        <v>8</v>
      </c>
      <c r="G1808" s="14" t="s">
        <v>233</v>
      </c>
    </row>
    <row r="1809" spans="1:8" s="291" customFormat="1" hidden="1" x14ac:dyDescent="0.3">
      <c r="A1809" s="205">
        <v>45929</v>
      </c>
      <c r="B1809" s="252" t="s">
        <v>213</v>
      </c>
      <c r="C1809" s="27" t="s">
        <v>6</v>
      </c>
      <c r="D1809" s="24" t="s">
        <v>1547</v>
      </c>
      <c r="E1809" s="28">
        <v>-35714.57</v>
      </c>
      <c r="F1809" s="14" t="s">
        <v>8</v>
      </c>
      <c r="G1809" s="20" t="s">
        <v>46</v>
      </c>
      <c r="H1809" s="282"/>
    </row>
    <row r="1810" spans="1:8" s="291" customFormat="1" hidden="1" x14ac:dyDescent="0.3">
      <c r="A1810" s="298">
        <v>45957</v>
      </c>
      <c r="B1810" s="298" t="s">
        <v>216</v>
      </c>
      <c r="C1810" s="354" t="s">
        <v>6</v>
      </c>
      <c r="D1810" s="261" t="s">
        <v>115</v>
      </c>
      <c r="E1810" s="253">
        <v>-35714.57</v>
      </c>
      <c r="F1810" s="47" t="s">
        <v>8</v>
      </c>
      <c r="G1810" s="168" t="s">
        <v>46</v>
      </c>
    </row>
    <row r="1811" spans="1:8" s="291" customFormat="1" hidden="1" x14ac:dyDescent="0.3">
      <c r="A1811" s="252">
        <v>45940</v>
      </c>
      <c r="B1811" s="252" t="s">
        <v>216</v>
      </c>
      <c r="C1811" s="17" t="s">
        <v>6</v>
      </c>
      <c r="D1811" s="18" t="s">
        <v>70</v>
      </c>
      <c r="E1811" s="19">
        <v>-545.78</v>
      </c>
      <c r="F1811" s="25" t="s">
        <v>8</v>
      </c>
      <c r="G1811" s="20" t="s">
        <v>71</v>
      </c>
    </row>
    <row r="1812" spans="1:8" s="291" customFormat="1" hidden="1" x14ac:dyDescent="0.3">
      <c r="A1812" s="252">
        <v>45940</v>
      </c>
      <c r="B1812" s="252" t="s">
        <v>216</v>
      </c>
      <c r="C1812" s="24" t="s">
        <v>13</v>
      </c>
      <c r="D1812" s="13" t="s">
        <v>50</v>
      </c>
      <c r="E1812" s="28">
        <v>-9000</v>
      </c>
      <c r="F1812" s="25" t="s">
        <v>8</v>
      </c>
      <c r="G1812" s="14" t="s">
        <v>51</v>
      </c>
    </row>
    <row r="1813" spans="1:8" s="291" customFormat="1" hidden="1" x14ac:dyDescent="0.3">
      <c r="A1813" s="252">
        <v>45931</v>
      </c>
      <c r="B1813" s="252" t="s">
        <v>216</v>
      </c>
      <c r="C1813" s="24" t="s">
        <v>13</v>
      </c>
      <c r="D1813" s="13" t="s">
        <v>16</v>
      </c>
      <c r="E1813" s="28">
        <v>-5000</v>
      </c>
      <c r="F1813" s="25" t="s">
        <v>8</v>
      </c>
      <c r="G1813" s="14" t="s">
        <v>15</v>
      </c>
    </row>
    <row r="1814" spans="1:8" s="291" customFormat="1" hidden="1" x14ac:dyDescent="0.3">
      <c r="A1814" s="252">
        <v>45931</v>
      </c>
      <c r="B1814" s="252" t="s">
        <v>216</v>
      </c>
      <c r="C1814" s="24" t="s">
        <v>13</v>
      </c>
      <c r="D1814" s="13" t="s">
        <v>14</v>
      </c>
      <c r="E1814" s="28">
        <v>-2000</v>
      </c>
      <c r="F1814" s="25" t="s">
        <v>8</v>
      </c>
      <c r="G1814" s="14" t="s">
        <v>15</v>
      </c>
    </row>
    <row r="1815" spans="1:8" s="291" customFormat="1" hidden="1" x14ac:dyDescent="0.3">
      <c r="A1815" s="252">
        <v>45945</v>
      </c>
      <c r="B1815" s="252" t="s">
        <v>216</v>
      </c>
      <c r="C1815" s="17" t="s">
        <v>31</v>
      </c>
      <c r="D1815" s="256" t="s">
        <v>93</v>
      </c>
      <c r="E1815" s="28">
        <v>-2302.0500000000002</v>
      </c>
      <c r="F1815" s="25" t="s">
        <v>8</v>
      </c>
      <c r="G1815" s="14" t="s">
        <v>93</v>
      </c>
    </row>
    <row r="1816" spans="1:8" s="291" customFormat="1" hidden="1" x14ac:dyDescent="0.3">
      <c r="A1816" s="252">
        <v>45945</v>
      </c>
      <c r="B1816" s="252" t="s">
        <v>216</v>
      </c>
      <c r="C1816" s="27" t="s">
        <v>25</v>
      </c>
      <c r="D1816" s="256" t="s">
        <v>93</v>
      </c>
      <c r="E1816" s="28">
        <v>-1248.99</v>
      </c>
      <c r="F1816" s="25" t="s">
        <v>8</v>
      </c>
      <c r="G1816" s="14" t="s">
        <v>93</v>
      </c>
    </row>
    <row r="1817" spans="1:8" s="291" customFormat="1" hidden="1" x14ac:dyDescent="0.3">
      <c r="A1817" s="252">
        <v>45945</v>
      </c>
      <c r="B1817" s="252" t="s">
        <v>216</v>
      </c>
      <c r="C1817" s="24" t="s">
        <v>17</v>
      </c>
      <c r="D1817" s="13" t="s">
        <v>92</v>
      </c>
      <c r="E1817" s="28">
        <v>-12000</v>
      </c>
      <c r="F1817" s="25" t="s">
        <v>8</v>
      </c>
      <c r="G1817" s="14" t="s">
        <v>93</v>
      </c>
    </row>
    <row r="1818" spans="1:8" s="291" customFormat="1" hidden="1" x14ac:dyDescent="0.3">
      <c r="A1818" s="252">
        <v>45940</v>
      </c>
      <c r="B1818" s="252" t="s">
        <v>216</v>
      </c>
      <c r="C1818" s="24" t="s">
        <v>31</v>
      </c>
      <c r="D1818" s="13" t="s">
        <v>60</v>
      </c>
      <c r="E1818" s="28">
        <v>-9000</v>
      </c>
      <c r="F1818" s="25" t="s">
        <v>8</v>
      </c>
      <c r="G1818" s="14" t="s">
        <v>59</v>
      </c>
    </row>
    <row r="1819" spans="1:8" s="291" customFormat="1" hidden="1" x14ac:dyDescent="0.3">
      <c r="A1819" s="252">
        <v>45957</v>
      </c>
      <c r="B1819" s="252" t="s">
        <v>216</v>
      </c>
      <c r="C1819" s="24" t="s">
        <v>25</v>
      </c>
      <c r="D1819" s="13" t="s">
        <v>198</v>
      </c>
      <c r="E1819" s="28">
        <v>-7000</v>
      </c>
      <c r="F1819" s="25" t="s">
        <v>8</v>
      </c>
      <c r="G1819" s="20" t="s">
        <v>46</v>
      </c>
    </row>
    <row r="1820" spans="1:8" s="291" customFormat="1" hidden="1" x14ac:dyDescent="0.3">
      <c r="A1820" s="252">
        <v>45957</v>
      </c>
      <c r="B1820" s="252" t="s">
        <v>216</v>
      </c>
      <c r="C1820" s="24" t="s">
        <v>31</v>
      </c>
      <c r="D1820" s="13" t="s">
        <v>614</v>
      </c>
      <c r="E1820" s="28">
        <v>-7000</v>
      </c>
      <c r="F1820" s="25" t="s">
        <v>8</v>
      </c>
      <c r="G1820" s="20" t="s">
        <v>46</v>
      </c>
    </row>
    <row r="1821" spans="1:8" s="291" customFormat="1" hidden="1" x14ac:dyDescent="0.3">
      <c r="A1821" s="252">
        <v>45945</v>
      </c>
      <c r="B1821" s="252" t="s">
        <v>216</v>
      </c>
      <c r="C1821" s="27" t="s">
        <v>65</v>
      </c>
      <c r="D1821" s="13" t="s">
        <v>97</v>
      </c>
      <c r="E1821" s="28">
        <v>-877.96</v>
      </c>
      <c r="F1821" s="14" t="s">
        <v>8</v>
      </c>
      <c r="G1821" s="14" t="s">
        <v>39</v>
      </c>
    </row>
    <row r="1822" spans="1:8" s="291" customFormat="1" hidden="1" x14ac:dyDescent="0.3">
      <c r="A1822" s="205">
        <v>45961</v>
      </c>
      <c r="B1822" s="252" t="s">
        <v>216</v>
      </c>
      <c r="C1822" s="27" t="s">
        <v>65</v>
      </c>
      <c r="D1822" s="13" t="s">
        <v>97</v>
      </c>
      <c r="E1822" s="28">
        <v>-5000</v>
      </c>
      <c r="F1822" s="14" t="s">
        <v>8</v>
      </c>
      <c r="G1822" s="14" t="s">
        <v>39</v>
      </c>
    </row>
    <row r="1823" spans="1:8" s="291" customFormat="1" hidden="1" x14ac:dyDescent="0.3">
      <c r="A1823" s="252">
        <v>45947</v>
      </c>
      <c r="B1823" s="298" t="s">
        <v>216</v>
      </c>
      <c r="C1823" s="260" t="s">
        <v>17</v>
      </c>
      <c r="D1823" s="261" t="s">
        <v>143</v>
      </c>
      <c r="E1823" s="253">
        <v>-9980</v>
      </c>
      <c r="F1823" s="25" t="s">
        <v>8</v>
      </c>
      <c r="G1823" s="14" t="s">
        <v>59</v>
      </c>
    </row>
    <row r="1824" spans="1:8" s="291" customFormat="1" hidden="1" x14ac:dyDescent="0.3">
      <c r="A1824" s="252">
        <v>45954</v>
      </c>
      <c r="B1824" s="252" t="s">
        <v>216</v>
      </c>
      <c r="C1824" s="24" t="s">
        <v>17</v>
      </c>
      <c r="D1824" s="13" t="s">
        <v>143</v>
      </c>
      <c r="E1824" s="28">
        <v>-9980</v>
      </c>
      <c r="F1824" s="25" t="s">
        <v>8</v>
      </c>
      <c r="G1824" s="14" t="s">
        <v>59</v>
      </c>
    </row>
    <row r="1825" spans="1:7" s="291" customFormat="1" hidden="1" x14ac:dyDescent="0.3">
      <c r="A1825" s="205">
        <v>45961</v>
      </c>
      <c r="B1825" s="252" t="s">
        <v>216</v>
      </c>
      <c r="C1825" s="24" t="s">
        <v>17</v>
      </c>
      <c r="D1825" s="13" t="s">
        <v>143</v>
      </c>
      <c r="E1825" s="28">
        <v>-23498.18</v>
      </c>
      <c r="F1825" s="25" t="s">
        <v>8</v>
      </c>
      <c r="G1825" s="14" t="s">
        <v>59</v>
      </c>
    </row>
    <row r="1826" spans="1:7" s="291" customFormat="1" hidden="1" x14ac:dyDescent="0.3">
      <c r="A1826" s="205">
        <v>45952</v>
      </c>
      <c r="B1826" s="298" t="s">
        <v>216</v>
      </c>
      <c r="C1826" s="237" t="s">
        <v>17</v>
      </c>
      <c r="D1826" s="261" t="s">
        <v>134</v>
      </c>
      <c r="E1826" s="253">
        <v>-1700</v>
      </c>
      <c r="F1826" s="25" t="s">
        <v>8</v>
      </c>
      <c r="G1826" s="14" t="s">
        <v>135</v>
      </c>
    </row>
    <row r="1827" spans="1:7" s="291" customFormat="1" hidden="1" x14ac:dyDescent="0.3">
      <c r="A1827" s="265">
        <v>45936</v>
      </c>
      <c r="B1827" s="265" t="s">
        <v>216</v>
      </c>
      <c r="C1827" s="202" t="s">
        <v>31</v>
      </c>
      <c r="D1827" s="203" t="s">
        <v>38</v>
      </c>
      <c r="E1827" s="297">
        <v>-760</v>
      </c>
      <c r="F1827" s="51" t="s">
        <v>8</v>
      </c>
      <c r="G1827" s="232" t="s">
        <v>39</v>
      </c>
    </row>
    <row r="1828" spans="1:7" hidden="1" x14ac:dyDescent="0.3">
      <c r="A1828" s="275">
        <v>45943</v>
      </c>
      <c r="B1828" s="275" t="s">
        <v>216</v>
      </c>
      <c r="C1828" s="272" t="s">
        <v>173</v>
      </c>
      <c r="D1828" s="53" t="s">
        <v>175</v>
      </c>
      <c r="E1828" s="273">
        <v>4880.1400000000003</v>
      </c>
      <c r="F1828" s="110" t="s">
        <v>164</v>
      </c>
      <c r="G1828" s="137" t="s">
        <v>165</v>
      </c>
    </row>
    <row r="1829" spans="1:7" s="291" customFormat="1" hidden="1" x14ac:dyDescent="0.3">
      <c r="A1829" s="298">
        <v>45936</v>
      </c>
      <c r="B1829" s="298" t="s">
        <v>216</v>
      </c>
      <c r="C1829" s="354" t="s">
        <v>35</v>
      </c>
      <c r="D1829" s="261" t="s">
        <v>36</v>
      </c>
      <c r="E1829" s="253">
        <v>-9000</v>
      </c>
      <c r="F1829" s="262" t="s">
        <v>8</v>
      </c>
      <c r="G1829" s="47" t="s">
        <v>37</v>
      </c>
    </row>
    <row r="1830" spans="1:7" s="291" customFormat="1" hidden="1" x14ac:dyDescent="0.3">
      <c r="A1830" s="252">
        <v>45950</v>
      </c>
      <c r="B1830" s="252" t="s">
        <v>216</v>
      </c>
      <c r="C1830" s="17" t="s">
        <v>17</v>
      </c>
      <c r="D1830" s="18" t="s">
        <v>129</v>
      </c>
      <c r="E1830" s="28">
        <v>-3000</v>
      </c>
      <c r="F1830" s="25" t="s">
        <v>8</v>
      </c>
      <c r="G1830" s="257" t="s">
        <v>127</v>
      </c>
    </row>
    <row r="1831" spans="1:7" s="291" customFormat="1" hidden="1" x14ac:dyDescent="0.3">
      <c r="A1831" s="252">
        <v>45950</v>
      </c>
      <c r="B1831" s="252" t="s">
        <v>216</v>
      </c>
      <c r="C1831" s="17" t="s">
        <v>17</v>
      </c>
      <c r="D1831" s="18" t="s">
        <v>128</v>
      </c>
      <c r="E1831" s="28">
        <v>-15000</v>
      </c>
      <c r="F1831" s="25" t="s">
        <v>8</v>
      </c>
      <c r="G1831" s="257" t="s">
        <v>127</v>
      </c>
    </row>
    <row r="1832" spans="1:7" s="291" customFormat="1" hidden="1" x14ac:dyDescent="0.3">
      <c r="A1832" s="265">
        <v>45950</v>
      </c>
      <c r="B1832" s="265" t="s">
        <v>216</v>
      </c>
      <c r="C1832" s="258" t="s">
        <v>6</v>
      </c>
      <c r="D1832" s="203" t="s">
        <v>131</v>
      </c>
      <c r="E1832" s="28">
        <v>-50000</v>
      </c>
      <c r="F1832" s="51" t="s">
        <v>8</v>
      </c>
      <c r="G1832" s="335" t="s">
        <v>127</v>
      </c>
    </row>
    <row r="1833" spans="1:7" hidden="1" x14ac:dyDescent="0.3">
      <c r="A1833" s="275">
        <v>45943</v>
      </c>
      <c r="B1833" s="275" t="s">
        <v>216</v>
      </c>
      <c r="C1833" s="272" t="s">
        <v>177</v>
      </c>
      <c r="D1833" s="53" t="s">
        <v>178</v>
      </c>
      <c r="E1833" s="126">
        <v>257.81</v>
      </c>
      <c r="F1833" s="110" t="s">
        <v>164</v>
      </c>
      <c r="G1833" s="137" t="s">
        <v>165</v>
      </c>
    </row>
    <row r="1834" spans="1:7" s="291" customFormat="1" hidden="1" x14ac:dyDescent="0.3">
      <c r="A1834" s="344">
        <v>45961</v>
      </c>
      <c r="B1834" s="252" t="s">
        <v>216</v>
      </c>
      <c r="C1834" s="24" t="s">
        <v>17</v>
      </c>
      <c r="D1834" s="26" t="s">
        <v>809</v>
      </c>
      <c r="E1834" s="28">
        <v>-56900</v>
      </c>
      <c r="F1834" s="212" t="s">
        <v>8</v>
      </c>
      <c r="G1834" s="212" t="s">
        <v>156</v>
      </c>
    </row>
    <row r="1835" spans="1:7" s="291" customFormat="1" hidden="1" x14ac:dyDescent="0.3">
      <c r="A1835" s="344">
        <v>45989</v>
      </c>
      <c r="B1835" s="343" t="s">
        <v>217</v>
      </c>
      <c r="C1835" s="347" t="s">
        <v>17</v>
      </c>
      <c r="D1835" s="254" t="s">
        <v>809</v>
      </c>
      <c r="E1835" s="352">
        <v>-56900</v>
      </c>
      <c r="F1835" s="212" t="s">
        <v>8</v>
      </c>
      <c r="G1835" s="212" t="s">
        <v>156</v>
      </c>
    </row>
    <row r="1836" spans="1:7" hidden="1" x14ac:dyDescent="0.3">
      <c r="A1836" s="275">
        <v>45931</v>
      </c>
      <c r="B1836" s="275" t="s">
        <v>216</v>
      </c>
      <c r="C1836" s="272" t="s">
        <v>166</v>
      </c>
      <c r="D1836" s="53" t="s">
        <v>167</v>
      </c>
      <c r="E1836" s="100">
        <v>799.2</v>
      </c>
      <c r="F1836" s="110" t="s">
        <v>164</v>
      </c>
      <c r="G1836" s="137" t="s">
        <v>165</v>
      </c>
    </row>
    <row r="1837" spans="1:7" hidden="1" x14ac:dyDescent="0.3">
      <c r="A1837" s="275">
        <v>45931</v>
      </c>
      <c r="B1837" s="275" t="s">
        <v>216</v>
      </c>
      <c r="C1837" s="272" t="s">
        <v>166</v>
      </c>
      <c r="D1837" s="53" t="s">
        <v>167</v>
      </c>
      <c r="E1837" s="100">
        <v>18532.8</v>
      </c>
      <c r="F1837" s="110" t="s">
        <v>164</v>
      </c>
      <c r="G1837" s="137" t="s">
        <v>165</v>
      </c>
    </row>
    <row r="1838" spans="1:7" s="291" customFormat="1" hidden="1" x14ac:dyDescent="0.3">
      <c r="A1838" s="298">
        <v>45931</v>
      </c>
      <c r="B1838" s="298" t="s">
        <v>216</v>
      </c>
      <c r="C1838" s="260" t="s">
        <v>6</v>
      </c>
      <c r="D1838" s="261" t="s">
        <v>12</v>
      </c>
      <c r="E1838" s="253">
        <v>-201</v>
      </c>
      <c r="F1838" s="262" t="s">
        <v>8</v>
      </c>
      <c r="G1838" s="47" t="s">
        <v>9</v>
      </c>
    </row>
    <row r="1839" spans="1:7" s="291" customFormat="1" hidden="1" x14ac:dyDescent="0.3">
      <c r="A1839" s="252">
        <v>45931</v>
      </c>
      <c r="B1839" s="252" t="s">
        <v>216</v>
      </c>
      <c r="C1839" s="27" t="s">
        <v>6</v>
      </c>
      <c r="D1839" s="13" t="s">
        <v>7</v>
      </c>
      <c r="E1839" s="28">
        <v>-650</v>
      </c>
      <c r="F1839" s="25" t="s">
        <v>8</v>
      </c>
      <c r="G1839" s="14" t="s">
        <v>9</v>
      </c>
    </row>
    <row r="1840" spans="1:7" s="291" customFormat="1" hidden="1" x14ac:dyDescent="0.3">
      <c r="A1840" s="252">
        <v>45931</v>
      </c>
      <c r="B1840" s="252" t="s">
        <v>216</v>
      </c>
      <c r="C1840" s="27" t="s">
        <v>6</v>
      </c>
      <c r="D1840" s="13" t="s">
        <v>10</v>
      </c>
      <c r="E1840" s="28">
        <v>-320</v>
      </c>
      <c r="F1840" s="25" t="s">
        <v>8</v>
      </c>
      <c r="G1840" s="14" t="s">
        <v>9</v>
      </c>
    </row>
    <row r="1841" spans="1:7" s="291" customFormat="1" hidden="1" x14ac:dyDescent="0.3">
      <c r="A1841" s="252">
        <v>45931</v>
      </c>
      <c r="B1841" s="252" t="s">
        <v>216</v>
      </c>
      <c r="C1841" s="27" t="s">
        <v>6</v>
      </c>
      <c r="D1841" s="13" t="s">
        <v>11</v>
      </c>
      <c r="E1841" s="28">
        <v>-350</v>
      </c>
      <c r="F1841" s="25" t="s">
        <v>8</v>
      </c>
      <c r="G1841" s="14" t="s">
        <v>9</v>
      </c>
    </row>
    <row r="1842" spans="1:7" s="291" customFormat="1" hidden="1" x14ac:dyDescent="0.3">
      <c r="A1842" s="252">
        <v>45946</v>
      </c>
      <c r="B1842" s="252" t="s">
        <v>216</v>
      </c>
      <c r="C1842" s="26" t="s">
        <v>31</v>
      </c>
      <c r="D1842" s="26" t="s">
        <v>201</v>
      </c>
      <c r="E1842" s="19">
        <v>-1239.92</v>
      </c>
      <c r="F1842" s="25" t="s">
        <v>8</v>
      </c>
      <c r="G1842" s="20" t="s">
        <v>86</v>
      </c>
    </row>
    <row r="1843" spans="1:7" s="291" customFormat="1" hidden="1" x14ac:dyDescent="0.3">
      <c r="A1843" s="252">
        <v>45946</v>
      </c>
      <c r="B1843" s="252" t="s">
        <v>216</v>
      </c>
      <c r="C1843" s="26" t="s">
        <v>6</v>
      </c>
      <c r="D1843" s="26" t="s">
        <v>201</v>
      </c>
      <c r="E1843" s="19">
        <v>-1627.39</v>
      </c>
      <c r="F1843" s="25" t="s">
        <v>8</v>
      </c>
      <c r="G1843" s="20" t="s">
        <v>86</v>
      </c>
    </row>
    <row r="1844" spans="1:7" s="291" customFormat="1" hidden="1" x14ac:dyDescent="0.3">
      <c r="A1844" s="252">
        <v>45946</v>
      </c>
      <c r="B1844" s="252" t="s">
        <v>216</v>
      </c>
      <c r="C1844" s="26" t="s">
        <v>44</v>
      </c>
      <c r="D1844" s="26" t="s">
        <v>201</v>
      </c>
      <c r="E1844" s="19">
        <v>-1162.42</v>
      </c>
      <c r="F1844" s="25" t="s">
        <v>8</v>
      </c>
      <c r="G1844" s="20" t="s">
        <v>86</v>
      </c>
    </row>
    <row r="1845" spans="1:7" s="291" customFormat="1" hidden="1" x14ac:dyDescent="0.3">
      <c r="A1845" s="252">
        <v>45946</v>
      </c>
      <c r="B1845" s="252" t="s">
        <v>216</v>
      </c>
      <c r="C1845" s="26" t="s">
        <v>44</v>
      </c>
      <c r="D1845" s="26" t="s">
        <v>201</v>
      </c>
      <c r="E1845" s="19">
        <v>-3099.8</v>
      </c>
      <c r="F1845" s="25" t="s">
        <v>8</v>
      </c>
      <c r="G1845" s="20" t="s">
        <v>86</v>
      </c>
    </row>
    <row r="1846" spans="1:7" s="291" customFormat="1" hidden="1" x14ac:dyDescent="0.3">
      <c r="A1846" s="252">
        <v>45946</v>
      </c>
      <c r="B1846" s="252" t="s">
        <v>216</v>
      </c>
      <c r="C1846" s="26" t="s">
        <v>25</v>
      </c>
      <c r="D1846" s="26" t="s">
        <v>201</v>
      </c>
      <c r="E1846" s="19">
        <v>-3564.77</v>
      </c>
      <c r="F1846" s="25" t="s">
        <v>8</v>
      </c>
      <c r="G1846" s="20" t="s">
        <v>86</v>
      </c>
    </row>
    <row r="1847" spans="1:7" s="291" customFormat="1" hidden="1" x14ac:dyDescent="0.3">
      <c r="A1847" s="252">
        <v>45946</v>
      </c>
      <c r="B1847" s="252" t="s">
        <v>216</v>
      </c>
      <c r="C1847" s="26" t="s">
        <v>33</v>
      </c>
      <c r="D1847" s="26" t="s">
        <v>201</v>
      </c>
      <c r="E1847" s="19">
        <v>-929.94</v>
      </c>
      <c r="F1847" s="25" t="s">
        <v>8</v>
      </c>
      <c r="G1847" s="20" t="s">
        <v>86</v>
      </c>
    </row>
    <row r="1848" spans="1:7" s="291" customFormat="1" hidden="1" x14ac:dyDescent="0.3">
      <c r="A1848" s="252">
        <v>45946</v>
      </c>
      <c r="B1848" s="252" t="s">
        <v>216</v>
      </c>
      <c r="C1848" s="26" t="s">
        <v>106</v>
      </c>
      <c r="D1848" s="26" t="s">
        <v>201</v>
      </c>
      <c r="E1848" s="19">
        <v>-697.45</v>
      </c>
      <c r="F1848" s="25" t="s">
        <v>8</v>
      </c>
      <c r="G1848" s="20" t="s">
        <v>86</v>
      </c>
    </row>
    <row r="1849" spans="1:7" s="291" customFormat="1" hidden="1" x14ac:dyDescent="0.3">
      <c r="A1849" s="252">
        <v>45946</v>
      </c>
      <c r="B1849" s="252" t="s">
        <v>216</v>
      </c>
      <c r="C1849" s="26" t="s">
        <v>32</v>
      </c>
      <c r="D1849" s="26" t="s">
        <v>201</v>
      </c>
      <c r="E1849" s="19">
        <v>-2479.84</v>
      </c>
      <c r="F1849" s="25" t="s">
        <v>8</v>
      </c>
      <c r="G1849" s="20" t="s">
        <v>86</v>
      </c>
    </row>
    <row r="1850" spans="1:7" s="291" customFormat="1" hidden="1" x14ac:dyDescent="0.3">
      <c r="A1850" s="252">
        <v>45946</v>
      </c>
      <c r="B1850" s="252" t="s">
        <v>216</v>
      </c>
      <c r="C1850" s="26" t="s">
        <v>72</v>
      </c>
      <c r="D1850" s="26" t="s">
        <v>201</v>
      </c>
      <c r="E1850" s="19">
        <v>-1394.91</v>
      </c>
      <c r="F1850" s="25" t="s">
        <v>8</v>
      </c>
      <c r="G1850" s="20" t="s">
        <v>86</v>
      </c>
    </row>
    <row r="1851" spans="1:7" s="291" customFormat="1" hidden="1" x14ac:dyDescent="0.3">
      <c r="A1851" s="252">
        <v>45946</v>
      </c>
      <c r="B1851" s="252" t="s">
        <v>216</v>
      </c>
      <c r="C1851" s="26" t="s">
        <v>17</v>
      </c>
      <c r="D1851" s="26" t="s">
        <v>201</v>
      </c>
      <c r="E1851" s="19">
        <v>-619.96</v>
      </c>
      <c r="F1851" s="25" t="s">
        <v>8</v>
      </c>
      <c r="G1851" s="20" t="s">
        <v>86</v>
      </c>
    </row>
    <row r="1852" spans="1:7" s="291" customFormat="1" hidden="1" x14ac:dyDescent="0.3">
      <c r="A1852" s="252">
        <v>45950</v>
      </c>
      <c r="B1852" s="252" t="s">
        <v>216</v>
      </c>
      <c r="C1852" s="17" t="s">
        <v>31</v>
      </c>
      <c r="D1852" s="18" t="s">
        <v>201</v>
      </c>
      <c r="E1852" s="19">
        <v>-2324.85</v>
      </c>
      <c r="F1852" s="25" t="s">
        <v>8</v>
      </c>
      <c r="G1852" s="14" t="s">
        <v>86</v>
      </c>
    </row>
    <row r="1853" spans="1:7" s="291" customFormat="1" hidden="1" x14ac:dyDescent="0.3">
      <c r="A1853" s="252">
        <v>45950</v>
      </c>
      <c r="B1853" s="252" t="s">
        <v>216</v>
      </c>
      <c r="C1853" s="17" t="s">
        <v>6</v>
      </c>
      <c r="D1853" s="18" t="s">
        <v>201</v>
      </c>
      <c r="E1853" s="19">
        <v>-2944.81</v>
      </c>
      <c r="F1853" s="25" t="s">
        <v>8</v>
      </c>
      <c r="G1853" s="14" t="s">
        <v>86</v>
      </c>
    </row>
    <row r="1854" spans="1:7" s="291" customFormat="1" hidden="1" x14ac:dyDescent="0.3">
      <c r="A1854" s="252">
        <v>45950</v>
      </c>
      <c r="B1854" s="252" t="s">
        <v>216</v>
      </c>
      <c r="C1854" s="17" t="s">
        <v>44</v>
      </c>
      <c r="D1854" s="18" t="s">
        <v>201</v>
      </c>
      <c r="E1854" s="19">
        <v>-2867.32</v>
      </c>
      <c r="F1854" s="25" t="s">
        <v>8</v>
      </c>
      <c r="G1854" s="14" t="s">
        <v>86</v>
      </c>
    </row>
    <row r="1855" spans="1:7" s="291" customFormat="1" hidden="1" x14ac:dyDescent="0.3">
      <c r="A1855" s="252">
        <v>45950</v>
      </c>
      <c r="B1855" s="252" t="s">
        <v>216</v>
      </c>
      <c r="C1855" s="17" t="s">
        <v>44</v>
      </c>
      <c r="D1855" s="18" t="s">
        <v>201</v>
      </c>
      <c r="E1855" s="19">
        <v>-852.45</v>
      </c>
      <c r="F1855" s="25" t="s">
        <v>8</v>
      </c>
      <c r="G1855" s="14" t="s">
        <v>86</v>
      </c>
    </row>
    <row r="1856" spans="1:7" s="291" customFormat="1" hidden="1" x14ac:dyDescent="0.3">
      <c r="A1856" s="252">
        <v>45950</v>
      </c>
      <c r="B1856" s="252" t="s">
        <v>216</v>
      </c>
      <c r="C1856" s="17" t="s">
        <v>25</v>
      </c>
      <c r="D1856" s="18" t="s">
        <v>201</v>
      </c>
      <c r="E1856" s="19">
        <v>-2789.82</v>
      </c>
      <c r="F1856" s="25" t="s">
        <v>8</v>
      </c>
      <c r="G1856" s="14" t="s">
        <v>86</v>
      </c>
    </row>
    <row r="1857" spans="1:7" s="291" customFormat="1" hidden="1" x14ac:dyDescent="0.3">
      <c r="A1857" s="252">
        <v>45950</v>
      </c>
      <c r="B1857" s="252" t="s">
        <v>216</v>
      </c>
      <c r="C1857" s="17" t="s">
        <v>33</v>
      </c>
      <c r="D1857" s="18" t="s">
        <v>201</v>
      </c>
      <c r="E1857" s="19">
        <v>-852.45</v>
      </c>
      <c r="F1857" s="25" t="s">
        <v>8</v>
      </c>
      <c r="G1857" s="14" t="s">
        <v>86</v>
      </c>
    </row>
    <row r="1858" spans="1:7" s="291" customFormat="1" hidden="1" x14ac:dyDescent="0.3">
      <c r="A1858" s="252">
        <v>45950</v>
      </c>
      <c r="B1858" s="252" t="s">
        <v>216</v>
      </c>
      <c r="C1858" s="17" t="s">
        <v>106</v>
      </c>
      <c r="D1858" s="18" t="s">
        <v>201</v>
      </c>
      <c r="E1858" s="19">
        <v>-619.96</v>
      </c>
      <c r="F1858" s="25" t="s">
        <v>8</v>
      </c>
      <c r="G1858" s="14" t="s">
        <v>86</v>
      </c>
    </row>
    <row r="1859" spans="1:7" s="291" customFormat="1" hidden="1" x14ac:dyDescent="0.3">
      <c r="A1859" s="252">
        <v>45950</v>
      </c>
      <c r="B1859" s="252" t="s">
        <v>216</v>
      </c>
      <c r="C1859" s="17" t="s">
        <v>32</v>
      </c>
      <c r="D1859" s="18" t="s">
        <v>201</v>
      </c>
      <c r="E1859" s="19">
        <v>-154.99</v>
      </c>
      <c r="F1859" s="25" t="s">
        <v>8</v>
      </c>
      <c r="G1859" s="14" t="s">
        <v>86</v>
      </c>
    </row>
    <row r="1860" spans="1:7" s="291" customFormat="1" hidden="1" x14ac:dyDescent="0.3">
      <c r="A1860" s="252">
        <v>45950</v>
      </c>
      <c r="B1860" s="252" t="s">
        <v>216</v>
      </c>
      <c r="C1860" s="17" t="s">
        <v>72</v>
      </c>
      <c r="D1860" s="18" t="s">
        <v>201</v>
      </c>
      <c r="E1860" s="19">
        <v>-852.45</v>
      </c>
      <c r="F1860" s="25" t="s">
        <v>8</v>
      </c>
      <c r="G1860" s="14" t="s">
        <v>86</v>
      </c>
    </row>
    <row r="1861" spans="1:7" s="291" customFormat="1" hidden="1" x14ac:dyDescent="0.3">
      <c r="A1861" s="252">
        <v>45950</v>
      </c>
      <c r="B1861" s="252" t="s">
        <v>216</v>
      </c>
      <c r="C1861" s="17" t="s">
        <v>17</v>
      </c>
      <c r="D1861" s="18" t="s">
        <v>201</v>
      </c>
      <c r="E1861" s="19">
        <v>-77.5</v>
      </c>
      <c r="F1861" s="25" t="s">
        <v>8</v>
      </c>
      <c r="G1861" s="14" t="s">
        <v>86</v>
      </c>
    </row>
    <row r="1862" spans="1:7" s="291" customFormat="1" hidden="1" x14ac:dyDescent="0.3">
      <c r="A1862" s="252">
        <v>45945</v>
      </c>
      <c r="B1862" s="252" t="s">
        <v>216</v>
      </c>
      <c r="C1862" s="17" t="s">
        <v>44</v>
      </c>
      <c r="D1862" s="18" t="s">
        <v>45</v>
      </c>
      <c r="E1862" s="19">
        <v>-5523.75</v>
      </c>
      <c r="F1862" s="25" t="s">
        <v>8</v>
      </c>
      <c r="G1862" s="20" t="s">
        <v>46</v>
      </c>
    </row>
    <row r="1863" spans="1:7" s="291" customFormat="1" hidden="1" x14ac:dyDescent="0.3">
      <c r="A1863" s="252">
        <v>45945</v>
      </c>
      <c r="B1863" s="252" t="s">
        <v>216</v>
      </c>
      <c r="C1863" s="24" t="s">
        <v>13</v>
      </c>
      <c r="D1863" s="13" t="s">
        <v>88</v>
      </c>
      <c r="E1863" s="28">
        <v>-1375</v>
      </c>
      <c r="F1863" s="14" t="s">
        <v>8</v>
      </c>
      <c r="G1863" s="14" t="s">
        <v>41</v>
      </c>
    </row>
    <row r="1864" spans="1:7" s="291" customFormat="1" hidden="1" x14ac:dyDescent="0.3">
      <c r="A1864" s="252">
        <v>45936</v>
      </c>
      <c r="B1864" s="252" t="s">
        <v>216</v>
      </c>
      <c r="C1864" s="24" t="s">
        <v>6</v>
      </c>
      <c r="D1864" s="13" t="s">
        <v>42</v>
      </c>
      <c r="E1864" s="28">
        <v>-500</v>
      </c>
      <c r="F1864" s="25" t="s">
        <v>8</v>
      </c>
      <c r="G1864" s="14" t="s">
        <v>41</v>
      </c>
    </row>
    <row r="1865" spans="1:7" s="291" customFormat="1" hidden="1" x14ac:dyDescent="0.3">
      <c r="A1865" s="252">
        <v>45945</v>
      </c>
      <c r="B1865" s="252" t="s">
        <v>216</v>
      </c>
      <c r="C1865" s="17" t="s">
        <v>17</v>
      </c>
      <c r="D1865" s="18" t="s">
        <v>85</v>
      </c>
      <c r="E1865" s="28">
        <v>-145</v>
      </c>
      <c r="F1865" s="14" t="s">
        <v>8</v>
      </c>
      <c r="G1865" s="14" t="s">
        <v>86</v>
      </c>
    </row>
    <row r="1866" spans="1:7" s="291" customFormat="1" hidden="1" x14ac:dyDescent="0.3">
      <c r="A1866" s="344">
        <v>45961</v>
      </c>
      <c r="B1866" s="252" t="s">
        <v>216</v>
      </c>
      <c r="C1866" s="26" t="s">
        <v>17</v>
      </c>
      <c r="D1866" s="26" t="s">
        <v>26</v>
      </c>
      <c r="E1866" s="19">
        <v>-2625</v>
      </c>
      <c r="F1866" s="25" t="s">
        <v>8</v>
      </c>
      <c r="G1866" s="25" t="s">
        <v>155</v>
      </c>
    </row>
    <row r="1867" spans="1:7" s="291" customFormat="1" hidden="1" x14ac:dyDescent="0.3">
      <c r="A1867" s="205">
        <v>45961</v>
      </c>
      <c r="B1867" s="252" t="s">
        <v>216</v>
      </c>
      <c r="C1867" s="24" t="s">
        <v>6</v>
      </c>
      <c r="D1867" s="18" t="s">
        <v>154</v>
      </c>
      <c r="E1867" s="28">
        <v>-37000</v>
      </c>
      <c r="F1867" s="25" t="s">
        <v>8</v>
      </c>
      <c r="G1867" s="25" t="s">
        <v>155</v>
      </c>
    </row>
    <row r="1868" spans="1:7" s="291" customFormat="1" hidden="1" x14ac:dyDescent="0.3">
      <c r="A1868" s="252">
        <v>45950</v>
      </c>
      <c r="B1868" s="298" t="s">
        <v>216</v>
      </c>
      <c r="C1868" s="260" t="s">
        <v>6</v>
      </c>
      <c r="D1868" s="261" t="s">
        <v>130</v>
      </c>
      <c r="E1868" s="357">
        <v>-55000</v>
      </c>
      <c r="F1868" s="25" t="s">
        <v>8</v>
      </c>
      <c r="G1868" s="257" t="s">
        <v>127</v>
      </c>
    </row>
    <row r="1869" spans="1:7" s="291" customFormat="1" hidden="1" x14ac:dyDescent="0.3">
      <c r="A1869" s="252">
        <v>45940</v>
      </c>
      <c r="B1869" s="252" t="s">
        <v>216</v>
      </c>
      <c r="C1869" s="27" t="s">
        <v>65</v>
      </c>
      <c r="D1869" s="13" t="s">
        <v>66</v>
      </c>
      <c r="E1869" s="28">
        <v>-432</v>
      </c>
      <c r="F1869" s="25" t="s">
        <v>8</v>
      </c>
      <c r="G1869" s="14" t="s">
        <v>39</v>
      </c>
    </row>
    <row r="1870" spans="1:7" s="291" customFormat="1" hidden="1" x14ac:dyDescent="0.3">
      <c r="A1870" s="252">
        <v>45950</v>
      </c>
      <c r="B1870" s="252" t="s">
        <v>216</v>
      </c>
      <c r="C1870" s="24" t="s">
        <v>6</v>
      </c>
      <c r="D1870" s="13" t="s">
        <v>218</v>
      </c>
      <c r="E1870" s="28">
        <v>-110000</v>
      </c>
      <c r="F1870" s="25" t="s">
        <v>8</v>
      </c>
      <c r="G1870" s="14" t="s">
        <v>27</v>
      </c>
    </row>
    <row r="1871" spans="1:7" s="291" customFormat="1" hidden="1" x14ac:dyDescent="0.3">
      <c r="A1871" s="252">
        <v>45940</v>
      </c>
      <c r="B1871" s="252" t="s">
        <v>216</v>
      </c>
      <c r="C1871" s="24" t="s">
        <v>13</v>
      </c>
      <c r="D1871" s="18" t="s">
        <v>215</v>
      </c>
      <c r="E1871" s="19">
        <v>-50000</v>
      </c>
      <c r="F1871" s="25" t="s">
        <v>8</v>
      </c>
      <c r="G1871" s="20" t="s">
        <v>27</v>
      </c>
    </row>
    <row r="1872" spans="1:7" s="291" customFormat="1" hidden="1" x14ac:dyDescent="0.3">
      <c r="A1872" s="252">
        <v>45936</v>
      </c>
      <c r="B1872" s="252" t="s">
        <v>216</v>
      </c>
      <c r="C1872" s="17" t="s">
        <v>13</v>
      </c>
      <c r="D1872" s="13" t="s">
        <v>47</v>
      </c>
      <c r="E1872" s="28">
        <v>-7000</v>
      </c>
      <c r="F1872" s="25" t="s">
        <v>8</v>
      </c>
      <c r="G1872" s="14" t="s">
        <v>27</v>
      </c>
    </row>
    <row r="1873" spans="1:7" s="291" customFormat="1" hidden="1" x14ac:dyDescent="0.3">
      <c r="A1873" s="252">
        <v>45950</v>
      </c>
      <c r="B1873" s="252" t="s">
        <v>216</v>
      </c>
      <c r="C1873" s="24" t="s">
        <v>6</v>
      </c>
      <c r="D1873" s="13" t="s">
        <v>47</v>
      </c>
      <c r="E1873" s="28">
        <v>-8000</v>
      </c>
      <c r="F1873" s="25" t="s">
        <v>8</v>
      </c>
      <c r="G1873" s="14" t="s">
        <v>27</v>
      </c>
    </row>
    <row r="1874" spans="1:7" s="291" customFormat="1" hidden="1" x14ac:dyDescent="0.3">
      <c r="A1874" s="205">
        <v>45959</v>
      </c>
      <c r="B1874" s="252" t="s">
        <v>216</v>
      </c>
      <c r="C1874" s="24" t="s">
        <v>13</v>
      </c>
      <c r="D1874" s="13" t="s">
        <v>144</v>
      </c>
      <c r="E1874" s="28">
        <v>-500</v>
      </c>
      <c r="F1874" s="25" t="s">
        <v>8</v>
      </c>
      <c r="G1874" s="14" t="s">
        <v>69</v>
      </c>
    </row>
    <row r="1875" spans="1:7" s="291" customFormat="1" hidden="1" x14ac:dyDescent="0.3">
      <c r="A1875" s="265">
        <v>45957</v>
      </c>
      <c r="B1875" s="265" t="s">
        <v>216</v>
      </c>
      <c r="C1875" s="258" t="s">
        <v>17</v>
      </c>
      <c r="D1875" s="259" t="s">
        <v>137</v>
      </c>
      <c r="E1875" s="297">
        <v>-500</v>
      </c>
      <c r="F1875" s="51" t="s">
        <v>8</v>
      </c>
      <c r="G1875" s="68" t="s">
        <v>69</v>
      </c>
    </row>
    <row r="1876" spans="1:7" hidden="1" x14ac:dyDescent="0.3">
      <c r="A1876" s="275">
        <v>45943</v>
      </c>
      <c r="B1876" s="275" t="s">
        <v>216</v>
      </c>
      <c r="C1876" s="272" t="s">
        <v>177</v>
      </c>
      <c r="D1876" s="53" t="s">
        <v>179</v>
      </c>
      <c r="E1876" s="273">
        <v>680.03</v>
      </c>
      <c r="F1876" s="110" t="s">
        <v>164</v>
      </c>
      <c r="G1876" s="137" t="s">
        <v>165</v>
      </c>
    </row>
    <row r="1877" spans="1:7" s="291" customFormat="1" hidden="1" x14ac:dyDescent="0.3">
      <c r="A1877" s="226">
        <v>45960</v>
      </c>
      <c r="B1877" s="298" t="s">
        <v>216</v>
      </c>
      <c r="C1877" s="260" t="s">
        <v>44</v>
      </c>
      <c r="D1877" s="228" t="s">
        <v>159</v>
      </c>
      <c r="E1877" s="253">
        <v>-4000</v>
      </c>
      <c r="F1877" s="262" t="s">
        <v>8</v>
      </c>
      <c r="G1877" s="355" t="s">
        <v>127</v>
      </c>
    </row>
    <row r="1878" spans="1:7" s="291" customFormat="1" hidden="1" x14ac:dyDescent="0.3">
      <c r="A1878" s="205">
        <v>45961</v>
      </c>
      <c r="B1878" s="252" t="s">
        <v>216</v>
      </c>
      <c r="C1878" s="24" t="s">
        <v>17</v>
      </c>
      <c r="D1878" s="18" t="s">
        <v>157</v>
      </c>
      <c r="E1878" s="28">
        <v>-7000</v>
      </c>
      <c r="F1878" s="25" t="s">
        <v>8</v>
      </c>
      <c r="G1878" s="257" t="s">
        <v>127</v>
      </c>
    </row>
    <row r="1879" spans="1:7" s="291" customFormat="1" hidden="1" x14ac:dyDescent="0.3">
      <c r="A1879" s="205">
        <v>45961</v>
      </c>
      <c r="B1879" s="252" t="s">
        <v>216</v>
      </c>
      <c r="C1879" s="24" t="s">
        <v>44</v>
      </c>
      <c r="D1879" s="18" t="s">
        <v>158</v>
      </c>
      <c r="E1879" s="28">
        <v>-600</v>
      </c>
      <c r="F1879" s="25" t="s">
        <v>8</v>
      </c>
      <c r="G1879" s="257" t="s">
        <v>127</v>
      </c>
    </row>
    <row r="1880" spans="1:7" s="291" customFormat="1" hidden="1" x14ac:dyDescent="0.3">
      <c r="A1880" s="252">
        <v>45950</v>
      </c>
      <c r="B1880" s="298" t="s">
        <v>216</v>
      </c>
      <c r="C1880" s="260" t="s">
        <v>6</v>
      </c>
      <c r="D1880" s="261" t="s">
        <v>121</v>
      </c>
      <c r="E1880" s="253">
        <v>-16000</v>
      </c>
      <c r="F1880" s="25" t="s">
        <v>8</v>
      </c>
      <c r="G1880" s="14" t="s">
        <v>122</v>
      </c>
    </row>
    <row r="1881" spans="1:7" s="291" customFormat="1" hidden="1" x14ac:dyDescent="0.3">
      <c r="A1881" s="265">
        <v>45950</v>
      </c>
      <c r="B1881" s="265" t="s">
        <v>216</v>
      </c>
      <c r="C1881" s="258" t="s">
        <v>65</v>
      </c>
      <c r="D1881" s="259" t="s">
        <v>136</v>
      </c>
      <c r="E1881" s="297">
        <v>-8937.32</v>
      </c>
      <c r="F1881" s="51" t="s">
        <v>8</v>
      </c>
      <c r="G1881" s="68" t="s">
        <v>39</v>
      </c>
    </row>
    <row r="1882" spans="1:7" hidden="1" x14ac:dyDescent="0.3">
      <c r="A1882" s="275">
        <v>45943</v>
      </c>
      <c r="B1882" s="275" t="s">
        <v>216</v>
      </c>
      <c r="C1882" s="272" t="s">
        <v>166</v>
      </c>
      <c r="D1882" s="276" t="s">
        <v>182</v>
      </c>
      <c r="E1882" s="277">
        <v>7850</v>
      </c>
      <c r="F1882" s="278" t="s">
        <v>164</v>
      </c>
      <c r="G1882" s="137" t="s">
        <v>165</v>
      </c>
    </row>
    <row r="1883" spans="1:7" hidden="1" x14ac:dyDescent="0.3">
      <c r="A1883" s="275">
        <v>45931</v>
      </c>
      <c r="B1883" s="275" t="s">
        <v>216</v>
      </c>
      <c r="C1883" s="272" t="s">
        <v>162</v>
      </c>
      <c r="D1883" s="53" t="s">
        <v>163</v>
      </c>
      <c r="E1883" s="100">
        <v>23638.67</v>
      </c>
      <c r="F1883" s="110" t="s">
        <v>164</v>
      </c>
      <c r="G1883" s="137" t="s">
        <v>165</v>
      </c>
    </row>
    <row r="1884" spans="1:7" s="291" customFormat="1" hidden="1" x14ac:dyDescent="0.3">
      <c r="A1884" s="298">
        <v>45940</v>
      </c>
      <c r="B1884" s="298" t="s">
        <v>216</v>
      </c>
      <c r="C1884" s="260" t="s">
        <v>44</v>
      </c>
      <c r="D1884" s="261" t="s">
        <v>61</v>
      </c>
      <c r="E1884" s="253">
        <v>-9146.82</v>
      </c>
      <c r="F1884" s="47" t="s">
        <v>8</v>
      </c>
      <c r="G1884" s="47" t="s">
        <v>62</v>
      </c>
    </row>
    <row r="1885" spans="1:7" s="291" customFormat="1" hidden="1" x14ac:dyDescent="0.3">
      <c r="A1885" s="252">
        <v>45940</v>
      </c>
      <c r="B1885" s="252" t="s">
        <v>216</v>
      </c>
      <c r="C1885" s="24" t="s">
        <v>13</v>
      </c>
      <c r="D1885" s="13" t="s">
        <v>54</v>
      </c>
      <c r="E1885" s="28">
        <v>-1000</v>
      </c>
      <c r="F1885" s="25" t="s">
        <v>8</v>
      </c>
      <c r="G1885" s="14" t="s">
        <v>55</v>
      </c>
    </row>
    <row r="1886" spans="1:7" s="291" customFormat="1" hidden="1" x14ac:dyDescent="0.3">
      <c r="A1886" s="265">
        <v>45940</v>
      </c>
      <c r="B1886" s="265" t="s">
        <v>216</v>
      </c>
      <c r="C1886" s="258" t="s">
        <v>13</v>
      </c>
      <c r="D1886" s="259" t="s">
        <v>58</v>
      </c>
      <c r="E1886" s="297">
        <v>-1000</v>
      </c>
      <c r="F1886" s="51" t="s">
        <v>8</v>
      </c>
      <c r="G1886" s="68" t="s">
        <v>55</v>
      </c>
    </row>
    <row r="1887" spans="1:7" s="291" customFormat="1" hidden="1" x14ac:dyDescent="0.3">
      <c r="A1887" s="252">
        <v>45917</v>
      </c>
      <c r="B1887" s="252" t="s">
        <v>213</v>
      </c>
      <c r="C1887" s="24" t="s">
        <v>17</v>
      </c>
      <c r="D1887" s="13" t="s">
        <v>119</v>
      </c>
      <c r="E1887" s="28">
        <v>-5460</v>
      </c>
      <c r="F1887" s="25" t="s">
        <v>8</v>
      </c>
      <c r="G1887" s="14" t="s">
        <v>53</v>
      </c>
    </row>
    <row r="1888" spans="1:7" s="291" customFormat="1" hidden="1" x14ac:dyDescent="0.3">
      <c r="A1888" s="343">
        <v>45947</v>
      </c>
      <c r="B1888" s="343" t="s">
        <v>216</v>
      </c>
      <c r="C1888" s="347" t="s">
        <v>17</v>
      </c>
      <c r="D1888" s="351" t="s">
        <v>119</v>
      </c>
      <c r="E1888" s="352">
        <v>-5300</v>
      </c>
      <c r="F1888" s="212" t="s">
        <v>8</v>
      </c>
      <c r="G1888" s="353" t="s">
        <v>53</v>
      </c>
    </row>
    <row r="1889" spans="1:7" s="291" customFormat="1" hidden="1" x14ac:dyDescent="0.3">
      <c r="A1889" s="252">
        <v>45917</v>
      </c>
      <c r="B1889" s="252" t="s">
        <v>213</v>
      </c>
      <c r="C1889" s="668" t="s">
        <v>44</v>
      </c>
      <c r="D1889" s="668" t="s">
        <v>232</v>
      </c>
      <c r="E1889" s="669">
        <v>-1560</v>
      </c>
      <c r="F1889" s="25" t="s">
        <v>8</v>
      </c>
      <c r="G1889" s="14" t="s">
        <v>1470</v>
      </c>
    </row>
    <row r="1890" spans="1:7" s="291" customFormat="1" hidden="1" x14ac:dyDescent="0.3">
      <c r="A1890" s="252">
        <v>45917</v>
      </c>
      <c r="B1890" s="252" t="s">
        <v>213</v>
      </c>
      <c r="C1890" s="668" t="s">
        <v>72</v>
      </c>
      <c r="D1890" s="668" t="s">
        <v>209</v>
      </c>
      <c r="E1890" s="669">
        <v>-985.46</v>
      </c>
      <c r="F1890" s="25" t="s">
        <v>8</v>
      </c>
      <c r="G1890" s="14" t="s">
        <v>1470</v>
      </c>
    </row>
    <row r="1891" spans="1:7" s="291" customFormat="1" hidden="1" x14ac:dyDescent="0.3">
      <c r="A1891" s="252">
        <v>45917</v>
      </c>
      <c r="B1891" s="252" t="s">
        <v>213</v>
      </c>
      <c r="C1891" s="668" t="s">
        <v>25</v>
      </c>
      <c r="D1891" s="668" t="s">
        <v>874</v>
      </c>
      <c r="E1891" s="669">
        <v>-233</v>
      </c>
      <c r="F1891" s="25" t="s">
        <v>8</v>
      </c>
      <c r="G1891" s="825" t="s">
        <v>83</v>
      </c>
    </row>
    <row r="1892" spans="1:7" s="291" customFormat="1" hidden="1" x14ac:dyDescent="0.3">
      <c r="A1892" s="252">
        <v>45917</v>
      </c>
      <c r="B1892" s="252" t="s">
        <v>213</v>
      </c>
      <c r="C1892" s="668" t="s">
        <v>25</v>
      </c>
      <c r="D1892" s="668" t="s">
        <v>1318</v>
      </c>
      <c r="E1892" s="669">
        <v>-123</v>
      </c>
      <c r="F1892" s="25" t="s">
        <v>8</v>
      </c>
      <c r="G1892" s="825" t="s">
        <v>83</v>
      </c>
    </row>
    <row r="1893" spans="1:7" s="291" customFormat="1" hidden="1" x14ac:dyDescent="0.3">
      <c r="A1893" s="252">
        <v>45929</v>
      </c>
      <c r="B1893" s="252" t="s">
        <v>213</v>
      </c>
      <c r="C1893" s="24" t="s">
        <v>17</v>
      </c>
      <c r="D1893" s="13" t="s">
        <v>1538</v>
      </c>
      <c r="E1893" s="28">
        <v>-3760</v>
      </c>
      <c r="F1893" s="25" t="s">
        <v>8</v>
      </c>
      <c r="G1893" s="14" t="s">
        <v>74</v>
      </c>
    </row>
    <row r="1894" spans="1:7" s="291" customFormat="1" hidden="1" x14ac:dyDescent="0.3">
      <c r="A1894" s="252">
        <v>45929</v>
      </c>
      <c r="B1894" s="252" t="s">
        <v>213</v>
      </c>
      <c r="C1894" s="24" t="s">
        <v>17</v>
      </c>
      <c r="D1894" s="13" t="s">
        <v>1538</v>
      </c>
      <c r="E1894" s="28">
        <v>-5800</v>
      </c>
      <c r="F1894" s="25" t="s">
        <v>8</v>
      </c>
      <c r="G1894" s="14" t="s">
        <v>74</v>
      </c>
    </row>
    <row r="1895" spans="1:7" s="291" customFormat="1" hidden="1" x14ac:dyDescent="0.3">
      <c r="A1895" s="252">
        <v>45929</v>
      </c>
      <c r="B1895" s="252" t="s">
        <v>213</v>
      </c>
      <c r="C1895" s="24" t="s">
        <v>17</v>
      </c>
      <c r="D1895" s="13" t="s">
        <v>1538</v>
      </c>
      <c r="E1895" s="28">
        <v>-5460</v>
      </c>
      <c r="F1895" s="25" t="s">
        <v>8</v>
      </c>
      <c r="G1895" s="14" t="s">
        <v>74</v>
      </c>
    </row>
    <row r="1896" spans="1:7" s="291" customFormat="1" hidden="1" x14ac:dyDescent="0.3">
      <c r="A1896" s="298">
        <v>45947</v>
      </c>
      <c r="B1896" s="298" t="s">
        <v>216</v>
      </c>
      <c r="C1896" s="260" t="s">
        <v>17</v>
      </c>
      <c r="D1896" s="261" t="s">
        <v>113</v>
      </c>
      <c r="E1896" s="253">
        <v>-3760</v>
      </c>
      <c r="F1896" s="262" t="s">
        <v>8</v>
      </c>
      <c r="G1896" s="47" t="s">
        <v>74</v>
      </c>
    </row>
    <row r="1897" spans="1:7" s="291" customFormat="1" hidden="1" x14ac:dyDescent="0.3">
      <c r="A1897" s="252">
        <v>45947</v>
      </c>
      <c r="B1897" s="252" t="s">
        <v>216</v>
      </c>
      <c r="C1897" s="24" t="s">
        <v>17</v>
      </c>
      <c r="D1897" s="13" t="s">
        <v>113</v>
      </c>
      <c r="E1897" s="28">
        <v>-5800</v>
      </c>
      <c r="F1897" s="25" t="s">
        <v>8</v>
      </c>
      <c r="G1897" s="14" t="s">
        <v>74</v>
      </c>
    </row>
    <row r="1898" spans="1:7" s="291" customFormat="1" hidden="1" x14ac:dyDescent="0.3">
      <c r="A1898" s="252">
        <v>45947</v>
      </c>
      <c r="B1898" s="252" t="s">
        <v>216</v>
      </c>
      <c r="C1898" s="24" t="s">
        <v>13</v>
      </c>
      <c r="D1898" s="13" t="s">
        <v>113</v>
      </c>
      <c r="E1898" s="28">
        <v>-5460</v>
      </c>
      <c r="F1898" s="25" t="s">
        <v>8</v>
      </c>
      <c r="G1898" s="14" t="s">
        <v>74</v>
      </c>
    </row>
    <row r="1899" spans="1:7" s="291" customFormat="1" hidden="1" x14ac:dyDescent="0.3">
      <c r="A1899" s="252">
        <v>45950</v>
      </c>
      <c r="B1899" s="252" t="s">
        <v>216</v>
      </c>
      <c r="C1899" s="24" t="s">
        <v>25</v>
      </c>
      <c r="D1899" s="13" t="s">
        <v>133</v>
      </c>
      <c r="E1899" s="28">
        <v>-2756.99</v>
      </c>
      <c r="F1899" s="25" t="s">
        <v>8</v>
      </c>
      <c r="G1899" s="214" t="s">
        <v>156</v>
      </c>
    </row>
    <row r="1900" spans="1:7" s="291" customFormat="1" hidden="1" x14ac:dyDescent="0.3">
      <c r="A1900" s="252">
        <v>45957</v>
      </c>
      <c r="B1900" s="252" t="s">
        <v>216</v>
      </c>
      <c r="C1900" s="24" t="s">
        <v>25</v>
      </c>
      <c r="D1900" s="13" t="s">
        <v>140</v>
      </c>
      <c r="E1900" s="28">
        <v>-1812.64</v>
      </c>
      <c r="F1900" s="25" t="s">
        <v>8</v>
      </c>
      <c r="G1900" s="214" t="s">
        <v>156</v>
      </c>
    </row>
    <row r="1901" spans="1:7" s="291" customFormat="1" hidden="1" x14ac:dyDescent="0.3">
      <c r="A1901" s="252">
        <v>45940</v>
      </c>
      <c r="B1901" s="252" t="s">
        <v>216</v>
      </c>
      <c r="C1901" s="24" t="s">
        <v>17</v>
      </c>
      <c r="D1901" s="13" t="s">
        <v>512</v>
      </c>
      <c r="E1901" s="28">
        <v>-10500</v>
      </c>
      <c r="F1901" s="25" t="s">
        <v>8</v>
      </c>
      <c r="G1901" s="14" t="s">
        <v>57</v>
      </c>
    </row>
    <row r="1902" spans="1:7" s="291" customFormat="1" hidden="1" x14ac:dyDescent="0.3">
      <c r="A1902" s="265">
        <v>45950</v>
      </c>
      <c r="B1902" s="265" t="s">
        <v>216</v>
      </c>
      <c r="C1902" s="258" t="s">
        <v>6</v>
      </c>
      <c r="D1902" s="259" t="s">
        <v>125</v>
      </c>
      <c r="E1902" s="297">
        <v>-39.799999999999997</v>
      </c>
      <c r="F1902" s="51" t="s">
        <v>8</v>
      </c>
      <c r="G1902" s="68" t="s">
        <v>69</v>
      </c>
    </row>
    <row r="1903" spans="1:7" hidden="1" x14ac:dyDescent="0.3">
      <c r="A1903" s="275">
        <v>45950</v>
      </c>
      <c r="B1903" s="275" t="s">
        <v>216</v>
      </c>
      <c r="C1903" s="272" t="s">
        <v>166</v>
      </c>
      <c r="D1903" s="53" t="s">
        <v>186</v>
      </c>
      <c r="E1903" s="100">
        <v>4717.4399999999996</v>
      </c>
      <c r="F1903" s="278" t="s">
        <v>164</v>
      </c>
      <c r="G1903" s="137" t="s">
        <v>165</v>
      </c>
    </row>
    <row r="1904" spans="1:7" hidden="1" x14ac:dyDescent="0.3">
      <c r="A1904" s="275">
        <v>45950</v>
      </c>
      <c r="B1904" s="275" t="s">
        <v>216</v>
      </c>
      <c r="C1904" s="272" t="s">
        <v>166</v>
      </c>
      <c r="D1904" s="53" t="s">
        <v>186</v>
      </c>
      <c r="E1904" s="100">
        <v>9938.39</v>
      </c>
      <c r="F1904" s="278" t="s">
        <v>164</v>
      </c>
      <c r="G1904" s="137" t="s">
        <v>165</v>
      </c>
    </row>
    <row r="1905" spans="1:7" hidden="1" x14ac:dyDescent="0.3">
      <c r="A1905" s="275">
        <v>45950</v>
      </c>
      <c r="B1905" s="275" t="s">
        <v>216</v>
      </c>
      <c r="C1905" s="272" t="s">
        <v>166</v>
      </c>
      <c r="D1905" s="53" t="s">
        <v>186</v>
      </c>
      <c r="E1905" s="100">
        <v>22139.98</v>
      </c>
      <c r="F1905" s="278" t="s">
        <v>164</v>
      </c>
      <c r="G1905" s="137" t="s">
        <v>165</v>
      </c>
    </row>
    <row r="1906" spans="1:7" s="291" customFormat="1" hidden="1" x14ac:dyDescent="0.3">
      <c r="A1906" s="298">
        <v>45943</v>
      </c>
      <c r="B1906" s="298" t="s">
        <v>216</v>
      </c>
      <c r="C1906" s="237" t="s">
        <v>72</v>
      </c>
      <c r="D1906" s="228" t="s">
        <v>75</v>
      </c>
      <c r="E1906" s="229">
        <v>-4375.75</v>
      </c>
      <c r="F1906" s="262" t="s">
        <v>8</v>
      </c>
      <c r="G1906" s="168" t="s">
        <v>74</v>
      </c>
    </row>
    <row r="1907" spans="1:7" s="291" customFormat="1" hidden="1" x14ac:dyDescent="0.3">
      <c r="A1907" s="252">
        <v>45940</v>
      </c>
      <c r="B1907" s="252" t="s">
        <v>216</v>
      </c>
      <c r="C1907" s="17" t="s">
        <v>72</v>
      </c>
      <c r="D1907" s="18" t="s">
        <v>73</v>
      </c>
      <c r="E1907" s="19">
        <v>-4347.01</v>
      </c>
      <c r="F1907" s="25" t="s">
        <v>8</v>
      </c>
      <c r="G1907" s="20" t="s">
        <v>74</v>
      </c>
    </row>
    <row r="1908" spans="1:7" s="291" customFormat="1" hidden="1" x14ac:dyDescent="0.3">
      <c r="A1908" s="252">
        <v>45940</v>
      </c>
      <c r="B1908" s="252" t="s">
        <v>216</v>
      </c>
      <c r="C1908" s="17" t="s">
        <v>72</v>
      </c>
      <c r="D1908" s="18" t="s">
        <v>73</v>
      </c>
      <c r="E1908" s="19">
        <v>-2173.96</v>
      </c>
      <c r="F1908" s="25" t="s">
        <v>8</v>
      </c>
      <c r="G1908" s="20" t="s">
        <v>74</v>
      </c>
    </row>
    <row r="1909" spans="1:7" s="291" customFormat="1" hidden="1" x14ac:dyDescent="0.3">
      <c r="A1909" s="205">
        <v>45961</v>
      </c>
      <c r="B1909" s="252" t="s">
        <v>216</v>
      </c>
      <c r="C1909" s="17" t="s">
        <v>17</v>
      </c>
      <c r="D1909" s="18" t="s">
        <v>145</v>
      </c>
      <c r="E1909" s="28">
        <v>-2530.4299999999998</v>
      </c>
      <c r="F1909" s="25" t="s">
        <v>8</v>
      </c>
      <c r="G1909" s="14" t="s">
        <v>69</v>
      </c>
    </row>
    <row r="1910" spans="1:7" s="291" customFormat="1" hidden="1" x14ac:dyDescent="0.3">
      <c r="A1910" s="205">
        <v>45961</v>
      </c>
      <c r="B1910" s="252" t="s">
        <v>216</v>
      </c>
      <c r="C1910" s="17" t="s">
        <v>17</v>
      </c>
      <c r="D1910" s="18" t="s">
        <v>145</v>
      </c>
      <c r="E1910" s="28">
        <v>-1339.5</v>
      </c>
      <c r="F1910" s="25" t="s">
        <v>8</v>
      </c>
      <c r="G1910" s="14" t="s">
        <v>69</v>
      </c>
    </row>
    <row r="1911" spans="1:7" s="291" customFormat="1" hidden="1" x14ac:dyDescent="0.3">
      <c r="A1911" s="252">
        <v>45945</v>
      </c>
      <c r="B1911" s="298" t="s">
        <v>216</v>
      </c>
      <c r="C1911" s="354" t="s">
        <v>32</v>
      </c>
      <c r="D1911" s="261" t="s">
        <v>105</v>
      </c>
      <c r="E1911" s="253">
        <v>-244.5</v>
      </c>
      <c r="F1911" s="14" t="s">
        <v>8</v>
      </c>
      <c r="G1911" s="14" t="s">
        <v>69</v>
      </c>
    </row>
    <row r="1912" spans="1:7" s="291" customFormat="1" hidden="1" x14ac:dyDescent="0.3">
      <c r="A1912" s="252">
        <v>45945</v>
      </c>
      <c r="B1912" s="252" t="s">
        <v>216</v>
      </c>
      <c r="C1912" s="27" t="s">
        <v>106</v>
      </c>
      <c r="D1912" s="13" t="s">
        <v>105</v>
      </c>
      <c r="E1912" s="28">
        <v>-300</v>
      </c>
      <c r="F1912" s="14" t="s">
        <v>8</v>
      </c>
      <c r="G1912" s="14" t="s">
        <v>69</v>
      </c>
    </row>
    <row r="1913" spans="1:7" s="291" customFormat="1" hidden="1" x14ac:dyDescent="0.3">
      <c r="A1913" s="252">
        <v>45945</v>
      </c>
      <c r="B1913" s="252" t="s">
        <v>216</v>
      </c>
      <c r="C1913" s="27" t="s">
        <v>35</v>
      </c>
      <c r="D1913" s="13" t="s">
        <v>105</v>
      </c>
      <c r="E1913" s="28">
        <v>-300</v>
      </c>
      <c r="F1913" s="14" t="s">
        <v>8</v>
      </c>
      <c r="G1913" s="14" t="s">
        <v>69</v>
      </c>
    </row>
    <row r="1914" spans="1:7" s="291" customFormat="1" hidden="1" x14ac:dyDescent="0.3">
      <c r="A1914" s="252">
        <v>45945</v>
      </c>
      <c r="B1914" s="252" t="s">
        <v>216</v>
      </c>
      <c r="C1914" s="27" t="s">
        <v>107</v>
      </c>
      <c r="D1914" s="13" t="s">
        <v>105</v>
      </c>
      <c r="E1914" s="28">
        <v>-300</v>
      </c>
      <c r="F1914" s="14" t="s">
        <v>8</v>
      </c>
      <c r="G1914" s="14" t="s">
        <v>69</v>
      </c>
    </row>
    <row r="1915" spans="1:7" s="291" customFormat="1" hidden="1" x14ac:dyDescent="0.3">
      <c r="A1915" s="252">
        <v>45945</v>
      </c>
      <c r="B1915" s="252" t="s">
        <v>216</v>
      </c>
      <c r="C1915" s="27" t="s">
        <v>108</v>
      </c>
      <c r="D1915" s="13" t="s">
        <v>105</v>
      </c>
      <c r="E1915" s="28">
        <v>-275</v>
      </c>
      <c r="F1915" s="14" t="s">
        <v>8</v>
      </c>
      <c r="G1915" s="14" t="s">
        <v>69</v>
      </c>
    </row>
    <row r="1916" spans="1:7" s="291" customFormat="1" hidden="1" x14ac:dyDescent="0.3">
      <c r="A1916" s="252">
        <v>45945</v>
      </c>
      <c r="B1916" s="252" t="s">
        <v>216</v>
      </c>
      <c r="C1916" s="27" t="s">
        <v>72</v>
      </c>
      <c r="D1916" s="13" t="s">
        <v>105</v>
      </c>
      <c r="E1916" s="28">
        <v>-300</v>
      </c>
      <c r="F1916" s="14" t="s">
        <v>8</v>
      </c>
      <c r="G1916" s="14" t="s">
        <v>69</v>
      </c>
    </row>
    <row r="1917" spans="1:7" s="291" customFormat="1" hidden="1" x14ac:dyDescent="0.3">
      <c r="A1917" s="252">
        <v>45945</v>
      </c>
      <c r="B1917" s="252" t="s">
        <v>216</v>
      </c>
      <c r="C1917" s="27" t="s">
        <v>109</v>
      </c>
      <c r="D1917" s="13" t="s">
        <v>105</v>
      </c>
      <c r="E1917" s="28">
        <v>-300</v>
      </c>
      <c r="F1917" s="14" t="s">
        <v>8</v>
      </c>
      <c r="G1917" s="14" t="s">
        <v>69</v>
      </c>
    </row>
    <row r="1918" spans="1:7" s="291" customFormat="1" hidden="1" x14ac:dyDescent="0.3">
      <c r="A1918" s="252">
        <v>45945</v>
      </c>
      <c r="B1918" s="252" t="s">
        <v>216</v>
      </c>
      <c r="C1918" s="27" t="s">
        <v>110</v>
      </c>
      <c r="D1918" s="13" t="s">
        <v>105</v>
      </c>
      <c r="E1918" s="28">
        <v>-350</v>
      </c>
      <c r="F1918" s="14" t="s">
        <v>8</v>
      </c>
      <c r="G1918" s="14" t="s">
        <v>69</v>
      </c>
    </row>
    <row r="1919" spans="1:7" s="291" customFormat="1" hidden="1" x14ac:dyDescent="0.3">
      <c r="A1919" s="252">
        <v>45945</v>
      </c>
      <c r="B1919" s="252" t="s">
        <v>216</v>
      </c>
      <c r="C1919" s="27" t="s">
        <v>111</v>
      </c>
      <c r="D1919" s="13" t="s">
        <v>105</v>
      </c>
      <c r="E1919" s="28">
        <v>-373.51</v>
      </c>
      <c r="F1919" s="14" t="s">
        <v>8</v>
      </c>
      <c r="G1919" s="14" t="s">
        <v>69</v>
      </c>
    </row>
    <row r="1920" spans="1:7" s="291" customFormat="1" hidden="1" x14ac:dyDescent="0.3">
      <c r="A1920" s="252">
        <v>45957</v>
      </c>
      <c r="B1920" s="252" t="s">
        <v>216</v>
      </c>
      <c r="C1920" s="24" t="s">
        <v>6</v>
      </c>
      <c r="D1920" s="13" t="s">
        <v>138</v>
      </c>
      <c r="E1920" s="28">
        <v>-294.8</v>
      </c>
      <c r="F1920" s="25" t="s">
        <v>8</v>
      </c>
      <c r="G1920" s="14" t="s">
        <v>139</v>
      </c>
    </row>
    <row r="1921" spans="1:7" s="291" customFormat="1" hidden="1" x14ac:dyDescent="0.3">
      <c r="A1921" s="252">
        <v>45945</v>
      </c>
      <c r="B1921" s="252" t="s">
        <v>216</v>
      </c>
      <c r="C1921" s="27" t="s">
        <v>89</v>
      </c>
      <c r="D1921" s="13" t="s">
        <v>90</v>
      </c>
      <c r="E1921" s="28">
        <v>-2281.6999999999998</v>
      </c>
      <c r="F1921" s="14" t="s">
        <v>8</v>
      </c>
      <c r="G1921" s="14" t="s">
        <v>41</v>
      </c>
    </row>
    <row r="1922" spans="1:7" s="291" customFormat="1" hidden="1" x14ac:dyDescent="0.3">
      <c r="A1922" s="205">
        <v>45940</v>
      </c>
      <c r="B1922" s="252" t="s">
        <v>216</v>
      </c>
      <c r="C1922" s="17" t="s">
        <v>32</v>
      </c>
      <c r="D1922" s="18" t="s">
        <v>48</v>
      </c>
      <c r="E1922" s="19">
        <v>-700</v>
      </c>
      <c r="F1922" s="25" t="s">
        <v>8</v>
      </c>
      <c r="G1922" s="20" t="s">
        <v>49</v>
      </c>
    </row>
    <row r="1923" spans="1:7" s="291" customFormat="1" hidden="1" x14ac:dyDescent="0.3">
      <c r="A1923" s="205">
        <v>45961</v>
      </c>
      <c r="B1923" s="252" t="s">
        <v>216</v>
      </c>
      <c r="C1923" s="24" t="s">
        <v>44</v>
      </c>
      <c r="D1923" s="13" t="s">
        <v>161</v>
      </c>
      <c r="E1923" s="28">
        <v>-1719.53</v>
      </c>
      <c r="F1923" s="25" t="s">
        <v>8</v>
      </c>
      <c r="G1923" s="25" t="s">
        <v>93</v>
      </c>
    </row>
    <row r="1924" spans="1:7" s="291" customFormat="1" hidden="1" x14ac:dyDescent="0.3">
      <c r="A1924" s="205">
        <v>45961</v>
      </c>
      <c r="B1924" s="252" t="s">
        <v>216</v>
      </c>
      <c r="C1924" s="24" t="s">
        <v>6</v>
      </c>
      <c r="D1924" s="13" t="s">
        <v>161</v>
      </c>
      <c r="E1924" s="28">
        <v>-1392.65</v>
      </c>
      <c r="F1924" s="25" t="s">
        <v>8</v>
      </c>
      <c r="G1924" s="25" t="s">
        <v>93</v>
      </c>
    </row>
    <row r="1925" spans="1:7" s="291" customFormat="1" hidden="1" x14ac:dyDescent="0.3">
      <c r="A1925" s="201">
        <v>45961</v>
      </c>
      <c r="B1925" s="265" t="s">
        <v>216</v>
      </c>
      <c r="C1925" s="258" t="s">
        <v>81</v>
      </c>
      <c r="D1925" s="259" t="s">
        <v>160</v>
      </c>
      <c r="E1925" s="297">
        <v>-9000</v>
      </c>
      <c r="F1925" s="51" t="s">
        <v>8</v>
      </c>
      <c r="G1925" s="335" t="s">
        <v>127</v>
      </c>
    </row>
    <row r="1926" spans="1:7" hidden="1" x14ac:dyDescent="0.3">
      <c r="A1926" s="275">
        <v>45961</v>
      </c>
      <c r="B1926" s="275" t="s">
        <v>216</v>
      </c>
      <c r="C1926" s="272" t="s">
        <v>180</v>
      </c>
      <c r="D1926" s="53" t="s">
        <v>187</v>
      </c>
      <c r="E1926" s="126">
        <v>2373.8200000000002</v>
      </c>
      <c r="F1926" s="110" t="s">
        <v>164</v>
      </c>
      <c r="G1926" s="137" t="s">
        <v>165</v>
      </c>
    </row>
    <row r="1927" spans="1:7" hidden="1" x14ac:dyDescent="0.3">
      <c r="A1927" s="275">
        <v>45961</v>
      </c>
      <c r="B1927" s="275" t="s">
        <v>216</v>
      </c>
      <c r="C1927" s="272" t="s">
        <v>180</v>
      </c>
      <c r="D1927" s="53" t="s">
        <v>187</v>
      </c>
      <c r="E1927" s="126">
        <v>5823.82</v>
      </c>
      <c r="F1927" s="110" t="s">
        <v>164</v>
      </c>
      <c r="G1927" s="137" t="s">
        <v>165</v>
      </c>
    </row>
    <row r="1928" spans="1:7" hidden="1" x14ac:dyDescent="0.3">
      <c r="A1928" s="275">
        <v>45961</v>
      </c>
      <c r="B1928" s="275" t="s">
        <v>216</v>
      </c>
      <c r="C1928" s="272" t="s">
        <v>180</v>
      </c>
      <c r="D1928" s="53" t="s">
        <v>187</v>
      </c>
      <c r="E1928" s="126">
        <v>7526.95</v>
      </c>
      <c r="F1928" s="110" t="s">
        <v>164</v>
      </c>
      <c r="G1928" s="137" t="s">
        <v>165</v>
      </c>
    </row>
    <row r="1929" spans="1:7" hidden="1" x14ac:dyDescent="0.3">
      <c r="A1929" s="275">
        <v>45961</v>
      </c>
      <c r="B1929" s="275" t="s">
        <v>216</v>
      </c>
      <c r="C1929" s="272" t="s">
        <v>180</v>
      </c>
      <c r="D1929" s="53" t="s">
        <v>187</v>
      </c>
      <c r="E1929" s="126">
        <v>25756.63</v>
      </c>
      <c r="F1929" s="110" t="s">
        <v>164</v>
      </c>
      <c r="G1929" s="137" t="s">
        <v>165</v>
      </c>
    </row>
    <row r="1930" spans="1:7" s="291" customFormat="1" hidden="1" x14ac:dyDescent="0.3">
      <c r="A1930" s="298">
        <v>45940</v>
      </c>
      <c r="B1930" s="298" t="s">
        <v>216</v>
      </c>
      <c r="C1930" s="260" t="s">
        <v>31</v>
      </c>
      <c r="D1930" s="24" t="s">
        <v>902</v>
      </c>
      <c r="E1930" s="253">
        <v>-3000</v>
      </c>
      <c r="F1930" s="262" t="s">
        <v>8</v>
      </c>
      <c r="G1930" s="47" t="s">
        <v>59</v>
      </c>
    </row>
    <row r="1931" spans="1:7" s="291" customFormat="1" hidden="1" x14ac:dyDescent="0.3">
      <c r="A1931" s="205">
        <v>45961</v>
      </c>
      <c r="B1931" s="252" t="s">
        <v>216</v>
      </c>
      <c r="C1931" s="24" t="s">
        <v>13</v>
      </c>
      <c r="D1931" s="13" t="s">
        <v>152</v>
      </c>
      <c r="E1931" s="28">
        <v>-800</v>
      </c>
      <c r="F1931" s="25" t="s">
        <v>8</v>
      </c>
      <c r="G1931" s="14" t="s">
        <v>153</v>
      </c>
    </row>
    <row r="1932" spans="1:7" s="291" customFormat="1" hidden="1" x14ac:dyDescent="0.3">
      <c r="A1932" s="252">
        <v>45944</v>
      </c>
      <c r="B1932" s="252" t="s">
        <v>216</v>
      </c>
      <c r="C1932" s="17" t="s">
        <v>6</v>
      </c>
      <c r="D1932" s="18" t="s">
        <v>76</v>
      </c>
      <c r="E1932" s="19">
        <v>-40000</v>
      </c>
      <c r="F1932" s="25" t="s">
        <v>8</v>
      </c>
      <c r="G1932" s="20" t="s">
        <v>76</v>
      </c>
    </row>
    <row r="1933" spans="1:7" s="291" customFormat="1" hidden="1" x14ac:dyDescent="0.3">
      <c r="A1933" s="265">
        <v>45950</v>
      </c>
      <c r="B1933" s="265" t="s">
        <v>216</v>
      </c>
      <c r="C1933" s="266" t="s">
        <v>6</v>
      </c>
      <c r="D1933" s="259" t="s">
        <v>123</v>
      </c>
      <c r="E1933" s="297">
        <v>-600</v>
      </c>
      <c r="F1933" s="51" t="s">
        <v>8</v>
      </c>
      <c r="G1933" s="232" t="s">
        <v>19</v>
      </c>
    </row>
    <row r="1934" spans="1:7" hidden="1" x14ac:dyDescent="0.3">
      <c r="A1934" s="275">
        <v>45911</v>
      </c>
      <c r="B1934" s="275" t="s">
        <v>213</v>
      </c>
      <c r="C1934" s="272" t="s">
        <v>180</v>
      </c>
      <c r="D1934" s="274" t="s">
        <v>181</v>
      </c>
      <c r="E1934" s="100">
        <v>2284.4499999999998</v>
      </c>
      <c r="F1934" s="110" t="s">
        <v>164</v>
      </c>
      <c r="G1934" s="137" t="s">
        <v>165</v>
      </c>
    </row>
    <row r="1935" spans="1:7" hidden="1" x14ac:dyDescent="0.3">
      <c r="A1935" s="567">
        <v>45943</v>
      </c>
      <c r="B1935" s="567" t="s">
        <v>216</v>
      </c>
      <c r="C1935" s="484" t="s">
        <v>180</v>
      </c>
      <c r="D1935" s="882" t="s">
        <v>181</v>
      </c>
      <c r="E1935" s="468">
        <v>24988.71</v>
      </c>
      <c r="F1935" s="153" t="s">
        <v>164</v>
      </c>
      <c r="G1935" s="487" t="s">
        <v>165</v>
      </c>
    </row>
    <row r="1936" spans="1:7" hidden="1" x14ac:dyDescent="0.3">
      <c r="A1936" s="275">
        <v>45943</v>
      </c>
      <c r="B1936" s="275" t="s">
        <v>216</v>
      </c>
      <c r="C1936" s="272" t="s">
        <v>180</v>
      </c>
      <c r="D1936" s="274" t="s">
        <v>181</v>
      </c>
      <c r="E1936" s="100">
        <v>16834.330000000002</v>
      </c>
      <c r="F1936" s="110" t="s">
        <v>164</v>
      </c>
      <c r="G1936" s="137" t="s">
        <v>165</v>
      </c>
    </row>
    <row r="1937" spans="1:7" hidden="1" x14ac:dyDescent="0.3">
      <c r="A1937" s="275">
        <v>45943</v>
      </c>
      <c r="B1937" s="275" t="s">
        <v>216</v>
      </c>
      <c r="C1937" s="272" t="s">
        <v>180</v>
      </c>
      <c r="D1937" s="274" t="s">
        <v>181</v>
      </c>
      <c r="E1937" s="100">
        <v>268.13</v>
      </c>
      <c r="F1937" s="110" t="s">
        <v>164</v>
      </c>
      <c r="G1937" s="137" t="s">
        <v>165</v>
      </c>
    </row>
    <row r="1938" spans="1:7" hidden="1" x14ac:dyDescent="0.3">
      <c r="A1938" s="275">
        <v>45952</v>
      </c>
      <c r="B1938" s="275" t="s">
        <v>216</v>
      </c>
      <c r="C1938" s="272" t="s">
        <v>180</v>
      </c>
      <c r="D1938" s="274" t="s">
        <v>181</v>
      </c>
      <c r="E1938" s="100">
        <v>2284.4499999999998</v>
      </c>
      <c r="F1938" s="110" t="s">
        <v>164</v>
      </c>
      <c r="G1938" s="137" t="s">
        <v>165</v>
      </c>
    </row>
    <row r="1939" spans="1:7" s="291" customFormat="1" hidden="1" x14ac:dyDescent="0.3">
      <c r="A1939" s="298">
        <v>45940</v>
      </c>
      <c r="B1939" s="298" t="s">
        <v>216</v>
      </c>
      <c r="C1939" s="354" t="s">
        <v>67</v>
      </c>
      <c r="D1939" s="261" t="s">
        <v>68</v>
      </c>
      <c r="E1939" s="253">
        <v>-553.25</v>
      </c>
      <c r="F1939" s="262" t="s">
        <v>8</v>
      </c>
      <c r="G1939" s="47" t="s">
        <v>69</v>
      </c>
    </row>
    <row r="1940" spans="1:7" s="291" customFormat="1" hidden="1" x14ac:dyDescent="0.3">
      <c r="A1940" s="252">
        <v>45946</v>
      </c>
      <c r="B1940" s="252" t="s">
        <v>216</v>
      </c>
      <c r="C1940" s="24" t="s">
        <v>6</v>
      </c>
      <c r="D1940" s="13" t="s">
        <v>104</v>
      </c>
      <c r="E1940" s="28">
        <v>-139.25</v>
      </c>
      <c r="F1940" s="25" t="s">
        <v>8</v>
      </c>
      <c r="G1940" s="14" t="s">
        <v>101</v>
      </c>
    </row>
    <row r="1941" spans="1:7" s="291" customFormat="1" hidden="1" x14ac:dyDescent="0.3">
      <c r="A1941" s="252">
        <v>45946</v>
      </c>
      <c r="B1941" s="252" t="s">
        <v>216</v>
      </c>
      <c r="C1941" s="24" t="s">
        <v>6</v>
      </c>
      <c r="D1941" s="13" t="s">
        <v>100</v>
      </c>
      <c r="E1941" s="28">
        <v>-141.69999999999999</v>
      </c>
      <c r="F1941" s="25" t="s">
        <v>8</v>
      </c>
      <c r="G1941" s="14" t="s">
        <v>101</v>
      </c>
    </row>
    <row r="1942" spans="1:7" s="291" customFormat="1" hidden="1" x14ac:dyDescent="0.3">
      <c r="A1942" s="252">
        <v>45946</v>
      </c>
      <c r="B1942" s="252" t="s">
        <v>216</v>
      </c>
      <c r="C1942" s="24" t="s">
        <v>6</v>
      </c>
      <c r="D1942" s="13" t="s">
        <v>102</v>
      </c>
      <c r="E1942" s="28">
        <v>-141.69999999999999</v>
      </c>
      <c r="F1942" s="25" t="s">
        <v>8</v>
      </c>
      <c r="G1942" s="14" t="s">
        <v>101</v>
      </c>
    </row>
    <row r="1943" spans="1:7" s="291" customFormat="1" hidden="1" x14ac:dyDescent="0.3">
      <c r="A1943" s="252">
        <v>45946</v>
      </c>
      <c r="B1943" s="252" t="s">
        <v>216</v>
      </c>
      <c r="C1943" s="24" t="s">
        <v>6</v>
      </c>
      <c r="D1943" s="13" t="s">
        <v>103</v>
      </c>
      <c r="E1943" s="28">
        <v>-141.69999999999999</v>
      </c>
      <c r="F1943" s="25" t="s">
        <v>8</v>
      </c>
      <c r="G1943" s="14" t="s">
        <v>101</v>
      </c>
    </row>
    <row r="1944" spans="1:7" s="291" customFormat="1" hidden="1" x14ac:dyDescent="0.3">
      <c r="A1944" s="252">
        <v>45936</v>
      </c>
      <c r="B1944" s="252" t="s">
        <v>216</v>
      </c>
      <c r="C1944" s="24" t="s">
        <v>6</v>
      </c>
      <c r="D1944" s="13" t="s">
        <v>40</v>
      </c>
      <c r="E1944" s="21">
        <v>-468000</v>
      </c>
      <c r="F1944" s="25" t="s">
        <v>8</v>
      </c>
      <c r="G1944" s="14" t="s">
        <v>41</v>
      </c>
    </row>
    <row r="1945" spans="1:7" s="291" customFormat="1" hidden="1" x14ac:dyDescent="0.3">
      <c r="A1945" s="252">
        <v>45945</v>
      </c>
      <c r="B1945" s="252" t="s">
        <v>216</v>
      </c>
      <c r="C1945" s="24" t="s">
        <v>6</v>
      </c>
      <c r="D1945" s="13" t="s">
        <v>91</v>
      </c>
      <c r="E1945" s="28">
        <v>-6500</v>
      </c>
      <c r="F1945" s="14" t="s">
        <v>8</v>
      </c>
      <c r="G1945" s="14" t="s">
        <v>64</v>
      </c>
    </row>
    <row r="1946" spans="1:7" s="291" customFormat="1" hidden="1" x14ac:dyDescent="0.3">
      <c r="A1946" s="252">
        <v>45940</v>
      </c>
      <c r="B1946" s="252" t="s">
        <v>216</v>
      </c>
      <c r="C1946" s="24" t="s">
        <v>6</v>
      </c>
      <c r="D1946" s="13" t="s">
        <v>52</v>
      </c>
      <c r="E1946" s="28">
        <v>-290</v>
      </c>
      <c r="F1946" s="25" t="s">
        <v>8</v>
      </c>
      <c r="G1946" s="14" t="s">
        <v>53</v>
      </c>
    </row>
    <row r="1947" spans="1:7" s="291" customFormat="1" hidden="1" x14ac:dyDescent="0.3">
      <c r="A1947" s="252">
        <v>45943</v>
      </c>
      <c r="B1947" s="252" t="s">
        <v>216</v>
      </c>
      <c r="C1947" s="24" t="s">
        <v>6</v>
      </c>
      <c r="D1947" s="13" t="s">
        <v>600</v>
      </c>
      <c r="E1947" s="28">
        <v>-2012.45</v>
      </c>
      <c r="F1947" s="25" t="s">
        <v>8</v>
      </c>
      <c r="G1947" s="20" t="s">
        <v>46</v>
      </c>
    </row>
    <row r="1948" spans="1:7" s="291" customFormat="1" hidden="1" x14ac:dyDescent="0.3">
      <c r="A1948" s="252">
        <v>45946</v>
      </c>
      <c r="B1948" s="252" t="s">
        <v>216</v>
      </c>
      <c r="C1948" s="24" t="s">
        <v>6</v>
      </c>
      <c r="D1948" s="263" t="s">
        <v>200</v>
      </c>
      <c r="E1948" s="264">
        <v>-1905.5</v>
      </c>
      <c r="F1948" s="25" t="s">
        <v>8</v>
      </c>
      <c r="G1948" s="14" t="s">
        <v>51</v>
      </c>
    </row>
    <row r="1949" spans="1:7" s="291" customFormat="1" hidden="1" x14ac:dyDescent="0.3">
      <c r="A1949" s="252">
        <v>45950</v>
      </c>
      <c r="B1949" s="252" t="s">
        <v>216</v>
      </c>
      <c r="C1949" s="24" t="s">
        <v>6</v>
      </c>
      <c r="D1949" s="13" t="s">
        <v>126</v>
      </c>
      <c r="E1949" s="28">
        <v>-20000</v>
      </c>
      <c r="F1949" s="25" t="s">
        <v>8</v>
      </c>
      <c r="G1949" s="257" t="s">
        <v>127</v>
      </c>
    </row>
    <row r="1950" spans="1:7" s="291" customFormat="1" hidden="1" x14ac:dyDescent="0.3">
      <c r="A1950" s="205">
        <v>45961</v>
      </c>
      <c r="B1950" s="252" t="s">
        <v>216</v>
      </c>
      <c r="C1950" s="24" t="s">
        <v>6</v>
      </c>
      <c r="D1950" s="13" t="s">
        <v>147</v>
      </c>
      <c r="E1950" s="28">
        <v>-35000</v>
      </c>
      <c r="F1950" s="25" t="s">
        <v>8</v>
      </c>
      <c r="G1950" s="257" t="s">
        <v>127</v>
      </c>
    </row>
    <row r="1951" spans="1:7" s="291" customFormat="1" hidden="1" x14ac:dyDescent="0.3">
      <c r="A1951" s="252">
        <v>45946</v>
      </c>
      <c r="B1951" s="252" t="s">
        <v>216</v>
      </c>
      <c r="C1951" s="24" t="s">
        <v>6</v>
      </c>
      <c r="D1951" s="13" t="s">
        <v>116</v>
      </c>
      <c r="E1951" s="28">
        <v>-30</v>
      </c>
      <c r="F1951" s="25" t="s">
        <v>8</v>
      </c>
      <c r="G1951" s="14" t="s">
        <v>51</v>
      </c>
    </row>
    <row r="1952" spans="1:7" s="291" customFormat="1" hidden="1" x14ac:dyDescent="0.3">
      <c r="A1952" s="252">
        <v>45946</v>
      </c>
      <c r="B1952" s="252" t="s">
        <v>216</v>
      </c>
      <c r="C1952" s="24" t="s">
        <v>6</v>
      </c>
      <c r="D1952" s="13" t="s">
        <v>117</v>
      </c>
      <c r="E1952" s="28">
        <v>-10000</v>
      </c>
      <c r="F1952" s="25" t="s">
        <v>8</v>
      </c>
      <c r="G1952" s="14" t="s">
        <v>51</v>
      </c>
    </row>
    <row r="1953" spans="1:7" s="291" customFormat="1" hidden="1" x14ac:dyDescent="0.3">
      <c r="A1953" s="252">
        <v>45946</v>
      </c>
      <c r="B1953" s="252" t="s">
        <v>216</v>
      </c>
      <c r="C1953" s="24" t="s">
        <v>31</v>
      </c>
      <c r="D1953" s="263" t="s">
        <v>199</v>
      </c>
      <c r="E1953" s="264">
        <v>-630</v>
      </c>
      <c r="F1953" s="25" t="s">
        <v>8</v>
      </c>
      <c r="G1953" s="14" t="s">
        <v>51</v>
      </c>
    </row>
    <row r="1954" spans="1:7" s="291" customFormat="1" hidden="1" x14ac:dyDescent="0.3">
      <c r="A1954" s="252">
        <v>45947</v>
      </c>
      <c r="B1954" s="252" t="s">
        <v>216</v>
      </c>
      <c r="C1954" s="17" t="s">
        <v>13</v>
      </c>
      <c r="D1954" s="13" t="s">
        <v>120</v>
      </c>
      <c r="E1954" s="28">
        <v>-5996.67</v>
      </c>
      <c r="F1954" s="25" t="s">
        <v>8</v>
      </c>
      <c r="G1954" s="20" t="s">
        <v>46</v>
      </c>
    </row>
    <row r="1955" spans="1:7" s="291" customFormat="1" hidden="1" x14ac:dyDescent="0.3">
      <c r="A1955" s="252">
        <v>45936</v>
      </c>
      <c r="B1955" s="252" t="s">
        <v>216</v>
      </c>
      <c r="C1955" s="24" t="s">
        <v>6</v>
      </c>
      <c r="D1955" s="13" t="s">
        <v>28</v>
      </c>
      <c r="E1955" s="28">
        <v>-349</v>
      </c>
      <c r="F1955" s="25" t="s">
        <v>8</v>
      </c>
      <c r="G1955" s="14" t="s">
        <v>29</v>
      </c>
    </row>
    <row r="1956" spans="1:7" s="291" customFormat="1" hidden="1" x14ac:dyDescent="0.3">
      <c r="A1956" s="252">
        <v>45936</v>
      </c>
      <c r="B1956" s="252" t="s">
        <v>216</v>
      </c>
      <c r="C1956" s="24" t="s">
        <v>30</v>
      </c>
      <c r="D1956" s="13" t="s">
        <v>28</v>
      </c>
      <c r="E1956" s="28">
        <v>-389</v>
      </c>
      <c r="F1956" s="25" t="s">
        <v>8</v>
      </c>
      <c r="G1956" s="14" t="s">
        <v>29</v>
      </c>
    </row>
    <row r="1957" spans="1:7" s="291" customFormat="1" hidden="1" x14ac:dyDescent="0.3">
      <c r="A1957" s="252">
        <v>45936</v>
      </c>
      <c r="B1957" s="252" t="s">
        <v>216</v>
      </c>
      <c r="C1957" s="24" t="s">
        <v>25</v>
      </c>
      <c r="D1957" s="13" t="s">
        <v>28</v>
      </c>
      <c r="E1957" s="28">
        <v>-349</v>
      </c>
      <c r="F1957" s="25" t="s">
        <v>8</v>
      </c>
      <c r="G1957" s="14" t="s">
        <v>29</v>
      </c>
    </row>
    <row r="1958" spans="1:7" s="291" customFormat="1" hidden="1" x14ac:dyDescent="0.3">
      <c r="A1958" s="252">
        <v>45936</v>
      </c>
      <c r="B1958" s="252" t="s">
        <v>216</v>
      </c>
      <c r="C1958" s="24" t="s">
        <v>31</v>
      </c>
      <c r="D1958" s="13" t="s">
        <v>28</v>
      </c>
      <c r="E1958" s="28">
        <v>-349</v>
      </c>
      <c r="F1958" s="25" t="s">
        <v>8</v>
      </c>
      <c r="G1958" s="14" t="s">
        <v>29</v>
      </c>
    </row>
    <row r="1959" spans="1:7" s="291" customFormat="1" hidden="1" x14ac:dyDescent="0.3">
      <c r="A1959" s="252">
        <v>45936</v>
      </c>
      <c r="B1959" s="252" t="s">
        <v>216</v>
      </c>
      <c r="C1959" s="24" t="s">
        <v>32</v>
      </c>
      <c r="D1959" s="13" t="s">
        <v>28</v>
      </c>
      <c r="E1959" s="28">
        <v>-389</v>
      </c>
      <c r="F1959" s="25" t="s">
        <v>8</v>
      </c>
      <c r="G1959" s="14" t="s">
        <v>29</v>
      </c>
    </row>
    <row r="1960" spans="1:7" s="291" customFormat="1" hidden="1" x14ac:dyDescent="0.3">
      <c r="A1960" s="252">
        <v>45936</v>
      </c>
      <c r="B1960" s="252" t="s">
        <v>216</v>
      </c>
      <c r="C1960" s="24" t="s">
        <v>33</v>
      </c>
      <c r="D1960" s="13" t="s">
        <v>28</v>
      </c>
      <c r="E1960" s="28">
        <v>-389</v>
      </c>
      <c r="F1960" s="25" t="s">
        <v>8</v>
      </c>
      <c r="G1960" s="14" t="s">
        <v>29</v>
      </c>
    </row>
    <row r="1961" spans="1:7" s="291" customFormat="1" hidden="1" x14ac:dyDescent="0.3">
      <c r="A1961" s="252">
        <v>45936</v>
      </c>
      <c r="B1961" s="252" t="s">
        <v>216</v>
      </c>
      <c r="C1961" s="24" t="s">
        <v>34</v>
      </c>
      <c r="D1961" s="13" t="s">
        <v>28</v>
      </c>
      <c r="E1961" s="28">
        <v>-389</v>
      </c>
      <c r="F1961" s="25" t="s">
        <v>8</v>
      </c>
      <c r="G1961" s="14" t="s">
        <v>29</v>
      </c>
    </row>
    <row r="1962" spans="1:7" s="291" customFormat="1" hidden="1" x14ac:dyDescent="0.3">
      <c r="A1962" s="252">
        <v>45945</v>
      </c>
      <c r="B1962" s="252" t="s">
        <v>216</v>
      </c>
      <c r="C1962" s="24" t="s">
        <v>6</v>
      </c>
      <c r="D1962" s="13" t="s">
        <v>94</v>
      </c>
      <c r="E1962" s="28">
        <v>-171.1</v>
      </c>
      <c r="F1962" s="25" t="s">
        <v>8</v>
      </c>
      <c r="G1962" s="14" t="s">
        <v>29</v>
      </c>
    </row>
    <row r="1963" spans="1:7" s="291" customFormat="1" hidden="1" x14ac:dyDescent="0.3">
      <c r="A1963" s="252">
        <v>45945</v>
      </c>
      <c r="B1963" s="252" t="s">
        <v>216</v>
      </c>
      <c r="C1963" s="24" t="s">
        <v>44</v>
      </c>
      <c r="D1963" s="13" t="s">
        <v>94</v>
      </c>
      <c r="E1963" s="28">
        <v>-171.1</v>
      </c>
      <c r="F1963" s="25" t="s">
        <v>8</v>
      </c>
      <c r="G1963" s="14" t="s">
        <v>29</v>
      </c>
    </row>
    <row r="1964" spans="1:7" s="291" customFormat="1" hidden="1" x14ac:dyDescent="0.3">
      <c r="A1964" s="252">
        <v>45945</v>
      </c>
      <c r="B1964" s="252" t="s">
        <v>216</v>
      </c>
      <c r="C1964" s="24" t="s">
        <v>13</v>
      </c>
      <c r="D1964" s="13" t="s">
        <v>94</v>
      </c>
      <c r="E1964" s="28">
        <v>-171.1</v>
      </c>
      <c r="F1964" s="25" t="s">
        <v>8</v>
      </c>
      <c r="G1964" s="14" t="s">
        <v>29</v>
      </c>
    </row>
    <row r="1965" spans="1:7" s="291" customFormat="1" hidden="1" x14ac:dyDescent="0.3">
      <c r="A1965" s="252">
        <v>45945</v>
      </c>
      <c r="B1965" s="252" t="s">
        <v>216</v>
      </c>
      <c r="C1965" s="24" t="s">
        <v>686</v>
      </c>
      <c r="D1965" s="13" t="s">
        <v>94</v>
      </c>
      <c r="E1965" s="28">
        <v>-171.1</v>
      </c>
      <c r="F1965" s="25" t="s">
        <v>8</v>
      </c>
      <c r="G1965" s="14" t="s">
        <v>29</v>
      </c>
    </row>
    <row r="1966" spans="1:7" s="291" customFormat="1" hidden="1" x14ac:dyDescent="0.3">
      <c r="A1966" s="252">
        <v>45945</v>
      </c>
      <c r="B1966" s="252" t="s">
        <v>216</v>
      </c>
      <c r="C1966" s="24" t="s">
        <v>31</v>
      </c>
      <c r="D1966" s="13" t="s">
        <v>94</v>
      </c>
      <c r="E1966" s="28">
        <v>-171.1</v>
      </c>
      <c r="F1966" s="25" t="s">
        <v>8</v>
      </c>
      <c r="G1966" s="14" t="s">
        <v>29</v>
      </c>
    </row>
    <row r="1967" spans="1:7" s="291" customFormat="1" hidden="1" x14ac:dyDescent="0.3">
      <c r="A1967" s="252">
        <v>45945</v>
      </c>
      <c r="B1967" s="252" t="s">
        <v>216</v>
      </c>
      <c r="C1967" s="24" t="s">
        <v>65</v>
      </c>
      <c r="D1967" s="13" t="s">
        <v>94</v>
      </c>
      <c r="E1967" s="28">
        <v>-171.1</v>
      </c>
      <c r="F1967" s="25" t="s">
        <v>8</v>
      </c>
      <c r="G1967" s="14" t="s">
        <v>29</v>
      </c>
    </row>
    <row r="1968" spans="1:7" s="291" customFormat="1" hidden="1" x14ac:dyDescent="0.3">
      <c r="A1968" s="252">
        <v>45945</v>
      </c>
      <c r="B1968" s="252" t="s">
        <v>216</v>
      </c>
      <c r="C1968" s="17" t="s">
        <v>17</v>
      </c>
      <c r="D1968" s="13" t="s">
        <v>94</v>
      </c>
      <c r="E1968" s="28">
        <v>-171.1</v>
      </c>
      <c r="F1968" s="25" t="s">
        <v>8</v>
      </c>
      <c r="G1968" s="14" t="s">
        <v>29</v>
      </c>
    </row>
    <row r="1969" spans="1:7" s="291" customFormat="1" hidden="1" x14ac:dyDescent="0.3">
      <c r="A1969" s="252">
        <v>45945</v>
      </c>
      <c r="B1969" s="252" t="s">
        <v>216</v>
      </c>
      <c r="C1969" s="17" t="s">
        <v>685</v>
      </c>
      <c r="D1969" s="13" t="s">
        <v>94</v>
      </c>
      <c r="E1969" s="28">
        <v>-171.1</v>
      </c>
      <c r="F1969" s="25" t="s">
        <v>8</v>
      </c>
      <c r="G1969" s="14" t="s">
        <v>29</v>
      </c>
    </row>
    <row r="1970" spans="1:7" s="291" customFormat="1" hidden="1" x14ac:dyDescent="0.3">
      <c r="A1970" s="252">
        <v>45945</v>
      </c>
      <c r="B1970" s="252" t="s">
        <v>216</v>
      </c>
      <c r="C1970" s="17" t="s">
        <v>30</v>
      </c>
      <c r="D1970" s="13" t="s">
        <v>94</v>
      </c>
      <c r="E1970" s="28">
        <v>-171.1</v>
      </c>
      <c r="F1970" s="25" t="s">
        <v>8</v>
      </c>
      <c r="G1970" s="14" t="s">
        <v>29</v>
      </c>
    </row>
    <row r="1971" spans="1:7" s="291" customFormat="1" hidden="1" x14ac:dyDescent="0.3">
      <c r="A1971" s="252">
        <v>45945</v>
      </c>
      <c r="B1971" s="252" t="s">
        <v>216</v>
      </c>
      <c r="C1971" s="17" t="s">
        <v>95</v>
      </c>
      <c r="D1971" s="13" t="s">
        <v>94</v>
      </c>
      <c r="E1971" s="28">
        <v>-171.1</v>
      </c>
      <c r="F1971" s="25" t="s">
        <v>8</v>
      </c>
      <c r="G1971" s="14" t="s">
        <v>29</v>
      </c>
    </row>
    <row r="1972" spans="1:7" s="291" customFormat="1" hidden="1" x14ac:dyDescent="0.3">
      <c r="A1972" s="252">
        <v>45945</v>
      </c>
      <c r="B1972" s="252" t="s">
        <v>216</v>
      </c>
      <c r="C1972" s="17" t="s">
        <v>33</v>
      </c>
      <c r="D1972" s="13" t="s">
        <v>94</v>
      </c>
      <c r="E1972" s="28">
        <v>-171.1</v>
      </c>
      <c r="F1972" s="25" t="s">
        <v>8</v>
      </c>
      <c r="G1972" s="14" t="s">
        <v>29</v>
      </c>
    </row>
    <row r="1973" spans="1:7" s="291" customFormat="1" hidden="1" x14ac:dyDescent="0.3">
      <c r="A1973" s="252">
        <v>45945</v>
      </c>
      <c r="B1973" s="252" t="s">
        <v>216</v>
      </c>
      <c r="C1973" s="17" t="s">
        <v>96</v>
      </c>
      <c r="D1973" s="13" t="s">
        <v>94</v>
      </c>
      <c r="E1973" s="28">
        <v>-171.1</v>
      </c>
      <c r="F1973" s="25" t="s">
        <v>8</v>
      </c>
      <c r="G1973" s="14" t="s">
        <v>29</v>
      </c>
    </row>
    <row r="1974" spans="1:7" s="291" customFormat="1" hidden="1" x14ac:dyDescent="0.3">
      <c r="A1974" s="252">
        <v>45945</v>
      </c>
      <c r="B1974" s="252" t="s">
        <v>216</v>
      </c>
      <c r="C1974" s="17" t="s">
        <v>32</v>
      </c>
      <c r="D1974" s="13" t="s">
        <v>94</v>
      </c>
      <c r="E1974" s="28">
        <v>-171.1</v>
      </c>
      <c r="F1974" s="25" t="s">
        <v>8</v>
      </c>
      <c r="G1974" s="14" t="s">
        <v>29</v>
      </c>
    </row>
    <row r="1975" spans="1:7" s="291" customFormat="1" hidden="1" x14ac:dyDescent="0.3">
      <c r="A1975" s="265">
        <v>45945</v>
      </c>
      <c r="B1975" s="265" t="s">
        <v>216</v>
      </c>
      <c r="C1975" s="202" t="s">
        <v>34</v>
      </c>
      <c r="D1975" s="259" t="s">
        <v>94</v>
      </c>
      <c r="E1975" s="297">
        <v>-171.1</v>
      </c>
      <c r="F1975" s="51" t="s">
        <v>8</v>
      </c>
      <c r="G1975" s="68" t="s">
        <v>29</v>
      </c>
    </row>
    <row r="1976" spans="1:7" hidden="1" x14ac:dyDescent="0.3">
      <c r="A1976" s="275">
        <v>45931</v>
      </c>
      <c r="B1976" s="275" t="s">
        <v>216</v>
      </c>
      <c r="C1976" s="272" t="s">
        <v>168</v>
      </c>
      <c r="D1976" s="53" t="s">
        <v>169</v>
      </c>
      <c r="E1976" s="100">
        <v>22451.91</v>
      </c>
      <c r="F1976" s="110" t="s">
        <v>164</v>
      </c>
      <c r="G1976" s="137" t="s">
        <v>165</v>
      </c>
    </row>
    <row r="1977" spans="1:7" hidden="1" x14ac:dyDescent="0.3">
      <c r="A1977" s="275">
        <v>45940</v>
      </c>
      <c r="B1977" s="275" t="s">
        <v>216</v>
      </c>
      <c r="C1977" s="272" t="s">
        <v>173</v>
      </c>
      <c r="D1977" s="200" t="s">
        <v>174</v>
      </c>
      <c r="E1977" s="273">
        <v>33748</v>
      </c>
      <c r="F1977" s="110" t="s">
        <v>164</v>
      </c>
      <c r="G1977" s="137" t="s">
        <v>165</v>
      </c>
    </row>
    <row r="1978" spans="1:7" hidden="1" x14ac:dyDescent="0.3">
      <c r="A1978" s="275">
        <v>45943</v>
      </c>
      <c r="B1978" s="275" t="s">
        <v>216</v>
      </c>
      <c r="C1978" s="272" t="s">
        <v>170</v>
      </c>
      <c r="D1978" s="53" t="s">
        <v>176</v>
      </c>
      <c r="E1978" s="273">
        <v>603.26</v>
      </c>
      <c r="F1978" s="110" t="s">
        <v>164</v>
      </c>
      <c r="G1978" s="137" t="s">
        <v>165</v>
      </c>
    </row>
    <row r="1979" spans="1:7" hidden="1" x14ac:dyDescent="0.3">
      <c r="A1979" s="275">
        <v>45943</v>
      </c>
      <c r="B1979" s="275" t="s">
        <v>216</v>
      </c>
      <c r="C1979" s="272" t="s">
        <v>170</v>
      </c>
      <c r="D1979" s="53" t="s">
        <v>176</v>
      </c>
      <c r="E1979" s="273">
        <v>1106.1400000000001</v>
      </c>
      <c r="F1979" s="110" t="s">
        <v>164</v>
      </c>
      <c r="G1979" s="137" t="s">
        <v>165</v>
      </c>
    </row>
    <row r="1980" spans="1:7" hidden="1" x14ac:dyDescent="0.3">
      <c r="A1980" s="275">
        <v>45943</v>
      </c>
      <c r="B1980" s="275" t="s">
        <v>216</v>
      </c>
      <c r="C1980" s="272" t="s">
        <v>170</v>
      </c>
      <c r="D1980" s="53" t="s">
        <v>176</v>
      </c>
      <c r="E1980" s="273">
        <v>9631</v>
      </c>
      <c r="F1980" s="110" t="s">
        <v>164</v>
      </c>
      <c r="G1980" s="137" t="s">
        <v>165</v>
      </c>
    </row>
    <row r="1981" spans="1:7" s="291" customFormat="1" hidden="1" x14ac:dyDescent="0.3">
      <c r="A1981" s="298">
        <v>45945</v>
      </c>
      <c r="B1981" s="298" t="s">
        <v>216</v>
      </c>
      <c r="C1981" s="260" t="s">
        <v>6</v>
      </c>
      <c r="D1981" s="261" t="s">
        <v>80</v>
      </c>
      <c r="E1981" s="253">
        <v>-90000</v>
      </c>
      <c r="F1981" s="262" t="s">
        <v>8</v>
      </c>
      <c r="G1981" s="47" t="s">
        <v>19</v>
      </c>
    </row>
    <row r="1982" spans="1:7" s="291" customFormat="1" hidden="1" x14ac:dyDescent="0.3">
      <c r="A1982" s="205">
        <v>45960</v>
      </c>
      <c r="B1982" s="252" t="s">
        <v>216</v>
      </c>
      <c r="C1982" s="24" t="s">
        <v>6</v>
      </c>
      <c r="D1982" s="13" t="s">
        <v>148</v>
      </c>
      <c r="E1982" s="28">
        <v>-7000</v>
      </c>
      <c r="F1982" s="25" t="s">
        <v>8</v>
      </c>
      <c r="G1982" s="14" t="s">
        <v>99</v>
      </c>
    </row>
    <row r="1983" spans="1:7" s="291" customFormat="1" hidden="1" x14ac:dyDescent="0.3">
      <c r="A1983" s="252">
        <v>45945</v>
      </c>
      <c r="B1983" s="252" t="s">
        <v>216</v>
      </c>
      <c r="C1983" s="24" t="s">
        <v>6</v>
      </c>
      <c r="D1983" s="13" t="s">
        <v>98</v>
      </c>
      <c r="E1983" s="28">
        <v>-8000</v>
      </c>
      <c r="F1983" s="25" t="s">
        <v>8</v>
      </c>
      <c r="G1983" s="14" t="s">
        <v>99</v>
      </c>
    </row>
    <row r="1984" spans="1:7" s="291" customFormat="1" hidden="1" x14ac:dyDescent="0.3">
      <c r="A1984" s="252">
        <v>45936</v>
      </c>
      <c r="B1984" s="252" t="s">
        <v>216</v>
      </c>
      <c r="C1984" s="24" t="s">
        <v>81</v>
      </c>
      <c r="D1984" s="13" t="s">
        <v>146</v>
      </c>
      <c r="E1984" s="28">
        <v>-5000</v>
      </c>
      <c r="F1984" s="25" t="s">
        <v>8</v>
      </c>
      <c r="G1984" s="14" t="s">
        <v>83</v>
      </c>
    </row>
    <row r="1985" spans="1:7" s="291" customFormat="1" hidden="1" x14ac:dyDescent="0.3">
      <c r="A1985" s="252">
        <v>45945</v>
      </c>
      <c r="B1985" s="252" t="s">
        <v>216</v>
      </c>
      <c r="C1985" s="24" t="s">
        <v>81</v>
      </c>
      <c r="D1985" s="13" t="s">
        <v>82</v>
      </c>
      <c r="E1985" s="28">
        <v>-10000</v>
      </c>
      <c r="F1985" s="25" t="s">
        <v>8</v>
      </c>
      <c r="G1985" s="14" t="s">
        <v>83</v>
      </c>
    </row>
    <row r="1986" spans="1:7" s="291" customFormat="1" hidden="1" x14ac:dyDescent="0.3">
      <c r="A1986" s="205">
        <v>45961</v>
      </c>
      <c r="B1986" s="252" t="s">
        <v>216</v>
      </c>
      <c r="C1986" s="24" t="s">
        <v>81</v>
      </c>
      <c r="D1986" s="13" t="s">
        <v>82</v>
      </c>
      <c r="E1986" s="28">
        <v>-15000</v>
      </c>
      <c r="F1986" s="25" t="s">
        <v>8</v>
      </c>
      <c r="G1986" s="14" t="s">
        <v>83</v>
      </c>
    </row>
    <row r="1987" spans="1:7" s="291" customFormat="1" hidden="1" x14ac:dyDescent="0.3">
      <c r="A1987" s="265">
        <v>45950</v>
      </c>
      <c r="B1987" s="265" t="s">
        <v>216</v>
      </c>
      <c r="C1987" s="258" t="s">
        <v>6</v>
      </c>
      <c r="D1987" s="259" t="s">
        <v>132</v>
      </c>
      <c r="E1987" s="324">
        <v>-41000</v>
      </c>
      <c r="F1987" s="51" t="s">
        <v>8</v>
      </c>
      <c r="G1987" s="68" t="s">
        <v>83</v>
      </c>
    </row>
    <row r="1988" spans="1:7" hidden="1" x14ac:dyDescent="0.3">
      <c r="A1988" s="275">
        <v>45931</v>
      </c>
      <c r="B1988" s="275" t="s">
        <v>216</v>
      </c>
      <c r="C1988" s="272" t="s">
        <v>170</v>
      </c>
      <c r="D1988" s="53" t="s">
        <v>171</v>
      </c>
      <c r="E1988" s="100">
        <v>14482.07</v>
      </c>
      <c r="F1988" s="110" t="s">
        <v>164</v>
      </c>
      <c r="G1988" s="137" t="s">
        <v>165</v>
      </c>
    </row>
    <row r="1989" spans="1:7" hidden="1" x14ac:dyDescent="0.3">
      <c r="A1989" s="275">
        <v>45931</v>
      </c>
      <c r="B1989" s="275" t="s">
        <v>216</v>
      </c>
      <c r="C1989" s="272" t="s">
        <v>170</v>
      </c>
      <c r="D1989" s="53" t="s">
        <v>171</v>
      </c>
      <c r="E1989" s="100">
        <v>23943.3</v>
      </c>
      <c r="F1989" s="110" t="s">
        <v>164</v>
      </c>
      <c r="G1989" s="137" t="s">
        <v>165</v>
      </c>
    </row>
    <row r="1990" spans="1:7" hidden="1" x14ac:dyDescent="0.3">
      <c r="A1990" s="275">
        <v>45931</v>
      </c>
      <c r="B1990" s="275" t="s">
        <v>216</v>
      </c>
      <c r="C1990" s="272" t="s">
        <v>170</v>
      </c>
      <c r="D1990" s="53" t="s">
        <v>171</v>
      </c>
      <c r="E1990" s="100">
        <v>21852.37</v>
      </c>
      <c r="F1990" s="110" t="s">
        <v>164</v>
      </c>
      <c r="G1990" s="137" t="s">
        <v>165</v>
      </c>
    </row>
    <row r="1991" spans="1:7" hidden="1" x14ac:dyDescent="0.3">
      <c r="A1991" s="275">
        <v>45931</v>
      </c>
      <c r="B1991" s="275" t="s">
        <v>216</v>
      </c>
      <c r="C1991" s="272" t="s">
        <v>170</v>
      </c>
      <c r="D1991" s="53" t="s">
        <v>171</v>
      </c>
      <c r="E1991" s="54">
        <v>4683.53</v>
      </c>
      <c r="F1991" s="110" t="s">
        <v>164</v>
      </c>
      <c r="G1991" s="137" t="s">
        <v>165</v>
      </c>
    </row>
    <row r="1992" spans="1:7" hidden="1" x14ac:dyDescent="0.3">
      <c r="A1992" s="275">
        <v>45931</v>
      </c>
      <c r="B1992" s="275" t="s">
        <v>216</v>
      </c>
      <c r="C1992" s="272" t="s">
        <v>170</v>
      </c>
      <c r="D1992" s="53" t="s">
        <v>171</v>
      </c>
      <c r="E1992" s="100">
        <v>196</v>
      </c>
      <c r="F1992" s="110" t="s">
        <v>164</v>
      </c>
      <c r="G1992" s="137" t="s">
        <v>165</v>
      </c>
    </row>
    <row r="1993" spans="1:7" s="291" customFormat="1" hidden="1" x14ac:dyDescent="0.3">
      <c r="A1993" s="298">
        <v>45933</v>
      </c>
      <c r="B1993" s="298" t="s">
        <v>216</v>
      </c>
      <c r="C1993" s="260" t="s">
        <v>17</v>
      </c>
      <c r="D1993" s="261" t="s">
        <v>18</v>
      </c>
      <c r="E1993" s="21">
        <v>-17235</v>
      </c>
      <c r="F1993" s="262" t="s">
        <v>8</v>
      </c>
      <c r="G1993" s="47" t="s">
        <v>19</v>
      </c>
    </row>
    <row r="1994" spans="1:7" s="291" customFormat="1" hidden="1" x14ac:dyDescent="0.3">
      <c r="A1994" s="252">
        <v>45940</v>
      </c>
      <c r="B1994" s="252" t="s">
        <v>216</v>
      </c>
      <c r="C1994" s="24" t="s">
        <v>17</v>
      </c>
      <c r="D1994" s="13" t="s">
        <v>18</v>
      </c>
      <c r="E1994" s="21">
        <v>-17235</v>
      </c>
      <c r="F1994" s="25" t="s">
        <v>8</v>
      </c>
      <c r="G1994" s="14" t="s">
        <v>19</v>
      </c>
    </row>
    <row r="1995" spans="1:7" s="291" customFormat="1" hidden="1" x14ac:dyDescent="0.3">
      <c r="A1995" s="252">
        <v>45947</v>
      </c>
      <c r="B1995" s="252" t="s">
        <v>216</v>
      </c>
      <c r="C1995" s="24" t="s">
        <v>17</v>
      </c>
      <c r="D1995" s="13" t="s">
        <v>18</v>
      </c>
      <c r="E1995" s="21">
        <v>-17235</v>
      </c>
      <c r="F1995" s="25" t="s">
        <v>8</v>
      </c>
      <c r="G1995" s="14" t="s">
        <v>19</v>
      </c>
    </row>
    <row r="1996" spans="1:7" s="291" customFormat="1" hidden="1" x14ac:dyDescent="0.3">
      <c r="A1996" s="252">
        <v>45954</v>
      </c>
      <c r="B1996" s="252" t="s">
        <v>216</v>
      </c>
      <c r="C1996" s="24" t="s">
        <v>17</v>
      </c>
      <c r="D1996" s="13" t="s">
        <v>18</v>
      </c>
      <c r="E1996" s="21">
        <v>-17235</v>
      </c>
      <c r="F1996" s="25" t="s">
        <v>8</v>
      </c>
      <c r="G1996" s="14" t="s">
        <v>19</v>
      </c>
    </row>
    <row r="1997" spans="1:7" s="306" customFormat="1" hidden="1" x14ac:dyDescent="0.3">
      <c r="A1997" s="570">
        <v>45961</v>
      </c>
      <c r="B1997" s="296" t="s">
        <v>216</v>
      </c>
      <c r="C1997" s="510" t="s">
        <v>44</v>
      </c>
      <c r="D1997" s="510" t="s">
        <v>594</v>
      </c>
      <c r="E1997" s="224">
        <v>-3968.99</v>
      </c>
      <c r="F1997" s="255" t="s">
        <v>8</v>
      </c>
      <c r="G1997" s="225" t="s">
        <v>189</v>
      </c>
    </row>
    <row r="1998" spans="1:7" s="291" customFormat="1" hidden="1" x14ac:dyDescent="0.3">
      <c r="A1998" s="265">
        <v>45961</v>
      </c>
      <c r="B1998" s="265" t="s">
        <v>216</v>
      </c>
      <c r="C1998" s="258" t="s">
        <v>17</v>
      </c>
      <c r="D1998" s="259" t="s">
        <v>18</v>
      </c>
      <c r="E1998" s="21">
        <v>-17235</v>
      </c>
      <c r="F1998" s="51" t="s">
        <v>8</v>
      </c>
      <c r="G1998" s="68" t="s">
        <v>19</v>
      </c>
    </row>
    <row r="1999" spans="1:7" hidden="1" x14ac:dyDescent="0.3">
      <c r="A1999" s="275">
        <v>45961</v>
      </c>
      <c r="B1999" s="275" t="s">
        <v>216</v>
      </c>
      <c r="C1999" s="272" t="s">
        <v>166</v>
      </c>
      <c r="D1999" s="53" t="s">
        <v>167</v>
      </c>
      <c r="E1999" s="100">
        <v>799.2</v>
      </c>
      <c r="F1999" s="110" t="s">
        <v>164</v>
      </c>
      <c r="G1999" s="137" t="s">
        <v>165</v>
      </c>
    </row>
    <row r="2000" spans="1:7" hidden="1" x14ac:dyDescent="0.3">
      <c r="A2000" s="275">
        <v>45961</v>
      </c>
      <c r="B2000" s="275" t="s">
        <v>216</v>
      </c>
      <c r="C2000" s="272" t="s">
        <v>166</v>
      </c>
      <c r="D2000" s="53" t="s">
        <v>167</v>
      </c>
      <c r="E2000" s="100">
        <v>18532.8</v>
      </c>
      <c r="F2000" s="110" t="s">
        <v>164</v>
      </c>
      <c r="G2000" s="137" t="s">
        <v>165</v>
      </c>
    </row>
    <row r="2001" spans="1:7" hidden="1" x14ac:dyDescent="0.3">
      <c r="A2001" s="275">
        <v>45961</v>
      </c>
      <c r="B2001" s="275" t="s">
        <v>216</v>
      </c>
      <c r="C2001" s="272" t="s">
        <v>162</v>
      </c>
      <c r="D2001" s="53" t="s">
        <v>163</v>
      </c>
      <c r="E2001" s="100">
        <v>23638.67</v>
      </c>
      <c r="F2001" s="110" t="s">
        <v>164</v>
      </c>
      <c r="G2001" s="137" t="s">
        <v>165</v>
      </c>
    </row>
    <row r="2002" spans="1:7" hidden="1" x14ac:dyDescent="0.3">
      <c r="A2002" s="275">
        <v>45961</v>
      </c>
      <c r="B2002" s="275" t="s">
        <v>216</v>
      </c>
      <c r="C2002" s="272" t="s">
        <v>168</v>
      </c>
      <c r="D2002" s="53" t="s">
        <v>169</v>
      </c>
      <c r="E2002" s="100">
        <v>22451.91</v>
      </c>
      <c r="F2002" s="110" t="s">
        <v>164</v>
      </c>
      <c r="G2002" s="137" t="s">
        <v>165</v>
      </c>
    </row>
    <row r="2003" spans="1:7" hidden="1" x14ac:dyDescent="0.3">
      <c r="A2003" s="275">
        <v>45961</v>
      </c>
      <c r="B2003" s="275" t="s">
        <v>216</v>
      </c>
      <c r="C2003" s="272" t="s">
        <v>170</v>
      </c>
      <c r="D2003" s="53" t="s">
        <v>171</v>
      </c>
      <c r="E2003" s="100">
        <v>14482.07</v>
      </c>
      <c r="F2003" s="110" t="s">
        <v>164</v>
      </c>
      <c r="G2003" s="137" t="s">
        <v>165</v>
      </c>
    </row>
    <row r="2004" spans="1:7" hidden="1" x14ac:dyDescent="0.3">
      <c r="A2004" s="275">
        <v>45961</v>
      </c>
      <c r="B2004" s="275" t="s">
        <v>216</v>
      </c>
      <c r="C2004" s="272" t="s">
        <v>170</v>
      </c>
      <c r="D2004" s="53" t="s">
        <v>171</v>
      </c>
      <c r="E2004" s="100">
        <v>23943.3</v>
      </c>
      <c r="F2004" s="110" t="s">
        <v>164</v>
      </c>
      <c r="G2004" s="137" t="s">
        <v>165</v>
      </c>
    </row>
    <row r="2005" spans="1:7" hidden="1" x14ac:dyDescent="0.3">
      <c r="A2005" s="275">
        <v>45961</v>
      </c>
      <c r="B2005" s="275" t="s">
        <v>216</v>
      </c>
      <c r="C2005" s="272" t="s">
        <v>170</v>
      </c>
      <c r="D2005" s="53" t="s">
        <v>171</v>
      </c>
      <c r="E2005" s="100">
        <v>21852.37</v>
      </c>
      <c r="F2005" s="110" t="s">
        <v>164</v>
      </c>
      <c r="G2005" s="137" t="s">
        <v>165</v>
      </c>
    </row>
    <row r="2006" spans="1:7" hidden="1" x14ac:dyDescent="0.3">
      <c r="A2006" s="275">
        <v>45961</v>
      </c>
      <c r="B2006" s="275" t="s">
        <v>216</v>
      </c>
      <c r="C2006" s="272" t="s">
        <v>170</v>
      </c>
      <c r="D2006" s="53" t="s">
        <v>171</v>
      </c>
      <c r="E2006" s="54">
        <v>4683.53</v>
      </c>
      <c r="F2006" s="110" t="s">
        <v>164</v>
      </c>
      <c r="G2006" s="137" t="s">
        <v>165</v>
      </c>
    </row>
    <row r="2007" spans="1:7" hidden="1" x14ac:dyDescent="0.3">
      <c r="A2007" s="275">
        <v>45961</v>
      </c>
      <c r="B2007" s="275" t="s">
        <v>216</v>
      </c>
      <c r="C2007" s="272" t="s">
        <v>170</v>
      </c>
      <c r="D2007" s="53" t="s">
        <v>171</v>
      </c>
      <c r="E2007" s="100">
        <v>196</v>
      </c>
      <c r="F2007" s="110" t="s">
        <v>164</v>
      </c>
      <c r="G2007" s="137" t="s">
        <v>165</v>
      </c>
    </row>
    <row r="2008" spans="1:7" s="291" customFormat="1" hidden="1" x14ac:dyDescent="0.3">
      <c r="A2008" s="226">
        <v>45940</v>
      </c>
      <c r="B2008" s="298" t="s">
        <v>216</v>
      </c>
      <c r="C2008" s="237" t="s">
        <v>31</v>
      </c>
      <c r="D2008" s="238" t="s">
        <v>646</v>
      </c>
      <c r="E2008" s="229">
        <v>-1000</v>
      </c>
      <c r="F2008" s="168" t="s">
        <v>8</v>
      </c>
      <c r="G2008" s="168" t="s">
        <v>189</v>
      </c>
    </row>
    <row r="2009" spans="1:7" s="291" customFormat="1" hidden="1" x14ac:dyDescent="0.3">
      <c r="A2009" s="205">
        <v>45945</v>
      </c>
      <c r="B2009" s="252" t="s">
        <v>216</v>
      </c>
      <c r="C2009" s="17" t="s">
        <v>6</v>
      </c>
      <c r="D2009" s="26" t="s">
        <v>656</v>
      </c>
      <c r="E2009" s="19">
        <v>-10000</v>
      </c>
      <c r="F2009" s="20" t="s">
        <v>8</v>
      </c>
      <c r="G2009" s="20" t="s">
        <v>189</v>
      </c>
    </row>
    <row r="2010" spans="1:7" s="291" customFormat="1" hidden="1" x14ac:dyDescent="0.3">
      <c r="A2010" s="205">
        <v>45960</v>
      </c>
      <c r="B2010" s="252" t="s">
        <v>216</v>
      </c>
      <c r="C2010" s="26" t="s">
        <v>6</v>
      </c>
      <c r="D2010" s="26" t="s">
        <v>622</v>
      </c>
      <c r="E2010" s="19">
        <v>-3200</v>
      </c>
      <c r="F2010" s="25" t="s">
        <v>8</v>
      </c>
      <c r="G2010" s="20" t="s">
        <v>189</v>
      </c>
    </row>
    <row r="2011" spans="1:7" s="291" customFormat="1" hidden="1" x14ac:dyDescent="0.3">
      <c r="A2011" s="205">
        <v>45960</v>
      </c>
      <c r="B2011" s="252" t="s">
        <v>216</v>
      </c>
      <c r="C2011" s="26" t="s">
        <v>6</v>
      </c>
      <c r="D2011" s="26" t="s">
        <v>190</v>
      </c>
      <c r="E2011" s="19">
        <v>-2000</v>
      </c>
      <c r="F2011" s="25" t="s">
        <v>8</v>
      </c>
      <c r="G2011" s="20" t="s">
        <v>189</v>
      </c>
    </row>
    <row r="2012" spans="1:7" s="291" customFormat="1" hidden="1" x14ac:dyDescent="0.3">
      <c r="A2012" s="205">
        <v>45960</v>
      </c>
      <c r="B2012" s="252" t="s">
        <v>216</v>
      </c>
      <c r="C2012" s="26" t="s">
        <v>6</v>
      </c>
      <c r="D2012" s="26" t="s">
        <v>621</v>
      </c>
      <c r="E2012" s="19">
        <v>-3836.54</v>
      </c>
      <c r="F2012" s="25" t="s">
        <v>8</v>
      </c>
      <c r="G2012" s="20" t="s">
        <v>189</v>
      </c>
    </row>
    <row r="2013" spans="1:7" s="291" customFormat="1" hidden="1" x14ac:dyDescent="0.3">
      <c r="A2013" s="205">
        <v>45960</v>
      </c>
      <c r="B2013" s="252" t="s">
        <v>216</v>
      </c>
      <c r="C2013" s="26" t="s">
        <v>44</v>
      </c>
      <c r="D2013" s="26" t="s">
        <v>193</v>
      </c>
      <c r="E2013" s="19">
        <v>-2500</v>
      </c>
      <c r="F2013" s="25" t="s">
        <v>8</v>
      </c>
      <c r="G2013" s="20" t="s">
        <v>189</v>
      </c>
    </row>
    <row r="2014" spans="1:7" s="291" customFormat="1" hidden="1" x14ac:dyDescent="0.3">
      <c r="A2014" s="205">
        <v>45960</v>
      </c>
      <c r="B2014" s="252" t="s">
        <v>216</v>
      </c>
      <c r="C2014" s="26" t="s">
        <v>33</v>
      </c>
      <c r="D2014" s="26" t="s">
        <v>623</v>
      </c>
      <c r="E2014" s="19">
        <v>-1000</v>
      </c>
      <c r="F2014" s="25" t="s">
        <v>8</v>
      </c>
      <c r="G2014" s="20" t="s">
        <v>189</v>
      </c>
    </row>
    <row r="2015" spans="1:7" s="291" customFormat="1" hidden="1" x14ac:dyDescent="0.3">
      <c r="A2015" s="205">
        <v>45960</v>
      </c>
      <c r="B2015" s="252" t="s">
        <v>216</v>
      </c>
      <c r="C2015" s="26" t="s">
        <v>17</v>
      </c>
      <c r="D2015" s="26" t="s">
        <v>195</v>
      </c>
      <c r="E2015" s="19">
        <v>-1916.67</v>
      </c>
      <c r="F2015" s="25" t="s">
        <v>8</v>
      </c>
      <c r="G2015" s="20" t="s">
        <v>189</v>
      </c>
    </row>
    <row r="2016" spans="1:7" s="291" customFormat="1" hidden="1" x14ac:dyDescent="0.3">
      <c r="A2016" s="205">
        <v>45960</v>
      </c>
      <c r="B2016" s="252" t="s">
        <v>216</v>
      </c>
      <c r="C2016" s="26" t="s">
        <v>17</v>
      </c>
      <c r="D2016" s="26" t="s">
        <v>624</v>
      </c>
      <c r="E2016" s="19">
        <v>-2864.92</v>
      </c>
      <c r="F2016" s="25" t="s">
        <v>8</v>
      </c>
      <c r="G2016" s="20" t="s">
        <v>189</v>
      </c>
    </row>
    <row r="2017" spans="1:7" s="291" customFormat="1" hidden="1" x14ac:dyDescent="0.3">
      <c r="A2017" s="205">
        <v>45960</v>
      </c>
      <c r="B2017" s="252" t="s">
        <v>216</v>
      </c>
      <c r="C2017" s="26" t="s">
        <v>17</v>
      </c>
      <c r="D2017" s="26" t="s">
        <v>197</v>
      </c>
      <c r="E2017" s="19">
        <v>-1400</v>
      </c>
      <c r="F2017" s="25" t="s">
        <v>8</v>
      </c>
      <c r="G2017" s="20" t="s">
        <v>189</v>
      </c>
    </row>
    <row r="2018" spans="1:7" s="291" customFormat="1" hidden="1" x14ac:dyDescent="0.3">
      <c r="A2018" s="205">
        <v>45939</v>
      </c>
      <c r="B2018" s="252" t="s">
        <v>216</v>
      </c>
      <c r="C2018" s="17" t="s">
        <v>106</v>
      </c>
      <c r="D2018" s="26" t="s">
        <v>641</v>
      </c>
      <c r="E2018" s="19">
        <v>-2000</v>
      </c>
      <c r="F2018" s="20" t="s">
        <v>8</v>
      </c>
      <c r="G2018" s="20" t="s">
        <v>189</v>
      </c>
    </row>
    <row r="2019" spans="1:7" s="291" customFormat="1" hidden="1" x14ac:dyDescent="0.3">
      <c r="A2019" s="205">
        <v>45945</v>
      </c>
      <c r="B2019" s="252" t="s">
        <v>216</v>
      </c>
      <c r="C2019" s="17" t="s">
        <v>106</v>
      </c>
      <c r="D2019" s="30" t="s">
        <v>657</v>
      </c>
      <c r="E2019" s="19">
        <v>-2000</v>
      </c>
      <c r="F2019" s="20" t="s">
        <v>8</v>
      </c>
      <c r="G2019" s="20" t="s">
        <v>189</v>
      </c>
    </row>
    <row r="2020" spans="1:7" s="291" customFormat="1" hidden="1" x14ac:dyDescent="0.3">
      <c r="A2020" s="205">
        <v>45931</v>
      </c>
      <c r="B2020" s="252" t="s">
        <v>216</v>
      </c>
      <c r="C2020" s="17" t="s">
        <v>17</v>
      </c>
      <c r="D2020" s="26" t="s">
        <v>634</v>
      </c>
      <c r="E2020" s="19">
        <v>-1848.63</v>
      </c>
      <c r="F2020" s="20" t="s">
        <v>8</v>
      </c>
      <c r="G2020" s="20" t="s">
        <v>189</v>
      </c>
    </row>
    <row r="2021" spans="1:7" s="291" customFormat="1" hidden="1" x14ac:dyDescent="0.3">
      <c r="A2021" s="252">
        <v>45964</v>
      </c>
      <c r="B2021" s="252" t="s">
        <v>217</v>
      </c>
      <c r="C2021" s="27" t="s">
        <v>6</v>
      </c>
      <c r="D2021" s="13" t="s">
        <v>7</v>
      </c>
      <c r="E2021" s="28">
        <v>-650</v>
      </c>
      <c r="F2021" s="25" t="s">
        <v>8</v>
      </c>
      <c r="G2021" s="14" t="s">
        <v>9</v>
      </c>
    </row>
    <row r="2022" spans="1:7" s="291" customFormat="1" hidden="1" x14ac:dyDescent="0.3">
      <c r="A2022" s="252">
        <v>45964</v>
      </c>
      <c r="B2022" s="252" t="s">
        <v>217</v>
      </c>
      <c r="C2022" s="27" t="s">
        <v>6</v>
      </c>
      <c r="D2022" s="13" t="s">
        <v>10</v>
      </c>
      <c r="E2022" s="28">
        <v>-320</v>
      </c>
      <c r="F2022" s="25" t="s">
        <v>8</v>
      </c>
      <c r="G2022" s="14" t="s">
        <v>9</v>
      </c>
    </row>
    <row r="2023" spans="1:7" s="291" customFormat="1" hidden="1" x14ac:dyDescent="0.3">
      <c r="A2023" s="252">
        <v>45964</v>
      </c>
      <c r="B2023" s="252" t="s">
        <v>217</v>
      </c>
      <c r="C2023" s="27" t="s">
        <v>6</v>
      </c>
      <c r="D2023" s="13" t="s">
        <v>11</v>
      </c>
      <c r="E2023" s="28">
        <v>-350</v>
      </c>
      <c r="F2023" s="25" t="s">
        <v>8</v>
      </c>
      <c r="G2023" s="14" t="s">
        <v>9</v>
      </c>
    </row>
    <row r="2024" spans="1:7" s="291" customFormat="1" hidden="1" x14ac:dyDescent="0.3">
      <c r="A2024" s="252">
        <v>45964</v>
      </c>
      <c r="B2024" s="252" t="s">
        <v>217</v>
      </c>
      <c r="C2024" s="24" t="s">
        <v>6</v>
      </c>
      <c r="D2024" s="13" t="s">
        <v>12</v>
      </c>
      <c r="E2024" s="28">
        <v>-201</v>
      </c>
      <c r="F2024" s="25" t="s">
        <v>8</v>
      </c>
      <c r="G2024" s="14" t="s">
        <v>9</v>
      </c>
    </row>
    <row r="2025" spans="1:7" s="291" customFormat="1" hidden="1" x14ac:dyDescent="0.3">
      <c r="A2025" s="252">
        <v>45964</v>
      </c>
      <c r="B2025" s="252" t="s">
        <v>217</v>
      </c>
      <c r="C2025" s="24" t="s">
        <v>13</v>
      </c>
      <c r="D2025" s="13" t="s">
        <v>14</v>
      </c>
      <c r="E2025" s="28">
        <v>-2000</v>
      </c>
      <c r="F2025" s="25" t="s">
        <v>8</v>
      </c>
      <c r="G2025" s="14" t="s">
        <v>15</v>
      </c>
    </row>
    <row r="2026" spans="1:7" s="291" customFormat="1" hidden="1" x14ac:dyDescent="0.3">
      <c r="A2026" s="252">
        <v>45964</v>
      </c>
      <c r="B2026" s="252" t="s">
        <v>217</v>
      </c>
      <c r="C2026" s="24" t="s">
        <v>13</v>
      </c>
      <c r="D2026" s="13" t="s">
        <v>16</v>
      </c>
      <c r="E2026" s="28">
        <v>-5000</v>
      </c>
      <c r="F2026" s="25" t="s">
        <v>8</v>
      </c>
      <c r="G2026" s="14" t="s">
        <v>15</v>
      </c>
    </row>
    <row r="2027" spans="1:7" s="291" customFormat="1" hidden="1" x14ac:dyDescent="0.3">
      <c r="A2027" s="252">
        <v>45968</v>
      </c>
      <c r="B2027" s="252" t="s">
        <v>217</v>
      </c>
      <c r="C2027" s="24" t="s">
        <v>17</v>
      </c>
      <c r="D2027" s="13" t="s">
        <v>18</v>
      </c>
      <c r="E2027" s="21">
        <v>-17235</v>
      </c>
      <c r="F2027" s="25" t="s">
        <v>8</v>
      </c>
      <c r="G2027" s="14" t="s">
        <v>19</v>
      </c>
    </row>
    <row r="2028" spans="1:7" s="291" customFormat="1" hidden="1" x14ac:dyDescent="0.3">
      <c r="A2028" s="252">
        <v>45964</v>
      </c>
      <c r="B2028" s="252" t="s">
        <v>217</v>
      </c>
      <c r="C2028" s="17" t="s">
        <v>20</v>
      </c>
      <c r="D2028" s="18" t="s">
        <v>21</v>
      </c>
      <c r="E2028" s="28">
        <v>-900</v>
      </c>
      <c r="F2028" s="25" t="s">
        <v>8</v>
      </c>
      <c r="G2028" s="14" t="s">
        <v>22</v>
      </c>
    </row>
    <row r="2029" spans="1:7" s="291" customFormat="1" hidden="1" x14ac:dyDescent="0.3">
      <c r="A2029" s="252">
        <v>45965</v>
      </c>
      <c r="B2029" s="252" t="s">
        <v>217</v>
      </c>
      <c r="C2029" s="27" t="s">
        <v>6</v>
      </c>
      <c r="D2029" s="13" t="s">
        <v>23</v>
      </c>
      <c r="E2029" s="28">
        <v>-3809.98</v>
      </c>
      <c r="F2029" s="25" t="s">
        <v>8</v>
      </c>
      <c r="G2029" s="14" t="s">
        <v>24</v>
      </c>
    </row>
    <row r="2030" spans="1:7" s="291" customFormat="1" hidden="1" x14ac:dyDescent="0.3">
      <c r="A2030" s="252">
        <v>45965</v>
      </c>
      <c r="B2030" s="252" t="s">
        <v>217</v>
      </c>
      <c r="C2030" s="24" t="s">
        <v>6</v>
      </c>
      <c r="D2030" s="13" t="s">
        <v>28</v>
      </c>
      <c r="E2030" s="28">
        <v>-349</v>
      </c>
      <c r="F2030" s="25" t="s">
        <v>8</v>
      </c>
      <c r="G2030" s="14" t="s">
        <v>29</v>
      </c>
    </row>
    <row r="2031" spans="1:7" s="291" customFormat="1" hidden="1" x14ac:dyDescent="0.3">
      <c r="A2031" s="252">
        <v>45965</v>
      </c>
      <c r="B2031" s="252" t="s">
        <v>217</v>
      </c>
      <c r="C2031" s="24" t="s">
        <v>30</v>
      </c>
      <c r="D2031" s="13" t="s">
        <v>28</v>
      </c>
      <c r="E2031" s="28">
        <v>-389</v>
      </c>
      <c r="F2031" s="25" t="s">
        <v>8</v>
      </c>
      <c r="G2031" s="14" t="s">
        <v>29</v>
      </c>
    </row>
    <row r="2032" spans="1:7" s="291" customFormat="1" hidden="1" x14ac:dyDescent="0.3">
      <c r="A2032" s="252">
        <v>45965</v>
      </c>
      <c r="B2032" s="252" t="s">
        <v>217</v>
      </c>
      <c r="C2032" s="24" t="s">
        <v>25</v>
      </c>
      <c r="D2032" s="13" t="s">
        <v>28</v>
      </c>
      <c r="E2032" s="28">
        <v>-349</v>
      </c>
      <c r="F2032" s="25" t="s">
        <v>8</v>
      </c>
      <c r="G2032" s="14" t="s">
        <v>29</v>
      </c>
    </row>
    <row r="2033" spans="1:7" s="291" customFormat="1" hidden="1" x14ac:dyDescent="0.3">
      <c r="A2033" s="252">
        <v>45965</v>
      </c>
      <c r="B2033" s="252" t="s">
        <v>217</v>
      </c>
      <c r="C2033" s="24" t="s">
        <v>31</v>
      </c>
      <c r="D2033" s="13" t="s">
        <v>28</v>
      </c>
      <c r="E2033" s="28">
        <v>-349</v>
      </c>
      <c r="F2033" s="25" t="s">
        <v>8</v>
      </c>
      <c r="G2033" s="14" t="s">
        <v>29</v>
      </c>
    </row>
    <row r="2034" spans="1:7" s="291" customFormat="1" hidden="1" x14ac:dyDescent="0.3">
      <c r="A2034" s="252">
        <v>45967</v>
      </c>
      <c r="B2034" s="252" t="s">
        <v>217</v>
      </c>
      <c r="C2034" s="24" t="s">
        <v>32</v>
      </c>
      <c r="D2034" s="13" t="s">
        <v>28</v>
      </c>
      <c r="E2034" s="28">
        <v>-389</v>
      </c>
      <c r="F2034" s="25" t="s">
        <v>8</v>
      </c>
      <c r="G2034" s="14" t="s">
        <v>29</v>
      </c>
    </row>
    <row r="2035" spans="1:7" s="291" customFormat="1" hidden="1" x14ac:dyDescent="0.3">
      <c r="A2035" s="252">
        <v>45965</v>
      </c>
      <c r="B2035" s="252" t="s">
        <v>217</v>
      </c>
      <c r="C2035" s="24" t="s">
        <v>33</v>
      </c>
      <c r="D2035" s="13" t="s">
        <v>28</v>
      </c>
      <c r="E2035" s="28">
        <v>-389</v>
      </c>
      <c r="F2035" s="25" t="s">
        <v>8</v>
      </c>
      <c r="G2035" s="14" t="s">
        <v>29</v>
      </c>
    </row>
    <row r="2036" spans="1:7" s="291" customFormat="1" hidden="1" x14ac:dyDescent="0.3">
      <c r="A2036" s="252">
        <v>45965</v>
      </c>
      <c r="B2036" s="252" t="s">
        <v>217</v>
      </c>
      <c r="C2036" s="24" t="s">
        <v>34</v>
      </c>
      <c r="D2036" s="13" t="s">
        <v>28</v>
      </c>
      <c r="E2036" s="28">
        <v>-389</v>
      </c>
      <c r="F2036" s="25" t="s">
        <v>8</v>
      </c>
      <c r="G2036" s="14" t="s">
        <v>29</v>
      </c>
    </row>
    <row r="2037" spans="1:7" s="291" customFormat="1" hidden="1" x14ac:dyDescent="0.3">
      <c r="A2037" s="252">
        <v>45966</v>
      </c>
      <c r="B2037" s="252" t="s">
        <v>217</v>
      </c>
      <c r="C2037" s="27" t="s">
        <v>35</v>
      </c>
      <c r="D2037" s="13" t="s">
        <v>36</v>
      </c>
      <c r="E2037" s="28">
        <v>-9000</v>
      </c>
      <c r="F2037" s="25" t="s">
        <v>8</v>
      </c>
      <c r="G2037" s="14" t="s">
        <v>37</v>
      </c>
    </row>
    <row r="2038" spans="1:7" s="291" customFormat="1" hidden="1" x14ac:dyDescent="0.3">
      <c r="A2038" s="252">
        <v>45968</v>
      </c>
      <c r="B2038" s="252" t="s">
        <v>217</v>
      </c>
      <c r="C2038" s="17" t="s">
        <v>31</v>
      </c>
      <c r="D2038" s="18" t="s">
        <v>38</v>
      </c>
      <c r="E2038" s="28">
        <v>-760</v>
      </c>
      <c r="F2038" s="25" t="s">
        <v>8</v>
      </c>
      <c r="G2038" s="20" t="s">
        <v>39</v>
      </c>
    </row>
    <row r="2039" spans="1:7" s="291" customFormat="1" hidden="1" x14ac:dyDescent="0.3">
      <c r="A2039" s="252">
        <v>45968</v>
      </c>
      <c r="B2039" s="252" t="s">
        <v>217</v>
      </c>
      <c r="C2039" s="24" t="s">
        <v>6</v>
      </c>
      <c r="D2039" s="13" t="s">
        <v>40</v>
      </c>
      <c r="E2039" s="21">
        <v>-468000</v>
      </c>
      <c r="F2039" s="25" t="s">
        <v>8</v>
      </c>
      <c r="G2039" s="14" t="s">
        <v>41</v>
      </c>
    </row>
    <row r="2040" spans="1:7" s="291" customFormat="1" hidden="1" x14ac:dyDescent="0.3">
      <c r="A2040" s="252">
        <v>45968</v>
      </c>
      <c r="B2040" s="252" t="s">
        <v>217</v>
      </c>
      <c r="C2040" s="24" t="s">
        <v>6</v>
      </c>
      <c r="D2040" s="13" t="s">
        <v>42</v>
      </c>
      <c r="E2040" s="28">
        <v>-500</v>
      </c>
      <c r="F2040" s="25" t="s">
        <v>8</v>
      </c>
      <c r="G2040" s="14" t="s">
        <v>41</v>
      </c>
    </row>
    <row r="2041" spans="1:7" s="291" customFormat="1" hidden="1" x14ac:dyDescent="0.3">
      <c r="A2041" s="252">
        <v>45968</v>
      </c>
      <c r="B2041" s="252" t="s">
        <v>217</v>
      </c>
      <c r="C2041" s="24" t="s">
        <v>6</v>
      </c>
      <c r="D2041" s="13" t="s">
        <v>43</v>
      </c>
      <c r="E2041" s="28">
        <v>-9000</v>
      </c>
      <c r="F2041" s="25" t="s">
        <v>8</v>
      </c>
      <c r="G2041" s="14" t="s">
        <v>41</v>
      </c>
    </row>
    <row r="2042" spans="1:7" s="291" customFormat="1" hidden="1" x14ac:dyDescent="0.3">
      <c r="A2042" s="252">
        <v>45978</v>
      </c>
      <c r="B2042" s="252" t="s">
        <v>217</v>
      </c>
      <c r="C2042" s="17" t="s">
        <v>44</v>
      </c>
      <c r="D2042" s="18" t="s">
        <v>45</v>
      </c>
      <c r="E2042" s="19">
        <v>-5523.75</v>
      </c>
      <c r="F2042" s="25" t="s">
        <v>8</v>
      </c>
      <c r="G2042" s="20" t="s">
        <v>46</v>
      </c>
    </row>
    <row r="2043" spans="1:7" s="291" customFormat="1" hidden="1" x14ac:dyDescent="0.3">
      <c r="A2043" s="252">
        <v>45968</v>
      </c>
      <c r="B2043" s="252" t="s">
        <v>217</v>
      </c>
      <c r="C2043" s="17" t="s">
        <v>13</v>
      </c>
      <c r="D2043" s="13" t="s">
        <v>47</v>
      </c>
      <c r="E2043" s="28">
        <v>-7000</v>
      </c>
      <c r="F2043" s="25" t="s">
        <v>8</v>
      </c>
      <c r="G2043" s="14" t="s">
        <v>27</v>
      </c>
    </row>
    <row r="2044" spans="1:7" s="291" customFormat="1" hidden="1" x14ac:dyDescent="0.3">
      <c r="A2044" s="252">
        <v>45975</v>
      </c>
      <c r="B2044" s="252" t="s">
        <v>217</v>
      </c>
      <c r="C2044" s="24" t="s">
        <v>17</v>
      </c>
      <c r="D2044" s="13" t="s">
        <v>18</v>
      </c>
      <c r="E2044" s="21">
        <v>-17235</v>
      </c>
      <c r="F2044" s="25" t="s">
        <v>8</v>
      </c>
      <c r="G2044" s="14" t="s">
        <v>19</v>
      </c>
    </row>
    <row r="2045" spans="1:7" s="291" customFormat="1" hidden="1" x14ac:dyDescent="0.3">
      <c r="A2045" s="205">
        <v>45971</v>
      </c>
      <c r="B2045" s="252" t="s">
        <v>217</v>
      </c>
      <c r="C2045" s="17" t="s">
        <v>32</v>
      </c>
      <c r="D2045" s="18" t="s">
        <v>48</v>
      </c>
      <c r="E2045" s="19">
        <v>-700</v>
      </c>
      <c r="F2045" s="25" t="s">
        <v>8</v>
      </c>
      <c r="G2045" s="20" t="s">
        <v>49</v>
      </c>
    </row>
    <row r="2046" spans="1:7" s="291" customFormat="1" hidden="1" x14ac:dyDescent="0.3">
      <c r="A2046" s="252">
        <v>45971</v>
      </c>
      <c r="B2046" s="252" t="s">
        <v>217</v>
      </c>
      <c r="C2046" s="24" t="s">
        <v>13</v>
      </c>
      <c r="D2046" s="13" t="s">
        <v>50</v>
      </c>
      <c r="E2046" s="28">
        <v>-9000</v>
      </c>
      <c r="F2046" s="25" t="s">
        <v>8</v>
      </c>
      <c r="G2046" s="14" t="s">
        <v>51</v>
      </c>
    </row>
    <row r="2047" spans="1:7" s="291" customFormat="1" hidden="1" x14ac:dyDescent="0.3">
      <c r="A2047" s="252">
        <v>45971</v>
      </c>
      <c r="B2047" s="252" t="s">
        <v>217</v>
      </c>
      <c r="C2047" s="24" t="s">
        <v>6</v>
      </c>
      <c r="D2047" s="13" t="s">
        <v>52</v>
      </c>
      <c r="E2047" s="28">
        <v>-290</v>
      </c>
      <c r="F2047" s="25" t="s">
        <v>8</v>
      </c>
      <c r="G2047" s="14" t="s">
        <v>53</v>
      </c>
    </row>
    <row r="2048" spans="1:7" s="291" customFormat="1" hidden="1" x14ac:dyDescent="0.3">
      <c r="A2048" s="252">
        <v>45971</v>
      </c>
      <c r="B2048" s="252" t="s">
        <v>217</v>
      </c>
      <c r="C2048" s="24" t="s">
        <v>13</v>
      </c>
      <c r="D2048" s="13" t="s">
        <v>54</v>
      </c>
      <c r="E2048" s="28">
        <v>-1000</v>
      </c>
      <c r="F2048" s="25" t="s">
        <v>8</v>
      </c>
      <c r="G2048" s="14" t="s">
        <v>55</v>
      </c>
    </row>
    <row r="2049" spans="1:7" s="291" customFormat="1" hidden="1" x14ac:dyDescent="0.3">
      <c r="A2049" s="252">
        <v>45971</v>
      </c>
      <c r="B2049" s="252" t="s">
        <v>217</v>
      </c>
      <c r="C2049" s="24" t="s">
        <v>17</v>
      </c>
      <c r="D2049" s="13" t="s">
        <v>512</v>
      </c>
      <c r="E2049" s="28">
        <v>-10500</v>
      </c>
      <c r="F2049" s="25" t="s">
        <v>8</v>
      </c>
      <c r="G2049" s="14" t="s">
        <v>57</v>
      </c>
    </row>
    <row r="2050" spans="1:7" s="291" customFormat="1" hidden="1" x14ac:dyDescent="0.3">
      <c r="A2050" s="252">
        <v>45971</v>
      </c>
      <c r="B2050" s="252" t="s">
        <v>217</v>
      </c>
      <c r="C2050" s="24" t="s">
        <v>13</v>
      </c>
      <c r="D2050" s="13" t="s">
        <v>58</v>
      </c>
      <c r="E2050" s="28">
        <v>-1000</v>
      </c>
      <c r="F2050" s="25" t="s">
        <v>8</v>
      </c>
      <c r="G2050" s="14" t="s">
        <v>55</v>
      </c>
    </row>
    <row r="2051" spans="1:7" s="291" customFormat="1" hidden="1" x14ac:dyDescent="0.3">
      <c r="A2051" s="252">
        <v>45971</v>
      </c>
      <c r="B2051" s="252" t="s">
        <v>217</v>
      </c>
      <c r="C2051" s="24" t="s">
        <v>31</v>
      </c>
      <c r="D2051" s="24" t="s">
        <v>902</v>
      </c>
      <c r="E2051" s="28">
        <v>-3000</v>
      </c>
      <c r="F2051" s="25" t="s">
        <v>8</v>
      </c>
      <c r="G2051" s="14" t="s">
        <v>59</v>
      </c>
    </row>
    <row r="2052" spans="1:7" s="291" customFormat="1" hidden="1" x14ac:dyDescent="0.3">
      <c r="A2052" s="252">
        <v>45971</v>
      </c>
      <c r="B2052" s="252" t="s">
        <v>217</v>
      </c>
      <c r="C2052" s="24" t="s">
        <v>31</v>
      </c>
      <c r="D2052" s="13" t="s">
        <v>60</v>
      </c>
      <c r="E2052" s="28">
        <v>-9000</v>
      </c>
      <c r="F2052" s="25" t="s">
        <v>8</v>
      </c>
      <c r="G2052" s="14" t="s">
        <v>59</v>
      </c>
    </row>
    <row r="2053" spans="1:7" s="291" customFormat="1" hidden="1" x14ac:dyDescent="0.3">
      <c r="A2053" s="252">
        <v>45971</v>
      </c>
      <c r="B2053" s="252" t="s">
        <v>217</v>
      </c>
      <c r="C2053" s="24" t="s">
        <v>44</v>
      </c>
      <c r="D2053" s="13" t="s">
        <v>61</v>
      </c>
      <c r="E2053" s="28">
        <v>-9146.82</v>
      </c>
      <c r="F2053" s="14" t="s">
        <v>8</v>
      </c>
      <c r="G2053" s="14" t="s">
        <v>62</v>
      </c>
    </row>
    <row r="2054" spans="1:7" s="291" customFormat="1" hidden="1" x14ac:dyDescent="0.3">
      <c r="A2054" s="252">
        <v>45971</v>
      </c>
      <c r="B2054" s="252" t="s">
        <v>217</v>
      </c>
      <c r="C2054" s="24" t="s">
        <v>6</v>
      </c>
      <c r="D2054" s="13" t="s">
        <v>63</v>
      </c>
      <c r="E2054" s="28">
        <v>-9500</v>
      </c>
      <c r="F2054" s="25" t="s">
        <v>8</v>
      </c>
      <c r="G2054" s="14" t="s">
        <v>64</v>
      </c>
    </row>
    <row r="2055" spans="1:7" s="291" customFormat="1" hidden="1" x14ac:dyDescent="0.3">
      <c r="A2055" s="252">
        <v>45971</v>
      </c>
      <c r="B2055" s="252" t="s">
        <v>217</v>
      </c>
      <c r="C2055" s="27" t="s">
        <v>65</v>
      </c>
      <c r="D2055" s="13" t="s">
        <v>66</v>
      </c>
      <c r="E2055" s="28">
        <v>-432</v>
      </c>
      <c r="F2055" s="25" t="s">
        <v>8</v>
      </c>
      <c r="G2055" s="14" t="s">
        <v>39</v>
      </c>
    </row>
    <row r="2056" spans="1:7" s="291" customFormat="1" hidden="1" x14ac:dyDescent="0.3">
      <c r="A2056" s="252">
        <v>45971</v>
      </c>
      <c r="B2056" s="252" t="s">
        <v>217</v>
      </c>
      <c r="C2056" s="27" t="s">
        <v>67</v>
      </c>
      <c r="D2056" s="13" t="s">
        <v>68</v>
      </c>
      <c r="E2056" s="28">
        <v>-553.25</v>
      </c>
      <c r="F2056" s="25" t="s">
        <v>8</v>
      </c>
      <c r="G2056" s="14" t="s">
        <v>69</v>
      </c>
    </row>
    <row r="2057" spans="1:7" s="291" customFormat="1" hidden="1" x14ac:dyDescent="0.3">
      <c r="A2057" s="252">
        <v>45971</v>
      </c>
      <c r="B2057" s="252" t="s">
        <v>217</v>
      </c>
      <c r="C2057" s="17" t="s">
        <v>6</v>
      </c>
      <c r="D2057" s="18" t="s">
        <v>70</v>
      </c>
      <c r="E2057" s="19">
        <v>-545.78</v>
      </c>
      <c r="F2057" s="25" t="s">
        <v>8</v>
      </c>
      <c r="G2057" s="20" t="s">
        <v>71</v>
      </c>
    </row>
    <row r="2058" spans="1:7" s="291" customFormat="1" hidden="1" x14ac:dyDescent="0.3">
      <c r="A2058" s="252">
        <v>45971</v>
      </c>
      <c r="B2058" s="252" t="s">
        <v>217</v>
      </c>
      <c r="C2058" s="17" t="s">
        <v>72</v>
      </c>
      <c r="D2058" s="18" t="s">
        <v>73</v>
      </c>
      <c r="E2058" s="19">
        <v>-4347.01</v>
      </c>
      <c r="F2058" s="25" t="s">
        <v>8</v>
      </c>
      <c r="G2058" s="20" t="s">
        <v>74</v>
      </c>
    </row>
    <row r="2059" spans="1:7" s="291" customFormat="1" hidden="1" x14ac:dyDescent="0.3">
      <c r="A2059" s="252">
        <v>45971</v>
      </c>
      <c r="B2059" s="252" t="s">
        <v>217</v>
      </c>
      <c r="C2059" s="17" t="s">
        <v>72</v>
      </c>
      <c r="D2059" s="18" t="s">
        <v>73</v>
      </c>
      <c r="E2059" s="19">
        <v>-2173.96</v>
      </c>
      <c r="F2059" s="25" t="s">
        <v>8</v>
      </c>
      <c r="G2059" s="20" t="s">
        <v>74</v>
      </c>
    </row>
    <row r="2060" spans="1:7" s="291" customFormat="1" hidden="1" x14ac:dyDescent="0.3">
      <c r="A2060" s="252">
        <v>45974</v>
      </c>
      <c r="B2060" s="252" t="s">
        <v>217</v>
      </c>
      <c r="C2060" s="17" t="s">
        <v>72</v>
      </c>
      <c r="D2060" s="18" t="s">
        <v>75</v>
      </c>
      <c r="E2060" s="19">
        <v>-4375.75</v>
      </c>
      <c r="F2060" s="25" t="s">
        <v>8</v>
      </c>
      <c r="G2060" s="20" t="s">
        <v>74</v>
      </c>
    </row>
    <row r="2061" spans="1:7" s="291" customFormat="1" hidden="1" x14ac:dyDescent="0.3">
      <c r="A2061" s="252">
        <v>45974</v>
      </c>
      <c r="B2061" s="252" t="s">
        <v>217</v>
      </c>
      <c r="C2061" s="17" t="s">
        <v>6</v>
      </c>
      <c r="D2061" s="18" t="s">
        <v>76</v>
      </c>
      <c r="E2061" s="19">
        <v>-40000</v>
      </c>
      <c r="F2061" s="25" t="s">
        <v>8</v>
      </c>
      <c r="G2061" s="20" t="s">
        <v>76</v>
      </c>
    </row>
    <row r="2062" spans="1:7" s="291" customFormat="1" hidden="1" x14ac:dyDescent="0.3">
      <c r="A2062" s="252">
        <v>45978</v>
      </c>
      <c r="B2062" s="252" t="s">
        <v>217</v>
      </c>
      <c r="C2062" s="24" t="s">
        <v>6</v>
      </c>
      <c r="D2062" s="13" t="s">
        <v>78</v>
      </c>
      <c r="E2062" s="28">
        <v>-100000</v>
      </c>
      <c r="F2062" s="14" t="s">
        <v>8</v>
      </c>
      <c r="G2062" s="14" t="s">
        <v>41</v>
      </c>
    </row>
    <row r="2063" spans="1:7" s="291" customFormat="1" hidden="1" x14ac:dyDescent="0.3">
      <c r="A2063" s="252">
        <v>45978</v>
      </c>
      <c r="B2063" s="252" t="s">
        <v>217</v>
      </c>
      <c r="C2063" s="24" t="s">
        <v>6</v>
      </c>
      <c r="D2063" s="13" t="s">
        <v>79</v>
      </c>
      <c r="E2063" s="28">
        <v>-40000</v>
      </c>
      <c r="F2063" s="25" t="s">
        <v>8</v>
      </c>
      <c r="G2063" s="14" t="s">
        <v>79</v>
      </c>
    </row>
    <row r="2064" spans="1:7" s="291" customFormat="1" hidden="1" x14ac:dyDescent="0.3">
      <c r="A2064" s="252">
        <v>45978</v>
      </c>
      <c r="B2064" s="252" t="s">
        <v>217</v>
      </c>
      <c r="C2064" s="24" t="s">
        <v>6</v>
      </c>
      <c r="D2064" s="13" t="s">
        <v>80</v>
      </c>
      <c r="E2064" s="28">
        <v>-90000</v>
      </c>
      <c r="F2064" s="25" t="s">
        <v>8</v>
      </c>
      <c r="G2064" s="14" t="s">
        <v>19</v>
      </c>
    </row>
    <row r="2065" spans="1:7" s="291" customFormat="1" hidden="1" x14ac:dyDescent="0.3">
      <c r="A2065" s="252">
        <v>45978</v>
      </c>
      <c r="B2065" s="252" t="s">
        <v>217</v>
      </c>
      <c r="C2065" s="24" t="s">
        <v>81</v>
      </c>
      <c r="D2065" s="13" t="s">
        <v>82</v>
      </c>
      <c r="E2065" s="28">
        <v>-10000</v>
      </c>
      <c r="F2065" s="25" t="s">
        <v>8</v>
      </c>
      <c r="G2065" s="14" t="s">
        <v>83</v>
      </c>
    </row>
    <row r="2066" spans="1:7" s="291" customFormat="1" hidden="1" x14ac:dyDescent="0.3">
      <c r="A2066" s="252">
        <v>45978</v>
      </c>
      <c r="B2066" s="252" t="s">
        <v>217</v>
      </c>
      <c r="C2066" s="24" t="s">
        <v>17</v>
      </c>
      <c r="D2066" s="13" t="s">
        <v>84</v>
      </c>
      <c r="E2066" s="28">
        <v>-20000</v>
      </c>
      <c r="F2066" s="25" t="s">
        <v>8</v>
      </c>
      <c r="G2066" s="14" t="s">
        <v>59</v>
      </c>
    </row>
    <row r="2067" spans="1:7" s="291" customFormat="1" hidden="1" x14ac:dyDescent="0.3">
      <c r="A2067" s="252">
        <v>45978</v>
      </c>
      <c r="B2067" s="252" t="s">
        <v>217</v>
      </c>
      <c r="C2067" s="17" t="s">
        <v>17</v>
      </c>
      <c r="D2067" s="18" t="s">
        <v>85</v>
      </c>
      <c r="E2067" s="28">
        <v>-145</v>
      </c>
      <c r="F2067" s="14" t="s">
        <v>8</v>
      </c>
      <c r="G2067" s="14" t="s">
        <v>86</v>
      </c>
    </row>
    <row r="2068" spans="1:7" s="291" customFormat="1" hidden="1" x14ac:dyDescent="0.3">
      <c r="A2068" s="252">
        <v>45978</v>
      </c>
      <c r="B2068" s="252" t="s">
        <v>217</v>
      </c>
      <c r="C2068" s="17" t="s">
        <v>17</v>
      </c>
      <c r="D2068" s="18" t="s">
        <v>87</v>
      </c>
      <c r="E2068" s="28">
        <v>-145</v>
      </c>
      <c r="F2068" s="14" t="s">
        <v>8</v>
      </c>
      <c r="G2068" s="14" t="s">
        <v>86</v>
      </c>
    </row>
    <row r="2069" spans="1:7" s="291" customFormat="1" hidden="1" x14ac:dyDescent="0.3">
      <c r="A2069" s="252">
        <v>45978</v>
      </c>
      <c r="B2069" s="252" t="s">
        <v>217</v>
      </c>
      <c r="C2069" s="24" t="s">
        <v>13</v>
      </c>
      <c r="D2069" s="13" t="s">
        <v>88</v>
      </c>
      <c r="E2069" s="28">
        <v>-1375</v>
      </c>
      <c r="F2069" s="14" t="s">
        <v>8</v>
      </c>
      <c r="G2069" s="14" t="s">
        <v>41</v>
      </c>
    </row>
    <row r="2070" spans="1:7" s="291" customFormat="1" hidden="1" x14ac:dyDescent="0.3">
      <c r="A2070" s="252">
        <v>45978</v>
      </c>
      <c r="B2070" s="252" t="s">
        <v>217</v>
      </c>
      <c r="C2070" s="27" t="s">
        <v>89</v>
      </c>
      <c r="D2070" s="13" t="s">
        <v>90</v>
      </c>
      <c r="E2070" s="28">
        <v>-2281.6999999999998</v>
      </c>
      <c r="F2070" s="14" t="s">
        <v>8</v>
      </c>
      <c r="G2070" s="14" t="s">
        <v>41</v>
      </c>
    </row>
    <row r="2071" spans="1:7" s="291" customFormat="1" hidden="1" x14ac:dyDescent="0.3">
      <c r="A2071" s="252">
        <v>45978</v>
      </c>
      <c r="B2071" s="252" t="s">
        <v>217</v>
      </c>
      <c r="C2071" s="24" t="s">
        <v>6</v>
      </c>
      <c r="D2071" s="13" t="s">
        <v>91</v>
      </c>
      <c r="E2071" s="28">
        <v>-6500</v>
      </c>
      <c r="F2071" s="14" t="s">
        <v>8</v>
      </c>
      <c r="G2071" s="14" t="s">
        <v>64</v>
      </c>
    </row>
    <row r="2072" spans="1:7" s="291" customFormat="1" hidden="1" x14ac:dyDescent="0.3">
      <c r="A2072" s="252">
        <v>45978</v>
      </c>
      <c r="B2072" s="252" t="s">
        <v>217</v>
      </c>
      <c r="C2072" s="24" t="s">
        <v>17</v>
      </c>
      <c r="D2072" s="13" t="s">
        <v>92</v>
      </c>
      <c r="E2072" s="28">
        <v>-12000</v>
      </c>
      <c r="F2072" s="25" t="s">
        <v>8</v>
      </c>
      <c r="G2072" s="14" t="s">
        <v>93</v>
      </c>
    </row>
    <row r="2073" spans="1:7" s="291" customFormat="1" hidden="1" x14ac:dyDescent="0.3">
      <c r="A2073" s="252">
        <v>45978</v>
      </c>
      <c r="B2073" s="252" t="s">
        <v>217</v>
      </c>
      <c r="C2073" s="17" t="s">
        <v>31</v>
      </c>
      <c r="D2073" s="256" t="s">
        <v>93</v>
      </c>
      <c r="E2073" s="28">
        <v>-2302.0500000000002</v>
      </c>
      <c r="F2073" s="25" t="s">
        <v>8</v>
      </c>
      <c r="G2073" s="14" t="s">
        <v>93</v>
      </c>
    </row>
    <row r="2074" spans="1:7" s="291" customFormat="1" hidden="1" x14ac:dyDescent="0.3">
      <c r="A2074" s="252">
        <v>45978</v>
      </c>
      <c r="B2074" s="252" t="s">
        <v>217</v>
      </c>
      <c r="C2074" s="27" t="s">
        <v>25</v>
      </c>
      <c r="D2074" s="256" t="s">
        <v>93</v>
      </c>
      <c r="E2074" s="28">
        <v>-1248.99</v>
      </c>
      <c r="F2074" s="25" t="s">
        <v>8</v>
      </c>
      <c r="G2074" s="14" t="s">
        <v>93</v>
      </c>
    </row>
    <row r="2075" spans="1:7" s="291" customFormat="1" hidden="1" x14ac:dyDescent="0.3">
      <c r="A2075" s="252">
        <v>45974</v>
      </c>
      <c r="B2075" s="252" t="s">
        <v>217</v>
      </c>
      <c r="C2075" s="24" t="s">
        <v>6</v>
      </c>
      <c r="D2075" s="13" t="s">
        <v>600</v>
      </c>
      <c r="E2075" s="28">
        <v>-2012.45</v>
      </c>
      <c r="F2075" s="25" t="s">
        <v>8</v>
      </c>
      <c r="G2075" s="20" t="s">
        <v>46</v>
      </c>
    </row>
    <row r="2076" spans="1:7" s="291" customFormat="1" hidden="1" x14ac:dyDescent="0.3">
      <c r="A2076" s="252">
        <v>45978</v>
      </c>
      <c r="B2076" s="252" t="s">
        <v>217</v>
      </c>
      <c r="C2076" s="24" t="s">
        <v>6</v>
      </c>
      <c r="D2076" s="13" t="s">
        <v>94</v>
      </c>
      <c r="E2076" s="28">
        <v>-171.1</v>
      </c>
      <c r="F2076" s="25" t="s">
        <v>8</v>
      </c>
      <c r="G2076" s="14" t="s">
        <v>29</v>
      </c>
    </row>
    <row r="2077" spans="1:7" s="291" customFormat="1" hidden="1" x14ac:dyDescent="0.3">
      <c r="A2077" s="252">
        <v>45978</v>
      </c>
      <c r="B2077" s="252" t="s">
        <v>217</v>
      </c>
      <c r="C2077" s="24" t="s">
        <v>44</v>
      </c>
      <c r="D2077" s="13" t="s">
        <v>94</v>
      </c>
      <c r="E2077" s="28">
        <v>-171.1</v>
      </c>
      <c r="F2077" s="25" t="s">
        <v>8</v>
      </c>
      <c r="G2077" s="14" t="s">
        <v>29</v>
      </c>
    </row>
    <row r="2078" spans="1:7" s="291" customFormat="1" hidden="1" x14ac:dyDescent="0.3">
      <c r="A2078" s="252">
        <v>45978</v>
      </c>
      <c r="B2078" s="252" t="s">
        <v>217</v>
      </c>
      <c r="C2078" s="24" t="s">
        <v>13</v>
      </c>
      <c r="D2078" s="13" t="s">
        <v>94</v>
      </c>
      <c r="E2078" s="28">
        <v>-171.1</v>
      </c>
      <c r="F2078" s="25" t="s">
        <v>8</v>
      </c>
      <c r="G2078" s="14" t="s">
        <v>29</v>
      </c>
    </row>
    <row r="2079" spans="1:7" s="291" customFormat="1" hidden="1" x14ac:dyDescent="0.3">
      <c r="A2079" s="252">
        <v>45978</v>
      </c>
      <c r="B2079" s="252" t="s">
        <v>217</v>
      </c>
      <c r="C2079" s="24" t="s">
        <v>686</v>
      </c>
      <c r="D2079" s="13" t="s">
        <v>94</v>
      </c>
      <c r="E2079" s="28">
        <v>-171.1</v>
      </c>
      <c r="F2079" s="25" t="s">
        <v>8</v>
      </c>
      <c r="G2079" s="14" t="s">
        <v>29</v>
      </c>
    </row>
    <row r="2080" spans="1:7" s="291" customFormat="1" hidden="1" x14ac:dyDescent="0.3">
      <c r="A2080" s="252">
        <v>45978</v>
      </c>
      <c r="B2080" s="252" t="s">
        <v>217</v>
      </c>
      <c r="C2080" s="24" t="s">
        <v>31</v>
      </c>
      <c r="D2080" s="13" t="s">
        <v>94</v>
      </c>
      <c r="E2080" s="28">
        <v>-171.1</v>
      </c>
      <c r="F2080" s="25" t="s">
        <v>8</v>
      </c>
      <c r="G2080" s="14" t="s">
        <v>29</v>
      </c>
    </row>
    <row r="2081" spans="1:7" s="291" customFormat="1" hidden="1" x14ac:dyDescent="0.3">
      <c r="A2081" s="252">
        <v>45978</v>
      </c>
      <c r="B2081" s="252" t="s">
        <v>217</v>
      </c>
      <c r="C2081" s="24" t="s">
        <v>65</v>
      </c>
      <c r="D2081" s="13" t="s">
        <v>94</v>
      </c>
      <c r="E2081" s="28">
        <v>-171.1</v>
      </c>
      <c r="F2081" s="25" t="s">
        <v>8</v>
      </c>
      <c r="G2081" s="14" t="s">
        <v>29</v>
      </c>
    </row>
    <row r="2082" spans="1:7" s="291" customFormat="1" hidden="1" x14ac:dyDescent="0.3">
      <c r="A2082" s="252">
        <v>45978</v>
      </c>
      <c r="B2082" s="252" t="s">
        <v>217</v>
      </c>
      <c r="C2082" s="17" t="s">
        <v>685</v>
      </c>
      <c r="D2082" s="13" t="s">
        <v>94</v>
      </c>
      <c r="E2082" s="28">
        <v>-171.1</v>
      </c>
      <c r="F2082" s="25" t="s">
        <v>8</v>
      </c>
      <c r="G2082" s="14" t="s">
        <v>29</v>
      </c>
    </row>
    <row r="2083" spans="1:7" s="291" customFormat="1" hidden="1" x14ac:dyDescent="0.3">
      <c r="A2083" s="252">
        <v>45978</v>
      </c>
      <c r="B2083" s="252" t="s">
        <v>217</v>
      </c>
      <c r="C2083" s="17" t="s">
        <v>17</v>
      </c>
      <c r="D2083" s="13" t="s">
        <v>94</v>
      </c>
      <c r="E2083" s="28">
        <v>-171.1</v>
      </c>
      <c r="F2083" s="25" t="s">
        <v>8</v>
      </c>
      <c r="G2083" s="14" t="s">
        <v>29</v>
      </c>
    </row>
    <row r="2084" spans="1:7" s="291" customFormat="1" hidden="1" x14ac:dyDescent="0.3">
      <c r="A2084" s="252">
        <v>45978</v>
      </c>
      <c r="B2084" s="252" t="s">
        <v>217</v>
      </c>
      <c r="C2084" s="17" t="s">
        <v>30</v>
      </c>
      <c r="D2084" s="13" t="s">
        <v>94</v>
      </c>
      <c r="E2084" s="28">
        <v>-171.1</v>
      </c>
      <c r="F2084" s="25" t="s">
        <v>8</v>
      </c>
      <c r="G2084" s="14" t="s">
        <v>29</v>
      </c>
    </row>
    <row r="2085" spans="1:7" s="291" customFormat="1" hidden="1" x14ac:dyDescent="0.3">
      <c r="A2085" s="252">
        <v>45978</v>
      </c>
      <c r="B2085" s="252" t="s">
        <v>217</v>
      </c>
      <c r="C2085" s="17" t="s">
        <v>95</v>
      </c>
      <c r="D2085" s="13" t="s">
        <v>94</v>
      </c>
      <c r="E2085" s="28">
        <v>-171.1</v>
      </c>
      <c r="F2085" s="25" t="s">
        <v>8</v>
      </c>
      <c r="G2085" s="14" t="s">
        <v>29</v>
      </c>
    </row>
    <row r="2086" spans="1:7" s="291" customFormat="1" hidden="1" x14ac:dyDescent="0.3">
      <c r="A2086" s="252">
        <v>45978</v>
      </c>
      <c r="B2086" s="252" t="s">
        <v>217</v>
      </c>
      <c r="C2086" s="17" t="s">
        <v>33</v>
      </c>
      <c r="D2086" s="13" t="s">
        <v>94</v>
      </c>
      <c r="E2086" s="28">
        <v>-171.1</v>
      </c>
      <c r="F2086" s="25" t="s">
        <v>8</v>
      </c>
      <c r="G2086" s="14" t="s">
        <v>29</v>
      </c>
    </row>
    <row r="2087" spans="1:7" s="291" customFormat="1" hidden="1" x14ac:dyDescent="0.3">
      <c r="A2087" s="252">
        <v>45978</v>
      </c>
      <c r="B2087" s="252" t="s">
        <v>217</v>
      </c>
      <c r="C2087" s="17" t="s">
        <v>96</v>
      </c>
      <c r="D2087" s="13" t="s">
        <v>94</v>
      </c>
      <c r="E2087" s="28">
        <v>-171.1</v>
      </c>
      <c r="F2087" s="25" t="s">
        <v>8</v>
      </c>
      <c r="G2087" s="14" t="s">
        <v>29</v>
      </c>
    </row>
    <row r="2088" spans="1:7" s="291" customFormat="1" hidden="1" x14ac:dyDescent="0.3">
      <c r="A2088" s="252">
        <v>45978</v>
      </c>
      <c r="B2088" s="252" t="s">
        <v>217</v>
      </c>
      <c r="C2088" s="17" t="s">
        <v>32</v>
      </c>
      <c r="D2088" s="13" t="s">
        <v>94</v>
      </c>
      <c r="E2088" s="28">
        <v>-171.1</v>
      </c>
      <c r="F2088" s="25" t="s">
        <v>8</v>
      </c>
      <c r="G2088" s="14" t="s">
        <v>29</v>
      </c>
    </row>
    <row r="2089" spans="1:7" s="291" customFormat="1" hidden="1" x14ac:dyDescent="0.3">
      <c r="A2089" s="252">
        <v>45978</v>
      </c>
      <c r="B2089" s="252" t="s">
        <v>217</v>
      </c>
      <c r="C2089" s="17" t="s">
        <v>34</v>
      </c>
      <c r="D2089" s="13" t="s">
        <v>94</v>
      </c>
      <c r="E2089" s="28">
        <v>-171.1</v>
      </c>
      <c r="F2089" s="25" t="s">
        <v>8</v>
      </c>
      <c r="G2089" s="14" t="s">
        <v>29</v>
      </c>
    </row>
    <row r="2090" spans="1:7" s="291" customFormat="1" hidden="1" x14ac:dyDescent="0.3">
      <c r="A2090" s="252">
        <v>45978</v>
      </c>
      <c r="B2090" s="252" t="s">
        <v>217</v>
      </c>
      <c r="C2090" s="27" t="s">
        <v>65</v>
      </c>
      <c r="D2090" s="13" t="s">
        <v>97</v>
      </c>
      <c r="E2090" s="28">
        <v>-877.96</v>
      </c>
      <c r="F2090" s="14" t="s">
        <v>8</v>
      </c>
      <c r="G2090" s="14" t="s">
        <v>39</v>
      </c>
    </row>
    <row r="2091" spans="1:7" s="291" customFormat="1" hidden="1" x14ac:dyDescent="0.3">
      <c r="A2091" s="252">
        <v>45978</v>
      </c>
      <c r="B2091" s="252" t="s">
        <v>217</v>
      </c>
      <c r="C2091" s="24" t="s">
        <v>6</v>
      </c>
      <c r="D2091" s="13" t="s">
        <v>98</v>
      </c>
      <c r="E2091" s="28">
        <v>-8000</v>
      </c>
      <c r="F2091" s="25" t="s">
        <v>8</v>
      </c>
      <c r="G2091" s="14" t="s">
        <v>99</v>
      </c>
    </row>
    <row r="2092" spans="1:7" s="291" customFormat="1" hidden="1" x14ac:dyDescent="0.3">
      <c r="A2092" s="252">
        <v>45978</v>
      </c>
      <c r="B2092" s="252" t="s">
        <v>217</v>
      </c>
      <c r="C2092" s="24" t="s">
        <v>6</v>
      </c>
      <c r="D2092" s="13" t="s">
        <v>100</v>
      </c>
      <c r="E2092" s="28">
        <v>-141.69999999999999</v>
      </c>
      <c r="F2092" s="25" t="s">
        <v>8</v>
      </c>
      <c r="G2092" s="14" t="s">
        <v>101</v>
      </c>
    </row>
    <row r="2093" spans="1:7" s="291" customFormat="1" hidden="1" x14ac:dyDescent="0.3">
      <c r="A2093" s="252">
        <v>45978</v>
      </c>
      <c r="B2093" s="252" t="s">
        <v>217</v>
      </c>
      <c r="C2093" s="24" t="s">
        <v>6</v>
      </c>
      <c r="D2093" s="13" t="s">
        <v>102</v>
      </c>
      <c r="E2093" s="28">
        <v>-141.69999999999999</v>
      </c>
      <c r="F2093" s="25" t="s">
        <v>8</v>
      </c>
      <c r="G2093" s="14" t="s">
        <v>101</v>
      </c>
    </row>
    <row r="2094" spans="1:7" s="291" customFormat="1" hidden="1" x14ac:dyDescent="0.3">
      <c r="A2094" s="252">
        <v>45978</v>
      </c>
      <c r="B2094" s="252" t="s">
        <v>217</v>
      </c>
      <c r="C2094" s="24" t="s">
        <v>6</v>
      </c>
      <c r="D2094" s="13" t="s">
        <v>103</v>
      </c>
      <c r="E2094" s="28">
        <v>-141.69999999999999</v>
      </c>
      <c r="F2094" s="25" t="s">
        <v>8</v>
      </c>
      <c r="G2094" s="14" t="s">
        <v>101</v>
      </c>
    </row>
    <row r="2095" spans="1:7" s="291" customFormat="1" hidden="1" x14ac:dyDescent="0.3">
      <c r="A2095" s="252">
        <v>45978</v>
      </c>
      <c r="B2095" s="252" t="s">
        <v>217</v>
      </c>
      <c r="C2095" s="24" t="s">
        <v>6</v>
      </c>
      <c r="D2095" s="13" t="s">
        <v>104</v>
      </c>
      <c r="E2095" s="28">
        <v>-139.25</v>
      </c>
      <c r="F2095" s="25" t="s">
        <v>8</v>
      </c>
      <c r="G2095" s="14" t="s">
        <v>101</v>
      </c>
    </row>
    <row r="2096" spans="1:7" s="291" customFormat="1" hidden="1" x14ac:dyDescent="0.3">
      <c r="A2096" s="252">
        <v>45978</v>
      </c>
      <c r="B2096" s="252" t="s">
        <v>217</v>
      </c>
      <c r="C2096" s="27" t="s">
        <v>32</v>
      </c>
      <c r="D2096" s="13" t="s">
        <v>105</v>
      </c>
      <c r="E2096" s="28">
        <v>-244.5</v>
      </c>
      <c r="F2096" s="14" t="s">
        <v>8</v>
      </c>
      <c r="G2096" s="14" t="s">
        <v>69</v>
      </c>
    </row>
    <row r="2097" spans="1:7" s="291" customFormat="1" hidden="1" x14ac:dyDescent="0.3">
      <c r="A2097" s="252">
        <v>45978</v>
      </c>
      <c r="B2097" s="252" t="s">
        <v>217</v>
      </c>
      <c r="C2097" s="27" t="s">
        <v>106</v>
      </c>
      <c r="D2097" s="13" t="s">
        <v>105</v>
      </c>
      <c r="E2097" s="28">
        <v>-300</v>
      </c>
      <c r="F2097" s="14" t="s">
        <v>8</v>
      </c>
      <c r="G2097" s="14" t="s">
        <v>69</v>
      </c>
    </row>
    <row r="2098" spans="1:7" s="291" customFormat="1" hidden="1" x14ac:dyDescent="0.3">
      <c r="A2098" s="252">
        <v>45978</v>
      </c>
      <c r="B2098" s="252" t="s">
        <v>217</v>
      </c>
      <c r="C2098" s="27" t="s">
        <v>35</v>
      </c>
      <c r="D2098" s="13" t="s">
        <v>105</v>
      </c>
      <c r="E2098" s="28">
        <v>-300</v>
      </c>
      <c r="F2098" s="14" t="s">
        <v>8</v>
      </c>
      <c r="G2098" s="14" t="s">
        <v>69</v>
      </c>
    </row>
    <row r="2099" spans="1:7" s="291" customFormat="1" hidden="1" x14ac:dyDescent="0.3">
      <c r="A2099" s="252">
        <v>45978</v>
      </c>
      <c r="B2099" s="252" t="s">
        <v>217</v>
      </c>
      <c r="C2099" s="27" t="s">
        <v>107</v>
      </c>
      <c r="D2099" s="13" t="s">
        <v>105</v>
      </c>
      <c r="E2099" s="28">
        <v>-300</v>
      </c>
      <c r="F2099" s="14" t="s">
        <v>8</v>
      </c>
      <c r="G2099" s="14" t="s">
        <v>69</v>
      </c>
    </row>
    <row r="2100" spans="1:7" s="291" customFormat="1" hidden="1" x14ac:dyDescent="0.3">
      <c r="A2100" s="252">
        <v>45978</v>
      </c>
      <c r="B2100" s="252" t="s">
        <v>217</v>
      </c>
      <c r="C2100" s="27" t="s">
        <v>108</v>
      </c>
      <c r="D2100" s="13" t="s">
        <v>105</v>
      </c>
      <c r="E2100" s="28">
        <v>-275</v>
      </c>
      <c r="F2100" s="14" t="s">
        <v>8</v>
      </c>
      <c r="G2100" s="14" t="s">
        <v>69</v>
      </c>
    </row>
    <row r="2101" spans="1:7" s="291" customFormat="1" hidden="1" x14ac:dyDescent="0.3">
      <c r="A2101" s="252">
        <v>45978</v>
      </c>
      <c r="B2101" s="252" t="s">
        <v>217</v>
      </c>
      <c r="C2101" s="27" t="s">
        <v>72</v>
      </c>
      <c r="D2101" s="13" t="s">
        <v>105</v>
      </c>
      <c r="E2101" s="28">
        <v>-300</v>
      </c>
      <c r="F2101" s="14" t="s">
        <v>8</v>
      </c>
      <c r="G2101" s="14" t="s">
        <v>69</v>
      </c>
    </row>
    <row r="2102" spans="1:7" s="291" customFormat="1" hidden="1" x14ac:dyDescent="0.3">
      <c r="A2102" s="252">
        <v>45978</v>
      </c>
      <c r="B2102" s="252" t="s">
        <v>217</v>
      </c>
      <c r="C2102" s="27" t="s">
        <v>109</v>
      </c>
      <c r="D2102" s="13" t="s">
        <v>105</v>
      </c>
      <c r="E2102" s="28">
        <v>-300</v>
      </c>
      <c r="F2102" s="14" t="s">
        <v>8</v>
      </c>
      <c r="G2102" s="14" t="s">
        <v>69</v>
      </c>
    </row>
    <row r="2103" spans="1:7" s="291" customFormat="1" hidden="1" x14ac:dyDescent="0.3">
      <c r="A2103" s="252">
        <v>45978</v>
      </c>
      <c r="B2103" s="252" t="s">
        <v>217</v>
      </c>
      <c r="C2103" s="27" t="s">
        <v>110</v>
      </c>
      <c r="D2103" s="13" t="s">
        <v>105</v>
      </c>
      <c r="E2103" s="28">
        <v>-350</v>
      </c>
      <c r="F2103" s="14" t="s">
        <v>8</v>
      </c>
      <c r="G2103" s="14" t="s">
        <v>69</v>
      </c>
    </row>
    <row r="2104" spans="1:7" s="291" customFormat="1" hidden="1" x14ac:dyDescent="0.3">
      <c r="A2104" s="252">
        <v>45978</v>
      </c>
      <c r="B2104" s="252" t="s">
        <v>217</v>
      </c>
      <c r="C2104" s="27" t="s">
        <v>111</v>
      </c>
      <c r="D2104" s="13" t="s">
        <v>105</v>
      </c>
      <c r="E2104" s="28">
        <v>-373.51</v>
      </c>
      <c r="F2104" s="14" t="s">
        <v>8</v>
      </c>
      <c r="G2104" s="14" t="s">
        <v>69</v>
      </c>
    </row>
    <row r="2105" spans="1:7" s="291" customFormat="1" hidden="1" x14ac:dyDescent="0.3">
      <c r="A2105" s="252">
        <v>45978</v>
      </c>
      <c r="B2105" s="252" t="s">
        <v>217</v>
      </c>
      <c r="C2105" s="17" t="s">
        <v>31</v>
      </c>
      <c r="D2105" s="18" t="s">
        <v>201</v>
      </c>
      <c r="E2105" s="19">
        <v>-3022.31</v>
      </c>
      <c r="F2105" s="25" t="s">
        <v>8</v>
      </c>
      <c r="G2105" s="20" t="s">
        <v>86</v>
      </c>
    </row>
    <row r="2106" spans="1:7" s="291" customFormat="1" hidden="1" x14ac:dyDescent="0.3">
      <c r="A2106" s="252">
        <v>45978</v>
      </c>
      <c r="B2106" s="252" t="s">
        <v>217</v>
      </c>
      <c r="C2106" s="17" t="s">
        <v>6</v>
      </c>
      <c r="D2106" s="18" t="s">
        <v>201</v>
      </c>
      <c r="E2106" s="19">
        <v>-3952.25</v>
      </c>
      <c r="F2106" s="25" t="s">
        <v>8</v>
      </c>
      <c r="G2106" s="20" t="s">
        <v>86</v>
      </c>
    </row>
    <row r="2107" spans="1:7" s="291" customFormat="1" hidden="1" x14ac:dyDescent="0.3">
      <c r="A2107" s="252">
        <v>45978</v>
      </c>
      <c r="B2107" s="252" t="s">
        <v>217</v>
      </c>
      <c r="C2107" s="17" t="s">
        <v>44</v>
      </c>
      <c r="D2107" s="18" t="s">
        <v>201</v>
      </c>
      <c r="E2107" s="19">
        <v>-3409.78</v>
      </c>
      <c r="F2107" s="25" t="s">
        <v>8</v>
      </c>
      <c r="G2107" s="20" t="s">
        <v>86</v>
      </c>
    </row>
    <row r="2108" spans="1:7" s="291" customFormat="1" hidden="1" x14ac:dyDescent="0.3">
      <c r="A2108" s="252">
        <v>45978</v>
      </c>
      <c r="B2108" s="252" t="s">
        <v>217</v>
      </c>
      <c r="C2108" s="17" t="s">
        <v>44</v>
      </c>
      <c r="D2108" s="18" t="s">
        <v>201</v>
      </c>
      <c r="E2108" s="19">
        <v>-852.45</v>
      </c>
      <c r="F2108" s="25" t="s">
        <v>8</v>
      </c>
      <c r="G2108" s="20" t="s">
        <v>86</v>
      </c>
    </row>
    <row r="2109" spans="1:7" s="291" customFormat="1" hidden="1" x14ac:dyDescent="0.3">
      <c r="A2109" s="252">
        <v>45978</v>
      </c>
      <c r="B2109" s="252" t="s">
        <v>217</v>
      </c>
      <c r="C2109" s="17" t="s">
        <v>25</v>
      </c>
      <c r="D2109" s="18" t="s">
        <v>201</v>
      </c>
      <c r="E2109" s="19">
        <v>-2944.81</v>
      </c>
      <c r="F2109" s="25" t="s">
        <v>8</v>
      </c>
      <c r="G2109" s="20" t="s">
        <v>86</v>
      </c>
    </row>
    <row r="2110" spans="1:7" s="291" customFormat="1" hidden="1" x14ac:dyDescent="0.3">
      <c r="A2110" s="252">
        <v>45978</v>
      </c>
      <c r="B2110" s="252" t="s">
        <v>217</v>
      </c>
      <c r="C2110" s="17" t="s">
        <v>33</v>
      </c>
      <c r="D2110" s="18" t="s">
        <v>201</v>
      </c>
      <c r="E2110" s="19">
        <v>-852.45</v>
      </c>
      <c r="F2110" s="25" t="s">
        <v>8</v>
      </c>
      <c r="G2110" s="20" t="s">
        <v>86</v>
      </c>
    </row>
    <row r="2111" spans="1:7" s="291" customFormat="1" hidden="1" x14ac:dyDescent="0.3">
      <c r="A2111" s="252">
        <v>45978</v>
      </c>
      <c r="B2111" s="252" t="s">
        <v>217</v>
      </c>
      <c r="C2111" s="17" t="s">
        <v>106</v>
      </c>
      <c r="D2111" s="18" t="s">
        <v>201</v>
      </c>
      <c r="E2111" s="19">
        <v>-929.94</v>
      </c>
      <c r="F2111" s="25" t="s">
        <v>8</v>
      </c>
      <c r="G2111" s="20" t="s">
        <v>86</v>
      </c>
    </row>
    <row r="2112" spans="1:7" s="291" customFormat="1" hidden="1" x14ac:dyDescent="0.3">
      <c r="A2112" s="252">
        <v>45978</v>
      </c>
      <c r="B2112" s="252" t="s">
        <v>217</v>
      </c>
      <c r="C2112" s="17" t="s">
        <v>32</v>
      </c>
      <c r="D2112" s="18" t="s">
        <v>201</v>
      </c>
      <c r="E2112" s="19">
        <v>-232.49</v>
      </c>
      <c r="F2112" s="25" t="s">
        <v>8</v>
      </c>
      <c r="G2112" s="20" t="s">
        <v>86</v>
      </c>
    </row>
    <row r="2113" spans="1:7" s="291" customFormat="1" hidden="1" x14ac:dyDescent="0.3">
      <c r="A2113" s="252">
        <v>45978</v>
      </c>
      <c r="B2113" s="252" t="s">
        <v>217</v>
      </c>
      <c r="C2113" s="17" t="s">
        <v>72</v>
      </c>
      <c r="D2113" s="18" t="s">
        <v>201</v>
      </c>
      <c r="E2113" s="19">
        <v>-464.97</v>
      </c>
      <c r="F2113" s="25" t="s">
        <v>8</v>
      </c>
      <c r="G2113" s="20" t="s">
        <v>86</v>
      </c>
    </row>
    <row r="2114" spans="1:7" s="291" customFormat="1" hidden="1" x14ac:dyDescent="0.3">
      <c r="A2114" s="252">
        <v>45978</v>
      </c>
      <c r="B2114" s="252" t="s">
        <v>217</v>
      </c>
      <c r="C2114" s="17" t="s">
        <v>17</v>
      </c>
      <c r="D2114" s="18" t="s">
        <v>201</v>
      </c>
      <c r="E2114" s="19">
        <v>-542.47</v>
      </c>
      <c r="F2114" s="25" t="s">
        <v>8</v>
      </c>
      <c r="G2114" s="20" t="s">
        <v>86</v>
      </c>
    </row>
    <row r="2115" spans="1:7" s="291" customFormat="1" hidden="1" x14ac:dyDescent="0.3">
      <c r="A2115" s="252">
        <v>45978</v>
      </c>
      <c r="B2115" s="252" t="s">
        <v>217</v>
      </c>
      <c r="C2115" s="24" t="s">
        <v>17</v>
      </c>
      <c r="D2115" s="13" t="s">
        <v>113</v>
      </c>
      <c r="E2115" s="28">
        <v>-3760</v>
      </c>
      <c r="F2115" s="25" t="s">
        <v>8</v>
      </c>
      <c r="G2115" s="14" t="s">
        <v>74</v>
      </c>
    </row>
    <row r="2116" spans="1:7" s="291" customFormat="1" hidden="1" x14ac:dyDescent="0.3">
      <c r="A2116" s="252">
        <v>45978</v>
      </c>
      <c r="B2116" s="252" t="s">
        <v>217</v>
      </c>
      <c r="C2116" s="24" t="s">
        <v>17</v>
      </c>
      <c r="D2116" s="13" t="s">
        <v>113</v>
      </c>
      <c r="E2116" s="28">
        <v>-5800</v>
      </c>
      <c r="F2116" s="25" t="s">
        <v>8</v>
      </c>
      <c r="G2116" s="14" t="s">
        <v>74</v>
      </c>
    </row>
    <row r="2117" spans="1:7" s="291" customFormat="1" hidden="1" x14ac:dyDescent="0.3">
      <c r="A2117" s="252">
        <v>45978</v>
      </c>
      <c r="B2117" s="252" t="s">
        <v>217</v>
      </c>
      <c r="C2117" s="24" t="s">
        <v>13</v>
      </c>
      <c r="D2117" s="13" t="s">
        <v>113</v>
      </c>
      <c r="E2117" s="28">
        <v>-5460</v>
      </c>
      <c r="F2117" s="25" t="s">
        <v>8</v>
      </c>
      <c r="G2117" s="14" t="s">
        <v>74</v>
      </c>
    </row>
    <row r="2118" spans="1:7" s="291" customFormat="1" hidden="1" x14ac:dyDescent="0.3">
      <c r="A2118" s="252">
        <v>45982</v>
      </c>
      <c r="B2118" s="252" t="s">
        <v>217</v>
      </c>
      <c r="C2118" s="24" t="s">
        <v>17</v>
      </c>
      <c r="D2118" s="13" t="s">
        <v>18</v>
      </c>
      <c r="E2118" s="21">
        <v>-17235</v>
      </c>
      <c r="F2118" s="25" t="s">
        <v>8</v>
      </c>
      <c r="G2118" s="14" t="s">
        <v>19</v>
      </c>
    </row>
    <row r="2119" spans="1:7" s="291" customFormat="1" hidden="1" x14ac:dyDescent="0.3">
      <c r="A2119" s="252">
        <v>45978</v>
      </c>
      <c r="B2119" s="252" t="s">
        <v>217</v>
      </c>
      <c r="C2119" s="24" t="s">
        <v>6</v>
      </c>
      <c r="D2119" s="13" t="s">
        <v>808</v>
      </c>
      <c r="E2119" s="28">
        <v>-4500</v>
      </c>
      <c r="F2119" s="25" t="s">
        <v>8</v>
      </c>
      <c r="G2119" s="14" t="s">
        <v>114</v>
      </c>
    </row>
    <row r="2120" spans="1:7" s="291" customFormat="1" hidden="1" x14ac:dyDescent="0.3">
      <c r="A2120" s="252">
        <v>45987</v>
      </c>
      <c r="B2120" s="252" t="s">
        <v>217</v>
      </c>
      <c r="C2120" s="27" t="s">
        <v>6</v>
      </c>
      <c r="D2120" s="13" t="s">
        <v>115</v>
      </c>
      <c r="E2120" s="28">
        <v>-35714.57</v>
      </c>
      <c r="F2120" s="14" t="s">
        <v>8</v>
      </c>
      <c r="G2120" s="20" t="s">
        <v>46</v>
      </c>
    </row>
    <row r="2121" spans="1:7" s="291" customFormat="1" hidden="1" x14ac:dyDescent="0.3">
      <c r="A2121" s="252">
        <v>45978</v>
      </c>
      <c r="B2121" s="252" t="s">
        <v>217</v>
      </c>
      <c r="C2121" s="24" t="s">
        <v>6</v>
      </c>
      <c r="D2121" s="13" t="s">
        <v>116</v>
      </c>
      <c r="E2121" s="28">
        <v>-30</v>
      </c>
      <c r="F2121" s="25" t="s">
        <v>8</v>
      </c>
      <c r="G2121" s="14" t="s">
        <v>51</v>
      </c>
    </row>
    <row r="2122" spans="1:7" s="291" customFormat="1" hidden="1" x14ac:dyDescent="0.3">
      <c r="A2122" s="252">
        <v>45978</v>
      </c>
      <c r="B2122" s="252" t="s">
        <v>217</v>
      </c>
      <c r="C2122" s="24" t="s">
        <v>6</v>
      </c>
      <c r="D2122" s="13" t="s">
        <v>117</v>
      </c>
      <c r="E2122" s="28">
        <v>-10000</v>
      </c>
      <c r="F2122" s="25" t="s">
        <v>8</v>
      </c>
      <c r="G2122" s="14" t="s">
        <v>51</v>
      </c>
    </row>
    <row r="2123" spans="1:7" s="291" customFormat="1" hidden="1" x14ac:dyDescent="0.3">
      <c r="A2123" s="252">
        <v>45978</v>
      </c>
      <c r="B2123" s="252" t="s">
        <v>217</v>
      </c>
      <c r="C2123" s="24" t="s">
        <v>6</v>
      </c>
      <c r="D2123" s="13" t="s">
        <v>118</v>
      </c>
      <c r="E2123" s="28">
        <v>-4500</v>
      </c>
      <c r="F2123" s="25" t="s">
        <v>8</v>
      </c>
      <c r="G2123" s="14" t="s">
        <v>51</v>
      </c>
    </row>
    <row r="2124" spans="1:7" s="291" customFormat="1" hidden="1" x14ac:dyDescent="0.3">
      <c r="A2124" s="252">
        <v>45978</v>
      </c>
      <c r="B2124" s="252" t="s">
        <v>217</v>
      </c>
      <c r="C2124" s="24" t="s">
        <v>17</v>
      </c>
      <c r="D2124" s="13" t="s">
        <v>119</v>
      </c>
      <c r="E2124" s="28">
        <v>-5300</v>
      </c>
      <c r="F2124" s="25" t="s">
        <v>8</v>
      </c>
      <c r="G2124" s="14" t="s">
        <v>53</v>
      </c>
    </row>
    <row r="2125" spans="1:7" s="291" customFormat="1" hidden="1" x14ac:dyDescent="0.3">
      <c r="A2125" s="252">
        <v>45979</v>
      </c>
      <c r="B2125" s="252" t="s">
        <v>217</v>
      </c>
      <c r="C2125" s="17" t="s">
        <v>13</v>
      </c>
      <c r="D2125" s="13" t="s">
        <v>120</v>
      </c>
      <c r="E2125" s="28">
        <v>-5996.67</v>
      </c>
      <c r="F2125" s="25" t="s">
        <v>8</v>
      </c>
      <c r="G2125" s="20" t="s">
        <v>46</v>
      </c>
    </row>
    <row r="2126" spans="1:7" s="291" customFormat="1" hidden="1" x14ac:dyDescent="0.3">
      <c r="A2126" s="252">
        <v>45981</v>
      </c>
      <c r="B2126" s="252" t="s">
        <v>217</v>
      </c>
      <c r="C2126" s="24" t="s">
        <v>6</v>
      </c>
      <c r="D2126" s="13" t="s">
        <v>121</v>
      </c>
      <c r="E2126" s="28">
        <v>-16000</v>
      </c>
      <c r="F2126" s="25" t="s">
        <v>8</v>
      </c>
      <c r="G2126" s="14" t="s">
        <v>122</v>
      </c>
    </row>
    <row r="2127" spans="1:7" s="291" customFormat="1" hidden="1" x14ac:dyDescent="0.3">
      <c r="A2127" s="252">
        <v>45981</v>
      </c>
      <c r="B2127" s="252" t="s">
        <v>217</v>
      </c>
      <c r="C2127" s="27" t="s">
        <v>6</v>
      </c>
      <c r="D2127" s="13" t="s">
        <v>123</v>
      </c>
      <c r="E2127" s="28">
        <v>-600</v>
      </c>
      <c r="F2127" s="25" t="s">
        <v>8</v>
      </c>
      <c r="G2127" s="14" t="s">
        <v>19</v>
      </c>
    </row>
    <row r="2128" spans="1:7" s="291" customFormat="1" hidden="1" x14ac:dyDescent="0.3">
      <c r="A2128" s="252">
        <v>45981</v>
      </c>
      <c r="B2128" s="252" t="s">
        <v>217</v>
      </c>
      <c r="C2128" s="24" t="s">
        <v>6</v>
      </c>
      <c r="D2128" s="13" t="s">
        <v>124</v>
      </c>
      <c r="E2128" s="28">
        <v>-1100</v>
      </c>
      <c r="F2128" s="25" t="s">
        <v>8</v>
      </c>
      <c r="G2128" s="14" t="s">
        <v>69</v>
      </c>
    </row>
    <row r="2129" spans="1:7" s="291" customFormat="1" hidden="1" x14ac:dyDescent="0.3">
      <c r="A2129" s="252">
        <v>45981</v>
      </c>
      <c r="B2129" s="252" t="s">
        <v>217</v>
      </c>
      <c r="C2129" s="24" t="s">
        <v>6</v>
      </c>
      <c r="D2129" s="13" t="s">
        <v>125</v>
      </c>
      <c r="E2129" s="28">
        <v>-39.799999999999997</v>
      </c>
      <c r="F2129" s="25" t="s">
        <v>8</v>
      </c>
      <c r="G2129" s="14" t="s">
        <v>69</v>
      </c>
    </row>
    <row r="2130" spans="1:7" s="291" customFormat="1" hidden="1" x14ac:dyDescent="0.3">
      <c r="A2130" s="252">
        <v>45981</v>
      </c>
      <c r="B2130" s="252" t="s">
        <v>217</v>
      </c>
      <c r="C2130" s="24" t="s">
        <v>6</v>
      </c>
      <c r="D2130" s="13" t="s">
        <v>126</v>
      </c>
      <c r="E2130" s="28">
        <v>-20000</v>
      </c>
      <c r="F2130" s="25" t="s">
        <v>8</v>
      </c>
      <c r="G2130" s="257" t="s">
        <v>127</v>
      </c>
    </row>
    <row r="2131" spans="1:7" s="291" customFormat="1" hidden="1" x14ac:dyDescent="0.3">
      <c r="A2131" s="252">
        <v>45981</v>
      </c>
      <c r="B2131" s="252" t="s">
        <v>217</v>
      </c>
      <c r="C2131" s="17" t="s">
        <v>17</v>
      </c>
      <c r="D2131" s="18" t="s">
        <v>128</v>
      </c>
      <c r="E2131" s="28">
        <v>-15000</v>
      </c>
      <c r="F2131" s="25" t="s">
        <v>8</v>
      </c>
      <c r="G2131" s="257" t="s">
        <v>127</v>
      </c>
    </row>
    <row r="2132" spans="1:7" s="291" customFormat="1" hidden="1" x14ac:dyDescent="0.3">
      <c r="A2132" s="252">
        <v>45981</v>
      </c>
      <c r="B2132" s="252" t="s">
        <v>217</v>
      </c>
      <c r="C2132" s="17" t="s">
        <v>17</v>
      </c>
      <c r="D2132" s="18" t="s">
        <v>129</v>
      </c>
      <c r="E2132" s="28">
        <v>-3000</v>
      </c>
      <c r="F2132" s="25" t="s">
        <v>8</v>
      </c>
      <c r="G2132" s="257" t="s">
        <v>127</v>
      </c>
    </row>
    <row r="2133" spans="1:7" s="291" customFormat="1" hidden="1" x14ac:dyDescent="0.3">
      <c r="A2133" s="252">
        <v>45981</v>
      </c>
      <c r="B2133" s="252" t="s">
        <v>217</v>
      </c>
      <c r="C2133" s="24" t="s">
        <v>6</v>
      </c>
      <c r="D2133" s="13" t="s">
        <v>130</v>
      </c>
      <c r="E2133" s="21">
        <v>-55000</v>
      </c>
      <c r="F2133" s="25" t="s">
        <v>8</v>
      </c>
      <c r="G2133" s="257" t="s">
        <v>127</v>
      </c>
    </row>
    <row r="2134" spans="1:7" s="291" customFormat="1" hidden="1" x14ac:dyDescent="0.3">
      <c r="A2134" s="252">
        <v>45981</v>
      </c>
      <c r="B2134" s="252" t="s">
        <v>217</v>
      </c>
      <c r="C2134" s="24" t="s">
        <v>6</v>
      </c>
      <c r="D2134" s="18" t="s">
        <v>131</v>
      </c>
      <c r="E2134" s="28">
        <v>-50000</v>
      </c>
      <c r="F2134" s="25" t="s">
        <v>8</v>
      </c>
      <c r="G2134" s="257" t="s">
        <v>127</v>
      </c>
    </row>
    <row r="2135" spans="1:7" s="291" customFormat="1" hidden="1" x14ac:dyDescent="0.3">
      <c r="A2135" s="252">
        <v>45981</v>
      </c>
      <c r="B2135" s="252" t="s">
        <v>217</v>
      </c>
      <c r="C2135" s="24" t="s">
        <v>6</v>
      </c>
      <c r="D2135" s="13" t="s">
        <v>218</v>
      </c>
      <c r="E2135" s="28">
        <v>-110000</v>
      </c>
      <c r="F2135" s="25" t="s">
        <v>8</v>
      </c>
      <c r="G2135" s="14" t="s">
        <v>27</v>
      </c>
    </row>
    <row r="2136" spans="1:7" s="291" customFormat="1" hidden="1" x14ac:dyDescent="0.3">
      <c r="A2136" s="252">
        <v>45981</v>
      </c>
      <c r="B2136" s="252" t="s">
        <v>217</v>
      </c>
      <c r="C2136" s="24" t="s">
        <v>6</v>
      </c>
      <c r="D2136" s="13" t="s">
        <v>132</v>
      </c>
      <c r="E2136" s="21">
        <v>-41000</v>
      </c>
      <c r="F2136" s="25" t="s">
        <v>8</v>
      </c>
      <c r="G2136" s="14" t="s">
        <v>83</v>
      </c>
    </row>
    <row r="2137" spans="1:7" s="291" customFormat="1" hidden="1" x14ac:dyDescent="0.3">
      <c r="A2137" s="252">
        <v>45981</v>
      </c>
      <c r="B2137" s="252" t="s">
        <v>217</v>
      </c>
      <c r="C2137" s="17" t="s">
        <v>31</v>
      </c>
      <c r="D2137" s="18" t="s">
        <v>201</v>
      </c>
      <c r="E2137" s="19">
        <v>-2324.85</v>
      </c>
      <c r="F2137" s="25" t="s">
        <v>8</v>
      </c>
      <c r="G2137" s="14" t="s">
        <v>86</v>
      </c>
    </row>
    <row r="2138" spans="1:7" s="291" customFormat="1" hidden="1" x14ac:dyDescent="0.3">
      <c r="A2138" s="252">
        <v>45981</v>
      </c>
      <c r="B2138" s="252" t="s">
        <v>217</v>
      </c>
      <c r="C2138" s="17" t="s">
        <v>6</v>
      </c>
      <c r="D2138" s="18" t="s">
        <v>201</v>
      </c>
      <c r="E2138" s="19">
        <v>-2944.81</v>
      </c>
      <c r="F2138" s="25" t="s">
        <v>8</v>
      </c>
      <c r="G2138" s="14" t="s">
        <v>86</v>
      </c>
    </row>
    <row r="2139" spans="1:7" s="291" customFormat="1" hidden="1" x14ac:dyDescent="0.3">
      <c r="A2139" s="252">
        <v>45981</v>
      </c>
      <c r="B2139" s="252" t="s">
        <v>217</v>
      </c>
      <c r="C2139" s="17" t="s">
        <v>44</v>
      </c>
      <c r="D2139" s="18" t="s">
        <v>201</v>
      </c>
      <c r="E2139" s="19">
        <v>-2867.32</v>
      </c>
      <c r="F2139" s="25" t="s">
        <v>8</v>
      </c>
      <c r="G2139" s="14" t="s">
        <v>86</v>
      </c>
    </row>
    <row r="2140" spans="1:7" s="291" customFormat="1" hidden="1" x14ac:dyDescent="0.3">
      <c r="A2140" s="252">
        <v>45981</v>
      </c>
      <c r="B2140" s="252" t="s">
        <v>217</v>
      </c>
      <c r="C2140" s="17" t="s">
        <v>44</v>
      </c>
      <c r="D2140" s="18" t="s">
        <v>201</v>
      </c>
      <c r="E2140" s="19">
        <v>-852.45</v>
      </c>
      <c r="F2140" s="25" t="s">
        <v>8</v>
      </c>
      <c r="G2140" s="14" t="s">
        <v>86</v>
      </c>
    </row>
    <row r="2141" spans="1:7" s="291" customFormat="1" hidden="1" x14ac:dyDescent="0.3">
      <c r="A2141" s="252">
        <v>45981</v>
      </c>
      <c r="B2141" s="252" t="s">
        <v>217</v>
      </c>
      <c r="C2141" s="17" t="s">
        <v>25</v>
      </c>
      <c r="D2141" s="18" t="s">
        <v>201</v>
      </c>
      <c r="E2141" s="19">
        <v>-2789.82</v>
      </c>
      <c r="F2141" s="25" t="s">
        <v>8</v>
      </c>
      <c r="G2141" s="14" t="s">
        <v>86</v>
      </c>
    </row>
    <row r="2142" spans="1:7" s="291" customFormat="1" hidden="1" x14ac:dyDescent="0.3">
      <c r="A2142" s="252">
        <v>45981</v>
      </c>
      <c r="B2142" s="252" t="s">
        <v>217</v>
      </c>
      <c r="C2142" s="17" t="s">
        <v>33</v>
      </c>
      <c r="D2142" s="18" t="s">
        <v>201</v>
      </c>
      <c r="E2142" s="19">
        <v>-852.45</v>
      </c>
      <c r="F2142" s="25" t="s">
        <v>8</v>
      </c>
      <c r="G2142" s="14" t="s">
        <v>86</v>
      </c>
    </row>
    <row r="2143" spans="1:7" s="291" customFormat="1" hidden="1" x14ac:dyDescent="0.3">
      <c r="A2143" s="252">
        <v>45981</v>
      </c>
      <c r="B2143" s="252" t="s">
        <v>217</v>
      </c>
      <c r="C2143" s="17" t="s">
        <v>106</v>
      </c>
      <c r="D2143" s="18" t="s">
        <v>201</v>
      </c>
      <c r="E2143" s="19">
        <v>-619.96</v>
      </c>
      <c r="F2143" s="25" t="s">
        <v>8</v>
      </c>
      <c r="G2143" s="14" t="s">
        <v>86</v>
      </c>
    </row>
    <row r="2144" spans="1:7" s="291" customFormat="1" hidden="1" x14ac:dyDescent="0.3">
      <c r="A2144" s="252">
        <v>45981</v>
      </c>
      <c r="B2144" s="252" t="s">
        <v>217</v>
      </c>
      <c r="C2144" s="17" t="s">
        <v>32</v>
      </c>
      <c r="D2144" s="18" t="s">
        <v>201</v>
      </c>
      <c r="E2144" s="19">
        <v>-154.99</v>
      </c>
      <c r="F2144" s="25" t="s">
        <v>8</v>
      </c>
      <c r="G2144" s="14" t="s">
        <v>86</v>
      </c>
    </row>
    <row r="2145" spans="1:7" s="291" customFormat="1" hidden="1" x14ac:dyDescent="0.3">
      <c r="A2145" s="252">
        <v>45981</v>
      </c>
      <c r="B2145" s="252" t="s">
        <v>217</v>
      </c>
      <c r="C2145" s="17" t="s">
        <v>72</v>
      </c>
      <c r="D2145" s="18" t="s">
        <v>201</v>
      </c>
      <c r="E2145" s="19">
        <v>-852.45</v>
      </c>
      <c r="F2145" s="25" t="s">
        <v>8</v>
      </c>
      <c r="G2145" s="14" t="s">
        <v>86</v>
      </c>
    </row>
    <row r="2146" spans="1:7" s="291" customFormat="1" hidden="1" x14ac:dyDescent="0.3">
      <c r="A2146" s="252">
        <v>45981</v>
      </c>
      <c r="B2146" s="252" t="s">
        <v>217</v>
      </c>
      <c r="C2146" s="17" t="s">
        <v>17</v>
      </c>
      <c r="D2146" s="18" t="s">
        <v>201</v>
      </c>
      <c r="E2146" s="19">
        <v>-77.5</v>
      </c>
      <c r="F2146" s="25" t="s">
        <v>8</v>
      </c>
      <c r="G2146" s="14" t="s">
        <v>86</v>
      </c>
    </row>
    <row r="2147" spans="1:7" s="291" customFormat="1" hidden="1" x14ac:dyDescent="0.3">
      <c r="A2147" s="252">
        <v>45981</v>
      </c>
      <c r="B2147" s="252" t="s">
        <v>217</v>
      </c>
      <c r="C2147" s="24" t="s">
        <v>6</v>
      </c>
      <c r="D2147" s="13" t="s">
        <v>47</v>
      </c>
      <c r="E2147" s="28">
        <v>-8000</v>
      </c>
      <c r="F2147" s="25" t="s">
        <v>8</v>
      </c>
      <c r="G2147" s="14" t="s">
        <v>27</v>
      </c>
    </row>
    <row r="2148" spans="1:7" s="291" customFormat="1" hidden="1" x14ac:dyDescent="0.3">
      <c r="A2148" s="252">
        <v>45981</v>
      </c>
      <c r="B2148" s="252" t="s">
        <v>217</v>
      </c>
      <c r="C2148" s="24" t="s">
        <v>25</v>
      </c>
      <c r="D2148" s="13" t="s">
        <v>133</v>
      </c>
      <c r="E2148" s="28">
        <v>-2756.99</v>
      </c>
      <c r="F2148" s="25" t="s">
        <v>8</v>
      </c>
      <c r="G2148" s="214" t="s">
        <v>156</v>
      </c>
    </row>
    <row r="2149" spans="1:7" s="291" customFormat="1" hidden="1" x14ac:dyDescent="0.3">
      <c r="A2149" s="205">
        <v>45985</v>
      </c>
      <c r="B2149" s="252" t="s">
        <v>217</v>
      </c>
      <c r="C2149" s="17" t="s">
        <v>17</v>
      </c>
      <c r="D2149" s="13" t="s">
        <v>134</v>
      </c>
      <c r="E2149" s="28">
        <v>-1700</v>
      </c>
      <c r="F2149" s="25" t="s">
        <v>8</v>
      </c>
      <c r="G2149" s="14" t="s">
        <v>135</v>
      </c>
    </row>
    <row r="2150" spans="1:7" s="291" customFormat="1" hidden="1" x14ac:dyDescent="0.3">
      <c r="A2150" s="252">
        <v>45981</v>
      </c>
      <c r="B2150" s="252" t="s">
        <v>217</v>
      </c>
      <c r="C2150" s="24" t="s">
        <v>65</v>
      </c>
      <c r="D2150" s="13" t="s">
        <v>136</v>
      </c>
      <c r="E2150" s="28">
        <v>-8937.32</v>
      </c>
      <c r="F2150" s="25" t="s">
        <v>8</v>
      </c>
      <c r="G2150" s="14" t="s">
        <v>39</v>
      </c>
    </row>
    <row r="2151" spans="1:7" s="291" customFormat="1" hidden="1" x14ac:dyDescent="0.3">
      <c r="A2151" s="252">
        <v>45989</v>
      </c>
      <c r="B2151" s="252" t="s">
        <v>217</v>
      </c>
      <c r="C2151" s="24" t="s">
        <v>17</v>
      </c>
      <c r="D2151" s="13" t="s">
        <v>18</v>
      </c>
      <c r="E2151" s="21">
        <v>-17235</v>
      </c>
      <c r="F2151" s="25" t="s">
        <v>8</v>
      </c>
      <c r="G2151" s="14" t="s">
        <v>19</v>
      </c>
    </row>
    <row r="2152" spans="1:7" s="291" customFormat="1" hidden="1" x14ac:dyDescent="0.3">
      <c r="A2152" s="205">
        <v>45986</v>
      </c>
      <c r="B2152" s="252" t="s">
        <v>217</v>
      </c>
      <c r="C2152" s="24" t="s">
        <v>6</v>
      </c>
      <c r="D2152" s="13" t="s">
        <v>63</v>
      </c>
      <c r="E2152" s="28">
        <v>-9000</v>
      </c>
      <c r="F2152" s="25" t="s">
        <v>8</v>
      </c>
      <c r="G2152" s="14" t="s">
        <v>64</v>
      </c>
    </row>
    <row r="2153" spans="1:7" s="291" customFormat="1" hidden="1" x14ac:dyDescent="0.3">
      <c r="A2153" s="205">
        <v>45986</v>
      </c>
      <c r="B2153" s="252" t="s">
        <v>217</v>
      </c>
      <c r="C2153" s="24" t="s">
        <v>17</v>
      </c>
      <c r="D2153" s="13" t="s">
        <v>137</v>
      </c>
      <c r="E2153" s="28">
        <v>-500</v>
      </c>
      <c r="F2153" s="25" t="s">
        <v>8</v>
      </c>
      <c r="G2153" s="14" t="s">
        <v>69</v>
      </c>
    </row>
    <row r="2154" spans="1:7" s="291" customFormat="1" hidden="1" x14ac:dyDescent="0.3">
      <c r="A2154" s="205">
        <v>45986</v>
      </c>
      <c r="B2154" s="252" t="s">
        <v>217</v>
      </c>
      <c r="C2154" s="24" t="s">
        <v>6</v>
      </c>
      <c r="D2154" s="13" t="s">
        <v>138</v>
      </c>
      <c r="E2154" s="28">
        <v>-294.8</v>
      </c>
      <c r="F2154" s="25" t="s">
        <v>8</v>
      </c>
      <c r="G2154" s="14" t="s">
        <v>139</v>
      </c>
    </row>
    <row r="2155" spans="1:7" s="291" customFormat="1" hidden="1" x14ac:dyDescent="0.3">
      <c r="A2155" s="205">
        <v>45986</v>
      </c>
      <c r="B2155" s="252" t="s">
        <v>217</v>
      </c>
      <c r="C2155" s="24" t="s">
        <v>25</v>
      </c>
      <c r="D2155" s="13" t="s">
        <v>140</v>
      </c>
      <c r="E2155" s="28">
        <v>-1812.64</v>
      </c>
      <c r="F2155" s="25" t="s">
        <v>8</v>
      </c>
      <c r="G2155" s="214" t="s">
        <v>156</v>
      </c>
    </row>
    <row r="2156" spans="1:7" s="291" customFormat="1" hidden="1" x14ac:dyDescent="0.3">
      <c r="A2156" s="252">
        <v>45975</v>
      </c>
      <c r="B2156" s="252" t="s">
        <v>217</v>
      </c>
      <c r="C2156" s="24" t="s">
        <v>17</v>
      </c>
      <c r="D2156" s="13" t="s">
        <v>143</v>
      </c>
      <c r="E2156" s="28">
        <v>-9980</v>
      </c>
      <c r="F2156" s="25" t="s">
        <v>8</v>
      </c>
      <c r="G2156" s="14" t="s">
        <v>59</v>
      </c>
    </row>
    <row r="2157" spans="1:7" s="291" customFormat="1" hidden="1" x14ac:dyDescent="0.3">
      <c r="A2157" s="205">
        <v>45989</v>
      </c>
      <c r="B2157" s="252" t="s">
        <v>217</v>
      </c>
      <c r="C2157" s="24" t="s">
        <v>13</v>
      </c>
      <c r="D2157" s="13" t="s">
        <v>144</v>
      </c>
      <c r="E2157" s="28">
        <v>-500</v>
      </c>
      <c r="F2157" s="25" t="s">
        <v>8</v>
      </c>
      <c r="G2157" s="14" t="s">
        <v>69</v>
      </c>
    </row>
    <row r="2158" spans="1:7" s="291" customFormat="1" hidden="1" x14ac:dyDescent="0.3">
      <c r="A2158" s="205">
        <v>45989</v>
      </c>
      <c r="B2158" s="252" t="s">
        <v>217</v>
      </c>
      <c r="C2158" s="27" t="s">
        <v>65</v>
      </c>
      <c r="D2158" s="13" t="s">
        <v>97</v>
      </c>
      <c r="E2158" s="28">
        <v>-5000</v>
      </c>
      <c r="F2158" s="14" t="s">
        <v>8</v>
      </c>
      <c r="G2158" s="14" t="s">
        <v>39</v>
      </c>
    </row>
    <row r="2159" spans="1:7" s="291" customFormat="1" hidden="1" x14ac:dyDescent="0.3">
      <c r="A2159" s="205">
        <v>45989</v>
      </c>
      <c r="B2159" s="252" t="s">
        <v>217</v>
      </c>
      <c r="C2159" s="17" t="s">
        <v>17</v>
      </c>
      <c r="D2159" s="18" t="s">
        <v>145</v>
      </c>
      <c r="E2159" s="28">
        <v>-2530.4299999999998</v>
      </c>
      <c r="F2159" s="25" t="s">
        <v>8</v>
      </c>
      <c r="G2159" s="14" t="s">
        <v>69</v>
      </c>
    </row>
    <row r="2160" spans="1:7" s="291" customFormat="1" hidden="1" x14ac:dyDescent="0.3">
      <c r="A2160" s="205">
        <v>45989</v>
      </c>
      <c r="B2160" s="252" t="s">
        <v>217</v>
      </c>
      <c r="C2160" s="17" t="s">
        <v>17</v>
      </c>
      <c r="D2160" s="18" t="s">
        <v>145</v>
      </c>
      <c r="E2160" s="28">
        <v>-1339.5</v>
      </c>
      <c r="F2160" s="25" t="s">
        <v>8</v>
      </c>
      <c r="G2160" s="14" t="s">
        <v>69</v>
      </c>
    </row>
    <row r="2161" spans="1:7" s="291" customFormat="1" hidden="1" x14ac:dyDescent="0.3">
      <c r="A2161" s="252">
        <v>45968</v>
      </c>
      <c r="B2161" s="252" t="s">
        <v>217</v>
      </c>
      <c r="C2161" s="24" t="s">
        <v>81</v>
      </c>
      <c r="D2161" s="13" t="s">
        <v>146</v>
      </c>
      <c r="E2161" s="28">
        <v>-5000</v>
      </c>
      <c r="F2161" s="25" t="s">
        <v>8</v>
      </c>
      <c r="G2161" s="14" t="s">
        <v>83</v>
      </c>
    </row>
    <row r="2162" spans="1:7" s="291" customFormat="1" hidden="1" x14ac:dyDescent="0.3">
      <c r="A2162" s="205">
        <v>45989</v>
      </c>
      <c r="B2162" s="252" t="s">
        <v>217</v>
      </c>
      <c r="C2162" s="24" t="s">
        <v>81</v>
      </c>
      <c r="D2162" s="13" t="s">
        <v>82</v>
      </c>
      <c r="E2162" s="28">
        <v>-15000</v>
      </c>
      <c r="F2162" s="25" t="s">
        <v>8</v>
      </c>
      <c r="G2162" s="14" t="s">
        <v>83</v>
      </c>
    </row>
    <row r="2163" spans="1:7" s="291" customFormat="1" hidden="1" x14ac:dyDescent="0.3">
      <c r="A2163" s="252">
        <v>45982</v>
      </c>
      <c r="B2163" s="252" t="s">
        <v>217</v>
      </c>
      <c r="C2163" s="24" t="s">
        <v>17</v>
      </c>
      <c r="D2163" s="13" t="s">
        <v>143</v>
      </c>
      <c r="E2163" s="28">
        <v>-9980</v>
      </c>
      <c r="F2163" s="25" t="s">
        <v>8</v>
      </c>
      <c r="G2163" s="14" t="s">
        <v>59</v>
      </c>
    </row>
    <row r="2164" spans="1:7" s="291" customFormat="1" hidden="1" x14ac:dyDescent="0.3">
      <c r="A2164" s="205">
        <v>45989</v>
      </c>
      <c r="B2164" s="252" t="s">
        <v>217</v>
      </c>
      <c r="C2164" s="24" t="s">
        <v>17</v>
      </c>
      <c r="D2164" s="13" t="s">
        <v>143</v>
      </c>
      <c r="E2164" s="28">
        <v>-23498.18</v>
      </c>
      <c r="F2164" s="25" t="s">
        <v>8</v>
      </c>
      <c r="G2164" s="14" t="s">
        <v>59</v>
      </c>
    </row>
    <row r="2165" spans="1:7" s="291" customFormat="1" hidden="1" x14ac:dyDescent="0.3">
      <c r="A2165" s="205">
        <v>45989</v>
      </c>
      <c r="B2165" s="252" t="s">
        <v>217</v>
      </c>
      <c r="C2165" s="24" t="s">
        <v>6</v>
      </c>
      <c r="D2165" s="13" t="s">
        <v>147</v>
      </c>
      <c r="E2165" s="28">
        <v>-35000</v>
      </c>
      <c r="F2165" s="25" t="s">
        <v>8</v>
      </c>
      <c r="G2165" s="257" t="s">
        <v>127</v>
      </c>
    </row>
    <row r="2166" spans="1:7" s="291" customFormat="1" hidden="1" x14ac:dyDescent="0.3">
      <c r="A2166" s="205">
        <v>45989</v>
      </c>
      <c r="B2166" s="252" t="s">
        <v>217</v>
      </c>
      <c r="C2166" s="24" t="s">
        <v>6</v>
      </c>
      <c r="D2166" s="13" t="s">
        <v>148</v>
      </c>
      <c r="E2166" s="28">
        <v>-7000</v>
      </c>
      <c r="F2166" s="25" t="s">
        <v>8</v>
      </c>
      <c r="G2166" s="14" t="s">
        <v>99</v>
      </c>
    </row>
    <row r="2167" spans="1:7" s="291" customFormat="1" hidden="1" x14ac:dyDescent="0.3">
      <c r="A2167" s="205">
        <v>45989</v>
      </c>
      <c r="B2167" s="252" t="s">
        <v>217</v>
      </c>
      <c r="C2167" s="24" t="s">
        <v>17</v>
      </c>
      <c r="D2167" s="18" t="s">
        <v>149</v>
      </c>
      <c r="E2167" s="28">
        <v>-1500</v>
      </c>
      <c r="F2167" s="25" t="s">
        <v>8</v>
      </c>
      <c r="G2167" s="14" t="s">
        <v>150</v>
      </c>
    </row>
    <row r="2168" spans="1:7" s="291" customFormat="1" hidden="1" x14ac:dyDescent="0.3">
      <c r="A2168" s="205">
        <v>45989</v>
      </c>
      <c r="B2168" s="252" t="s">
        <v>217</v>
      </c>
      <c r="C2168" s="24" t="s">
        <v>17</v>
      </c>
      <c r="D2168" s="18" t="s">
        <v>151</v>
      </c>
      <c r="E2168" s="28">
        <v>-50</v>
      </c>
      <c r="F2168" s="25" t="s">
        <v>8</v>
      </c>
      <c r="G2168" s="14" t="s">
        <v>150</v>
      </c>
    </row>
    <row r="2169" spans="1:7" s="291" customFormat="1" hidden="1" x14ac:dyDescent="0.3">
      <c r="A2169" s="205">
        <v>45989</v>
      </c>
      <c r="B2169" s="252" t="s">
        <v>217</v>
      </c>
      <c r="C2169" s="24" t="s">
        <v>13</v>
      </c>
      <c r="D2169" s="13" t="s">
        <v>152</v>
      </c>
      <c r="E2169" s="28">
        <v>-800</v>
      </c>
      <c r="F2169" s="25" t="s">
        <v>8</v>
      </c>
      <c r="G2169" s="14" t="s">
        <v>153</v>
      </c>
    </row>
    <row r="2170" spans="1:7" s="291" customFormat="1" hidden="1" x14ac:dyDescent="0.3">
      <c r="A2170" s="205">
        <v>45989</v>
      </c>
      <c r="B2170" s="252" t="s">
        <v>217</v>
      </c>
      <c r="C2170" s="24" t="s">
        <v>6</v>
      </c>
      <c r="D2170" s="18" t="s">
        <v>154</v>
      </c>
      <c r="E2170" s="28">
        <v>-40000</v>
      </c>
      <c r="F2170" s="25" t="s">
        <v>8</v>
      </c>
      <c r="G2170" s="25" t="s">
        <v>155</v>
      </c>
    </row>
    <row r="2171" spans="1:7" s="291" customFormat="1" hidden="1" x14ac:dyDescent="0.3">
      <c r="A2171" s="205">
        <v>45989</v>
      </c>
      <c r="B2171" s="252" t="s">
        <v>217</v>
      </c>
      <c r="C2171" s="24" t="s">
        <v>17</v>
      </c>
      <c r="D2171" s="18" t="s">
        <v>157</v>
      </c>
      <c r="E2171" s="28">
        <v>-7000</v>
      </c>
      <c r="F2171" s="25" t="s">
        <v>8</v>
      </c>
      <c r="G2171" s="257" t="s">
        <v>127</v>
      </c>
    </row>
    <row r="2172" spans="1:7" s="291" customFormat="1" hidden="1" x14ac:dyDescent="0.3">
      <c r="A2172" s="205">
        <v>45989</v>
      </c>
      <c r="B2172" s="252" t="s">
        <v>217</v>
      </c>
      <c r="C2172" s="24" t="s">
        <v>44</v>
      </c>
      <c r="D2172" s="18" t="s">
        <v>158</v>
      </c>
      <c r="E2172" s="28">
        <v>-600</v>
      </c>
      <c r="F2172" s="25" t="s">
        <v>8</v>
      </c>
      <c r="G2172" s="257" t="s">
        <v>127</v>
      </c>
    </row>
    <row r="2173" spans="1:7" s="291" customFormat="1" hidden="1" x14ac:dyDescent="0.3">
      <c r="A2173" s="205">
        <v>45989</v>
      </c>
      <c r="B2173" s="252" t="s">
        <v>217</v>
      </c>
      <c r="C2173" s="24" t="s">
        <v>44</v>
      </c>
      <c r="D2173" s="18" t="s">
        <v>159</v>
      </c>
      <c r="E2173" s="28">
        <v>-4000</v>
      </c>
      <c r="F2173" s="25" t="s">
        <v>8</v>
      </c>
      <c r="G2173" s="257" t="s">
        <v>127</v>
      </c>
    </row>
    <row r="2174" spans="1:7" s="291" customFormat="1" hidden="1" x14ac:dyDescent="0.3">
      <c r="A2174" s="205">
        <v>45989</v>
      </c>
      <c r="B2174" s="252" t="s">
        <v>217</v>
      </c>
      <c r="C2174" s="24" t="s">
        <v>81</v>
      </c>
      <c r="D2174" s="13" t="s">
        <v>160</v>
      </c>
      <c r="E2174" s="28">
        <v>-9000</v>
      </c>
      <c r="F2174" s="25" t="s">
        <v>8</v>
      </c>
      <c r="G2174" s="257" t="s">
        <v>127</v>
      </c>
    </row>
    <row r="2175" spans="1:7" s="291" customFormat="1" hidden="1" x14ac:dyDescent="0.3">
      <c r="A2175" s="205">
        <v>45989</v>
      </c>
      <c r="B2175" s="252" t="s">
        <v>217</v>
      </c>
      <c r="C2175" s="24" t="s">
        <v>44</v>
      </c>
      <c r="D2175" s="13" t="s">
        <v>161</v>
      </c>
      <c r="E2175" s="28">
        <v>-1719.53</v>
      </c>
      <c r="F2175" s="25" t="s">
        <v>8</v>
      </c>
      <c r="G2175" s="25" t="s">
        <v>93</v>
      </c>
    </row>
    <row r="2176" spans="1:7" s="291" customFormat="1" hidden="1" x14ac:dyDescent="0.3">
      <c r="A2176" s="205">
        <v>45989</v>
      </c>
      <c r="B2176" s="252" t="s">
        <v>217</v>
      </c>
      <c r="C2176" s="24" t="s">
        <v>6</v>
      </c>
      <c r="D2176" s="13" t="s">
        <v>161</v>
      </c>
      <c r="E2176" s="28">
        <v>-1392.65</v>
      </c>
      <c r="F2176" s="25" t="s">
        <v>8</v>
      </c>
      <c r="G2176" s="25" t="s">
        <v>93</v>
      </c>
    </row>
    <row r="2177" spans="1:7" s="291" customFormat="1" hidden="1" x14ac:dyDescent="0.3">
      <c r="A2177" s="265">
        <v>45971</v>
      </c>
      <c r="B2177" s="265" t="s">
        <v>217</v>
      </c>
      <c r="C2177" s="258" t="s">
        <v>13</v>
      </c>
      <c r="D2177" s="203" t="s">
        <v>219</v>
      </c>
      <c r="E2177" s="204">
        <v>-50000</v>
      </c>
      <c r="F2177" s="51" t="s">
        <v>8</v>
      </c>
      <c r="G2177" s="232" t="s">
        <v>27</v>
      </c>
    </row>
    <row r="2178" spans="1:7" hidden="1" x14ac:dyDescent="0.3">
      <c r="A2178" s="275">
        <v>45940</v>
      </c>
      <c r="B2178" s="275" t="s">
        <v>216</v>
      </c>
      <c r="C2178" s="272" t="s">
        <v>173</v>
      </c>
      <c r="D2178" s="200" t="s">
        <v>174</v>
      </c>
      <c r="E2178" s="273">
        <v>8041</v>
      </c>
      <c r="F2178" s="110" t="s">
        <v>164</v>
      </c>
      <c r="G2178" s="137" t="s">
        <v>165</v>
      </c>
    </row>
    <row r="2179" spans="1:7" s="291" customFormat="1" ht="12.6" hidden="1" customHeight="1" x14ac:dyDescent="0.3">
      <c r="A2179" s="275">
        <v>45971</v>
      </c>
      <c r="B2179" s="275" t="s">
        <v>217</v>
      </c>
      <c r="C2179" s="272" t="s">
        <v>173</v>
      </c>
      <c r="D2179" s="200" t="s">
        <v>174</v>
      </c>
      <c r="E2179" s="273">
        <v>33748.379999999997</v>
      </c>
      <c r="F2179" s="110" t="s">
        <v>164</v>
      </c>
      <c r="G2179" s="137" t="s">
        <v>165</v>
      </c>
    </row>
    <row r="2180" spans="1:7" hidden="1" x14ac:dyDescent="0.3">
      <c r="A2180" s="275">
        <v>45971</v>
      </c>
      <c r="B2180" s="275" t="s">
        <v>217</v>
      </c>
      <c r="C2180" s="272" t="s">
        <v>173</v>
      </c>
      <c r="D2180" s="200" t="s">
        <v>174</v>
      </c>
      <c r="E2180" s="273">
        <v>8041</v>
      </c>
      <c r="F2180" s="110" t="s">
        <v>164</v>
      </c>
      <c r="G2180" s="137" t="s">
        <v>165</v>
      </c>
    </row>
    <row r="2181" spans="1:7" hidden="1" x14ac:dyDescent="0.3">
      <c r="A2181" s="275">
        <v>45972</v>
      </c>
      <c r="B2181" s="275" t="s">
        <v>217</v>
      </c>
      <c r="C2181" s="272" t="s">
        <v>173</v>
      </c>
      <c r="D2181" s="53" t="s">
        <v>175</v>
      </c>
      <c r="E2181" s="273">
        <v>4880.1400000000003</v>
      </c>
      <c r="F2181" s="110" t="s">
        <v>164</v>
      </c>
      <c r="G2181" s="137" t="s">
        <v>165</v>
      </c>
    </row>
    <row r="2182" spans="1:7" hidden="1" x14ac:dyDescent="0.3">
      <c r="A2182" s="275">
        <v>45972</v>
      </c>
      <c r="B2182" s="275" t="s">
        <v>217</v>
      </c>
      <c r="C2182" s="272" t="s">
        <v>170</v>
      </c>
      <c r="D2182" s="53" t="s">
        <v>176</v>
      </c>
      <c r="E2182" s="273">
        <v>603.26</v>
      </c>
      <c r="F2182" s="110" t="s">
        <v>164</v>
      </c>
      <c r="G2182" s="137" t="s">
        <v>165</v>
      </c>
    </row>
    <row r="2183" spans="1:7" hidden="1" x14ac:dyDescent="0.3">
      <c r="A2183" s="275">
        <v>45972</v>
      </c>
      <c r="B2183" s="275" t="s">
        <v>217</v>
      </c>
      <c r="C2183" s="272" t="s">
        <v>170</v>
      </c>
      <c r="D2183" s="53" t="s">
        <v>176</v>
      </c>
      <c r="E2183" s="273">
        <v>1106.1400000000001</v>
      </c>
      <c r="F2183" s="110" t="s">
        <v>164</v>
      </c>
      <c r="G2183" s="137" t="s">
        <v>165</v>
      </c>
    </row>
    <row r="2184" spans="1:7" hidden="1" x14ac:dyDescent="0.3">
      <c r="A2184" s="275">
        <v>45972</v>
      </c>
      <c r="B2184" s="275" t="s">
        <v>217</v>
      </c>
      <c r="C2184" s="272" t="s">
        <v>170</v>
      </c>
      <c r="D2184" s="53" t="s">
        <v>176</v>
      </c>
      <c r="E2184" s="273">
        <v>9631</v>
      </c>
      <c r="F2184" s="110" t="s">
        <v>164</v>
      </c>
      <c r="G2184" s="137" t="s">
        <v>165</v>
      </c>
    </row>
    <row r="2185" spans="1:7" hidden="1" x14ac:dyDescent="0.3">
      <c r="A2185" s="275">
        <v>45972</v>
      </c>
      <c r="B2185" s="275" t="s">
        <v>217</v>
      </c>
      <c r="C2185" s="272" t="s">
        <v>177</v>
      </c>
      <c r="D2185" s="53" t="s">
        <v>178</v>
      </c>
      <c r="E2185" s="126">
        <v>257.81</v>
      </c>
      <c r="F2185" s="110" t="s">
        <v>164</v>
      </c>
      <c r="G2185" s="137" t="s">
        <v>165</v>
      </c>
    </row>
    <row r="2186" spans="1:7" hidden="1" x14ac:dyDescent="0.3">
      <c r="A2186" s="275">
        <v>45972</v>
      </c>
      <c r="B2186" s="275" t="s">
        <v>217</v>
      </c>
      <c r="C2186" s="272" t="s">
        <v>177</v>
      </c>
      <c r="D2186" s="53" t="s">
        <v>179</v>
      </c>
      <c r="E2186" s="273">
        <v>680.03</v>
      </c>
      <c r="F2186" s="110" t="s">
        <v>164</v>
      </c>
      <c r="G2186" s="137" t="s">
        <v>165</v>
      </c>
    </row>
    <row r="2187" spans="1:7" hidden="1" x14ac:dyDescent="0.3">
      <c r="A2187" s="275">
        <v>45952</v>
      </c>
      <c r="B2187" s="275" t="s">
        <v>216</v>
      </c>
      <c r="C2187" s="272" t="s">
        <v>180</v>
      </c>
      <c r="D2187" s="274" t="s">
        <v>181</v>
      </c>
      <c r="E2187" s="273">
        <v>12459.61</v>
      </c>
      <c r="F2187" s="110" t="s">
        <v>164</v>
      </c>
      <c r="G2187" s="137" t="s">
        <v>165</v>
      </c>
    </row>
    <row r="2188" spans="1:7" hidden="1" x14ac:dyDescent="0.3">
      <c r="A2188" s="275">
        <v>45972</v>
      </c>
      <c r="B2188" s="275" t="s">
        <v>217</v>
      </c>
      <c r="C2188" s="272" t="s">
        <v>180</v>
      </c>
      <c r="D2188" s="274" t="s">
        <v>181</v>
      </c>
      <c r="E2188" s="100">
        <v>24988.71</v>
      </c>
      <c r="F2188" s="110" t="s">
        <v>164</v>
      </c>
      <c r="G2188" s="137" t="s">
        <v>165</v>
      </c>
    </row>
    <row r="2189" spans="1:7" hidden="1" x14ac:dyDescent="0.3">
      <c r="A2189" s="275">
        <v>45972</v>
      </c>
      <c r="B2189" s="275" t="s">
        <v>217</v>
      </c>
      <c r="C2189" s="272" t="s">
        <v>180</v>
      </c>
      <c r="D2189" s="274" t="s">
        <v>181</v>
      </c>
      <c r="E2189" s="100">
        <v>16834.330000000002</v>
      </c>
      <c r="F2189" s="110" t="s">
        <v>164</v>
      </c>
      <c r="G2189" s="137" t="s">
        <v>165</v>
      </c>
    </row>
    <row r="2190" spans="1:7" hidden="1" x14ac:dyDescent="0.3">
      <c r="A2190" s="275">
        <v>45972</v>
      </c>
      <c r="B2190" s="275" t="s">
        <v>217</v>
      </c>
      <c r="C2190" s="272" t="s">
        <v>180</v>
      </c>
      <c r="D2190" s="274" t="s">
        <v>181</v>
      </c>
      <c r="E2190" s="100">
        <v>268.13</v>
      </c>
      <c r="F2190" s="110" t="s">
        <v>164</v>
      </c>
      <c r="G2190" s="137" t="s">
        <v>165</v>
      </c>
    </row>
    <row r="2191" spans="1:7" hidden="1" x14ac:dyDescent="0.3">
      <c r="A2191" s="98">
        <v>45982</v>
      </c>
      <c r="B2191" s="275" t="s">
        <v>217</v>
      </c>
      <c r="C2191" s="272" t="s">
        <v>180</v>
      </c>
      <c r="D2191" s="274" t="s">
        <v>181</v>
      </c>
      <c r="E2191" s="100">
        <v>2284.4499999999998</v>
      </c>
      <c r="F2191" s="110" t="s">
        <v>164</v>
      </c>
      <c r="G2191" s="137" t="s">
        <v>165</v>
      </c>
    </row>
    <row r="2192" spans="1:7" hidden="1" x14ac:dyDescent="0.3">
      <c r="A2192" s="275">
        <v>45972</v>
      </c>
      <c r="B2192" s="275" t="s">
        <v>217</v>
      </c>
      <c r="C2192" s="272" t="s">
        <v>166</v>
      </c>
      <c r="D2192" s="276" t="s">
        <v>182</v>
      </c>
      <c r="E2192" s="277">
        <v>7850</v>
      </c>
      <c r="F2192" s="278" t="s">
        <v>164</v>
      </c>
      <c r="G2192" s="137" t="s">
        <v>165</v>
      </c>
    </row>
    <row r="2193" spans="1:7" hidden="1" x14ac:dyDescent="0.3">
      <c r="A2193" s="275">
        <v>45965</v>
      </c>
      <c r="B2193" s="275" t="s">
        <v>217</v>
      </c>
      <c r="C2193" s="272" t="s">
        <v>17</v>
      </c>
      <c r="D2193" s="53" t="s">
        <v>183</v>
      </c>
      <c r="E2193" s="273">
        <v>345280</v>
      </c>
      <c r="F2193" s="110" t="s">
        <v>164</v>
      </c>
      <c r="G2193" s="137" t="s">
        <v>165</v>
      </c>
    </row>
    <row r="2194" spans="1:7" hidden="1" x14ac:dyDescent="0.3">
      <c r="A2194" s="275">
        <v>45979</v>
      </c>
      <c r="B2194" s="275" t="s">
        <v>217</v>
      </c>
      <c r="C2194" s="272" t="s">
        <v>184</v>
      </c>
      <c r="D2194" s="53" t="s">
        <v>185</v>
      </c>
      <c r="E2194" s="279">
        <v>17956.39</v>
      </c>
      <c r="F2194" s="110" t="s">
        <v>164</v>
      </c>
      <c r="G2194" s="137" t="s">
        <v>165</v>
      </c>
    </row>
    <row r="2195" spans="1:7" hidden="1" x14ac:dyDescent="0.3">
      <c r="A2195" s="98">
        <v>45979</v>
      </c>
      <c r="B2195" s="275" t="s">
        <v>217</v>
      </c>
      <c r="C2195" s="272" t="s">
        <v>166</v>
      </c>
      <c r="D2195" s="53" t="s">
        <v>186</v>
      </c>
      <c r="E2195" s="100">
        <v>4717.4399999999996</v>
      </c>
      <c r="F2195" s="278" t="s">
        <v>164</v>
      </c>
      <c r="G2195" s="137" t="s">
        <v>165</v>
      </c>
    </row>
    <row r="2196" spans="1:7" hidden="1" x14ac:dyDescent="0.3">
      <c r="A2196" s="98">
        <v>45979</v>
      </c>
      <c r="B2196" s="275" t="s">
        <v>217</v>
      </c>
      <c r="C2196" s="272" t="s">
        <v>166</v>
      </c>
      <c r="D2196" s="53" t="s">
        <v>186</v>
      </c>
      <c r="E2196" s="100">
        <v>9938.39</v>
      </c>
      <c r="F2196" s="278" t="s">
        <v>164</v>
      </c>
      <c r="G2196" s="137" t="s">
        <v>165</v>
      </c>
    </row>
    <row r="2197" spans="1:7" hidden="1" x14ac:dyDescent="0.3">
      <c r="A2197" s="98">
        <v>45979</v>
      </c>
      <c r="B2197" s="275" t="s">
        <v>217</v>
      </c>
      <c r="C2197" s="272" t="s">
        <v>166</v>
      </c>
      <c r="D2197" s="53" t="s">
        <v>186</v>
      </c>
      <c r="E2197" s="100">
        <v>22139.98</v>
      </c>
      <c r="F2197" s="278" t="s">
        <v>164</v>
      </c>
      <c r="G2197" s="137" t="s">
        <v>165</v>
      </c>
    </row>
    <row r="2198" spans="1:7" hidden="1" x14ac:dyDescent="0.3">
      <c r="A2198" s="275">
        <v>45989</v>
      </c>
      <c r="B2198" s="275" t="s">
        <v>217</v>
      </c>
      <c r="C2198" s="272" t="s">
        <v>180</v>
      </c>
      <c r="D2198" s="53" t="s">
        <v>187</v>
      </c>
      <c r="E2198" s="126">
        <v>2373.8200000000002</v>
      </c>
      <c r="F2198" s="110" t="s">
        <v>164</v>
      </c>
      <c r="G2198" s="137" t="s">
        <v>165</v>
      </c>
    </row>
    <row r="2199" spans="1:7" hidden="1" x14ac:dyDescent="0.3">
      <c r="A2199" s="275">
        <v>45989</v>
      </c>
      <c r="B2199" s="299" t="s">
        <v>217</v>
      </c>
      <c r="C2199" s="272" t="s">
        <v>180</v>
      </c>
      <c r="D2199" s="53" t="s">
        <v>187</v>
      </c>
      <c r="E2199" s="126">
        <v>5823.82</v>
      </c>
      <c r="F2199" s="110" t="s">
        <v>164</v>
      </c>
      <c r="G2199" s="137" t="s">
        <v>165</v>
      </c>
    </row>
    <row r="2200" spans="1:7" hidden="1" x14ac:dyDescent="0.3">
      <c r="A2200" s="275">
        <v>45989</v>
      </c>
      <c r="B2200" s="299" t="s">
        <v>217</v>
      </c>
      <c r="C2200" s="272" t="s">
        <v>180</v>
      </c>
      <c r="D2200" s="53" t="s">
        <v>187</v>
      </c>
      <c r="E2200" s="126">
        <v>7526.95</v>
      </c>
      <c r="F2200" s="110" t="s">
        <v>164</v>
      </c>
      <c r="G2200" s="137" t="s">
        <v>165</v>
      </c>
    </row>
    <row r="2201" spans="1:7" hidden="1" x14ac:dyDescent="0.3">
      <c r="A2201" s="275">
        <v>45989</v>
      </c>
      <c r="B2201" s="299" t="s">
        <v>217</v>
      </c>
      <c r="C2201" s="272" t="s">
        <v>180</v>
      </c>
      <c r="D2201" s="53" t="s">
        <v>187</v>
      </c>
      <c r="E2201" s="126">
        <v>25756.63</v>
      </c>
      <c r="F2201" s="110" t="s">
        <v>164</v>
      </c>
      <c r="G2201" s="137" t="s">
        <v>165</v>
      </c>
    </row>
    <row r="2202" spans="1:7" hidden="1" x14ac:dyDescent="0.3">
      <c r="A2202" s="97">
        <v>45989</v>
      </c>
      <c r="B2202" s="299" t="s">
        <v>217</v>
      </c>
      <c r="C2202" s="272" t="s">
        <v>173</v>
      </c>
      <c r="D2202" s="53" t="s">
        <v>188</v>
      </c>
      <c r="E2202" s="280">
        <v>816717.89</v>
      </c>
      <c r="F2202" s="110" t="s">
        <v>164</v>
      </c>
      <c r="G2202" s="137" t="s">
        <v>165</v>
      </c>
    </row>
    <row r="2203" spans="1:7" s="291" customFormat="1" hidden="1" x14ac:dyDescent="0.3">
      <c r="A2203" s="226">
        <v>45986</v>
      </c>
      <c r="B2203" s="298" t="s">
        <v>217</v>
      </c>
      <c r="C2203" s="260" t="s">
        <v>31</v>
      </c>
      <c r="D2203" s="261" t="s">
        <v>614</v>
      </c>
      <c r="E2203" s="253">
        <v>-7000</v>
      </c>
      <c r="F2203" s="262" t="s">
        <v>8</v>
      </c>
      <c r="G2203" s="168" t="s">
        <v>46</v>
      </c>
    </row>
    <row r="2204" spans="1:7" s="291" customFormat="1" hidden="1" x14ac:dyDescent="0.3">
      <c r="A2204" s="205">
        <v>45986</v>
      </c>
      <c r="B2204" s="252" t="s">
        <v>217</v>
      </c>
      <c r="C2204" s="24" t="s">
        <v>25</v>
      </c>
      <c r="D2204" s="13" t="s">
        <v>198</v>
      </c>
      <c r="E2204" s="28">
        <v>-7000</v>
      </c>
      <c r="F2204" s="25" t="s">
        <v>8</v>
      </c>
      <c r="G2204" s="20" t="s">
        <v>46</v>
      </c>
    </row>
    <row r="2205" spans="1:7" s="291" customFormat="1" hidden="1" x14ac:dyDescent="0.3">
      <c r="A2205" s="252">
        <v>45978</v>
      </c>
      <c r="B2205" s="252" t="s">
        <v>217</v>
      </c>
      <c r="C2205" s="24" t="s">
        <v>31</v>
      </c>
      <c r="D2205" s="263" t="s">
        <v>199</v>
      </c>
      <c r="E2205" s="264">
        <v>-630</v>
      </c>
      <c r="F2205" s="25" t="s">
        <v>8</v>
      </c>
      <c r="G2205" s="14" t="s">
        <v>51</v>
      </c>
    </row>
    <row r="2206" spans="1:7" s="291" customFormat="1" hidden="1" x14ac:dyDescent="0.3">
      <c r="A2206" s="252">
        <v>45978</v>
      </c>
      <c r="B2206" s="252" t="s">
        <v>217</v>
      </c>
      <c r="C2206" s="24" t="s">
        <v>6</v>
      </c>
      <c r="D2206" s="263" t="s">
        <v>200</v>
      </c>
      <c r="E2206" s="264">
        <v>-1905.5</v>
      </c>
      <c r="F2206" s="25" t="s">
        <v>8</v>
      </c>
      <c r="G2206" s="14" t="s">
        <v>51</v>
      </c>
    </row>
    <row r="2207" spans="1:7" s="291" customFormat="1" hidden="1" x14ac:dyDescent="0.3">
      <c r="A2207" s="205">
        <v>45989</v>
      </c>
      <c r="B2207" s="252" t="s">
        <v>217</v>
      </c>
      <c r="C2207" s="22" t="s">
        <v>6</v>
      </c>
      <c r="D2207" s="18" t="s">
        <v>220</v>
      </c>
      <c r="E2207" s="19">
        <v>-261861.65</v>
      </c>
      <c r="F2207" s="20" t="s">
        <v>8</v>
      </c>
      <c r="G2207" s="20" t="s">
        <v>231</v>
      </c>
    </row>
    <row r="2208" spans="1:7" s="291" customFormat="1" hidden="1" x14ac:dyDescent="0.3">
      <c r="A2208" s="205">
        <v>45971</v>
      </c>
      <c r="B2208" s="252" t="s">
        <v>217</v>
      </c>
      <c r="C2208" s="17" t="s">
        <v>31</v>
      </c>
      <c r="D2208" s="26" t="s">
        <v>647</v>
      </c>
      <c r="E2208" s="19">
        <v>-1000</v>
      </c>
      <c r="F2208" s="20" t="s">
        <v>8</v>
      </c>
      <c r="G2208" s="20" t="s">
        <v>189</v>
      </c>
    </row>
    <row r="2209" spans="1:7" s="291" customFormat="1" hidden="1" x14ac:dyDescent="0.3">
      <c r="A2209" s="205">
        <v>45975</v>
      </c>
      <c r="B2209" s="252" t="s">
        <v>217</v>
      </c>
      <c r="C2209" s="17" t="s">
        <v>6</v>
      </c>
      <c r="D2209" s="26" t="s">
        <v>191</v>
      </c>
      <c r="E2209" s="19">
        <v>-10000</v>
      </c>
      <c r="F2209" s="20" t="s">
        <v>8</v>
      </c>
      <c r="G2209" s="20" t="s">
        <v>189</v>
      </c>
    </row>
    <row r="2210" spans="1:7" s="291" customFormat="1" hidden="1" x14ac:dyDescent="0.3">
      <c r="A2210" s="205">
        <v>45968</v>
      </c>
      <c r="B2210" s="252" t="s">
        <v>217</v>
      </c>
      <c r="C2210" s="17" t="s">
        <v>106</v>
      </c>
      <c r="D2210" s="26" t="s">
        <v>642</v>
      </c>
      <c r="E2210" s="19">
        <v>-2000</v>
      </c>
      <c r="F2210" s="20" t="s">
        <v>8</v>
      </c>
      <c r="G2210" s="20" t="s">
        <v>189</v>
      </c>
    </row>
    <row r="2211" spans="1:7" s="291" customFormat="1" hidden="1" x14ac:dyDescent="0.3">
      <c r="A2211" s="205">
        <v>45975</v>
      </c>
      <c r="B2211" s="252" t="s">
        <v>217</v>
      </c>
      <c r="C2211" s="17" t="s">
        <v>106</v>
      </c>
      <c r="D2211" s="26" t="s">
        <v>194</v>
      </c>
      <c r="E2211" s="19">
        <v>-2000</v>
      </c>
      <c r="F2211" s="20" t="s">
        <v>8</v>
      </c>
      <c r="G2211" s="20" t="s">
        <v>189</v>
      </c>
    </row>
    <row r="2212" spans="1:7" s="291" customFormat="1" hidden="1" x14ac:dyDescent="0.3">
      <c r="A2212" s="205">
        <v>45989</v>
      </c>
      <c r="B2212" s="252" t="s">
        <v>217</v>
      </c>
      <c r="C2212" s="26" t="s">
        <v>6</v>
      </c>
      <c r="D2212" s="26" t="s">
        <v>190</v>
      </c>
      <c r="E2212" s="19">
        <v>-2000</v>
      </c>
      <c r="F2212" s="20" t="s">
        <v>8</v>
      </c>
      <c r="G2212" s="20" t="s">
        <v>189</v>
      </c>
    </row>
    <row r="2213" spans="1:7" s="291" customFormat="1" hidden="1" x14ac:dyDescent="0.3">
      <c r="A2213" s="205">
        <v>45989</v>
      </c>
      <c r="B2213" s="252" t="s">
        <v>217</v>
      </c>
      <c r="C2213" s="26" t="s">
        <v>6</v>
      </c>
      <c r="D2213" s="26" t="s">
        <v>621</v>
      </c>
      <c r="E2213" s="19">
        <v>-3836.54</v>
      </c>
      <c r="F2213" s="20" t="s">
        <v>8</v>
      </c>
      <c r="G2213" s="20" t="s">
        <v>189</v>
      </c>
    </row>
    <row r="2214" spans="1:7" s="291" customFormat="1" hidden="1" x14ac:dyDescent="0.3">
      <c r="A2214" s="205">
        <v>45989</v>
      </c>
      <c r="B2214" s="252" t="s">
        <v>217</v>
      </c>
      <c r="C2214" s="26" t="s">
        <v>6</v>
      </c>
      <c r="D2214" s="26" t="s">
        <v>622</v>
      </c>
      <c r="E2214" s="19">
        <v>-3200</v>
      </c>
      <c r="F2214" s="20" t="s">
        <v>8</v>
      </c>
      <c r="G2214" s="20" t="s">
        <v>189</v>
      </c>
    </row>
    <row r="2215" spans="1:7" s="291" customFormat="1" hidden="1" x14ac:dyDescent="0.3">
      <c r="A2215" s="205">
        <v>45989</v>
      </c>
      <c r="B2215" s="252" t="s">
        <v>217</v>
      </c>
      <c r="C2215" s="26" t="s">
        <v>33</v>
      </c>
      <c r="D2215" s="26" t="s">
        <v>623</v>
      </c>
      <c r="E2215" s="19">
        <v>-1000</v>
      </c>
      <c r="F2215" s="20" t="s">
        <v>8</v>
      </c>
      <c r="G2215" s="20" t="s">
        <v>189</v>
      </c>
    </row>
    <row r="2216" spans="1:7" s="291" customFormat="1" hidden="1" x14ac:dyDescent="0.3">
      <c r="A2216" s="205">
        <v>45989</v>
      </c>
      <c r="B2216" s="252" t="s">
        <v>217</v>
      </c>
      <c r="C2216" s="26" t="s">
        <v>17</v>
      </c>
      <c r="D2216" s="26" t="s">
        <v>197</v>
      </c>
      <c r="E2216" s="19">
        <v>-1400</v>
      </c>
      <c r="F2216" s="20" t="s">
        <v>8</v>
      </c>
      <c r="G2216" s="20" t="s">
        <v>189</v>
      </c>
    </row>
    <row r="2217" spans="1:7" s="291" customFormat="1" hidden="1" x14ac:dyDescent="0.3">
      <c r="A2217" s="205">
        <v>45989</v>
      </c>
      <c r="B2217" s="252" t="s">
        <v>217</v>
      </c>
      <c r="C2217" s="26" t="s">
        <v>17</v>
      </c>
      <c r="D2217" s="26" t="s">
        <v>195</v>
      </c>
      <c r="E2217" s="19">
        <v>-1916.67</v>
      </c>
      <c r="F2217" s="20" t="s">
        <v>8</v>
      </c>
      <c r="G2217" s="20" t="s">
        <v>189</v>
      </c>
    </row>
    <row r="2218" spans="1:7" s="291" customFormat="1" hidden="1" x14ac:dyDescent="0.3">
      <c r="A2218" s="205">
        <v>45989</v>
      </c>
      <c r="B2218" s="252" t="s">
        <v>217</v>
      </c>
      <c r="C2218" s="26" t="s">
        <v>17</v>
      </c>
      <c r="D2218" s="26" t="s">
        <v>624</v>
      </c>
      <c r="E2218" s="19">
        <v>-2864.92</v>
      </c>
      <c r="F2218" s="20" t="s">
        <v>8</v>
      </c>
      <c r="G2218" s="20" t="s">
        <v>189</v>
      </c>
    </row>
    <row r="2219" spans="1:7" s="291" customFormat="1" hidden="1" x14ac:dyDescent="0.3">
      <c r="A2219" s="252">
        <v>45992</v>
      </c>
      <c r="B2219" s="252" t="s">
        <v>221</v>
      </c>
      <c r="C2219" s="30" t="s">
        <v>6</v>
      </c>
      <c r="D2219" s="13" t="s">
        <v>7</v>
      </c>
      <c r="E2219" s="28">
        <v>-650</v>
      </c>
      <c r="F2219" s="25" t="s">
        <v>8</v>
      </c>
      <c r="G2219" s="14" t="s">
        <v>9</v>
      </c>
    </row>
    <row r="2220" spans="1:7" s="291" customFormat="1" hidden="1" x14ac:dyDescent="0.3">
      <c r="A2220" s="252">
        <v>45992</v>
      </c>
      <c r="B2220" s="252" t="s">
        <v>221</v>
      </c>
      <c r="C2220" s="30" t="s">
        <v>6</v>
      </c>
      <c r="D2220" s="13" t="s">
        <v>10</v>
      </c>
      <c r="E2220" s="28">
        <v>-320</v>
      </c>
      <c r="F2220" s="25" t="s">
        <v>8</v>
      </c>
      <c r="G2220" s="14" t="s">
        <v>9</v>
      </c>
    </row>
    <row r="2221" spans="1:7" s="291" customFormat="1" hidden="1" x14ac:dyDescent="0.3">
      <c r="A2221" s="252">
        <v>45992</v>
      </c>
      <c r="B2221" s="252" t="s">
        <v>221</v>
      </c>
      <c r="C2221" s="30" t="s">
        <v>6</v>
      </c>
      <c r="D2221" s="13" t="s">
        <v>11</v>
      </c>
      <c r="E2221" s="28">
        <v>-350</v>
      </c>
      <c r="F2221" s="25" t="s">
        <v>8</v>
      </c>
      <c r="G2221" s="14" t="s">
        <v>9</v>
      </c>
    </row>
    <row r="2222" spans="1:7" s="291" customFormat="1" hidden="1" x14ac:dyDescent="0.3">
      <c r="A2222" s="252">
        <v>45992</v>
      </c>
      <c r="B2222" s="252" t="s">
        <v>221</v>
      </c>
      <c r="C2222" s="22" t="s">
        <v>6</v>
      </c>
      <c r="D2222" s="13" t="s">
        <v>12</v>
      </c>
      <c r="E2222" s="28">
        <v>-201</v>
      </c>
      <c r="F2222" s="25" t="s">
        <v>8</v>
      </c>
      <c r="G2222" s="14" t="s">
        <v>9</v>
      </c>
    </row>
    <row r="2223" spans="1:7" s="291" customFormat="1" hidden="1" x14ac:dyDescent="0.3">
      <c r="A2223" s="252">
        <v>45992</v>
      </c>
      <c r="B2223" s="252" t="s">
        <v>221</v>
      </c>
      <c r="C2223" s="22" t="s">
        <v>13</v>
      </c>
      <c r="D2223" s="13" t="s">
        <v>14</v>
      </c>
      <c r="E2223" s="28">
        <v>-2000</v>
      </c>
      <c r="F2223" s="25" t="s">
        <v>8</v>
      </c>
      <c r="G2223" s="14" t="s">
        <v>15</v>
      </c>
    </row>
    <row r="2224" spans="1:7" s="291" customFormat="1" hidden="1" x14ac:dyDescent="0.3">
      <c r="A2224" s="252">
        <v>45992</v>
      </c>
      <c r="B2224" s="252" t="s">
        <v>221</v>
      </c>
      <c r="C2224" s="22" t="s">
        <v>13</v>
      </c>
      <c r="D2224" s="13" t="s">
        <v>16</v>
      </c>
      <c r="E2224" s="28">
        <v>-5000</v>
      </c>
      <c r="F2224" s="25" t="s">
        <v>8</v>
      </c>
      <c r="G2224" s="14" t="s">
        <v>15</v>
      </c>
    </row>
    <row r="2225" spans="1:7" s="291" customFormat="1" hidden="1" x14ac:dyDescent="0.3">
      <c r="A2225" s="252">
        <v>45996</v>
      </c>
      <c r="B2225" s="252" t="s">
        <v>221</v>
      </c>
      <c r="C2225" s="22" t="s">
        <v>17</v>
      </c>
      <c r="D2225" s="13" t="s">
        <v>18</v>
      </c>
      <c r="E2225" s="21">
        <v>-17235</v>
      </c>
      <c r="F2225" s="25" t="s">
        <v>8</v>
      </c>
      <c r="G2225" s="14" t="s">
        <v>19</v>
      </c>
    </row>
    <row r="2226" spans="1:7" s="291" customFormat="1" hidden="1" x14ac:dyDescent="0.3">
      <c r="A2226" s="252">
        <v>45993</v>
      </c>
      <c r="B2226" s="252" t="s">
        <v>221</v>
      </c>
      <c r="C2226" s="26" t="s">
        <v>20</v>
      </c>
      <c r="D2226" s="18" t="s">
        <v>21</v>
      </c>
      <c r="E2226" s="28">
        <v>-900</v>
      </c>
      <c r="F2226" s="25" t="s">
        <v>8</v>
      </c>
      <c r="G2226" s="14" t="s">
        <v>22</v>
      </c>
    </row>
    <row r="2227" spans="1:7" s="291" customFormat="1" hidden="1" x14ac:dyDescent="0.3">
      <c r="A2227" s="252">
        <v>45995</v>
      </c>
      <c r="B2227" s="252" t="s">
        <v>221</v>
      </c>
      <c r="C2227" s="30" t="s">
        <v>6</v>
      </c>
      <c r="D2227" s="13" t="s">
        <v>23</v>
      </c>
      <c r="E2227" s="28">
        <v>-3809.98</v>
      </c>
      <c r="F2227" s="25" t="s">
        <v>8</v>
      </c>
      <c r="G2227" s="14" t="s">
        <v>24</v>
      </c>
    </row>
    <row r="2228" spans="1:7" s="291" customFormat="1" hidden="1" x14ac:dyDescent="0.3">
      <c r="A2228" s="252">
        <v>45995</v>
      </c>
      <c r="B2228" s="252" t="s">
        <v>221</v>
      </c>
      <c r="C2228" s="22" t="s">
        <v>6</v>
      </c>
      <c r="D2228" s="13" t="s">
        <v>28</v>
      </c>
      <c r="E2228" s="28">
        <v>-349</v>
      </c>
      <c r="F2228" s="25" t="s">
        <v>8</v>
      </c>
      <c r="G2228" s="14" t="s">
        <v>29</v>
      </c>
    </row>
    <row r="2229" spans="1:7" s="291" customFormat="1" hidden="1" x14ac:dyDescent="0.3">
      <c r="A2229" s="252">
        <v>45995</v>
      </c>
      <c r="B2229" s="252" t="s">
        <v>221</v>
      </c>
      <c r="C2229" s="22" t="s">
        <v>30</v>
      </c>
      <c r="D2229" s="13" t="s">
        <v>28</v>
      </c>
      <c r="E2229" s="28">
        <v>-389</v>
      </c>
      <c r="F2229" s="25" t="s">
        <v>8</v>
      </c>
      <c r="G2229" s="14" t="s">
        <v>29</v>
      </c>
    </row>
    <row r="2230" spans="1:7" s="291" customFormat="1" hidden="1" x14ac:dyDescent="0.3">
      <c r="A2230" s="252">
        <v>45995</v>
      </c>
      <c r="B2230" s="252" t="s">
        <v>221</v>
      </c>
      <c r="C2230" s="22" t="s">
        <v>25</v>
      </c>
      <c r="D2230" s="13" t="s">
        <v>28</v>
      </c>
      <c r="E2230" s="28">
        <v>-349</v>
      </c>
      <c r="F2230" s="25" t="s">
        <v>8</v>
      </c>
      <c r="G2230" s="14" t="s">
        <v>29</v>
      </c>
    </row>
    <row r="2231" spans="1:7" s="291" customFormat="1" hidden="1" x14ac:dyDescent="0.3">
      <c r="A2231" s="252">
        <v>45995</v>
      </c>
      <c r="B2231" s="252" t="s">
        <v>221</v>
      </c>
      <c r="C2231" s="22" t="s">
        <v>31</v>
      </c>
      <c r="D2231" s="13" t="s">
        <v>28</v>
      </c>
      <c r="E2231" s="28">
        <v>-349</v>
      </c>
      <c r="F2231" s="25" t="s">
        <v>8</v>
      </c>
      <c r="G2231" s="14" t="s">
        <v>29</v>
      </c>
    </row>
    <row r="2232" spans="1:7" s="291" customFormat="1" hidden="1" x14ac:dyDescent="0.3">
      <c r="A2232" s="252">
        <v>45995</v>
      </c>
      <c r="B2232" s="252" t="s">
        <v>221</v>
      </c>
      <c r="C2232" s="22" t="s">
        <v>32</v>
      </c>
      <c r="D2232" s="13" t="s">
        <v>28</v>
      </c>
      <c r="E2232" s="28">
        <v>-389</v>
      </c>
      <c r="F2232" s="25" t="s">
        <v>8</v>
      </c>
      <c r="G2232" s="14" t="s">
        <v>29</v>
      </c>
    </row>
    <row r="2233" spans="1:7" s="291" customFormat="1" hidden="1" x14ac:dyDescent="0.3">
      <c r="A2233" s="252">
        <v>45995</v>
      </c>
      <c r="B2233" s="252" t="s">
        <v>221</v>
      </c>
      <c r="C2233" s="22" t="s">
        <v>33</v>
      </c>
      <c r="D2233" s="13" t="s">
        <v>28</v>
      </c>
      <c r="E2233" s="28">
        <v>-389</v>
      </c>
      <c r="F2233" s="25" t="s">
        <v>8</v>
      </c>
      <c r="G2233" s="14" t="s">
        <v>29</v>
      </c>
    </row>
    <row r="2234" spans="1:7" s="291" customFormat="1" hidden="1" x14ac:dyDescent="0.3">
      <c r="A2234" s="252">
        <v>45995</v>
      </c>
      <c r="B2234" s="252" t="s">
        <v>221</v>
      </c>
      <c r="C2234" s="22" t="s">
        <v>34</v>
      </c>
      <c r="D2234" s="13" t="s">
        <v>28</v>
      </c>
      <c r="E2234" s="28">
        <v>-389</v>
      </c>
      <c r="F2234" s="25" t="s">
        <v>8</v>
      </c>
      <c r="G2234" s="14" t="s">
        <v>29</v>
      </c>
    </row>
    <row r="2235" spans="1:7" s="291" customFormat="1" hidden="1" x14ac:dyDescent="0.3">
      <c r="A2235" s="252">
        <v>45996</v>
      </c>
      <c r="B2235" s="252" t="s">
        <v>221</v>
      </c>
      <c r="C2235" s="30" t="s">
        <v>35</v>
      </c>
      <c r="D2235" s="13" t="s">
        <v>36</v>
      </c>
      <c r="E2235" s="28">
        <v>-9000</v>
      </c>
      <c r="F2235" s="25" t="s">
        <v>8</v>
      </c>
      <c r="G2235" s="14" t="s">
        <v>37</v>
      </c>
    </row>
    <row r="2236" spans="1:7" s="291" customFormat="1" hidden="1" x14ac:dyDescent="0.3">
      <c r="A2236" s="252">
        <v>45999</v>
      </c>
      <c r="B2236" s="252" t="s">
        <v>221</v>
      </c>
      <c r="C2236" s="26" t="s">
        <v>31</v>
      </c>
      <c r="D2236" s="18" t="s">
        <v>38</v>
      </c>
      <c r="E2236" s="28">
        <v>-760</v>
      </c>
      <c r="F2236" s="25" t="s">
        <v>8</v>
      </c>
      <c r="G2236" s="20" t="s">
        <v>39</v>
      </c>
    </row>
    <row r="2237" spans="1:7" s="291" customFormat="1" hidden="1" x14ac:dyDescent="0.3">
      <c r="A2237" s="252">
        <v>45996</v>
      </c>
      <c r="B2237" s="252" t="s">
        <v>221</v>
      </c>
      <c r="C2237" s="22" t="s">
        <v>6</v>
      </c>
      <c r="D2237" s="13" t="s">
        <v>40</v>
      </c>
      <c r="E2237" s="21">
        <v>-468000</v>
      </c>
      <c r="F2237" s="25" t="s">
        <v>8</v>
      </c>
      <c r="G2237" s="14" t="s">
        <v>41</v>
      </c>
    </row>
    <row r="2238" spans="1:7" s="291" customFormat="1" hidden="1" x14ac:dyDescent="0.3">
      <c r="A2238" s="252">
        <v>45996</v>
      </c>
      <c r="B2238" s="252" t="s">
        <v>221</v>
      </c>
      <c r="C2238" s="22" t="s">
        <v>6</v>
      </c>
      <c r="D2238" s="13" t="s">
        <v>42</v>
      </c>
      <c r="E2238" s="28">
        <v>-500</v>
      </c>
      <c r="F2238" s="25" t="s">
        <v>8</v>
      </c>
      <c r="G2238" s="14" t="s">
        <v>41</v>
      </c>
    </row>
    <row r="2239" spans="1:7" s="291" customFormat="1" hidden="1" x14ac:dyDescent="0.3">
      <c r="A2239" s="252">
        <v>45996</v>
      </c>
      <c r="B2239" s="252" t="s">
        <v>221</v>
      </c>
      <c r="C2239" s="22" t="s">
        <v>6</v>
      </c>
      <c r="D2239" s="13" t="s">
        <v>43</v>
      </c>
      <c r="E2239" s="28">
        <v>-9000</v>
      </c>
      <c r="F2239" s="25" t="s">
        <v>8</v>
      </c>
      <c r="G2239" s="14" t="s">
        <v>41</v>
      </c>
    </row>
    <row r="2240" spans="1:7" s="291" customFormat="1" hidden="1" x14ac:dyDescent="0.3">
      <c r="A2240" s="252">
        <v>46006</v>
      </c>
      <c r="B2240" s="252" t="s">
        <v>221</v>
      </c>
      <c r="C2240" s="26" t="s">
        <v>44</v>
      </c>
      <c r="D2240" s="18" t="s">
        <v>45</v>
      </c>
      <c r="E2240" s="19">
        <v>-5523.75</v>
      </c>
      <c r="F2240" s="25" t="s">
        <v>8</v>
      </c>
      <c r="G2240" s="20" t="s">
        <v>46</v>
      </c>
    </row>
    <row r="2241" spans="1:7" s="291" customFormat="1" hidden="1" x14ac:dyDescent="0.3">
      <c r="A2241" s="252">
        <v>45998</v>
      </c>
      <c r="B2241" s="252" t="s">
        <v>221</v>
      </c>
      <c r="C2241" s="26" t="s">
        <v>17</v>
      </c>
      <c r="D2241" s="18" t="s">
        <v>1203</v>
      </c>
      <c r="E2241" s="19">
        <v>-226.68</v>
      </c>
      <c r="F2241" s="25" t="s">
        <v>8</v>
      </c>
      <c r="G2241" s="20" t="s">
        <v>156</v>
      </c>
    </row>
    <row r="2242" spans="1:7" s="291" customFormat="1" hidden="1" x14ac:dyDescent="0.3">
      <c r="A2242" s="252">
        <v>45996</v>
      </c>
      <c r="B2242" s="252" t="s">
        <v>221</v>
      </c>
      <c r="C2242" s="26" t="s">
        <v>13</v>
      </c>
      <c r="D2242" s="13" t="s">
        <v>47</v>
      </c>
      <c r="E2242" s="28">
        <v>-7000</v>
      </c>
      <c r="F2242" s="25" t="s">
        <v>8</v>
      </c>
      <c r="G2242" s="14" t="s">
        <v>27</v>
      </c>
    </row>
    <row r="2243" spans="1:7" s="291" customFormat="1" hidden="1" x14ac:dyDescent="0.3">
      <c r="A2243" s="252">
        <v>46003</v>
      </c>
      <c r="B2243" s="252" t="s">
        <v>221</v>
      </c>
      <c r="C2243" s="22" t="s">
        <v>17</v>
      </c>
      <c r="D2243" s="13" t="s">
        <v>18</v>
      </c>
      <c r="E2243" s="21">
        <v>-17235</v>
      </c>
      <c r="F2243" s="25" t="s">
        <v>8</v>
      </c>
      <c r="G2243" s="14" t="s">
        <v>19</v>
      </c>
    </row>
    <row r="2244" spans="1:7" s="291" customFormat="1" hidden="1" x14ac:dyDescent="0.3">
      <c r="A2244" s="205">
        <v>46001</v>
      </c>
      <c r="B2244" s="252" t="s">
        <v>221</v>
      </c>
      <c r="C2244" s="26" t="s">
        <v>32</v>
      </c>
      <c r="D2244" s="18" t="s">
        <v>48</v>
      </c>
      <c r="E2244" s="19">
        <v>-700</v>
      </c>
      <c r="F2244" s="25" t="s">
        <v>8</v>
      </c>
      <c r="G2244" s="20" t="s">
        <v>49</v>
      </c>
    </row>
    <row r="2245" spans="1:7" s="291" customFormat="1" hidden="1" x14ac:dyDescent="0.3">
      <c r="A2245" s="252">
        <v>46001</v>
      </c>
      <c r="B2245" s="252" t="s">
        <v>221</v>
      </c>
      <c r="C2245" s="22" t="s">
        <v>13</v>
      </c>
      <c r="D2245" s="13" t="s">
        <v>50</v>
      </c>
      <c r="E2245" s="28">
        <v>-9000</v>
      </c>
      <c r="F2245" s="25" t="s">
        <v>8</v>
      </c>
      <c r="G2245" s="14" t="s">
        <v>51</v>
      </c>
    </row>
    <row r="2246" spans="1:7" s="291" customFormat="1" hidden="1" x14ac:dyDescent="0.3">
      <c r="A2246" s="252">
        <v>46001</v>
      </c>
      <c r="B2246" s="252" t="s">
        <v>221</v>
      </c>
      <c r="C2246" s="22" t="s">
        <v>6</v>
      </c>
      <c r="D2246" s="13" t="s">
        <v>52</v>
      </c>
      <c r="E2246" s="28">
        <v>-290</v>
      </c>
      <c r="F2246" s="25" t="s">
        <v>8</v>
      </c>
      <c r="G2246" s="14" t="s">
        <v>53</v>
      </c>
    </row>
    <row r="2247" spans="1:7" s="291" customFormat="1" hidden="1" x14ac:dyDescent="0.3">
      <c r="A2247" s="252">
        <v>46001</v>
      </c>
      <c r="B2247" s="252" t="s">
        <v>221</v>
      </c>
      <c r="C2247" s="22" t="s">
        <v>13</v>
      </c>
      <c r="D2247" s="13" t="s">
        <v>54</v>
      </c>
      <c r="E2247" s="28">
        <v>-1000</v>
      </c>
      <c r="F2247" s="25" t="s">
        <v>8</v>
      </c>
      <c r="G2247" s="14" t="s">
        <v>55</v>
      </c>
    </row>
    <row r="2248" spans="1:7" s="291" customFormat="1" hidden="1" x14ac:dyDescent="0.3">
      <c r="A2248" s="252">
        <v>46001</v>
      </c>
      <c r="B2248" s="252" t="s">
        <v>221</v>
      </c>
      <c r="C2248" s="22" t="s">
        <v>17</v>
      </c>
      <c r="D2248" s="13" t="s">
        <v>512</v>
      </c>
      <c r="E2248" s="28">
        <v>-10500</v>
      </c>
      <c r="F2248" s="25" t="s">
        <v>8</v>
      </c>
      <c r="G2248" s="14" t="s">
        <v>57</v>
      </c>
    </row>
    <row r="2249" spans="1:7" s="291" customFormat="1" hidden="1" x14ac:dyDescent="0.3">
      <c r="A2249" s="252">
        <v>46001</v>
      </c>
      <c r="B2249" s="252" t="s">
        <v>221</v>
      </c>
      <c r="C2249" s="22" t="s">
        <v>13</v>
      </c>
      <c r="D2249" s="13" t="s">
        <v>58</v>
      </c>
      <c r="E2249" s="28">
        <v>-1000</v>
      </c>
      <c r="F2249" s="25" t="s">
        <v>8</v>
      </c>
      <c r="G2249" s="14" t="s">
        <v>55</v>
      </c>
    </row>
    <row r="2250" spans="1:7" s="291" customFormat="1" hidden="1" x14ac:dyDescent="0.3">
      <c r="A2250" s="252">
        <v>46001</v>
      </c>
      <c r="B2250" s="252" t="s">
        <v>221</v>
      </c>
      <c r="C2250" s="22" t="s">
        <v>31</v>
      </c>
      <c r="D2250" s="24" t="s">
        <v>902</v>
      </c>
      <c r="E2250" s="28">
        <v>-3000</v>
      </c>
      <c r="F2250" s="25" t="s">
        <v>8</v>
      </c>
      <c r="G2250" s="14" t="s">
        <v>59</v>
      </c>
    </row>
    <row r="2251" spans="1:7" s="291" customFormat="1" hidden="1" x14ac:dyDescent="0.3">
      <c r="A2251" s="252">
        <v>46001</v>
      </c>
      <c r="B2251" s="252" t="s">
        <v>221</v>
      </c>
      <c r="C2251" s="22" t="s">
        <v>31</v>
      </c>
      <c r="D2251" s="13" t="s">
        <v>60</v>
      </c>
      <c r="E2251" s="28">
        <v>-9000</v>
      </c>
      <c r="F2251" s="25" t="s">
        <v>8</v>
      </c>
      <c r="G2251" s="14" t="s">
        <v>59</v>
      </c>
    </row>
    <row r="2252" spans="1:7" s="291" customFormat="1" hidden="1" x14ac:dyDescent="0.3">
      <c r="A2252" s="252">
        <v>46001</v>
      </c>
      <c r="B2252" s="252" t="s">
        <v>221</v>
      </c>
      <c r="C2252" s="22" t="s">
        <v>44</v>
      </c>
      <c r="D2252" s="13" t="s">
        <v>61</v>
      </c>
      <c r="E2252" s="28">
        <v>-9146.82</v>
      </c>
      <c r="F2252" s="14" t="s">
        <v>8</v>
      </c>
      <c r="G2252" s="14" t="s">
        <v>62</v>
      </c>
    </row>
    <row r="2253" spans="1:7" s="291" customFormat="1" hidden="1" x14ac:dyDescent="0.3">
      <c r="A2253" s="252">
        <v>46001</v>
      </c>
      <c r="B2253" s="252" t="s">
        <v>221</v>
      </c>
      <c r="C2253" s="22" t="s">
        <v>6</v>
      </c>
      <c r="D2253" s="13" t="s">
        <v>63</v>
      </c>
      <c r="E2253" s="28">
        <v>-9500</v>
      </c>
      <c r="F2253" s="25" t="s">
        <v>8</v>
      </c>
      <c r="G2253" s="14" t="s">
        <v>64</v>
      </c>
    </row>
    <row r="2254" spans="1:7" s="291" customFormat="1" hidden="1" x14ac:dyDescent="0.3">
      <c r="A2254" s="252">
        <v>46001</v>
      </c>
      <c r="B2254" s="252" t="s">
        <v>221</v>
      </c>
      <c r="C2254" s="30" t="s">
        <v>65</v>
      </c>
      <c r="D2254" s="13" t="s">
        <v>66</v>
      </c>
      <c r="E2254" s="28">
        <v>-432</v>
      </c>
      <c r="F2254" s="25" t="s">
        <v>8</v>
      </c>
      <c r="G2254" s="14" t="s">
        <v>39</v>
      </c>
    </row>
    <row r="2255" spans="1:7" s="291" customFormat="1" hidden="1" x14ac:dyDescent="0.3">
      <c r="A2255" s="252">
        <v>46001</v>
      </c>
      <c r="B2255" s="252" t="s">
        <v>221</v>
      </c>
      <c r="C2255" s="30" t="s">
        <v>67</v>
      </c>
      <c r="D2255" s="13" t="s">
        <v>68</v>
      </c>
      <c r="E2255" s="28">
        <v>-553.25</v>
      </c>
      <c r="F2255" s="25" t="s">
        <v>8</v>
      </c>
      <c r="G2255" s="14" t="s">
        <v>69</v>
      </c>
    </row>
    <row r="2256" spans="1:7" s="291" customFormat="1" hidden="1" x14ac:dyDescent="0.3">
      <c r="A2256" s="252">
        <v>46001</v>
      </c>
      <c r="B2256" s="252" t="s">
        <v>221</v>
      </c>
      <c r="C2256" s="26" t="s">
        <v>6</v>
      </c>
      <c r="D2256" s="18" t="s">
        <v>222</v>
      </c>
      <c r="E2256" s="19">
        <v>-545.78</v>
      </c>
      <c r="F2256" s="25" t="s">
        <v>8</v>
      </c>
      <c r="G2256" s="20" t="s">
        <v>71</v>
      </c>
    </row>
    <row r="2257" spans="1:7" s="291" customFormat="1" hidden="1" x14ac:dyDescent="0.3">
      <c r="A2257" s="252">
        <v>46001</v>
      </c>
      <c r="B2257" s="252" t="s">
        <v>221</v>
      </c>
      <c r="C2257" s="26" t="s">
        <v>72</v>
      </c>
      <c r="D2257" s="18" t="s">
        <v>73</v>
      </c>
      <c r="E2257" s="19">
        <v>-4347.01</v>
      </c>
      <c r="F2257" s="25" t="s">
        <v>8</v>
      </c>
      <c r="G2257" s="20" t="s">
        <v>74</v>
      </c>
    </row>
    <row r="2258" spans="1:7" s="291" customFormat="1" hidden="1" x14ac:dyDescent="0.3">
      <c r="A2258" s="252">
        <v>46001</v>
      </c>
      <c r="B2258" s="252" t="s">
        <v>221</v>
      </c>
      <c r="C2258" s="26" t="s">
        <v>72</v>
      </c>
      <c r="D2258" s="18" t="s">
        <v>73</v>
      </c>
      <c r="E2258" s="19">
        <v>-2173.96</v>
      </c>
      <c r="F2258" s="25" t="s">
        <v>8</v>
      </c>
      <c r="G2258" s="20" t="s">
        <v>74</v>
      </c>
    </row>
    <row r="2259" spans="1:7" s="291" customFormat="1" hidden="1" x14ac:dyDescent="0.3">
      <c r="A2259" s="252">
        <v>46003</v>
      </c>
      <c r="B2259" s="252" t="s">
        <v>221</v>
      </c>
      <c r="C2259" s="26" t="s">
        <v>72</v>
      </c>
      <c r="D2259" s="18" t="s">
        <v>75</v>
      </c>
      <c r="E2259" s="19">
        <v>-4375.75</v>
      </c>
      <c r="F2259" s="25" t="s">
        <v>8</v>
      </c>
      <c r="G2259" s="20" t="s">
        <v>74</v>
      </c>
    </row>
    <row r="2260" spans="1:7" s="291" customFormat="1" hidden="1" x14ac:dyDescent="0.3">
      <c r="A2260" s="252">
        <v>46003</v>
      </c>
      <c r="B2260" s="252" t="s">
        <v>221</v>
      </c>
      <c r="C2260" s="26" t="s">
        <v>6</v>
      </c>
      <c r="D2260" s="18" t="s">
        <v>76</v>
      </c>
      <c r="E2260" s="19">
        <v>-40000</v>
      </c>
      <c r="F2260" s="25" t="s">
        <v>8</v>
      </c>
      <c r="G2260" s="20" t="s">
        <v>76</v>
      </c>
    </row>
    <row r="2261" spans="1:7" s="291" customFormat="1" hidden="1" x14ac:dyDescent="0.3">
      <c r="A2261" s="252">
        <v>46006</v>
      </c>
      <c r="B2261" s="252" t="s">
        <v>221</v>
      </c>
      <c r="C2261" s="22" t="s">
        <v>6</v>
      </c>
      <c r="D2261" s="13" t="s">
        <v>78</v>
      </c>
      <c r="E2261" s="28">
        <v>-100000</v>
      </c>
      <c r="F2261" s="14" t="s">
        <v>8</v>
      </c>
      <c r="G2261" s="14" t="s">
        <v>41</v>
      </c>
    </row>
    <row r="2262" spans="1:7" s="291" customFormat="1" hidden="1" x14ac:dyDescent="0.3">
      <c r="A2262" s="252">
        <v>46006</v>
      </c>
      <c r="B2262" s="252" t="s">
        <v>221</v>
      </c>
      <c r="C2262" s="22" t="s">
        <v>6</v>
      </c>
      <c r="D2262" s="13" t="s">
        <v>79</v>
      </c>
      <c r="E2262" s="28">
        <v>-40000</v>
      </c>
      <c r="F2262" s="25" t="s">
        <v>8</v>
      </c>
      <c r="G2262" s="14" t="s">
        <v>79</v>
      </c>
    </row>
    <row r="2263" spans="1:7" s="291" customFormat="1" hidden="1" x14ac:dyDescent="0.3">
      <c r="A2263" s="252">
        <v>46006</v>
      </c>
      <c r="B2263" s="252" t="s">
        <v>221</v>
      </c>
      <c r="C2263" s="22" t="s">
        <v>6</v>
      </c>
      <c r="D2263" s="13" t="s">
        <v>80</v>
      </c>
      <c r="E2263" s="28">
        <v>-90000</v>
      </c>
      <c r="F2263" s="25" t="s">
        <v>8</v>
      </c>
      <c r="G2263" s="14" t="s">
        <v>19</v>
      </c>
    </row>
    <row r="2264" spans="1:7" s="291" customFormat="1" hidden="1" x14ac:dyDescent="0.3">
      <c r="A2264" s="252">
        <v>46006</v>
      </c>
      <c r="B2264" s="252" t="s">
        <v>221</v>
      </c>
      <c r="C2264" s="22" t="s">
        <v>81</v>
      </c>
      <c r="D2264" s="13" t="s">
        <v>82</v>
      </c>
      <c r="E2264" s="28">
        <v>-10000</v>
      </c>
      <c r="F2264" s="25" t="s">
        <v>8</v>
      </c>
      <c r="G2264" s="14" t="s">
        <v>83</v>
      </c>
    </row>
    <row r="2265" spans="1:7" s="291" customFormat="1" hidden="1" x14ac:dyDescent="0.3">
      <c r="A2265" s="252">
        <v>46006</v>
      </c>
      <c r="B2265" s="252" t="s">
        <v>221</v>
      </c>
      <c r="C2265" s="22" t="s">
        <v>17</v>
      </c>
      <c r="D2265" s="13" t="s">
        <v>84</v>
      </c>
      <c r="E2265" s="28">
        <v>-20000</v>
      </c>
      <c r="F2265" s="25" t="s">
        <v>8</v>
      </c>
      <c r="G2265" s="14" t="s">
        <v>59</v>
      </c>
    </row>
    <row r="2266" spans="1:7" s="291" customFormat="1" hidden="1" x14ac:dyDescent="0.3">
      <c r="A2266" s="252">
        <v>46006</v>
      </c>
      <c r="B2266" s="252" t="s">
        <v>221</v>
      </c>
      <c r="C2266" s="26" t="s">
        <v>17</v>
      </c>
      <c r="D2266" s="18" t="s">
        <v>85</v>
      </c>
      <c r="E2266" s="28">
        <v>-145</v>
      </c>
      <c r="F2266" s="14" t="s">
        <v>8</v>
      </c>
      <c r="G2266" s="14" t="s">
        <v>86</v>
      </c>
    </row>
    <row r="2267" spans="1:7" s="291" customFormat="1" hidden="1" x14ac:dyDescent="0.3">
      <c r="A2267" s="252">
        <v>46006</v>
      </c>
      <c r="B2267" s="252" t="s">
        <v>221</v>
      </c>
      <c r="C2267" s="22" t="s">
        <v>13</v>
      </c>
      <c r="D2267" s="13" t="s">
        <v>88</v>
      </c>
      <c r="E2267" s="28">
        <v>-1375</v>
      </c>
      <c r="F2267" s="14" t="s">
        <v>8</v>
      </c>
      <c r="G2267" s="14" t="s">
        <v>41</v>
      </c>
    </row>
    <row r="2268" spans="1:7" s="291" customFormat="1" hidden="1" x14ac:dyDescent="0.3">
      <c r="A2268" s="252">
        <v>46006</v>
      </c>
      <c r="B2268" s="252" t="s">
        <v>221</v>
      </c>
      <c r="C2268" s="30" t="s">
        <v>89</v>
      </c>
      <c r="D2268" s="13" t="s">
        <v>90</v>
      </c>
      <c r="E2268" s="28">
        <v>-2281.6999999999998</v>
      </c>
      <c r="F2268" s="14" t="s">
        <v>8</v>
      </c>
      <c r="G2268" s="14" t="s">
        <v>41</v>
      </c>
    </row>
    <row r="2269" spans="1:7" s="291" customFormat="1" hidden="1" x14ac:dyDescent="0.3">
      <c r="A2269" s="252">
        <v>46006</v>
      </c>
      <c r="B2269" s="252" t="s">
        <v>221</v>
      </c>
      <c r="C2269" s="22" t="s">
        <v>6</v>
      </c>
      <c r="D2269" s="13" t="s">
        <v>91</v>
      </c>
      <c r="E2269" s="28">
        <v>-6500</v>
      </c>
      <c r="F2269" s="14" t="s">
        <v>8</v>
      </c>
      <c r="G2269" s="14" t="s">
        <v>64</v>
      </c>
    </row>
    <row r="2270" spans="1:7" s="291" customFormat="1" hidden="1" x14ac:dyDescent="0.3">
      <c r="A2270" s="252">
        <v>46006</v>
      </c>
      <c r="B2270" s="252" t="s">
        <v>221</v>
      </c>
      <c r="C2270" s="22" t="s">
        <v>17</v>
      </c>
      <c r="D2270" s="13" t="s">
        <v>92</v>
      </c>
      <c r="E2270" s="28">
        <v>-12000</v>
      </c>
      <c r="F2270" s="25" t="s">
        <v>8</v>
      </c>
      <c r="G2270" s="14" t="s">
        <v>93</v>
      </c>
    </row>
    <row r="2271" spans="1:7" s="291" customFormat="1" hidden="1" x14ac:dyDescent="0.3">
      <c r="A2271" s="252">
        <v>46006</v>
      </c>
      <c r="B2271" s="252" t="s">
        <v>221</v>
      </c>
      <c r="C2271" s="26" t="s">
        <v>31</v>
      </c>
      <c r="D2271" s="256" t="s">
        <v>93</v>
      </c>
      <c r="E2271" s="28">
        <v>-2302.0500000000002</v>
      </c>
      <c r="F2271" s="25" t="s">
        <v>8</v>
      </c>
      <c r="G2271" s="14" t="s">
        <v>93</v>
      </c>
    </row>
    <row r="2272" spans="1:7" s="291" customFormat="1" hidden="1" x14ac:dyDescent="0.3">
      <c r="A2272" s="252">
        <v>46006</v>
      </c>
      <c r="B2272" s="252" t="s">
        <v>221</v>
      </c>
      <c r="C2272" s="30" t="s">
        <v>25</v>
      </c>
      <c r="D2272" s="256" t="s">
        <v>93</v>
      </c>
      <c r="E2272" s="28">
        <v>-1248.99</v>
      </c>
      <c r="F2272" s="25" t="s">
        <v>8</v>
      </c>
      <c r="G2272" s="14" t="s">
        <v>93</v>
      </c>
    </row>
    <row r="2273" spans="1:7" s="291" customFormat="1" hidden="1" x14ac:dyDescent="0.3">
      <c r="A2273" s="252">
        <v>46003</v>
      </c>
      <c r="B2273" s="252" t="s">
        <v>221</v>
      </c>
      <c r="C2273" s="22" t="s">
        <v>6</v>
      </c>
      <c r="D2273" s="13" t="s">
        <v>600</v>
      </c>
      <c r="E2273" s="28">
        <v>-2012.45</v>
      </c>
      <c r="F2273" s="25" t="s">
        <v>8</v>
      </c>
      <c r="G2273" s="20" t="s">
        <v>46</v>
      </c>
    </row>
    <row r="2274" spans="1:7" s="291" customFormat="1" hidden="1" x14ac:dyDescent="0.3">
      <c r="A2274" s="252">
        <v>46006</v>
      </c>
      <c r="B2274" s="252" t="s">
        <v>221</v>
      </c>
      <c r="C2274" s="22" t="s">
        <v>6</v>
      </c>
      <c r="D2274" s="13" t="s">
        <v>94</v>
      </c>
      <c r="E2274" s="28">
        <v>-171.1</v>
      </c>
      <c r="F2274" s="25" t="s">
        <v>8</v>
      </c>
      <c r="G2274" s="14" t="s">
        <v>29</v>
      </c>
    </row>
    <row r="2275" spans="1:7" s="291" customFormat="1" hidden="1" x14ac:dyDescent="0.3">
      <c r="A2275" s="252">
        <v>46006</v>
      </c>
      <c r="B2275" s="252" t="s">
        <v>221</v>
      </c>
      <c r="C2275" s="22" t="s">
        <v>44</v>
      </c>
      <c r="D2275" s="13" t="s">
        <v>94</v>
      </c>
      <c r="E2275" s="28">
        <v>-171.1</v>
      </c>
      <c r="F2275" s="25" t="s">
        <v>8</v>
      </c>
      <c r="G2275" s="14" t="s">
        <v>29</v>
      </c>
    </row>
    <row r="2276" spans="1:7" s="291" customFormat="1" hidden="1" x14ac:dyDescent="0.3">
      <c r="A2276" s="252">
        <v>46006</v>
      </c>
      <c r="B2276" s="252" t="s">
        <v>221</v>
      </c>
      <c r="C2276" s="22" t="s">
        <v>13</v>
      </c>
      <c r="D2276" s="13" t="s">
        <v>94</v>
      </c>
      <c r="E2276" s="28">
        <v>-171.1</v>
      </c>
      <c r="F2276" s="25" t="s">
        <v>8</v>
      </c>
      <c r="G2276" s="14" t="s">
        <v>29</v>
      </c>
    </row>
    <row r="2277" spans="1:7" s="291" customFormat="1" hidden="1" x14ac:dyDescent="0.3">
      <c r="A2277" s="252">
        <v>46006</v>
      </c>
      <c r="B2277" s="252" t="s">
        <v>221</v>
      </c>
      <c r="C2277" s="22" t="s">
        <v>432</v>
      </c>
      <c r="D2277" s="13" t="s">
        <v>94</v>
      </c>
      <c r="E2277" s="28">
        <v>-171.1</v>
      </c>
      <c r="F2277" s="25" t="s">
        <v>8</v>
      </c>
      <c r="G2277" s="14" t="s">
        <v>29</v>
      </c>
    </row>
    <row r="2278" spans="1:7" s="291" customFormat="1" hidden="1" x14ac:dyDescent="0.3">
      <c r="A2278" s="252">
        <v>46006</v>
      </c>
      <c r="B2278" s="252" t="s">
        <v>221</v>
      </c>
      <c r="C2278" s="22" t="s">
        <v>31</v>
      </c>
      <c r="D2278" s="13" t="s">
        <v>94</v>
      </c>
      <c r="E2278" s="28">
        <v>-171.1</v>
      </c>
      <c r="F2278" s="25" t="s">
        <v>8</v>
      </c>
      <c r="G2278" s="14" t="s">
        <v>29</v>
      </c>
    </row>
    <row r="2279" spans="1:7" s="291" customFormat="1" hidden="1" x14ac:dyDescent="0.3">
      <c r="A2279" s="252">
        <v>46006</v>
      </c>
      <c r="B2279" s="252" t="s">
        <v>221</v>
      </c>
      <c r="C2279" s="22" t="s">
        <v>65</v>
      </c>
      <c r="D2279" s="13" t="s">
        <v>94</v>
      </c>
      <c r="E2279" s="28">
        <v>-171.1</v>
      </c>
      <c r="F2279" s="25" t="s">
        <v>8</v>
      </c>
      <c r="G2279" s="14" t="s">
        <v>29</v>
      </c>
    </row>
    <row r="2280" spans="1:7" s="291" customFormat="1" hidden="1" x14ac:dyDescent="0.3">
      <c r="A2280" s="252">
        <v>46006</v>
      </c>
      <c r="B2280" s="252" t="s">
        <v>221</v>
      </c>
      <c r="C2280" s="26" t="s">
        <v>17</v>
      </c>
      <c r="D2280" s="13" t="s">
        <v>94</v>
      </c>
      <c r="E2280" s="28">
        <v>-171.1</v>
      </c>
      <c r="F2280" s="25" t="s">
        <v>8</v>
      </c>
      <c r="G2280" s="14" t="s">
        <v>29</v>
      </c>
    </row>
    <row r="2281" spans="1:7" s="291" customFormat="1" hidden="1" x14ac:dyDescent="0.3">
      <c r="A2281" s="252">
        <v>46006</v>
      </c>
      <c r="B2281" s="252" t="s">
        <v>221</v>
      </c>
      <c r="C2281" s="26" t="s">
        <v>685</v>
      </c>
      <c r="D2281" s="13" t="s">
        <v>94</v>
      </c>
      <c r="E2281" s="28">
        <v>-171.1</v>
      </c>
      <c r="F2281" s="25" t="s">
        <v>8</v>
      </c>
      <c r="G2281" s="14" t="s">
        <v>29</v>
      </c>
    </row>
    <row r="2282" spans="1:7" s="291" customFormat="1" hidden="1" x14ac:dyDescent="0.3">
      <c r="A2282" s="252">
        <v>46006</v>
      </c>
      <c r="B2282" s="252" t="s">
        <v>221</v>
      </c>
      <c r="C2282" s="26" t="s">
        <v>30</v>
      </c>
      <c r="D2282" s="13" t="s">
        <v>94</v>
      </c>
      <c r="E2282" s="28">
        <v>-171.1</v>
      </c>
      <c r="F2282" s="25" t="s">
        <v>8</v>
      </c>
      <c r="G2282" s="14" t="s">
        <v>29</v>
      </c>
    </row>
    <row r="2283" spans="1:7" s="291" customFormat="1" hidden="1" x14ac:dyDescent="0.3">
      <c r="A2283" s="252">
        <v>46006</v>
      </c>
      <c r="B2283" s="252" t="s">
        <v>221</v>
      </c>
      <c r="C2283" s="26" t="s">
        <v>95</v>
      </c>
      <c r="D2283" s="13" t="s">
        <v>94</v>
      </c>
      <c r="E2283" s="28">
        <v>-171.1</v>
      </c>
      <c r="F2283" s="25" t="s">
        <v>8</v>
      </c>
      <c r="G2283" s="14" t="s">
        <v>29</v>
      </c>
    </row>
    <row r="2284" spans="1:7" s="291" customFormat="1" hidden="1" x14ac:dyDescent="0.3">
      <c r="A2284" s="252">
        <v>46006</v>
      </c>
      <c r="B2284" s="252" t="s">
        <v>221</v>
      </c>
      <c r="C2284" s="26" t="s">
        <v>33</v>
      </c>
      <c r="D2284" s="13" t="s">
        <v>94</v>
      </c>
      <c r="E2284" s="28">
        <v>-171.1</v>
      </c>
      <c r="F2284" s="25" t="s">
        <v>8</v>
      </c>
      <c r="G2284" s="14" t="s">
        <v>29</v>
      </c>
    </row>
    <row r="2285" spans="1:7" s="291" customFormat="1" hidden="1" x14ac:dyDescent="0.3">
      <c r="A2285" s="252">
        <v>46006</v>
      </c>
      <c r="B2285" s="252" t="s">
        <v>221</v>
      </c>
      <c r="C2285" s="26" t="s">
        <v>96</v>
      </c>
      <c r="D2285" s="13" t="s">
        <v>94</v>
      </c>
      <c r="E2285" s="28">
        <v>-171.1</v>
      </c>
      <c r="F2285" s="25" t="s">
        <v>8</v>
      </c>
      <c r="G2285" s="14" t="s">
        <v>29</v>
      </c>
    </row>
    <row r="2286" spans="1:7" s="291" customFormat="1" hidden="1" x14ac:dyDescent="0.3">
      <c r="A2286" s="252">
        <v>46006</v>
      </c>
      <c r="B2286" s="252" t="s">
        <v>221</v>
      </c>
      <c r="C2286" s="26" t="s">
        <v>32</v>
      </c>
      <c r="D2286" s="13" t="s">
        <v>94</v>
      </c>
      <c r="E2286" s="28">
        <v>-171.1</v>
      </c>
      <c r="F2286" s="25" t="s">
        <v>8</v>
      </c>
      <c r="G2286" s="14" t="s">
        <v>29</v>
      </c>
    </row>
    <row r="2287" spans="1:7" s="291" customFormat="1" hidden="1" x14ac:dyDescent="0.3">
      <c r="A2287" s="252">
        <v>46006</v>
      </c>
      <c r="B2287" s="252" t="s">
        <v>221</v>
      </c>
      <c r="C2287" s="26" t="s">
        <v>34</v>
      </c>
      <c r="D2287" s="13" t="s">
        <v>94</v>
      </c>
      <c r="E2287" s="28">
        <v>-171.1</v>
      </c>
      <c r="F2287" s="25" t="s">
        <v>8</v>
      </c>
      <c r="G2287" s="14" t="s">
        <v>29</v>
      </c>
    </row>
    <row r="2288" spans="1:7" s="291" customFormat="1" hidden="1" x14ac:dyDescent="0.3">
      <c r="A2288" s="252">
        <v>46006</v>
      </c>
      <c r="B2288" s="252" t="s">
        <v>221</v>
      </c>
      <c r="C2288" s="30" t="s">
        <v>65</v>
      </c>
      <c r="D2288" s="13" t="s">
        <v>97</v>
      </c>
      <c r="E2288" s="28">
        <v>-877.96</v>
      </c>
      <c r="F2288" s="14" t="s">
        <v>8</v>
      </c>
      <c r="G2288" s="14" t="s">
        <v>39</v>
      </c>
    </row>
    <row r="2289" spans="1:7" s="291" customFormat="1" hidden="1" x14ac:dyDescent="0.3">
      <c r="A2289" s="252">
        <v>46006</v>
      </c>
      <c r="B2289" s="252" t="s">
        <v>221</v>
      </c>
      <c r="C2289" s="22" t="s">
        <v>6</v>
      </c>
      <c r="D2289" s="13" t="s">
        <v>98</v>
      </c>
      <c r="E2289" s="28">
        <v>-8000</v>
      </c>
      <c r="F2289" s="25" t="s">
        <v>8</v>
      </c>
      <c r="G2289" s="14" t="s">
        <v>99</v>
      </c>
    </row>
    <row r="2290" spans="1:7" s="291" customFormat="1" hidden="1" x14ac:dyDescent="0.3">
      <c r="A2290" s="252">
        <v>46008</v>
      </c>
      <c r="B2290" s="252" t="s">
        <v>221</v>
      </c>
      <c r="C2290" s="22" t="s">
        <v>6</v>
      </c>
      <c r="D2290" s="13" t="s">
        <v>100</v>
      </c>
      <c r="E2290" s="28">
        <v>-141.69999999999999</v>
      </c>
      <c r="F2290" s="25" t="s">
        <v>8</v>
      </c>
      <c r="G2290" s="14" t="s">
        <v>101</v>
      </c>
    </row>
    <row r="2291" spans="1:7" s="291" customFormat="1" hidden="1" x14ac:dyDescent="0.3">
      <c r="A2291" s="252">
        <v>46008</v>
      </c>
      <c r="B2291" s="252" t="s">
        <v>221</v>
      </c>
      <c r="C2291" s="22" t="s">
        <v>6</v>
      </c>
      <c r="D2291" s="13" t="s">
        <v>102</v>
      </c>
      <c r="E2291" s="28">
        <v>-141.69999999999999</v>
      </c>
      <c r="F2291" s="25" t="s">
        <v>8</v>
      </c>
      <c r="G2291" s="14" t="s">
        <v>101</v>
      </c>
    </row>
    <row r="2292" spans="1:7" s="291" customFormat="1" hidden="1" x14ac:dyDescent="0.3">
      <c r="A2292" s="252">
        <v>46008</v>
      </c>
      <c r="B2292" s="252" t="s">
        <v>221</v>
      </c>
      <c r="C2292" s="22" t="s">
        <v>6</v>
      </c>
      <c r="D2292" s="13" t="s">
        <v>103</v>
      </c>
      <c r="E2292" s="28">
        <v>-141.69999999999999</v>
      </c>
      <c r="F2292" s="25" t="s">
        <v>8</v>
      </c>
      <c r="G2292" s="14" t="s">
        <v>101</v>
      </c>
    </row>
    <row r="2293" spans="1:7" s="291" customFormat="1" hidden="1" x14ac:dyDescent="0.3">
      <c r="A2293" s="252">
        <v>46008</v>
      </c>
      <c r="B2293" s="252" t="s">
        <v>221</v>
      </c>
      <c r="C2293" s="22" t="s">
        <v>6</v>
      </c>
      <c r="D2293" s="13" t="s">
        <v>104</v>
      </c>
      <c r="E2293" s="28">
        <v>-139.25</v>
      </c>
      <c r="F2293" s="25" t="s">
        <v>8</v>
      </c>
      <c r="G2293" s="14" t="s">
        <v>101</v>
      </c>
    </row>
    <row r="2294" spans="1:7" s="291" customFormat="1" hidden="1" x14ac:dyDescent="0.3">
      <c r="A2294" s="252">
        <v>46006</v>
      </c>
      <c r="B2294" s="252" t="s">
        <v>221</v>
      </c>
      <c r="C2294" s="30" t="s">
        <v>32</v>
      </c>
      <c r="D2294" s="13" t="s">
        <v>105</v>
      </c>
      <c r="E2294" s="28">
        <v>-244.5</v>
      </c>
      <c r="F2294" s="14" t="s">
        <v>8</v>
      </c>
      <c r="G2294" s="14" t="s">
        <v>69</v>
      </c>
    </row>
    <row r="2295" spans="1:7" s="291" customFormat="1" hidden="1" x14ac:dyDescent="0.3">
      <c r="A2295" s="252">
        <v>46006</v>
      </c>
      <c r="B2295" s="252" t="s">
        <v>221</v>
      </c>
      <c r="C2295" s="30" t="s">
        <v>106</v>
      </c>
      <c r="D2295" s="13" t="s">
        <v>105</v>
      </c>
      <c r="E2295" s="28">
        <v>-300</v>
      </c>
      <c r="F2295" s="14" t="s">
        <v>8</v>
      </c>
      <c r="G2295" s="14" t="s">
        <v>69</v>
      </c>
    </row>
    <row r="2296" spans="1:7" s="291" customFormat="1" hidden="1" x14ac:dyDescent="0.3">
      <c r="A2296" s="252">
        <v>46006</v>
      </c>
      <c r="B2296" s="252" t="s">
        <v>221</v>
      </c>
      <c r="C2296" s="30" t="s">
        <v>35</v>
      </c>
      <c r="D2296" s="13" t="s">
        <v>105</v>
      </c>
      <c r="E2296" s="28">
        <v>-300</v>
      </c>
      <c r="F2296" s="14" t="s">
        <v>8</v>
      </c>
      <c r="G2296" s="14" t="s">
        <v>69</v>
      </c>
    </row>
    <row r="2297" spans="1:7" s="291" customFormat="1" hidden="1" x14ac:dyDescent="0.3">
      <c r="A2297" s="252">
        <v>46006</v>
      </c>
      <c r="B2297" s="252" t="s">
        <v>221</v>
      </c>
      <c r="C2297" s="30" t="s">
        <v>107</v>
      </c>
      <c r="D2297" s="13" t="s">
        <v>105</v>
      </c>
      <c r="E2297" s="28">
        <v>-300</v>
      </c>
      <c r="F2297" s="14" t="s">
        <v>8</v>
      </c>
      <c r="G2297" s="14" t="s">
        <v>69</v>
      </c>
    </row>
    <row r="2298" spans="1:7" s="291" customFormat="1" hidden="1" x14ac:dyDescent="0.3">
      <c r="A2298" s="252">
        <v>46006</v>
      </c>
      <c r="B2298" s="252" t="s">
        <v>221</v>
      </c>
      <c r="C2298" s="30" t="s">
        <v>108</v>
      </c>
      <c r="D2298" s="13" t="s">
        <v>105</v>
      </c>
      <c r="E2298" s="28">
        <v>-275</v>
      </c>
      <c r="F2298" s="14" t="s">
        <v>8</v>
      </c>
      <c r="G2298" s="14" t="s">
        <v>69</v>
      </c>
    </row>
    <row r="2299" spans="1:7" s="291" customFormat="1" hidden="1" x14ac:dyDescent="0.3">
      <c r="A2299" s="252">
        <v>46006</v>
      </c>
      <c r="B2299" s="252" t="s">
        <v>221</v>
      </c>
      <c r="C2299" s="30" t="s">
        <v>72</v>
      </c>
      <c r="D2299" s="13" t="s">
        <v>105</v>
      </c>
      <c r="E2299" s="28">
        <v>-300</v>
      </c>
      <c r="F2299" s="14" t="s">
        <v>8</v>
      </c>
      <c r="G2299" s="14" t="s">
        <v>69</v>
      </c>
    </row>
    <row r="2300" spans="1:7" s="291" customFormat="1" hidden="1" x14ac:dyDescent="0.3">
      <c r="A2300" s="252">
        <v>46006</v>
      </c>
      <c r="B2300" s="252" t="s">
        <v>221</v>
      </c>
      <c r="C2300" s="30" t="s">
        <v>109</v>
      </c>
      <c r="D2300" s="13" t="s">
        <v>105</v>
      </c>
      <c r="E2300" s="28">
        <v>-300</v>
      </c>
      <c r="F2300" s="14" t="s">
        <v>8</v>
      </c>
      <c r="G2300" s="14" t="s">
        <v>69</v>
      </c>
    </row>
    <row r="2301" spans="1:7" s="291" customFormat="1" hidden="1" x14ac:dyDescent="0.3">
      <c r="A2301" s="252">
        <v>46006</v>
      </c>
      <c r="B2301" s="252" t="s">
        <v>221</v>
      </c>
      <c r="C2301" s="30" t="s">
        <v>110</v>
      </c>
      <c r="D2301" s="13" t="s">
        <v>105</v>
      </c>
      <c r="E2301" s="28">
        <v>-350</v>
      </c>
      <c r="F2301" s="14" t="s">
        <v>8</v>
      </c>
      <c r="G2301" s="14" t="s">
        <v>69</v>
      </c>
    </row>
    <row r="2302" spans="1:7" s="291" customFormat="1" hidden="1" x14ac:dyDescent="0.3">
      <c r="A2302" s="252">
        <v>46006</v>
      </c>
      <c r="B2302" s="252" t="s">
        <v>221</v>
      </c>
      <c r="C2302" s="30" t="s">
        <v>111</v>
      </c>
      <c r="D2302" s="13" t="s">
        <v>105</v>
      </c>
      <c r="E2302" s="28">
        <v>-373.51</v>
      </c>
      <c r="F2302" s="14" t="s">
        <v>8</v>
      </c>
      <c r="G2302" s="14" t="s">
        <v>69</v>
      </c>
    </row>
    <row r="2303" spans="1:7" s="291" customFormat="1" hidden="1" x14ac:dyDescent="0.3">
      <c r="A2303" s="252">
        <v>46007</v>
      </c>
      <c r="B2303" s="252" t="s">
        <v>221</v>
      </c>
      <c r="C2303" s="26" t="s">
        <v>31</v>
      </c>
      <c r="D2303" s="18" t="s">
        <v>201</v>
      </c>
      <c r="E2303" s="19">
        <v>-3022.31</v>
      </c>
      <c r="F2303" s="25" t="s">
        <v>8</v>
      </c>
      <c r="G2303" s="20" t="s">
        <v>86</v>
      </c>
    </row>
    <row r="2304" spans="1:7" s="291" customFormat="1" hidden="1" x14ac:dyDescent="0.3">
      <c r="A2304" s="252">
        <v>46007</v>
      </c>
      <c r="B2304" s="252" t="s">
        <v>221</v>
      </c>
      <c r="C2304" s="26" t="s">
        <v>6</v>
      </c>
      <c r="D2304" s="18" t="s">
        <v>201</v>
      </c>
      <c r="E2304" s="19">
        <v>-3952.25</v>
      </c>
      <c r="F2304" s="25" t="s">
        <v>8</v>
      </c>
      <c r="G2304" s="20" t="s">
        <v>86</v>
      </c>
    </row>
    <row r="2305" spans="1:7" s="291" customFormat="1" hidden="1" x14ac:dyDescent="0.3">
      <c r="A2305" s="252">
        <v>46007</v>
      </c>
      <c r="B2305" s="252" t="s">
        <v>221</v>
      </c>
      <c r="C2305" s="26" t="s">
        <v>44</v>
      </c>
      <c r="D2305" s="18" t="s">
        <v>201</v>
      </c>
      <c r="E2305" s="19">
        <v>-3409.78</v>
      </c>
      <c r="F2305" s="25" t="s">
        <v>8</v>
      </c>
      <c r="G2305" s="20" t="s">
        <v>86</v>
      </c>
    </row>
    <row r="2306" spans="1:7" s="291" customFormat="1" hidden="1" x14ac:dyDescent="0.3">
      <c r="A2306" s="252">
        <v>46007</v>
      </c>
      <c r="B2306" s="252" t="s">
        <v>221</v>
      </c>
      <c r="C2306" s="26" t="s">
        <v>44</v>
      </c>
      <c r="D2306" s="18" t="s">
        <v>201</v>
      </c>
      <c r="E2306" s="19">
        <v>-852.45</v>
      </c>
      <c r="F2306" s="25" t="s">
        <v>8</v>
      </c>
      <c r="G2306" s="20" t="s">
        <v>86</v>
      </c>
    </row>
    <row r="2307" spans="1:7" s="291" customFormat="1" hidden="1" x14ac:dyDescent="0.3">
      <c r="A2307" s="252">
        <v>46007</v>
      </c>
      <c r="B2307" s="252" t="s">
        <v>221</v>
      </c>
      <c r="C2307" s="26" t="s">
        <v>25</v>
      </c>
      <c r="D2307" s="18" t="s">
        <v>201</v>
      </c>
      <c r="E2307" s="19">
        <v>-2944.81</v>
      </c>
      <c r="F2307" s="25" t="s">
        <v>8</v>
      </c>
      <c r="G2307" s="20" t="s">
        <v>86</v>
      </c>
    </row>
    <row r="2308" spans="1:7" s="291" customFormat="1" hidden="1" x14ac:dyDescent="0.3">
      <c r="A2308" s="252">
        <v>46007</v>
      </c>
      <c r="B2308" s="252" t="s">
        <v>221</v>
      </c>
      <c r="C2308" s="26" t="s">
        <v>33</v>
      </c>
      <c r="D2308" s="18" t="s">
        <v>201</v>
      </c>
      <c r="E2308" s="19">
        <v>-852.45</v>
      </c>
      <c r="F2308" s="25" t="s">
        <v>8</v>
      </c>
      <c r="G2308" s="20" t="s">
        <v>86</v>
      </c>
    </row>
    <row r="2309" spans="1:7" s="291" customFormat="1" hidden="1" x14ac:dyDescent="0.3">
      <c r="A2309" s="252">
        <v>46007</v>
      </c>
      <c r="B2309" s="252" t="s">
        <v>221</v>
      </c>
      <c r="C2309" s="26" t="s">
        <v>106</v>
      </c>
      <c r="D2309" s="18" t="s">
        <v>201</v>
      </c>
      <c r="E2309" s="19">
        <v>-929.94</v>
      </c>
      <c r="F2309" s="25" t="s">
        <v>8</v>
      </c>
      <c r="G2309" s="20" t="s">
        <v>86</v>
      </c>
    </row>
    <row r="2310" spans="1:7" s="291" customFormat="1" hidden="1" x14ac:dyDescent="0.3">
      <c r="A2310" s="252">
        <v>46007</v>
      </c>
      <c r="B2310" s="252" t="s">
        <v>221</v>
      </c>
      <c r="C2310" s="26" t="s">
        <v>32</v>
      </c>
      <c r="D2310" s="18" t="s">
        <v>201</v>
      </c>
      <c r="E2310" s="19">
        <v>-232.49</v>
      </c>
      <c r="F2310" s="25" t="s">
        <v>8</v>
      </c>
      <c r="G2310" s="20" t="s">
        <v>86</v>
      </c>
    </row>
    <row r="2311" spans="1:7" s="291" customFormat="1" hidden="1" x14ac:dyDescent="0.3">
      <c r="A2311" s="252">
        <v>46007</v>
      </c>
      <c r="B2311" s="252" t="s">
        <v>221</v>
      </c>
      <c r="C2311" s="26" t="s">
        <v>72</v>
      </c>
      <c r="D2311" s="18" t="s">
        <v>201</v>
      </c>
      <c r="E2311" s="19">
        <v>-464.97</v>
      </c>
      <c r="F2311" s="25" t="s">
        <v>8</v>
      </c>
      <c r="G2311" s="20" t="s">
        <v>86</v>
      </c>
    </row>
    <row r="2312" spans="1:7" s="291" customFormat="1" hidden="1" x14ac:dyDescent="0.3">
      <c r="A2312" s="252">
        <v>46007</v>
      </c>
      <c r="B2312" s="252" t="s">
        <v>221</v>
      </c>
      <c r="C2312" s="26" t="s">
        <v>17</v>
      </c>
      <c r="D2312" s="18" t="s">
        <v>201</v>
      </c>
      <c r="E2312" s="19">
        <v>-542.47</v>
      </c>
      <c r="F2312" s="25" t="s">
        <v>8</v>
      </c>
      <c r="G2312" s="20" t="s">
        <v>86</v>
      </c>
    </row>
    <row r="2313" spans="1:7" s="291" customFormat="1" hidden="1" x14ac:dyDescent="0.3">
      <c r="A2313" s="252">
        <v>46008</v>
      </c>
      <c r="B2313" s="252" t="s">
        <v>221</v>
      </c>
      <c r="C2313" s="22" t="s">
        <v>17</v>
      </c>
      <c r="D2313" s="13" t="s">
        <v>113</v>
      </c>
      <c r="E2313" s="28">
        <v>-3760</v>
      </c>
      <c r="F2313" s="25" t="s">
        <v>8</v>
      </c>
      <c r="G2313" s="14" t="s">
        <v>74</v>
      </c>
    </row>
    <row r="2314" spans="1:7" s="291" customFormat="1" hidden="1" x14ac:dyDescent="0.3">
      <c r="A2314" s="252">
        <v>46008</v>
      </c>
      <c r="B2314" s="252" t="s">
        <v>221</v>
      </c>
      <c r="C2314" s="22" t="s">
        <v>17</v>
      </c>
      <c r="D2314" s="13" t="s">
        <v>113</v>
      </c>
      <c r="E2314" s="28">
        <v>-5800</v>
      </c>
      <c r="F2314" s="25" t="s">
        <v>8</v>
      </c>
      <c r="G2314" s="14" t="s">
        <v>74</v>
      </c>
    </row>
    <row r="2315" spans="1:7" s="291" customFormat="1" hidden="1" x14ac:dyDescent="0.3">
      <c r="A2315" s="252">
        <v>46008</v>
      </c>
      <c r="B2315" s="252" t="s">
        <v>221</v>
      </c>
      <c r="C2315" s="22" t="s">
        <v>13</v>
      </c>
      <c r="D2315" s="13" t="s">
        <v>113</v>
      </c>
      <c r="E2315" s="28">
        <v>-5460</v>
      </c>
      <c r="F2315" s="25" t="s">
        <v>8</v>
      </c>
      <c r="G2315" s="14" t="s">
        <v>74</v>
      </c>
    </row>
    <row r="2316" spans="1:7" s="291" customFormat="1" hidden="1" x14ac:dyDescent="0.3">
      <c r="A2316" s="252">
        <v>46010</v>
      </c>
      <c r="B2316" s="252" t="s">
        <v>221</v>
      </c>
      <c r="C2316" s="22" t="s">
        <v>17</v>
      </c>
      <c r="D2316" s="13" t="s">
        <v>18</v>
      </c>
      <c r="E2316" s="21">
        <v>-17235</v>
      </c>
      <c r="F2316" s="25" t="s">
        <v>8</v>
      </c>
      <c r="G2316" s="14" t="s">
        <v>19</v>
      </c>
    </row>
    <row r="2317" spans="1:7" s="291" customFormat="1" hidden="1" x14ac:dyDescent="0.3">
      <c r="A2317" s="252">
        <v>46008</v>
      </c>
      <c r="B2317" s="252" t="s">
        <v>221</v>
      </c>
      <c r="C2317" s="22" t="s">
        <v>6</v>
      </c>
      <c r="D2317" s="13" t="s">
        <v>808</v>
      </c>
      <c r="E2317" s="28">
        <v>-4500</v>
      </c>
      <c r="F2317" s="25" t="s">
        <v>8</v>
      </c>
      <c r="G2317" s="14" t="s">
        <v>114</v>
      </c>
    </row>
    <row r="2318" spans="1:7" s="291" customFormat="1" hidden="1" x14ac:dyDescent="0.3">
      <c r="A2318" s="252">
        <v>46017</v>
      </c>
      <c r="B2318" s="252" t="s">
        <v>221</v>
      </c>
      <c r="C2318" s="30" t="s">
        <v>6</v>
      </c>
      <c r="D2318" s="13" t="s">
        <v>115</v>
      </c>
      <c r="E2318" s="28">
        <v>-35714.57</v>
      </c>
      <c r="F2318" s="14" t="s">
        <v>8</v>
      </c>
      <c r="G2318" s="20" t="s">
        <v>46</v>
      </c>
    </row>
    <row r="2319" spans="1:7" s="291" customFormat="1" hidden="1" x14ac:dyDescent="0.3">
      <c r="A2319" s="252">
        <v>46008</v>
      </c>
      <c r="B2319" s="252" t="s">
        <v>221</v>
      </c>
      <c r="C2319" s="22" t="s">
        <v>6</v>
      </c>
      <c r="D2319" s="13" t="s">
        <v>116</v>
      </c>
      <c r="E2319" s="28">
        <v>-30</v>
      </c>
      <c r="F2319" s="25" t="s">
        <v>8</v>
      </c>
      <c r="G2319" s="14" t="s">
        <v>51</v>
      </c>
    </row>
    <row r="2320" spans="1:7" s="291" customFormat="1" hidden="1" x14ac:dyDescent="0.3">
      <c r="A2320" s="252">
        <v>46008</v>
      </c>
      <c r="B2320" s="252" t="s">
        <v>221</v>
      </c>
      <c r="C2320" s="22" t="s">
        <v>6</v>
      </c>
      <c r="D2320" s="13" t="s">
        <v>117</v>
      </c>
      <c r="E2320" s="28">
        <v>-10000</v>
      </c>
      <c r="F2320" s="25" t="s">
        <v>8</v>
      </c>
      <c r="G2320" s="14" t="s">
        <v>51</v>
      </c>
    </row>
    <row r="2321" spans="1:7" s="291" customFormat="1" hidden="1" x14ac:dyDescent="0.3">
      <c r="A2321" s="252">
        <v>46008</v>
      </c>
      <c r="B2321" s="252" t="s">
        <v>221</v>
      </c>
      <c r="C2321" s="22" t="s">
        <v>6</v>
      </c>
      <c r="D2321" s="13" t="s">
        <v>118</v>
      </c>
      <c r="E2321" s="28">
        <v>-4500</v>
      </c>
      <c r="F2321" s="25" t="s">
        <v>8</v>
      </c>
      <c r="G2321" s="14" t="s">
        <v>51</v>
      </c>
    </row>
    <row r="2322" spans="1:7" s="291" customFormat="1" hidden="1" x14ac:dyDescent="0.3">
      <c r="A2322" s="252">
        <v>46008</v>
      </c>
      <c r="B2322" s="252" t="s">
        <v>221</v>
      </c>
      <c r="C2322" s="22" t="s">
        <v>17</v>
      </c>
      <c r="D2322" s="13" t="s">
        <v>119</v>
      </c>
      <c r="E2322" s="28">
        <v>-5300</v>
      </c>
      <c r="F2322" s="25" t="s">
        <v>8</v>
      </c>
      <c r="G2322" s="14" t="s">
        <v>53</v>
      </c>
    </row>
    <row r="2323" spans="1:7" s="291" customFormat="1" hidden="1" x14ac:dyDescent="0.3">
      <c r="A2323" s="252">
        <v>46009</v>
      </c>
      <c r="B2323" s="252" t="s">
        <v>221</v>
      </c>
      <c r="C2323" s="26" t="s">
        <v>13</v>
      </c>
      <c r="D2323" s="13" t="s">
        <v>120</v>
      </c>
      <c r="E2323" s="28">
        <v>-5996.67</v>
      </c>
      <c r="F2323" s="25" t="s">
        <v>8</v>
      </c>
      <c r="G2323" s="20" t="s">
        <v>46</v>
      </c>
    </row>
    <row r="2324" spans="1:7" s="291" customFormat="1" hidden="1" x14ac:dyDescent="0.3">
      <c r="A2324" s="252">
        <v>46013</v>
      </c>
      <c r="B2324" s="252" t="s">
        <v>221</v>
      </c>
      <c r="C2324" s="22" t="s">
        <v>6</v>
      </c>
      <c r="D2324" s="13" t="s">
        <v>121</v>
      </c>
      <c r="E2324" s="28">
        <v>-16000</v>
      </c>
      <c r="F2324" s="25" t="s">
        <v>8</v>
      </c>
      <c r="G2324" s="14" t="s">
        <v>122</v>
      </c>
    </row>
    <row r="2325" spans="1:7" s="291" customFormat="1" hidden="1" x14ac:dyDescent="0.3">
      <c r="A2325" s="252">
        <v>46013</v>
      </c>
      <c r="B2325" s="252" t="s">
        <v>221</v>
      </c>
      <c r="C2325" s="30" t="s">
        <v>6</v>
      </c>
      <c r="D2325" s="13" t="s">
        <v>123</v>
      </c>
      <c r="E2325" s="28">
        <v>-600</v>
      </c>
      <c r="F2325" s="25" t="s">
        <v>8</v>
      </c>
      <c r="G2325" s="14" t="s">
        <v>19</v>
      </c>
    </row>
    <row r="2326" spans="1:7" s="291" customFormat="1" hidden="1" x14ac:dyDescent="0.3">
      <c r="A2326" s="252">
        <v>46013</v>
      </c>
      <c r="B2326" s="252" t="s">
        <v>221</v>
      </c>
      <c r="C2326" s="22" t="s">
        <v>6</v>
      </c>
      <c r="D2326" s="13" t="s">
        <v>124</v>
      </c>
      <c r="E2326" s="28">
        <v>-1100</v>
      </c>
      <c r="F2326" s="25" t="s">
        <v>8</v>
      </c>
      <c r="G2326" s="14" t="s">
        <v>69</v>
      </c>
    </row>
    <row r="2327" spans="1:7" s="291" customFormat="1" hidden="1" x14ac:dyDescent="0.3">
      <c r="A2327" s="252">
        <v>46013</v>
      </c>
      <c r="B2327" s="252" t="s">
        <v>221</v>
      </c>
      <c r="C2327" s="22" t="s">
        <v>6</v>
      </c>
      <c r="D2327" s="13" t="s">
        <v>125</v>
      </c>
      <c r="E2327" s="28">
        <v>-39.799999999999997</v>
      </c>
      <c r="F2327" s="25" t="s">
        <v>8</v>
      </c>
      <c r="G2327" s="14" t="s">
        <v>69</v>
      </c>
    </row>
    <row r="2328" spans="1:7" s="291" customFormat="1" hidden="1" x14ac:dyDescent="0.3">
      <c r="A2328" s="252">
        <v>46010</v>
      </c>
      <c r="B2328" s="252" t="s">
        <v>221</v>
      </c>
      <c r="C2328" s="22" t="s">
        <v>6</v>
      </c>
      <c r="D2328" s="13" t="s">
        <v>126</v>
      </c>
      <c r="E2328" s="28">
        <v>-20000</v>
      </c>
      <c r="F2328" s="25" t="s">
        <v>8</v>
      </c>
      <c r="G2328" s="257" t="s">
        <v>127</v>
      </c>
    </row>
    <row r="2329" spans="1:7" s="291" customFormat="1" hidden="1" x14ac:dyDescent="0.3">
      <c r="A2329" s="252">
        <v>46010</v>
      </c>
      <c r="B2329" s="252" t="s">
        <v>221</v>
      </c>
      <c r="C2329" s="26" t="s">
        <v>17</v>
      </c>
      <c r="D2329" s="18" t="s">
        <v>128</v>
      </c>
      <c r="E2329" s="28">
        <v>-15000</v>
      </c>
      <c r="F2329" s="25" t="s">
        <v>8</v>
      </c>
      <c r="G2329" s="257" t="s">
        <v>127</v>
      </c>
    </row>
    <row r="2330" spans="1:7" s="291" customFormat="1" hidden="1" x14ac:dyDescent="0.3">
      <c r="A2330" s="252">
        <v>46010</v>
      </c>
      <c r="B2330" s="252" t="s">
        <v>221</v>
      </c>
      <c r="C2330" s="26" t="s">
        <v>17</v>
      </c>
      <c r="D2330" s="18" t="s">
        <v>129</v>
      </c>
      <c r="E2330" s="28">
        <v>-3000</v>
      </c>
      <c r="F2330" s="25" t="s">
        <v>8</v>
      </c>
      <c r="G2330" s="257" t="s">
        <v>127</v>
      </c>
    </row>
    <row r="2331" spans="1:7" s="291" customFormat="1" hidden="1" x14ac:dyDescent="0.3">
      <c r="A2331" s="252">
        <v>46010</v>
      </c>
      <c r="B2331" s="252" t="s">
        <v>221</v>
      </c>
      <c r="C2331" s="22" t="s">
        <v>6</v>
      </c>
      <c r="D2331" s="13" t="s">
        <v>130</v>
      </c>
      <c r="E2331" s="21">
        <v>-55000</v>
      </c>
      <c r="F2331" s="25" t="s">
        <v>8</v>
      </c>
      <c r="G2331" s="257" t="s">
        <v>127</v>
      </c>
    </row>
    <row r="2332" spans="1:7" s="291" customFormat="1" hidden="1" x14ac:dyDescent="0.3">
      <c r="A2332" s="252">
        <v>46010</v>
      </c>
      <c r="B2332" s="252" t="s">
        <v>221</v>
      </c>
      <c r="C2332" s="22" t="s">
        <v>6</v>
      </c>
      <c r="D2332" s="18" t="s">
        <v>131</v>
      </c>
      <c r="E2332" s="28">
        <v>-50000</v>
      </c>
      <c r="F2332" s="25" t="s">
        <v>8</v>
      </c>
      <c r="G2332" s="257" t="s">
        <v>127</v>
      </c>
    </row>
    <row r="2333" spans="1:7" s="291" customFormat="1" hidden="1" x14ac:dyDescent="0.3">
      <c r="A2333" s="252">
        <v>46013</v>
      </c>
      <c r="B2333" s="252" t="s">
        <v>221</v>
      </c>
      <c r="C2333" s="22" t="s">
        <v>6</v>
      </c>
      <c r="D2333" s="13" t="s">
        <v>218</v>
      </c>
      <c r="E2333" s="28">
        <v>-110000</v>
      </c>
      <c r="F2333" s="25" t="s">
        <v>8</v>
      </c>
      <c r="G2333" s="14" t="s">
        <v>27</v>
      </c>
    </row>
    <row r="2334" spans="1:7" s="291" customFormat="1" hidden="1" x14ac:dyDescent="0.3">
      <c r="A2334" s="252">
        <v>46010</v>
      </c>
      <c r="B2334" s="252" t="s">
        <v>221</v>
      </c>
      <c r="C2334" s="22" t="s">
        <v>6</v>
      </c>
      <c r="D2334" s="13" t="s">
        <v>132</v>
      </c>
      <c r="E2334" s="21">
        <v>-41000</v>
      </c>
      <c r="F2334" s="25" t="s">
        <v>8</v>
      </c>
      <c r="G2334" s="14" t="s">
        <v>83</v>
      </c>
    </row>
    <row r="2335" spans="1:7" s="291" customFormat="1" hidden="1" x14ac:dyDescent="0.3">
      <c r="A2335" s="252">
        <v>46013</v>
      </c>
      <c r="B2335" s="252" t="s">
        <v>221</v>
      </c>
      <c r="C2335" s="26" t="s">
        <v>31</v>
      </c>
      <c r="D2335" s="18" t="s">
        <v>201</v>
      </c>
      <c r="E2335" s="19">
        <v>-2324.85</v>
      </c>
      <c r="F2335" s="25" t="s">
        <v>8</v>
      </c>
      <c r="G2335" s="14" t="s">
        <v>86</v>
      </c>
    </row>
    <row r="2336" spans="1:7" s="291" customFormat="1" hidden="1" x14ac:dyDescent="0.3">
      <c r="A2336" s="252">
        <v>46013</v>
      </c>
      <c r="B2336" s="252" t="s">
        <v>221</v>
      </c>
      <c r="C2336" s="26" t="s">
        <v>6</v>
      </c>
      <c r="D2336" s="18" t="s">
        <v>201</v>
      </c>
      <c r="E2336" s="19">
        <v>-2944.81</v>
      </c>
      <c r="F2336" s="25" t="s">
        <v>8</v>
      </c>
      <c r="G2336" s="14" t="s">
        <v>86</v>
      </c>
    </row>
    <row r="2337" spans="1:7" s="291" customFormat="1" hidden="1" x14ac:dyDescent="0.3">
      <c r="A2337" s="252">
        <v>46013</v>
      </c>
      <c r="B2337" s="252" t="s">
        <v>221</v>
      </c>
      <c r="C2337" s="26" t="s">
        <v>44</v>
      </c>
      <c r="D2337" s="18" t="s">
        <v>201</v>
      </c>
      <c r="E2337" s="19">
        <v>-2867.32</v>
      </c>
      <c r="F2337" s="25" t="s">
        <v>8</v>
      </c>
      <c r="G2337" s="14" t="s">
        <v>86</v>
      </c>
    </row>
    <row r="2338" spans="1:7" s="291" customFormat="1" hidden="1" x14ac:dyDescent="0.3">
      <c r="A2338" s="252">
        <v>46013</v>
      </c>
      <c r="B2338" s="252" t="s">
        <v>221</v>
      </c>
      <c r="C2338" s="26" t="s">
        <v>44</v>
      </c>
      <c r="D2338" s="18" t="s">
        <v>201</v>
      </c>
      <c r="E2338" s="19">
        <v>-852.45</v>
      </c>
      <c r="F2338" s="25" t="s">
        <v>8</v>
      </c>
      <c r="G2338" s="14" t="s">
        <v>86</v>
      </c>
    </row>
    <row r="2339" spans="1:7" s="291" customFormat="1" hidden="1" x14ac:dyDescent="0.3">
      <c r="A2339" s="252">
        <v>46013</v>
      </c>
      <c r="B2339" s="252" t="s">
        <v>221</v>
      </c>
      <c r="C2339" s="26" t="s">
        <v>25</v>
      </c>
      <c r="D2339" s="18" t="s">
        <v>201</v>
      </c>
      <c r="E2339" s="19">
        <v>-2789.82</v>
      </c>
      <c r="F2339" s="25" t="s">
        <v>8</v>
      </c>
      <c r="G2339" s="14" t="s">
        <v>86</v>
      </c>
    </row>
    <row r="2340" spans="1:7" s="291" customFormat="1" hidden="1" x14ac:dyDescent="0.3">
      <c r="A2340" s="252">
        <v>46013</v>
      </c>
      <c r="B2340" s="252" t="s">
        <v>221</v>
      </c>
      <c r="C2340" s="26" t="s">
        <v>33</v>
      </c>
      <c r="D2340" s="18" t="s">
        <v>201</v>
      </c>
      <c r="E2340" s="19">
        <v>-852.45</v>
      </c>
      <c r="F2340" s="25" t="s">
        <v>8</v>
      </c>
      <c r="G2340" s="14" t="s">
        <v>86</v>
      </c>
    </row>
    <row r="2341" spans="1:7" s="291" customFormat="1" hidden="1" x14ac:dyDescent="0.3">
      <c r="A2341" s="252">
        <v>46013</v>
      </c>
      <c r="B2341" s="252" t="s">
        <v>221</v>
      </c>
      <c r="C2341" s="26" t="s">
        <v>106</v>
      </c>
      <c r="D2341" s="18" t="s">
        <v>201</v>
      </c>
      <c r="E2341" s="19">
        <v>-619.96</v>
      </c>
      <c r="F2341" s="25" t="s">
        <v>8</v>
      </c>
      <c r="G2341" s="14" t="s">
        <v>86</v>
      </c>
    </row>
    <row r="2342" spans="1:7" s="291" customFormat="1" hidden="1" x14ac:dyDescent="0.3">
      <c r="A2342" s="252">
        <v>46013</v>
      </c>
      <c r="B2342" s="252" t="s">
        <v>221</v>
      </c>
      <c r="C2342" s="26" t="s">
        <v>32</v>
      </c>
      <c r="D2342" s="18" t="s">
        <v>201</v>
      </c>
      <c r="E2342" s="19">
        <v>-154.99</v>
      </c>
      <c r="F2342" s="25" t="s">
        <v>8</v>
      </c>
      <c r="G2342" s="14" t="s">
        <v>86</v>
      </c>
    </row>
    <row r="2343" spans="1:7" s="291" customFormat="1" hidden="1" x14ac:dyDescent="0.3">
      <c r="A2343" s="252">
        <v>46013</v>
      </c>
      <c r="B2343" s="252" t="s">
        <v>221</v>
      </c>
      <c r="C2343" s="26" t="s">
        <v>72</v>
      </c>
      <c r="D2343" s="18" t="s">
        <v>201</v>
      </c>
      <c r="E2343" s="19">
        <v>-852.45</v>
      </c>
      <c r="F2343" s="25" t="s">
        <v>8</v>
      </c>
      <c r="G2343" s="14" t="s">
        <v>86</v>
      </c>
    </row>
    <row r="2344" spans="1:7" s="291" customFormat="1" hidden="1" x14ac:dyDescent="0.3">
      <c r="A2344" s="252">
        <v>46013</v>
      </c>
      <c r="B2344" s="252" t="s">
        <v>221</v>
      </c>
      <c r="C2344" s="26" t="s">
        <v>17</v>
      </c>
      <c r="D2344" s="18" t="s">
        <v>201</v>
      </c>
      <c r="E2344" s="19">
        <v>-77.5</v>
      </c>
      <c r="F2344" s="25" t="s">
        <v>8</v>
      </c>
      <c r="G2344" s="14" t="s">
        <v>86</v>
      </c>
    </row>
    <row r="2345" spans="1:7" s="291" customFormat="1" hidden="1" x14ac:dyDescent="0.3">
      <c r="A2345" s="252">
        <v>46013</v>
      </c>
      <c r="B2345" s="252" t="s">
        <v>221</v>
      </c>
      <c r="C2345" s="22" t="s">
        <v>6</v>
      </c>
      <c r="D2345" s="13" t="s">
        <v>47</v>
      </c>
      <c r="E2345" s="28">
        <v>-8000</v>
      </c>
      <c r="F2345" s="25" t="s">
        <v>8</v>
      </c>
      <c r="G2345" s="14" t="s">
        <v>27</v>
      </c>
    </row>
    <row r="2346" spans="1:7" s="291" customFormat="1" hidden="1" x14ac:dyDescent="0.3">
      <c r="A2346" s="252">
        <v>46013</v>
      </c>
      <c r="B2346" s="252" t="s">
        <v>221</v>
      </c>
      <c r="C2346" s="22" t="s">
        <v>25</v>
      </c>
      <c r="D2346" s="13" t="s">
        <v>133</v>
      </c>
      <c r="E2346" s="28">
        <v>-2756.99</v>
      </c>
      <c r="F2346" s="25" t="s">
        <v>8</v>
      </c>
      <c r="G2346" s="214" t="s">
        <v>156</v>
      </c>
    </row>
    <row r="2347" spans="1:7" s="291" customFormat="1" hidden="1" x14ac:dyDescent="0.3">
      <c r="A2347" s="205">
        <v>46013</v>
      </c>
      <c r="B2347" s="252" t="s">
        <v>221</v>
      </c>
      <c r="C2347" s="26" t="s">
        <v>17</v>
      </c>
      <c r="D2347" s="13" t="s">
        <v>134</v>
      </c>
      <c r="E2347" s="28">
        <v>-1700</v>
      </c>
      <c r="F2347" s="25" t="s">
        <v>8</v>
      </c>
      <c r="G2347" s="14" t="s">
        <v>135</v>
      </c>
    </row>
    <row r="2348" spans="1:7" s="291" customFormat="1" hidden="1" x14ac:dyDescent="0.3">
      <c r="A2348" s="252">
        <v>46010</v>
      </c>
      <c r="B2348" s="252" t="s">
        <v>221</v>
      </c>
      <c r="C2348" s="22" t="s">
        <v>65</v>
      </c>
      <c r="D2348" s="13" t="s">
        <v>136</v>
      </c>
      <c r="E2348" s="28">
        <v>-8937.32</v>
      </c>
      <c r="F2348" s="25" t="s">
        <v>8</v>
      </c>
      <c r="G2348" s="14" t="s">
        <v>39</v>
      </c>
    </row>
    <row r="2349" spans="1:7" s="291" customFormat="1" hidden="1" x14ac:dyDescent="0.3">
      <c r="A2349" s="252">
        <v>46017</v>
      </c>
      <c r="B2349" s="252" t="s">
        <v>221</v>
      </c>
      <c r="C2349" s="22" t="s">
        <v>17</v>
      </c>
      <c r="D2349" s="13" t="s">
        <v>18</v>
      </c>
      <c r="E2349" s="21">
        <v>-17235</v>
      </c>
      <c r="F2349" s="25" t="s">
        <v>8</v>
      </c>
      <c r="G2349" s="14" t="s">
        <v>19</v>
      </c>
    </row>
    <row r="2350" spans="1:7" s="291" customFormat="1" hidden="1" x14ac:dyDescent="0.3">
      <c r="A2350" s="205">
        <v>46017</v>
      </c>
      <c r="B2350" s="252" t="s">
        <v>221</v>
      </c>
      <c r="C2350" s="22" t="s">
        <v>6</v>
      </c>
      <c r="D2350" s="13" t="s">
        <v>63</v>
      </c>
      <c r="E2350" s="28">
        <v>-9000</v>
      </c>
      <c r="F2350" s="25" t="s">
        <v>8</v>
      </c>
      <c r="G2350" s="14" t="s">
        <v>64</v>
      </c>
    </row>
    <row r="2351" spans="1:7" s="291" customFormat="1" hidden="1" x14ac:dyDescent="0.3">
      <c r="A2351" s="205">
        <v>46017</v>
      </c>
      <c r="B2351" s="252" t="s">
        <v>221</v>
      </c>
      <c r="C2351" s="22" t="s">
        <v>17</v>
      </c>
      <c r="D2351" s="13" t="s">
        <v>137</v>
      </c>
      <c r="E2351" s="28">
        <v>-500</v>
      </c>
      <c r="F2351" s="25" t="s">
        <v>8</v>
      </c>
      <c r="G2351" s="14" t="s">
        <v>69</v>
      </c>
    </row>
    <row r="2352" spans="1:7" s="291" customFormat="1" hidden="1" x14ac:dyDescent="0.3">
      <c r="A2352" s="205">
        <v>46017</v>
      </c>
      <c r="B2352" s="252" t="s">
        <v>221</v>
      </c>
      <c r="C2352" s="22" t="s">
        <v>6</v>
      </c>
      <c r="D2352" s="13" t="s">
        <v>138</v>
      </c>
      <c r="E2352" s="28">
        <v>-294.8</v>
      </c>
      <c r="F2352" s="25" t="s">
        <v>8</v>
      </c>
      <c r="G2352" s="14" t="s">
        <v>139</v>
      </c>
    </row>
    <row r="2353" spans="1:7" s="291" customFormat="1" hidden="1" x14ac:dyDescent="0.3">
      <c r="A2353" s="205">
        <v>46017</v>
      </c>
      <c r="B2353" s="252" t="s">
        <v>221</v>
      </c>
      <c r="C2353" s="22" t="s">
        <v>25</v>
      </c>
      <c r="D2353" s="13" t="s">
        <v>140</v>
      </c>
      <c r="E2353" s="28">
        <v>-1812.64</v>
      </c>
      <c r="F2353" s="25" t="s">
        <v>8</v>
      </c>
      <c r="G2353" s="214" t="s">
        <v>156</v>
      </c>
    </row>
    <row r="2354" spans="1:7" s="291" customFormat="1" hidden="1" x14ac:dyDescent="0.3">
      <c r="A2354" s="252">
        <v>46010</v>
      </c>
      <c r="B2354" s="252" t="s">
        <v>221</v>
      </c>
      <c r="C2354" s="22" t="s">
        <v>6</v>
      </c>
      <c r="D2354" s="18" t="s">
        <v>220</v>
      </c>
      <c r="E2354" s="19">
        <v>-217558.83</v>
      </c>
      <c r="F2354" s="25" t="s">
        <v>8</v>
      </c>
      <c r="G2354" s="20" t="s">
        <v>231</v>
      </c>
    </row>
    <row r="2355" spans="1:7" s="291" customFormat="1" hidden="1" x14ac:dyDescent="0.3">
      <c r="A2355" s="252">
        <v>46010</v>
      </c>
      <c r="B2355" s="252" t="s">
        <v>221</v>
      </c>
      <c r="C2355" s="22" t="s">
        <v>17</v>
      </c>
      <c r="D2355" s="13" t="s">
        <v>143</v>
      </c>
      <c r="E2355" s="28">
        <v>-9980</v>
      </c>
      <c r="F2355" s="25" t="s">
        <v>8</v>
      </c>
      <c r="G2355" s="14" t="s">
        <v>59</v>
      </c>
    </row>
    <row r="2356" spans="1:7" s="291" customFormat="1" hidden="1" x14ac:dyDescent="0.3">
      <c r="A2356" s="205">
        <v>46020</v>
      </c>
      <c r="B2356" s="252" t="s">
        <v>221</v>
      </c>
      <c r="C2356" s="22" t="s">
        <v>13</v>
      </c>
      <c r="D2356" s="13" t="s">
        <v>144</v>
      </c>
      <c r="E2356" s="28">
        <v>-500</v>
      </c>
      <c r="F2356" s="25" t="s">
        <v>8</v>
      </c>
      <c r="G2356" s="14" t="s">
        <v>69</v>
      </c>
    </row>
    <row r="2357" spans="1:7" s="291" customFormat="1" hidden="1" x14ac:dyDescent="0.3">
      <c r="A2357" s="205">
        <v>46021</v>
      </c>
      <c r="B2357" s="252" t="s">
        <v>221</v>
      </c>
      <c r="C2357" s="30" t="s">
        <v>65</v>
      </c>
      <c r="D2357" s="13" t="s">
        <v>97</v>
      </c>
      <c r="E2357" s="28">
        <v>-5000</v>
      </c>
      <c r="F2357" s="14" t="s">
        <v>8</v>
      </c>
      <c r="G2357" s="14" t="s">
        <v>39</v>
      </c>
    </row>
    <row r="2358" spans="1:7" s="291" customFormat="1" hidden="1" x14ac:dyDescent="0.3">
      <c r="A2358" s="205">
        <v>46021</v>
      </c>
      <c r="B2358" s="252" t="s">
        <v>221</v>
      </c>
      <c r="C2358" s="26" t="s">
        <v>17</v>
      </c>
      <c r="D2358" s="18" t="s">
        <v>145</v>
      </c>
      <c r="E2358" s="28">
        <v>-2530.4299999999998</v>
      </c>
      <c r="F2358" s="25" t="s">
        <v>8</v>
      </c>
      <c r="G2358" s="14" t="s">
        <v>69</v>
      </c>
    </row>
    <row r="2359" spans="1:7" s="291" customFormat="1" hidden="1" x14ac:dyDescent="0.3">
      <c r="A2359" s="205">
        <v>46021</v>
      </c>
      <c r="B2359" s="252" t="s">
        <v>221</v>
      </c>
      <c r="C2359" s="26" t="s">
        <v>17</v>
      </c>
      <c r="D2359" s="18" t="s">
        <v>145</v>
      </c>
      <c r="E2359" s="28">
        <v>-1339.5</v>
      </c>
      <c r="F2359" s="25" t="s">
        <v>8</v>
      </c>
      <c r="G2359" s="14" t="s">
        <v>69</v>
      </c>
    </row>
    <row r="2360" spans="1:7" s="291" customFormat="1" hidden="1" x14ac:dyDescent="0.3">
      <c r="A2360" s="252">
        <v>45996</v>
      </c>
      <c r="B2360" s="252" t="s">
        <v>221</v>
      </c>
      <c r="C2360" s="22" t="s">
        <v>81</v>
      </c>
      <c r="D2360" s="13" t="s">
        <v>146</v>
      </c>
      <c r="E2360" s="28">
        <v>-5000</v>
      </c>
      <c r="F2360" s="25" t="s">
        <v>8</v>
      </c>
      <c r="G2360" s="14" t="s">
        <v>83</v>
      </c>
    </row>
    <row r="2361" spans="1:7" s="291" customFormat="1" hidden="1" x14ac:dyDescent="0.3">
      <c r="A2361" s="205">
        <v>46021</v>
      </c>
      <c r="B2361" s="252" t="s">
        <v>221</v>
      </c>
      <c r="C2361" s="22" t="s">
        <v>81</v>
      </c>
      <c r="D2361" s="13" t="s">
        <v>82</v>
      </c>
      <c r="E2361" s="28">
        <v>-15000</v>
      </c>
      <c r="F2361" s="25" t="s">
        <v>8</v>
      </c>
      <c r="G2361" s="14" t="s">
        <v>83</v>
      </c>
    </row>
    <row r="2362" spans="1:7" s="291" customFormat="1" hidden="1" x14ac:dyDescent="0.3">
      <c r="A2362" s="252">
        <v>46017</v>
      </c>
      <c r="B2362" s="252" t="s">
        <v>221</v>
      </c>
      <c r="C2362" s="22" t="s">
        <v>17</v>
      </c>
      <c r="D2362" s="13" t="s">
        <v>143</v>
      </c>
      <c r="E2362" s="28">
        <v>-9980</v>
      </c>
      <c r="F2362" s="25" t="s">
        <v>8</v>
      </c>
      <c r="G2362" s="14" t="s">
        <v>59</v>
      </c>
    </row>
    <row r="2363" spans="1:7" s="291" customFormat="1" hidden="1" x14ac:dyDescent="0.3">
      <c r="A2363" s="205">
        <v>46021</v>
      </c>
      <c r="B2363" s="252" t="s">
        <v>221</v>
      </c>
      <c r="C2363" s="22" t="s">
        <v>17</v>
      </c>
      <c r="D2363" s="13" t="s">
        <v>143</v>
      </c>
      <c r="E2363" s="28">
        <v>-23498.18</v>
      </c>
      <c r="F2363" s="25" t="s">
        <v>8</v>
      </c>
      <c r="G2363" s="14" t="s">
        <v>59</v>
      </c>
    </row>
    <row r="2364" spans="1:7" s="291" customFormat="1" hidden="1" x14ac:dyDescent="0.3">
      <c r="A2364" s="205">
        <v>46021</v>
      </c>
      <c r="B2364" s="252" t="s">
        <v>221</v>
      </c>
      <c r="C2364" s="22" t="s">
        <v>6</v>
      </c>
      <c r="D2364" s="13" t="s">
        <v>147</v>
      </c>
      <c r="E2364" s="28">
        <v>-35000</v>
      </c>
      <c r="F2364" s="25" t="s">
        <v>8</v>
      </c>
      <c r="G2364" s="257" t="s">
        <v>127</v>
      </c>
    </row>
    <row r="2365" spans="1:7" s="291" customFormat="1" hidden="1" x14ac:dyDescent="0.3">
      <c r="A2365" s="205">
        <v>46021</v>
      </c>
      <c r="B2365" s="252" t="s">
        <v>221</v>
      </c>
      <c r="C2365" s="22" t="s">
        <v>6</v>
      </c>
      <c r="D2365" s="13" t="s">
        <v>148</v>
      </c>
      <c r="E2365" s="28">
        <v>-7000</v>
      </c>
      <c r="F2365" s="25" t="s">
        <v>8</v>
      </c>
      <c r="G2365" s="14" t="s">
        <v>99</v>
      </c>
    </row>
    <row r="2366" spans="1:7" s="291" customFormat="1" hidden="1" x14ac:dyDescent="0.3">
      <c r="A2366" s="205">
        <v>46021</v>
      </c>
      <c r="B2366" s="252" t="s">
        <v>221</v>
      </c>
      <c r="C2366" s="22" t="s">
        <v>17</v>
      </c>
      <c r="D2366" s="18" t="s">
        <v>149</v>
      </c>
      <c r="E2366" s="28">
        <v>-1500</v>
      </c>
      <c r="F2366" s="25" t="s">
        <v>8</v>
      </c>
      <c r="G2366" s="14" t="s">
        <v>150</v>
      </c>
    </row>
    <row r="2367" spans="1:7" s="291" customFormat="1" hidden="1" x14ac:dyDescent="0.3">
      <c r="A2367" s="205">
        <v>46021</v>
      </c>
      <c r="B2367" s="252" t="s">
        <v>221</v>
      </c>
      <c r="C2367" s="22" t="s">
        <v>17</v>
      </c>
      <c r="D2367" s="18" t="s">
        <v>151</v>
      </c>
      <c r="E2367" s="28">
        <v>-50</v>
      </c>
      <c r="F2367" s="25" t="s">
        <v>8</v>
      </c>
      <c r="G2367" s="14" t="s">
        <v>150</v>
      </c>
    </row>
    <row r="2368" spans="1:7" s="291" customFormat="1" hidden="1" x14ac:dyDescent="0.3">
      <c r="A2368" s="205">
        <v>46021</v>
      </c>
      <c r="B2368" s="252" t="s">
        <v>221</v>
      </c>
      <c r="C2368" s="22" t="s">
        <v>13</v>
      </c>
      <c r="D2368" s="13" t="s">
        <v>152</v>
      </c>
      <c r="E2368" s="28">
        <v>-800</v>
      </c>
      <c r="F2368" s="25" t="s">
        <v>8</v>
      </c>
      <c r="G2368" s="14" t="s">
        <v>153</v>
      </c>
    </row>
    <row r="2369" spans="1:7" s="291" customFormat="1" hidden="1" x14ac:dyDescent="0.3">
      <c r="A2369" s="205">
        <v>46021</v>
      </c>
      <c r="B2369" s="252" t="s">
        <v>221</v>
      </c>
      <c r="C2369" s="22" t="s">
        <v>17</v>
      </c>
      <c r="D2369" s="18" t="s">
        <v>157</v>
      </c>
      <c r="E2369" s="28">
        <v>-7000</v>
      </c>
      <c r="F2369" s="25" t="s">
        <v>8</v>
      </c>
      <c r="G2369" s="257" t="s">
        <v>127</v>
      </c>
    </row>
    <row r="2370" spans="1:7" s="291" customFormat="1" hidden="1" x14ac:dyDescent="0.3">
      <c r="A2370" s="205">
        <v>46021</v>
      </c>
      <c r="B2370" s="252" t="s">
        <v>221</v>
      </c>
      <c r="C2370" s="22" t="s">
        <v>44</v>
      </c>
      <c r="D2370" s="18" t="s">
        <v>158</v>
      </c>
      <c r="E2370" s="28">
        <v>-600</v>
      </c>
      <c r="F2370" s="25" t="s">
        <v>8</v>
      </c>
      <c r="G2370" s="257" t="s">
        <v>127</v>
      </c>
    </row>
    <row r="2371" spans="1:7" s="291" customFormat="1" hidden="1" x14ac:dyDescent="0.3">
      <c r="A2371" s="205">
        <v>46021</v>
      </c>
      <c r="B2371" s="252" t="s">
        <v>221</v>
      </c>
      <c r="C2371" s="22" t="s">
        <v>44</v>
      </c>
      <c r="D2371" s="18" t="s">
        <v>159</v>
      </c>
      <c r="E2371" s="28">
        <v>-4000</v>
      </c>
      <c r="F2371" s="25" t="s">
        <v>8</v>
      </c>
      <c r="G2371" s="257" t="s">
        <v>127</v>
      </c>
    </row>
    <row r="2372" spans="1:7" s="291" customFormat="1" hidden="1" x14ac:dyDescent="0.3">
      <c r="A2372" s="205">
        <v>46021</v>
      </c>
      <c r="B2372" s="252" t="s">
        <v>221</v>
      </c>
      <c r="C2372" s="22" t="s">
        <v>81</v>
      </c>
      <c r="D2372" s="13" t="s">
        <v>160</v>
      </c>
      <c r="E2372" s="28">
        <v>-9000</v>
      </c>
      <c r="F2372" s="25" t="s">
        <v>8</v>
      </c>
      <c r="G2372" s="257" t="s">
        <v>127</v>
      </c>
    </row>
    <row r="2373" spans="1:7" s="291" customFormat="1" hidden="1" x14ac:dyDescent="0.3">
      <c r="A2373" s="205">
        <v>46021</v>
      </c>
      <c r="B2373" s="252" t="s">
        <v>221</v>
      </c>
      <c r="C2373" s="24" t="s">
        <v>44</v>
      </c>
      <c r="D2373" s="13" t="s">
        <v>161</v>
      </c>
      <c r="E2373" s="28">
        <v>-1719.53</v>
      </c>
      <c r="F2373" s="25" t="s">
        <v>8</v>
      </c>
      <c r="G2373" s="25" t="s">
        <v>93</v>
      </c>
    </row>
    <row r="2374" spans="1:7" s="291" customFormat="1" hidden="1" x14ac:dyDescent="0.3">
      <c r="A2374" s="201">
        <v>46021</v>
      </c>
      <c r="B2374" s="265" t="s">
        <v>221</v>
      </c>
      <c r="C2374" s="258" t="s">
        <v>6</v>
      </c>
      <c r="D2374" s="259" t="s">
        <v>161</v>
      </c>
      <c r="E2374" s="297">
        <v>-1392.65</v>
      </c>
      <c r="F2374" s="51" t="s">
        <v>8</v>
      </c>
      <c r="G2374" s="51" t="s">
        <v>93</v>
      </c>
    </row>
    <row r="2375" spans="1:7" hidden="1" x14ac:dyDescent="0.3">
      <c r="A2375" s="275">
        <v>45993</v>
      </c>
      <c r="B2375" s="299" t="s">
        <v>221</v>
      </c>
      <c r="C2375" s="124" t="s">
        <v>162</v>
      </c>
      <c r="D2375" s="53" t="s">
        <v>163</v>
      </c>
      <c r="E2375" s="100">
        <v>23638.67</v>
      </c>
      <c r="F2375" s="110" t="s">
        <v>164</v>
      </c>
      <c r="G2375" s="137" t="s">
        <v>165</v>
      </c>
    </row>
    <row r="2376" spans="1:7" hidden="1" x14ac:dyDescent="0.3">
      <c r="A2376" s="275">
        <v>45993</v>
      </c>
      <c r="B2376" s="299" t="s">
        <v>221</v>
      </c>
      <c r="C2376" s="124" t="s">
        <v>166</v>
      </c>
      <c r="D2376" s="53" t="s">
        <v>167</v>
      </c>
      <c r="E2376" s="100">
        <v>799.2</v>
      </c>
      <c r="F2376" s="110" t="s">
        <v>164</v>
      </c>
      <c r="G2376" s="137" t="s">
        <v>165</v>
      </c>
    </row>
    <row r="2377" spans="1:7" hidden="1" x14ac:dyDescent="0.3">
      <c r="A2377" s="275">
        <v>45993</v>
      </c>
      <c r="B2377" s="299" t="s">
        <v>221</v>
      </c>
      <c r="C2377" s="124" t="s">
        <v>166</v>
      </c>
      <c r="D2377" s="53" t="s">
        <v>167</v>
      </c>
      <c r="E2377" s="100">
        <v>18532.8</v>
      </c>
      <c r="F2377" s="110" t="s">
        <v>164</v>
      </c>
      <c r="G2377" s="137" t="s">
        <v>165</v>
      </c>
    </row>
    <row r="2378" spans="1:7" hidden="1" x14ac:dyDescent="0.3">
      <c r="A2378" s="275">
        <v>45993</v>
      </c>
      <c r="B2378" s="299" t="s">
        <v>221</v>
      </c>
      <c r="C2378" s="124" t="s">
        <v>168</v>
      </c>
      <c r="D2378" s="53" t="s">
        <v>169</v>
      </c>
      <c r="E2378" s="100">
        <v>22451.91</v>
      </c>
      <c r="F2378" s="110" t="s">
        <v>164</v>
      </c>
      <c r="G2378" s="137" t="s">
        <v>165</v>
      </c>
    </row>
    <row r="2379" spans="1:7" hidden="1" x14ac:dyDescent="0.3">
      <c r="A2379" s="275">
        <v>45993</v>
      </c>
      <c r="B2379" s="299" t="s">
        <v>221</v>
      </c>
      <c r="C2379" s="124" t="s">
        <v>170</v>
      </c>
      <c r="D2379" s="53" t="s">
        <v>171</v>
      </c>
      <c r="E2379" s="100">
        <v>14482.07</v>
      </c>
      <c r="F2379" s="110" t="s">
        <v>164</v>
      </c>
      <c r="G2379" s="137" t="s">
        <v>165</v>
      </c>
    </row>
    <row r="2380" spans="1:7" hidden="1" x14ac:dyDescent="0.3">
      <c r="A2380" s="275">
        <v>45993</v>
      </c>
      <c r="B2380" s="299" t="s">
        <v>221</v>
      </c>
      <c r="C2380" s="124" t="s">
        <v>170</v>
      </c>
      <c r="D2380" s="53" t="s">
        <v>171</v>
      </c>
      <c r="E2380" s="100">
        <v>23943.3</v>
      </c>
      <c r="F2380" s="110" t="s">
        <v>164</v>
      </c>
      <c r="G2380" s="137" t="s">
        <v>165</v>
      </c>
    </row>
    <row r="2381" spans="1:7" hidden="1" x14ac:dyDescent="0.3">
      <c r="A2381" s="275">
        <v>45993</v>
      </c>
      <c r="B2381" s="299" t="s">
        <v>221</v>
      </c>
      <c r="C2381" s="124" t="s">
        <v>170</v>
      </c>
      <c r="D2381" s="53" t="s">
        <v>171</v>
      </c>
      <c r="E2381" s="100">
        <v>21852.37</v>
      </c>
      <c r="F2381" s="110" t="s">
        <v>164</v>
      </c>
      <c r="G2381" s="137" t="s">
        <v>165</v>
      </c>
    </row>
    <row r="2382" spans="1:7" hidden="1" x14ac:dyDescent="0.3">
      <c r="A2382" s="275">
        <v>45993</v>
      </c>
      <c r="B2382" s="299" t="s">
        <v>221</v>
      </c>
      <c r="C2382" s="124" t="s">
        <v>170</v>
      </c>
      <c r="D2382" s="53" t="s">
        <v>171</v>
      </c>
      <c r="E2382" s="54">
        <v>4683.53</v>
      </c>
      <c r="F2382" s="110" t="s">
        <v>164</v>
      </c>
      <c r="G2382" s="137" t="s">
        <v>165</v>
      </c>
    </row>
    <row r="2383" spans="1:7" hidden="1" x14ac:dyDescent="0.3">
      <c r="A2383" s="275">
        <v>45993</v>
      </c>
      <c r="B2383" s="299" t="s">
        <v>221</v>
      </c>
      <c r="C2383" s="124" t="s">
        <v>170</v>
      </c>
      <c r="D2383" s="53" t="s">
        <v>171</v>
      </c>
      <c r="E2383" s="100">
        <v>196</v>
      </c>
      <c r="F2383" s="110" t="s">
        <v>164</v>
      </c>
      <c r="G2383" s="137" t="s">
        <v>165</v>
      </c>
    </row>
    <row r="2384" spans="1:7" s="291" customFormat="1" hidden="1" x14ac:dyDescent="0.3">
      <c r="A2384" s="343">
        <v>46001</v>
      </c>
      <c r="B2384" s="343" t="s">
        <v>221</v>
      </c>
      <c r="C2384" s="356" t="s">
        <v>13</v>
      </c>
      <c r="D2384" s="348" t="s">
        <v>215</v>
      </c>
      <c r="E2384" s="345">
        <v>-50000</v>
      </c>
      <c r="F2384" s="212" t="s">
        <v>8</v>
      </c>
      <c r="G2384" s="346" t="s">
        <v>27</v>
      </c>
    </row>
    <row r="2385" spans="1:7" hidden="1" x14ac:dyDescent="0.3">
      <c r="A2385" s="275">
        <v>46001</v>
      </c>
      <c r="B2385" s="299" t="s">
        <v>221</v>
      </c>
      <c r="C2385" s="124" t="s">
        <v>173</v>
      </c>
      <c r="D2385" s="200" t="s">
        <v>174</v>
      </c>
      <c r="E2385" s="273">
        <v>33748</v>
      </c>
      <c r="F2385" s="110" t="s">
        <v>164</v>
      </c>
      <c r="G2385" s="137" t="s">
        <v>165</v>
      </c>
    </row>
    <row r="2386" spans="1:7" hidden="1" x14ac:dyDescent="0.3">
      <c r="A2386" s="275">
        <v>46001</v>
      </c>
      <c r="B2386" s="299" t="s">
        <v>221</v>
      </c>
      <c r="C2386" s="124" t="s">
        <v>173</v>
      </c>
      <c r="D2386" s="200" t="s">
        <v>174</v>
      </c>
      <c r="E2386" s="273">
        <v>8041</v>
      </c>
      <c r="F2386" s="110" t="s">
        <v>164</v>
      </c>
      <c r="G2386" s="137" t="s">
        <v>165</v>
      </c>
    </row>
    <row r="2387" spans="1:7" hidden="1" x14ac:dyDescent="0.3">
      <c r="A2387" s="275">
        <v>46002</v>
      </c>
      <c r="B2387" s="299" t="s">
        <v>221</v>
      </c>
      <c r="C2387" s="124" t="s">
        <v>173</v>
      </c>
      <c r="D2387" s="53" t="s">
        <v>175</v>
      </c>
      <c r="E2387" s="273">
        <v>4880.1400000000003</v>
      </c>
      <c r="F2387" s="110" t="s">
        <v>164</v>
      </c>
      <c r="G2387" s="137" t="s">
        <v>165</v>
      </c>
    </row>
    <row r="2388" spans="1:7" hidden="1" x14ac:dyDescent="0.3">
      <c r="A2388" s="275">
        <v>46002</v>
      </c>
      <c r="B2388" s="299" t="s">
        <v>221</v>
      </c>
      <c r="C2388" s="124" t="s">
        <v>170</v>
      </c>
      <c r="D2388" s="53" t="s">
        <v>176</v>
      </c>
      <c r="E2388" s="273">
        <v>603.26</v>
      </c>
      <c r="F2388" s="110" t="s">
        <v>164</v>
      </c>
      <c r="G2388" s="137" t="s">
        <v>165</v>
      </c>
    </row>
    <row r="2389" spans="1:7" hidden="1" x14ac:dyDescent="0.3">
      <c r="A2389" s="275">
        <v>46002</v>
      </c>
      <c r="B2389" s="299" t="s">
        <v>221</v>
      </c>
      <c r="C2389" s="124" t="s">
        <v>170</v>
      </c>
      <c r="D2389" s="53" t="s">
        <v>176</v>
      </c>
      <c r="E2389" s="273">
        <v>1106.1400000000001</v>
      </c>
      <c r="F2389" s="110" t="s">
        <v>164</v>
      </c>
      <c r="G2389" s="137" t="s">
        <v>165</v>
      </c>
    </row>
    <row r="2390" spans="1:7" hidden="1" x14ac:dyDescent="0.3">
      <c r="A2390" s="275">
        <v>46002</v>
      </c>
      <c r="B2390" s="299" t="s">
        <v>221</v>
      </c>
      <c r="C2390" s="124" t="s">
        <v>170</v>
      </c>
      <c r="D2390" s="53" t="s">
        <v>176</v>
      </c>
      <c r="E2390" s="273">
        <v>9631</v>
      </c>
      <c r="F2390" s="110" t="s">
        <v>164</v>
      </c>
      <c r="G2390" s="137" t="s">
        <v>165</v>
      </c>
    </row>
    <row r="2391" spans="1:7" hidden="1" x14ac:dyDescent="0.3">
      <c r="A2391" s="275">
        <v>46002</v>
      </c>
      <c r="B2391" s="299" t="s">
        <v>221</v>
      </c>
      <c r="C2391" s="124" t="s">
        <v>177</v>
      </c>
      <c r="D2391" s="53" t="s">
        <v>178</v>
      </c>
      <c r="E2391" s="126">
        <v>257.81</v>
      </c>
      <c r="F2391" s="110" t="s">
        <v>164</v>
      </c>
      <c r="G2391" s="137" t="s">
        <v>165</v>
      </c>
    </row>
    <row r="2392" spans="1:7" hidden="1" x14ac:dyDescent="0.3">
      <c r="A2392" s="275">
        <v>46002</v>
      </c>
      <c r="B2392" s="299" t="s">
        <v>221</v>
      </c>
      <c r="C2392" s="124" t="s">
        <v>177</v>
      </c>
      <c r="D2392" s="53" t="s">
        <v>179</v>
      </c>
      <c r="E2392" s="273">
        <v>680.03</v>
      </c>
      <c r="F2392" s="110" t="s">
        <v>164</v>
      </c>
      <c r="G2392" s="137" t="s">
        <v>165</v>
      </c>
    </row>
    <row r="2393" spans="1:7" hidden="1" x14ac:dyDescent="0.3">
      <c r="A2393" s="98">
        <v>45982</v>
      </c>
      <c r="B2393" s="275" t="s">
        <v>217</v>
      </c>
      <c r="C2393" s="272" t="s">
        <v>180</v>
      </c>
      <c r="D2393" s="274" t="s">
        <v>181</v>
      </c>
      <c r="E2393" s="273">
        <v>12459.61</v>
      </c>
      <c r="F2393" s="110" t="s">
        <v>164</v>
      </c>
      <c r="G2393" s="137" t="s">
        <v>165</v>
      </c>
    </row>
    <row r="2394" spans="1:7" hidden="1" x14ac:dyDescent="0.3">
      <c r="A2394" s="275">
        <v>46002</v>
      </c>
      <c r="B2394" s="299" t="s">
        <v>221</v>
      </c>
      <c r="C2394" s="124" t="s">
        <v>180</v>
      </c>
      <c r="D2394" s="274" t="s">
        <v>181</v>
      </c>
      <c r="E2394" s="100">
        <v>24988.71</v>
      </c>
      <c r="F2394" s="110" t="s">
        <v>164</v>
      </c>
      <c r="G2394" s="137" t="s">
        <v>165</v>
      </c>
    </row>
    <row r="2395" spans="1:7" hidden="1" x14ac:dyDescent="0.3">
      <c r="A2395" s="275">
        <v>46002</v>
      </c>
      <c r="B2395" s="299" t="s">
        <v>221</v>
      </c>
      <c r="C2395" s="124" t="s">
        <v>180</v>
      </c>
      <c r="D2395" s="274" t="s">
        <v>181</v>
      </c>
      <c r="E2395" s="273">
        <v>12459.61</v>
      </c>
      <c r="F2395" s="110" t="s">
        <v>164</v>
      </c>
      <c r="G2395" s="137" t="s">
        <v>165</v>
      </c>
    </row>
    <row r="2396" spans="1:7" hidden="1" x14ac:dyDescent="0.3">
      <c r="A2396" s="275">
        <v>46002</v>
      </c>
      <c r="B2396" s="299" t="s">
        <v>221</v>
      </c>
      <c r="C2396" s="124" t="s">
        <v>180</v>
      </c>
      <c r="D2396" s="274" t="s">
        <v>181</v>
      </c>
      <c r="E2396" s="100">
        <v>16834.330000000002</v>
      </c>
      <c r="F2396" s="110" t="s">
        <v>164</v>
      </c>
      <c r="G2396" s="137" t="s">
        <v>165</v>
      </c>
    </row>
    <row r="2397" spans="1:7" hidden="1" x14ac:dyDescent="0.3">
      <c r="A2397" s="275">
        <v>46002</v>
      </c>
      <c r="B2397" s="299" t="s">
        <v>221</v>
      </c>
      <c r="C2397" s="124" t="s">
        <v>180</v>
      </c>
      <c r="D2397" s="274" t="s">
        <v>181</v>
      </c>
      <c r="E2397" s="100">
        <v>268.13</v>
      </c>
      <c r="F2397" s="110" t="s">
        <v>164</v>
      </c>
      <c r="G2397" s="137" t="s">
        <v>165</v>
      </c>
    </row>
    <row r="2398" spans="1:7" hidden="1" x14ac:dyDescent="0.3">
      <c r="A2398" s="275">
        <v>46014</v>
      </c>
      <c r="B2398" s="299" t="s">
        <v>221</v>
      </c>
      <c r="C2398" s="124" t="s">
        <v>180</v>
      </c>
      <c r="D2398" s="274" t="s">
        <v>181</v>
      </c>
      <c r="E2398" s="100">
        <v>2284.4499999999998</v>
      </c>
      <c r="F2398" s="110" t="s">
        <v>164</v>
      </c>
      <c r="G2398" s="137" t="s">
        <v>165</v>
      </c>
    </row>
    <row r="2399" spans="1:7" hidden="1" x14ac:dyDescent="0.3">
      <c r="A2399" s="275">
        <v>46002</v>
      </c>
      <c r="B2399" s="299" t="s">
        <v>221</v>
      </c>
      <c r="C2399" s="124" t="s">
        <v>166</v>
      </c>
      <c r="D2399" s="276" t="s">
        <v>182</v>
      </c>
      <c r="E2399" s="277">
        <v>7850</v>
      </c>
      <c r="F2399" s="278" t="s">
        <v>164</v>
      </c>
      <c r="G2399" s="137" t="s">
        <v>165</v>
      </c>
    </row>
    <row r="2400" spans="1:7" hidden="1" x14ac:dyDescent="0.3">
      <c r="A2400" s="275">
        <v>45995</v>
      </c>
      <c r="B2400" s="299" t="s">
        <v>221</v>
      </c>
      <c r="C2400" s="124" t="s">
        <v>17</v>
      </c>
      <c r="D2400" s="53" t="s">
        <v>183</v>
      </c>
      <c r="E2400" s="273">
        <v>345280</v>
      </c>
      <c r="F2400" s="110" t="s">
        <v>164</v>
      </c>
      <c r="G2400" s="137" t="s">
        <v>165</v>
      </c>
    </row>
    <row r="2401" spans="1:7" hidden="1" x14ac:dyDescent="0.3">
      <c r="A2401" s="275">
        <v>46007</v>
      </c>
      <c r="B2401" s="299" t="s">
        <v>221</v>
      </c>
      <c r="C2401" s="124" t="s">
        <v>184</v>
      </c>
      <c r="D2401" s="53" t="s">
        <v>185</v>
      </c>
      <c r="E2401" s="279">
        <v>17956.39</v>
      </c>
      <c r="F2401" s="110" t="s">
        <v>164</v>
      </c>
      <c r="G2401" s="137" t="s">
        <v>165</v>
      </c>
    </row>
    <row r="2402" spans="1:7" hidden="1" x14ac:dyDescent="0.3">
      <c r="A2402" s="275">
        <v>46009</v>
      </c>
      <c r="B2402" s="299" t="s">
        <v>221</v>
      </c>
      <c r="C2402" s="124" t="s">
        <v>166</v>
      </c>
      <c r="D2402" s="53" t="s">
        <v>186</v>
      </c>
      <c r="E2402" s="100">
        <v>4717.4399999999996</v>
      </c>
      <c r="F2402" s="278" t="s">
        <v>164</v>
      </c>
      <c r="G2402" s="137" t="s">
        <v>165</v>
      </c>
    </row>
    <row r="2403" spans="1:7" hidden="1" x14ac:dyDescent="0.3">
      <c r="A2403" s="275">
        <v>46009</v>
      </c>
      <c r="B2403" s="299" t="s">
        <v>221</v>
      </c>
      <c r="C2403" s="124" t="s">
        <v>166</v>
      </c>
      <c r="D2403" s="53" t="s">
        <v>186</v>
      </c>
      <c r="E2403" s="100">
        <v>9938.39</v>
      </c>
      <c r="F2403" s="278" t="s">
        <v>164</v>
      </c>
      <c r="G2403" s="137" t="s">
        <v>165</v>
      </c>
    </row>
    <row r="2404" spans="1:7" hidden="1" x14ac:dyDescent="0.3">
      <c r="A2404" s="275">
        <v>46009</v>
      </c>
      <c r="B2404" s="299" t="s">
        <v>221</v>
      </c>
      <c r="C2404" s="124" t="s">
        <v>166</v>
      </c>
      <c r="D2404" s="53" t="s">
        <v>186</v>
      </c>
      <c r="E2404" s="100">
        <v>22139.98</v>
      </c>
      <c r="F2404" s="278" t="s">
        <v>164</v>
      </c>
      <c r="G2404" s="137" t="s">
        <v>165</v>
      </c>
    </row>
    <row r="2405" spans="1:7" hidden="1" x14ac:dyDescent="0.3">
      <c r="A2405" s="97">
        <v>46020</v>
      </c>
      <c r="B2405" s="299" t="s">
        <v>221</v>
      </c>
      <c r="C2405" s="124" t="s">
        <v>180</v>
      </c>
      <c r="D2405" s="53" t="s">
        <v>187</v>
      </c>
      <c r="E2405" s="126">
        <v>2373.8200000000002</v>
      </c>
      <c r="F2405" s="110" t="s">
        <v>164</v>
      </c>
      <c r="G2405" s="137" t="s">
        <v>165</v>
      </c>
    </row>
    <row r="2406" spans="1:7" hidden="1" x14ac:dyDescent="0.3">
      <c r="A2406" s="97">
        <v>46020</v>
      </c>
      <c r="B2406" s="299" t="s">
        <v>221</v>
      </c>
      <c r="C2406" s="124" t="s">
        <v>180</v>
      </c>
      <c r="D2406" s="53" t="s">
        <v>187</v>
      </c>
      <c r="E2406" s="126">
        <v>5823.82</v>
      </c>
      <c r="F2406" s="110" t="s">
        <v>164</v>
      </c>
      <c r="G2406" s="137" t="s">
        <v>165</v>
      </c>
    </row>
    <row r="2407" spans="1:7" hidden="1" x14ac:dyDescent="0.3">
      <c r="A2407" s="97">
        <v>46020</v>
      </c>
      <c r="B2407" s="299" t="s">
        <v>221</v>
      </c>
      <c r="C2407" s="124" t="s">
        <v>180</v>
      </c>
      <c r="D2407" s="53" t="s">
        <v>187</v>
      </c>
      <c r="E2407" s="126">
        <v>7526.95</v>
      </c>
      <c r="F2407" s="110" t="s">
        <v>164</v>
      </c>
      <c r="G2407" s="137" t="s">
        <v>165</v>
      </c>
    </row>
    <row r="2408" spans="1:7" hidden="1" x14ac:dyDescent="0.3">
      <c r="A2408" s="97">
        <v>46020</v>
      </c>
      <c r="B2408" s="299" t="s">
        <v>221</v>
      </c>
      <c r="C2408" s="124" t="s">
        <v>180</v>
      </c>
      <c r="D2408" s="53" t="s">
        <v>187</v>
      </c>
      <c r="E2408" s="126">
        <v>25756.63</v>
      </c>
      <c r="F2408" s="110" t="s">
        <v>164</v>
      </c>
      <c r="G2408" s="137" t="s">
        <v>165</v>
      </c>
    </row>
    <row r="2409" spans="1:7" hidden="1" x14ac:dyDescent="0.3">
      <c r="A2409" s="97">
        <v>46021</v>
      </c>
      <c r="B2409" s="299" t="s">
        <v>221</v>
      </c>
      <c r="C2409" s="124" t="s">
        <v>173</v>
      </c>
      <c r="D2409" s="53" t="s">
        <v>188</v>
      </c>
      <c r="E2409" s="280">
        <v>816717.89</v>
      </c>
      <c r="F2409" s="110" t="s">
        <v>164</v>
      </c>
      <c r="G2409" s="137" t="s">
        <v>165</v>
      </c>
    </row>
    <row r="2410" spans="1:7" s="291" customFormat="1" hidden="1" x14ac:dyDescent="0.3">
      <c r="A2410" s="226">
        <v>46015</v>
      </c>
      <c r="B2410" s="298" t="s">
        <v>221</v>
      </c>
      <c r="C2410" s="260" t="s">
        <v>31</v>
      </c>
      <c r="D2410" s="261" t="s">
        <v>614</v>
      </c>
      <c r="E2410" s="253">
        <v>-7000</v>
      </c>
      <c r="F2410" s="262" t="s">
        <v>8</v>
      </c>
      <c r="G2410" s="168" t="s">
        <v>46</v>
      </c>
    </row>
    <row r="2411" spans="1:7" s="291" customFormat="1" hidden="1" x14ac:dyDescent="0.3">
      <c r="A2411" s="205">
        <v>46015</v>
      </c>
      <c r="B2411" s="252" t="s">
        <v>221</v>
      </c>
      <c r="C2411" s="24" t="s">
        <v>25</v>
      </c>
      <c r="D2411" s="13" t="s">
        <v>198</v>
      </c>
      <c r="E2411" s="28">
        <v>-7000</v>
      </c>
      <c r="F2411" s="25" t="s">
        <v>8</v>
      </c>
      <c r="G2411" s="20" t="s">
        <v>46</v>
      </c>
    </row>
    <row r="2412" spans="1:7" s="291" customFormat="1" hidden="1" x14ac:dyDescent="0.3">
      <c r="A2412" s="252">
        <v>46008</v>
      </c>
      <c r="B2412" s="252" t="s">
        <v>221</v>
      </c>
      <c r="C2412" s="22" t="s">
        <v>31</v>
      </c>
      <c r="D2412" s="263" t="s">
        <v>199</v>
      </c>
      <c r="E2412" s="264">
        <v>-630</v>
      </c>
      <c r="F2412" s="25" t="s">
        <v>8</v>
      </c>
      <c r="G2412" s="14" t="s">
        <v>51</v>
      </c>
    </row>
    <row r="2413" spans="1:7" s="291" customFormat="1" hidden="1" x14ac:dyDescent="0.3">
      <c r="A2413" s="252">
        <v>46008</v>
      </c>
      <c r="B2413" s="252" t="s">
        <v>221</v>
      </c>
      <c r="C2413" s="22" t="s">
        <v>6</v>
      </c>
      <c r="D2413" s="263" t="s">
        <v>200</v>
      </c>
      <c r="E2413" s="264">
        <v>-1905.5</v>
      </c>
      <c r="F2413" s="25" t="s">
        <v>8</v>
      </c>
      <c r="G2413" s="14" t="s">
        <v>51</v>
      </c>
    </row>
    <row r="2414" spans="1:7" s="291" customFormat="1" hidden="1" x14ac:dyDescent="0.3">
      <c r="A2414" s="205">
        <v>46001</v>
      </c>
      <c r="B2414" s="252" t="s">
        <v>221</v>
      </c>
      <c r="C2414" s="26" t="s">
        <v>31</v>
      </c>
      <c r="D2414" s="26" t="s">
        <v>648</v>
      </c>
      <c r="E2414" s="19">
        <v>-1000</v>
      </c>
      <c r="F2414" s="20" t="s">
        <v>8</v>
      </c>
      <c r="G2414" s="20" t="s">
        <v>189</v>
      </c>
    </row>
    <row r="2415" spans="1:7" s="291" customFormat="1" hidden="1" x14ac:dyDescent="0.3">
      <c r="A2415" s="205">
        <v>46006</v>
      </c>
      <c r="B2415" s="252" t="s">
        <v>221</v>
      </c>
      <c r="C2415" s="26" t="s">
        <v>106</v>
      </c>
      <c r="D2415" s="26" t="s">
        <v>194</v>
      </c>
      <c r="E2415" s="19">
        <v>-2000</v>
      </c>
      <c r="F2415" s="20" t="s">
        <v>8</v>
      </c>
      <c r="G2415" s="20" t="s">
        <v>189</v>
      </c>
    </row>
    <row r="2416" spans="1:7" s="291" customFormat="1" hidden="1" x14ac:dyDescent="0.3">
      <c r="A2416" s="205">
        <v>46000</v>
      </c>
      <c r="B2416" s="252" t="s">
        <v>221</v>
      </c>
      <c r="C2416" s="26" t="s">
        <v>106</v>
      </c>
      <c r="D2416" s="26" t="s">
        <v>643</v>
      </c>
      <c r="E2416" s="19">
        <v>-2000</v>
      </c>
      <c r="F2416" s="20" t="s">
        <v>8</v>
      </c>
      <c r="G2416" s="20" t="s">
        <v>189</v>
      </c>
    </row>
    <row r="2417" spans="1:8" s="291" customFormat="1" hidden="1" x14ac:dyDescent="0.3">
      <c r="A2417" s="205">
        <v>46021</v>
      </c>
      <c r="B2417" s="252" t="s">
        <v>221</v>
      </c>
      <c r="C2417" s="26" t="s">
        <v>6</v>
      </c>
      <c r="D2417" s="26" t="s">
        <v>622</v>
      </c>
      <c r="E2417" s="19">
        <v>-3200</v>
      </c>
      <c r="F2417" s="20" t="s">
        <v>8</v>
      </c>
      <c r="G2417" s="20" t="s">
        <v>189</v>
      </c>
    </row>
    <row r="2418" spans="1:8" s="291" customFormat="1" hidden="1" x14ac:dyDescent="0.3">
      <c r="A2418" s="205">
        <v>46021</v>
      </c>
      <c r="B2418" s="252" t="s">
        <v>221</v>
      </c>
      <c r="C2418" s="26" t="s">
        <v>6</v>
      </c>
      <c r="D2418" s="26" t="s">
        <v>190</v>
      </c>
      <c r="E2418" s="19">
        <v>-2000</v>
      </c>
      <c r="F2418" s="20" t="s">
        <v>8</v>
      </c>
      <c r="G2418" s="20" t="s">
        <v>189</v>
      </c>
    </row>
    <row r="2419" spans="1:8" s="291" customFormat="1" hidden="1" x14ac:dyDescent="0.3">
      <c r="A2419" s="205">
        <v>46021</v>
      </c>
      <c r="B2419" s="252" t="s">
        <v>221</v>
      </c>
      <c r="C2419" s="26" t="s">
        <v>6</v>
      </c>
      <c r="D2419" s="26" t="s">
        <v>621</v>
      </c>
      <c r="E2419" s="19">
        <v>-3836.54</v>
      </c>
      <c r="F2419" s="20" t="s">
        <v>8</v>
      </c>
      <c r="G2419" s="20" t="s">
        <v>189</v>
      </c>
    </row>
    <row r="2420" spans="1:8" s="291" customFormat="1" hidden="1" x14ac:dyDescent="0.3">
      <c r="A2420" s="205">
        <v>46021</v>
      </c>
      <c r="B2420" s="252" t="s">
        <v>221</v>
      </c>
      <c r="C2420" s="26" t="s">
        <v>33</v>
      </c>
      <c r="D2420" s="26" t="s">
        <v>623</v>
      </c>
      <c r="E2420" s="19">
        <v>-1000</v>
      </c>
      <c r="F2420" s="20" t="s">
        <v>8</v>
      </c>
      <c r="G2420" s="20" t="s">
        <v>189</v>
      </c>
    </row>
    <row r="2421" spans="1:8" s="291" customFormat="1" hidden="1" x14ac:dyDescent="0.3">
      <c r="A2421" s="205">
        <v>46021</v>
      </c>
      <c r="B2421" s="252" t="s">
        <v>221</v>
      </c>
      <c r="C2421" s="26" t="s">
        <v>17</v>
      </c>
      <c r="D2421" s="26" t="s">
        <v>197</v>
      </c>
      <c r="E2421" s="19">
        <v>-1400</v>
      </c>
      <c r="F2421" s="20" t="s">
        <v>8</v>
      </c>
      <c r="G2421" s="20" t="s">
        <v>189</v>
      </c>
    </row>
    <row r="2422" spans="1:8" s="291" customFormat="1" hidden="1" x14ac:dyDescent="0.3">
      <c r="A2422" s="205">
        <v>46021</v>
      </c>
      <c r="B2422" s="252" t="s">
        <v>221</v>
      </c>
      <c r="C2422" s="26" t="s">
        <v>17</v>
      </c>
      <c r="D2422" s="26" t="s">
        <v>195</v>
      </c>
      <c r="E2422" s="19">
        <v>-1916.67</v>
      </c>
      <c r="F2422" s="20" t="s">
        <v>8</v>
      </c>
      <c r="G2422" s="20" t="s">
        <v>189</v>
      </c>
    </row>
    <row r="2423" spans="1:8" s="291" customFormat="1" hidden="1" x14ac:dyDescent="0.3">
      <c r="A2423" s="205">
        <v>46021</v>
      </c>
      <c r="B2423" s="252" t="s">
        <v>221</v>
      </c>
      <c r="C2423" s="26" t="s">
        <v>17</v>
      </c>
      <c r="D2423" s="26" t="s">
        <v>624</v>
      </c>
      <c r="E2423" s="19">
        <v>-2864.92</v>
      </c>
      <c r="F2423" s="20" t="s">
        <v>8</v>
      </c>
      <c r="G2423" s="20" t="s">
        <v>189</v>
      </c>
    </row>
    <row r="2424" spans="1:8" s="291" customFormat="1" hidden="1" x14ac:dyDescent="0.3">
      <c r="A2424" s="252">
        <v>46021</v>
      </c>
      <c r="B2424" s="252" t="s">
        <v>221</v>
      </c>
      <c r="C2424" s="26" t="s">
        <v>25</v>
      </c>
      <c r="D2424" s="18" t="s">
        <v>223</v>
      </c>
      <c r="E2424" s="19">
        <v>-10000</v>
      </c>
      <c r="F2424" s="20" t="s">
        <v>8</v>
      </c>
      <c r="G2424" s="20" t="s">
        <v>27</v>
      </c>
    </row>
    <row r="2425" spans="1:8" s="291" customFormat="1" hidden="1" x14ac:dyDescent="0.3">
      <c r="A2425" s="252">
        <v>46015</v>
      </c>
      <c r="B2425" s="252" t="s">
        <v>221</v>
      </c>
      <c r="C2425" s="26" t="s">
        <v>25</v>
      </c>
      <c r="D2425" s="18" t="s">
        <v>224</v>
      </c>
      <c r="E2425" s="19">
        <v>-10000</v>
      </c>
      <c r="F2425" s="20" t="s">
        <v>8</v>
      </c>
      <c r="G2425" s="20" t="s">
        <v>27</v>
      </c>
    </row>
    <row r="2426" spans="1:8" x14ac:dyDescent="0.3">
      <c r="E2426" s="764"/>
      <c r="H2426" s="291"/>
    </row>
    <row r="2444" ht="15.6" customHeight="1" x14ac:dyDescent="0.3"/>
  </sheetData>
  <autoFilter ref="A1:M2425" xr:uid="{C28B4B40-E8E1-46B0-BB6B-C562BE7750C0}">
    <filterColumn colId="0">
      <filters>
        <dateGroupItem year="2025" month="9" day="12" dateTimeGrouping="day"/>
      </filters>
    </filterColumn>
    <filterColumn colId="5">
      <filters>
        <filter val="DESPESAS"/>
      </filters>
    </filterColumn>
  </autoFilter>
  <conditionalFormatting sqref="E150">
    <cfRule type="colorScale" priority="613">
      <colorScale>
        <cfvo type="min"/>
        <cfvo type="max"/>
        <color rgb="FFF8696B"/>
        <color rgb="FFFCFCFF"/>
      </colorScale>
    </cfRule>
  </conditionalFormatting>
  <conditionalFormatting sqref="E307">
    <cfRule type="colorScale" priority="614">
      <colorScale>
        <cfvo type="min"/>
        <cfvo type="max"/>
        <color rgb="FFF8696B"/>
        <color rgb="FFFCFCFF"/>
      </colorScale>
    </cfRule>
  </conditionalFormatting>
  <conditionalFormatting sqref="E697">
    <cfRule type="colorScale" priority="4111">
      <colorScale>
        <cfvo type="min"/>
        <cfvo type="max"/>
        <color rgb="FFF8696B"/>
        <color rgb="FFFCFCFF"/>
      </colorScale>
    </cfRule>
  </conditionalFormatting>
  <conditionalFormatting sqref="E1059">
    <cfRule type="colorScale" priority="585">
      <colorScale>
        <cfvo type="min"/>
        <cfvo type="max"/>
        <color rgb="FFF8696B"/>
        <color rgb="FFFCFCFF"/>
      </colorScale>
    </cfRule>
  </conditionalFormatting>
  <conditionalFormatting sqref="E1551">
    <cfRule type="colorScale" priority="557">
      <colorScale>
        <cfvo type="min"/>
        <cfvo type="max"/>
        <color rgb="FFF8696B"/>
        <color rgb="FFFCFCFF"/>
      </colorScale>
    </cfRule>
  </conditionalFormatting>
  <conditionalFormatting sqref="E1637">
    <cfRule type="colorScale" priority="558">
      <colorScale>
        <cfvo type="min"/>
        <cfvo type="max"/>
        <color rgb="FFF8696B"/>
        <color rgb="FFFCFCFF"/>
      </colorScale>
    </cfRule>
  </conditionalFormatting>
  <conditionalFormatting sqref="E1809">
    <cfRule type="colorScale" priority="317">
      <colorScale>
        <cfvo type="min"/>
        <cfvo type="max"/>
        <color rgb="FFF8696B"/>
        <color rgb="FFFCFCFF"/>
      </colorScale>
    </cfRule>
  </conditionalFormatting>
  <conditionalFormatting sqref="E1885">
    <cfRule type="colorScale" priority="525">
      <colorScale>
        <cfvo type="min"/>
        <cfvo type="max"/>
        <color rgb="FFF8696B"/>
        <color rgb="FFFCFCFF"/>
      </colorScale>
    </cfRule>
  </conditionalFormatting>
  <conditionalFormatting sqref="E1939">
    <cfRule type="colorScale" priority="526">
      <colorScale>
        <cfvo type="min"/>
        <cfvo type="max"/>
        <color rgb="FFF8696B"/>
        <color rgb="FFFCFCFF"/>
      </colorScale>
    </cfRule>
  </conditionalFormatting>
  <conditionalFormatting sqref="E2120">
    <cfRule type="colorScale" priority="500">
      <colorScale>
        <cfvo type="min"/>
        <cfvo type="max"/>
        <color rgb="FFF8696B"/>
        <color rgb="FFFCFCFF"/>
      </colorScale>
    </cfRule>
  </conditionalFormatting>
  <conditionalFormatting sqref="E2175">
    <cfRule type="colorScale" priority="501">
      <colorScale>
        <cfvo type="min"/>
        <cfvo type="max"/>
        <color rgb="FFF8696B"/>
        <color rgb="FFFCFCFF"/>
      </colorScale>
    </cfRule>
  </conditionalFormatting>
  <conditionalFormatting sqref="E2318">
    <cfRule type="colorScale" priority="473">
      <colorScale>
        <cfvo type="min"/>
        <cfvo type="max"/>
        <color rgb="FFF8696B"/>
        <color rgb="FFFCFCFF"/>
      </colorScale>
    </cfRule>
  </conditionalFormatting>
  <conditionalFormatting sqref="E2373">
    <cfRule type="colorScale" priority="474">
      <colorScale>
        <cfvo type="min"/>
        <cfvo type="max"/>
        <color rgb="FFF8696B"/>
        <color rgb="FFFCFCFF"/>
      </colorScale>
    </cfRule>
  </conditionalFormatting>
  <conditionalFormatting sqref="F2">
    <cfRule type="dataBar" priority="6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{FE8A89BE-24BF-4798-984E-1465E4A3689D}</x14:id>
        </ext>
      </extLst>
    </cfRule>
  </conditionalFormatting>
  <conditionalFormatting sqref="F30">
    <cfRule type="colorScale" priority="633">
      <colorScale>
        <cfvo type="min"/>
        <cfvo type="max"/>
        <color rgb="FFF8696B"/>
        <color rgb="FFFCFCFF"/>
      </colorScale>
    </cfRule>
  </conditionalFormatting>
  <conditionalFormatting sqref="F52">
    <cfRule type="colorScale" priority="631">
      <colorScale>
        <cfvo type="min"/>
        <cfvo type="max"/>
        <color rgb="FFF8696B"/>
        <color rgb="FFFCFCFF"/>
      </colorScale>
    </cfRule>
  </conditionalFormatting>
  <conditionalFormatting sqref="F88">
    <cfRule type="colorScale" priority="626">
      <colorScale>
        <cfvo type="min"/>
        <cfvo type="max"/>
        <color rgb="FFF8696B"/>
        <color rgb="FFFCFCFF"/>
      </colorScale>
    </cfRule>
  </conditionalFormatting>
  <conditionalFormatting sqref="F93:F102">
    <cfRule type="colorScale" priority="397">
      <colorScale>
        <cfvo type="min"/>
        <cfvo type="max"/>
        <color rgb="FFF8696B"/>
        <color rgb="FFFCFCFF"/>
      </colorScale>
    </cfRule>
  </conditionalFormatting>
  <conditionalFormatting sqref="F103">
    <cfRule type="colorScale" priority="398">
      <colorScale>
        <cfvo type="min"/>
        <cfvo type="max"/>
        <color rgb="FFF8696B"/>
        <color rgb="FFFCFCFF"/>
      </colorScale>
    </cfRule>
  </conditionalFormatting>
  <conditionalFormatting sqref="F290">
    <cfRule type="colorScale" priority="4075">
      <colorScale>
        <cfvo type="min"/>
        <cfvo type="max"/>
        <color rgb="FFF8696B"/>
        <color rgb="FFFCFCFF"/>
      </colorScale>
    </cfRule>
  </conditionalFormatting>
  <conditionalFormatting sqref="F291">
    <cfRule type="colorScale" priority="450">
      <colorScale>
        <cfvo type="min"/>
        <cfvo type="max"/>
        <color rgb="FFF8696B"/>
        <color rgb="FFFCFCFF"/>
      </colorScale>
    </cfRule>
  </conditionalFormatting>
  <conditionalFormatting sqref="F292">
    <cfRule type="colorScale" priority="624">
      <colorScale>
        <cfvo type="min"/>
        <cfvo type="max"/>
        <color rgb="FFF8696B"/>
        <color rgb="FFFCFCFF"/>
      </colorScale>
    </cfRule>
  </conditionalFormatting>
  <conditionalFormatting sqref="F293:F294 F298:F301">
    <cfRule type="colorScale" priority="3954">
      <colorScale>
        <cfvo type="min"/>
        <cfvo type="max"/>
        <color rgb="FFF8696B"/>
        <color rgb="FFFCFCFF"/>
      </colorScale>
    </cfRule>
  </conditionalFormatting>
  <conditionalFormatting sqref="F295:F297">
    <cfRule type="colorScale" priority="241">
      <colorScale>
        <cfvo type="min"/>
        <cfvo type="max"/>
        <color rgb="FFF8696B"/>
        <color rgb="FFFCFCFF"/>
      </colorScale>
    </cfRule>
  </conditionalFormatting>
  <conditionalFormatting sqref="F302">
    <cfRule type="colorScale" priority="262">
      <colorScale>
        <cfvo type="min"/>
        <cfvo type="max"/>
        <color rgb="FFF8696B"/>
        <color rgb="FFFCFCFF"/>
      </colorScale>
    </cfRule>
  </conditionalFormatting>
  <conditionalFormatting sqref="F303">
    <cfRule type="colorScale" priority="261">
      <colorScale>
        <cfvo type="min"/>
        <cfvo type="max"/>
        <color rgb="FFF8696B"/>
        <color rgb="FFFCFCFF"/>
      </colorScale>
    </cfRule>
  </conditionalFormatting>
  <conditionalFormatting sqref="F304">
    <cfRule type="colorScale" priority="260">
      <colorScale>
        <cfvo type="min"/>
        <cfvo type="max"/>
        <color rgb="FFF8696B"/>
        <color rgb="FFFCFCFF"/>
      </colorScale>
    </cfRule>
  </conditionalFormatting>
  <conditionalFormatting sqref="F305">
    <cfRule type="colorScale" priority="259">
      <colorScale>
        <cfvo type="min"/>
        <cfvo type="max"/>
        <color rgb="FFF8696B"/>
        <color rgb="FFFCFCFF"/>
      </colorScale>
    </cfRule>
  </conditionalFormatting>
  <conditionalFormatting sqref="F306">
    <cfRule type="colorScale" priority="258">
      <colorScale>
        <cfvo type="min"/>
        <cfvo type="max"/>
        <color rgb="FFF8696B"/>
        <color rgb="FFFCFCFF"/>
      </colorScale>
    </cfRule>
  </conditionalFormatting>
  <conditionalFormatting sqref="F323:F324">
    <cfRule type="colorScale" priority="639">
      <colorScale>
        <cfvo type="min"/>
        <cfvo type="max"/>
        <color rgb="FFF8696B"/>
        <color rgb="FFFCFCFF"/>
      </colorScale>
    </cfRule>
  </conditionalFormatting>
  <conditionalFormatting sqref="F349">
    <cfRule type="colorScale" priority="5070">
      <colorScale>
        <cfvo type="min"/>
        <cfvo type="max"/>
        <color rgb="FFF8696B"/>
        <color rgb="FFFCFCFF"/>
      </colorScale>
    </cfRule>
  </conditionalFormatting>
  <conditionalFormatting sqref="F355">
    <cfRule type="colorScale" priority="388">
      <colorScale>
        <cfvo type="min"/>
        <cfvo type="max"/>
        <color rgb="FFF8696B"/>
        <color rgb="FFFCFCFF"/>
      </colorScale>
    </cfRule>
  </conditionalFormatting>
  <conditionalFormatting sqref="F441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442">
    <cfRule type="colorScale" priority="219">
      <colorScale>
        <cfvo type="min"/>
        <cfvo type="max"/>
        <color rgb="FFF8696B"/>
        <color rgb="FFFCFCFF"/>
      </colorScale>
    </cfRule>
  </conditionalFormatting>
  <conditionalFormatting sqref="F528">
    <cfRule type="colorScale" priority="100">
      <colorScale>
        <cfvo type="min"/>
        <cfvo type="max"/>
        <color rgb="FFF8696B"/>
        <color rgb="FFFCFCFF"/>
      </colorScale>
    </cfRule>
  </conditionalFormatting>
  <conditionalFormatting sqref="F530">
    <cfRule type="colorScale" priority="82">
      <colorScale>
        <cfvo type="min"/>
        <cfvo type="max"/>
        <color rgb="FFF8696B"/>
        <color rgb="FFFCFCFF"/>
      </colorScale>
    </cfRule>
  </conditionalFormatting>
  <conditionalFormatting sqref="F571">
    <cfRule type="colorScale" priority="399">
      <colorScale>
        <cfvo type="min"/>
        <cfvo type="max"/>
        <color rgb="FFF8696B"/>
        <color rgb="FFFCFCFF"/>
      </colorScale>
    </cfRule>
  </conditionalFormatting>
  <conditionalFormatting sqref="F572">
    <cfRule type="colorScale" priority="387">
      <colorScale>
        <cfvo type="min"/>
        <cfvo type="max"/>
        <color rgb="FFF8696B"/>
        <color rgb="FFFCFCFF"/>
      </colorScale>
    </cfRule>
  </conditionalFormatting>
  <conditionalFormatting sqref="F593:F599">
    <cfRule type="colorScale" priority="380">
      <colorScale>
        <cfvo type="min"/>
        <cfvo type="max"/>
        <color rgb="FFF8696B"/>
        <color rgb="FFFCFCFF"/>
      </colorScale>
    </cfRule>
  </conditionalFormatting>
  <conditionalFormatting sqref="F600:F601">
    <cfRule type="colorScale" priority="2026">
      <colorScale>
        <cfvo type="min"/>
        <cfvo type="max"/>
        <color rgb="FFF8696B"/>
        <color rgb="FFFCFCFF"/>
      </colorScale>
    </cfRule>
  </conditionalFormatting>
  <conditionalFormatting sqref="F602:F613">
    <cfRule type="colorScale" priority="1920">
      <colorScale>
        <cfvo type="min"/>
        <cfvo type="max"/>
        <color rgb="FFF8696B"/>
        <color rgb="FFFCFCFF"/>
      </colorScale>
    </cfRule>
  </conditionalFormatting>
  <conditionalFormatting sqref="F629:F631">
    <cfRule type="colorScale" priority="409">
      <colorScale>
        <cfvo type="min"/>
        <cfvo type="max"/>
        <color rgb="FFF8696B"/>
        <color rgb="FFFCFCFF"/>
      </colorScale>
    </cfRule>
  </conditionalFormatting>
  <conditionalFormatting sqref="F632:F633">
    <cfRule type="colorScale" priority="408">
      <colorScale>
        <cfvo type="min"/>
        <cfvo type="max"/>
        <color rgb="FFF8696B"/>
        <color rgb="FFFCFCFF"/>
      </colorScale>
    </cfRule>
  </conditionalFormatting>
  <conditionalFormatting sqref="F634:F638">
    <cfRule type="colorScale" priority="4369">
      <colorScale>
        <cfvo type="min"/>
        <cfvo type="max"/>
        <color rgb="FFF8696B"/>
        <color rgb="FFFCFCFF"/>
      </colorScale>
    </cfRule>
  </conditionalFormatting>
  <conditionalFormatting sqref="F639:F640">
    <cfRule type="colorScale" priority="2166">
      <colorScale>
        <cfvo type="min"/>
        <cfvo type="max"/>
        <color rgb="FFF8696B"/>
        <color rgb="FFFCFCFF"/>
      </colorScale>
    </cfRule>
  </conditionalFormatting>
  <conditionalFormatting sqref="F641">
    <cfRule type="colorScale" priority="376">
      <colorScale>
        <cfvo type="min"/>
        <cfvo type="max"/>
        <color rgb="FFF8696B"/>
        <color rgb="FFFCFCFF"/>
      </colorScale>
    </cfRule>
  </conditionalFormatting>
  <conditionalFormatting sqref="F642:F643">
    <cfRule type="colorScale" priority="404">
      <colorScale>
        <cfvo type="min"/>
        <cfvo type="max"/>
        <color rgb="FFF8696B"/>
        <color rgb="FFFCFCFF"/>
      </colorScale>
    </cfRule>
  </conditionalFormatting>
  <conditionalFormatting sqref="F644:F647">
    <cfRule type="colorScale" priority="2518">
      <colorScale>
        <cfvo type="min"/>
        <cfvo type="max"/>
        <color rgb="FFF8696B"/>
        <color rgb="FFFCFCFF"/>
      </colorScale>
    </cfRule>
  </conditionalFormatting>
  <conditionalFormatting sqref="F688:F690">
    <cfRule type="colorScale" priority="367">
      <colorScale>
        <cfvo type="min"/>
        <cfvo type="max"/>
        <color rgb="FFF8696B"/>
        <color rgb="FFFCFCFF"/>
      </colorScale>
    </cfRule>
  </conditionalFormatting>
  <conditionalFormatting sqref="F691:F701 F648:F687 F573:F592 F307:F322 F350:F354 F89:F92 F31:F51 F53:F87 F325:F348 F622:F628 F1:F29 F356:F440 F443:F527 F104:F289 F529 F531:F570">
    <cfRule type="colorScale" priority="4112">
      <colorScale>
        <cfvo type="min"/>
        <cfvo type="max"/>
        <color rgb="FFF8696B"/>
        <color rgb="FFFCFCFF"/>
      </colorScale>
    </cfRule>
  </conditionalFormatting>
  <conditionalFormatting sqref="F695:F700">
    <cfRule type="colorScale" priority="4127">
      <colorScale>
        <cfvo type="min"/>
        <cfvo type="max"/>
        <color rgb="FFF8696B"/>
        <color rgb="FFFCFCFF"/>
      </colorScale>
    </cfRule>
  </conditionalFormatting>
  <conditionalFormatting sqref="F702">
    <cfRule type="dataBar" priority="6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{C1F8308C-0279-4772-981F-4378BFA14BCF}</x14:id>
        </ext>
      </extLst>
    </cfRule>
  </conditionalFormatting>
  <conditionalFormatting sqref="F739">
    <cfRule type="colorScale" priority="599">
      <colorScale>
        <cfvo type="min"/>
        <cfvo type="max"/>
        <color rgb="FFF8696B"/>
        <color rgb="FFFCFCFF"/>
      </colorScale>
    </cfRule>
  </conditionalFormatting>
  <conditionalFormatting sqref="F773:F795">
    <cfRule type="colorScale" priority="6002">
      <colorScale>
        <cfvo type="min"/>
        <cfvo type="max"/>
        <color rgb="FFF8696B"/>
        <color rgb="FFFCFCFF"/>
      </colorScale>
    </cfRule>
  </conditionalFormatting>
  <conditionalFormatting sqref="F796:F804">
    <cfRule type="colorScale" priority="5627">
      <colorScale>
        <cfvo type="min"/>
        <cfvo type="max"/>
        <color rgb="FFF8696B"/>
        <color rgb="FFFCFCFF"/>
      </colorScale>
    </cfRule>
  </conditionalFormatting>
  <conditionalFormatting sqref="F805">
    <cfRule type="colorScale" priority="115">
      <colorScale>
        <cfvo type="min"/>
        <cfvo type="max"/>
        <color rgb="FFF8696B"/>
        <color rgb="FFFCFCFF"/>
      </colorScale>
    </cfRule>
  </conditionalFormatting>
  <conditionalFormatting sqref="F837">
    <cfRule type="colorScale" priority="592">
      <colorScale>
        <cfvo type="min"/>
        <cfvo type="max"/>
        <color rgb="FFF8696B"/>
        <color rgb="FFFCFCFF"/>
      </colorScale>
    </cfRule>
  </conditionalFormatting>
  <conditionalFormatting sqref="F859">
    <cfRule type="colorScale" priority="265">
      <colorScale>
        <cfvo type="min"/>
        <cfvo type="max"/>
        <color rgb="FFF8696B"/>
        <color rgb="FFFCFCFF"/>
      </colorScale>
    </cfRule>
  </conditionalFormatting>
  <conditionalFormatting sqref="F878:F886">
    <cfRule type="colorScale" priority="91">
      <colorScale>
        <cfvo type="min"/>
        <cfvo type="max"/>
        <color rgb="FFF8696B"/>
        <color rgb="FFFCFCFF"/>
      </colorScale>
    </cfRule>
  </conditionalFormatting>
  <conditionalFormatting sqref="F895">
    <cfRule type="colorScale" priority="148">
      <colorScale>
        <cfvo type="min"/>
        <cfvo type="max"/>
        <color rgb="FFF8696B"/>
        <color rgb="FFFCFCFF"/>
      </colorScale>
    </cfRule>
  </conditionalFormatting>
  <conditionalFormatting sqref="F896">
    <cfRule type="colorScale" priority="62">
      <colorScale>
        <cfvo type="min"/>
        <cfvo type="max"/>
        <color rgb="FFF8696B"/>
        <color rgb="FFFCFCFF"/>
      </colorScale>
    </cfRule>
  </conditionalFormatting>
  <conditionalFormatting sqref="F910:F912">
    <cfRule type="colorScale" priority="227">
      <colorScale>
        <cfvo type="min"/>
        <cfvo type="max"/>
        <color rgb="FFF8696B"/>
        <color rgb="FFFCFCFF"/>
      </colorScale>
    </cfRule>
  </conditionalFormatting>
  <conditionalFormatting sqref="F963">
    <cfRule type="colorScale" priority="124">
      <colorScale>
        <cfvo type="min"/>
        <cfvo type="max"/>
        <color rgb="FFF8696B"/>
        <color rgb="FFFCFCFF"/>
      </colorScale>
    </cfRule>
  </conditionalFormatting>
  <conditionalFormatting sqref="F964">
    <cfRule type="colorScale" priority="125">
      <colorScale>
        <cfvo type="min"/>
        <cfvo type="max"/>
        <color rgb="FFF8696B"/>
        <color rgb="FFFCFCFF"/>
      </colorScale>
    </cfRule>
  </conditionalFormatting>
  <conditionalFormatting sqref="F965">
    <cfRule type="colorScale" priority="206">
      <colorScale>
        <cfvo type="min"/>
        <cfvo type="max"/>
        <color rgb="FFF8696B"/>
        <color rgb="FFFCFCFF"/>
      </colorScale>
    </cfRule>
  </conditionalFormatting>
  <conditionalFormatting sqref="F966:F967">
    <cfRule type="colorScale" priority="283">
      <colorScale>
        <cfvo type="min"/>
        <cfvo type="max"/>
        <color rgb="FFF8696B"/>
        <color rgb="FFFCFCFF"/>
      </colorScale>
    </cfRule>
  </conditionalFormatting>
  <conditionalFormatting sqref="F968">
    <cfRule type="colorScale" priority="35">
      <colorScale>
        <cfvo type="min"/>
        <cfvo type="max"/>
        <color rgb="FFF8696B"/>
        <color rgb="FFFCFCFF"/>
      </colorScale>
    </cfRule>
  </conditionalFormatting>
  <conditionalFormatting sqref="F969">
    <cfRule type="colorScale" priority="281">
      <colorScale>
        <cfvo type="min"/>
        <cfvo type="max"/>
        <color rgb="FFF8696B"/>
        <color rgb="FFFCFCFF"/>
      </colorScale>
    </cfRule>
  </conditionalFormatting>
  <conditionalFormatting sqref="F970">
    <cfRule type="colorScale" priority="279">
      <colorScale>
        <cfvo type="min"/>
        <cfvo type="max"/>
        <color rgb="FFF8696B"/>
        <color rgb="FFFCFCFF"/>
      </colorScale>
    </cfRule>
  </conditionalFormatting>
  <conditionalFormatting sqref="F971">
    <cfRule type="colorScale" priority="277">
      <colorScale>
        <cfvo type="min"/>
        <cfvo type="max"/>
        <color rgb="FFF8696B"/>
        <color rgb="FFFCFCFF"/>
      </colorScale>
    </cfRule>
  </conditionalFormatting>
  <conditionalFormatting sqref="F972">
    <cfRule type="colorScale" priority="90">
      <colorScale>
        <cfvo type="min"/>
        <cfvo type="max"/>
        <color rgb="FFF8696B"/>
        <color rgb="FFFCFCFF"/>
      </colorScale>
    </cfRule>
  </conditionalFormatting>
  <conditionalFormatting sqref="F973">
    <cfRule type="colorScale" priority="89">
      <colorScale>
        <cfvo type="min"/>
        <cfvo type="max"/>
        <color rgb="FFF8696B"/>
        <color rgb="FFFCFCFF"/>
      </colorScale>
    </cfRule>
  </conditionalFormatting>
  <conditionalFormatting sqref="F974">
    <cfRule type="colorScale" priority="88">
      <colorScale>
        <cfvo type="min"/>
        <cfvo type="max"/>
        <color rgb="FFF8696B"/>
        <color rgb="FFFCFCFF"/>
      </colorScale>
    </cfRule>
  </conditionalFormatting>
  <conditionalFormatting sqref="F975">
    <cfRule type="colorScale" priority="87">
      <colorScale>
        <cfvo type="min"/>
        <cfvo type="max"/>
        <color rgb="FFF8696B"/>
        <color rgb="FFFCFCFF"/>
      </colorScale>
    </cfRule>
  </conditionalFormatting>
  <conditionalFormatting sqref="F978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979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033">
    <cfRule type="colorScale" priority="6564">
      <colorScale>
        <cfvo type="min"/>
        <cfvo type="max"/>
        <color rgb="FFF8696B"/>
        <color rgb="FFFCFCFF"/>
      </colorScale>
    </cfRule>
  </conditionalFormatting>
  <conditionalFormatting sqref="F1034:F1050">
    <cfRule type="colorScale" priority="66">
      <colorScale>
        <cfvo type="min"/>
        <cfvo type="max"/>
        <color rgb="FFF8696B"/>
        <color rgb="FFFCFCFF"/>
      </colorScale>
    </cfRule>
  </conditionalFormatting>
  <conditionalFormatting sqref="F1052">
    <cfRule type="colorScale" priority="63">
      <colorScale>
        <cfvo type="min"/>
        <cfvo type="max"/>
        <color rgb="FFF8696B"/>
        <color rgb="FFFCFCFF"/>
      </colorScale>
    </cfRule>
  </conditionalFormatting>
  <conditionalFormatting sqref="F1051 F1053">
    <cfRule type="colorScale" priority="6606">
      <colorScale>
        <cfvo type="min"/>
        <cfvo type="max"/>
        <color rgb="FFF8696B"/>
        <color rgb="FFFCFCFF"/>
      </colorScale>
    </cfRule>
  </conditionalFormatting>
  <conditionalFormatting sqref="F1054">
    <cfRule type="colorScale" priority="257">
      <colorScale>
        <cfvo type="min"/>
        <cfvo type="max"/>
        <color rgb="FFF8696B"/>
        <color rgb="FFFCFCFF"/>
      </colorScale>
    </cfRule>
  </conditionalFormatting>
  <conditionalFormatting sqref="F1055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1056">
    <cfRule type="colorScale" priority="254">
      <colorScale>
        <cfvo type="min"/>
        <cfvo type="max"/>
        <color rgb="FFF8696B"/>
        <color rgb="FFFCFCFF"/>
      </colorScale>
    </cfRule>
  </conditionalFormatting>
  <conditionalFormatting sqref="F1057:F1058">
    <cfRule type="colorScale" priority="253">
      <colorScale>
        <cfvo type="min"/>
        <cfvo type="max"/>
        <color rgb="FFF8696B"/>
        <color rgb="FFFCFCFF"/>
      </colorScale>
    </cfRule>
  </conditionalFormatting>
  <conditionalFormatting sqref="F1061:F1069">
    <cfRule type="colorScale" priority="137">
      <colorScale>
        <cfvo type="min"/>
        <cfvo type="max"/>
        <color rgb="FFF8696B"/>
        <color rgb="FFFCFCFF"/>
      </colorScale>
    </cfRule>
  </conditionalFormatting>
  <conditionalFormatting sqref="F1070">
    <cfRule type="colorScale" priority="2707">
      <colorScale>
        <cfvo type="min"/>
        <cfvo type="max"/>
        <color rgb="FFF8696B"/>
        <color rgb="FFFCFCFF"/>
      </colorScale>
    </cfRule>
  </conditionalFormatting>
  <conditionalFormatting sqref="F1071:F1082">
    <cfRule type="colorScale" priority="3085">
      <colorScale>
        <cfvo type="min"/>
        <cfvo type="max"/>
        <color rgb="FFF8696B"/>
        <color rgb="FFFCFCFF"/>
      </colorScale>
    </cfRule>
  </conditionalFormatting>
  <conditionalFormatting sqref="F1083">
    <cfRule type="colorScale" priority="7231">
      <colorScale>
        <cfvo type="min"/>
        <cfvo type="max"/>
        <color rgb="FFF8696B"/>
        <color rgb="FFFCFCFF"/>
      </colorScale>
    </cfRule>
  </conditionalFormatting>
  <conditionalFormatting sqref="F1084">
    <cfRule type="colorScale" priority="332">
      <colorScale>
        <cfvo type="min"/>
        <cfvo type="max"/>
        <color rgb="FFF8696B"/>
        <color rgb="FFFCFCFF"/>
      </colorScale>
    </cfRule>
  </conditionalFormatting>
  <conditionalFormatting sqref="F1085">
    <cfRule type="colorScale" priority="331">
      <colorScale>
        <cfvo type="min"/>
        <cfvo type="max"/>
        <color rgb="FFF8696B"/>
        <color rgb="FFFCFCFF"/>
      </colorScale>
    </cfRule>
  </conditionalFormatting>
  <conditionalFormatting sqref="F1100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1101">
    <cfRule type="colorScale" priority="321">
      <colorScale>
        <cfvo type="min"/>
        <cfvo type="max"/>
        <color rgb="FFF8696B"/>
        <color rgb="FFFCFCFF"/>
      </colorScale>
    </cfRule>
  </conditionalFormatting>
  <conditionalFormatting sqref="F1102">
    <cfRule type="colorScale" priority="320">
      <colorScale>
        <cfvo type="min"/>
        <cfvo type="max"/>
        <color rgb="FFF8696B"/>
        <color rgb="FFFCFCFF"/>
      </colorScale>
    </cfRule>
  </conditionalFormatting>
  <conditionalFormatting sqref="F1103">
    <cfRule type="colorScale" priority="319">
      <colorScale>
        <cfvo type="min"/>
        <cfvo type="max"/>
        <color rgb="FFF8696B"/>
        <color rgb="FFFCFCFF"/>
      </colorScale>
    </cfRule>
  </conditionalFormatting>
  <conditionalFormatting sqref="F1104:F1106">
    <cfRule type="colorScale" priority="587">
      <colorScale>
        <cfvo type="min"/>
        <cfvo type="max"/>
        <color rgb="FFF8696B"/>
        <color rgb="FFFCFCFF"/>
      </colorScale>
    </cfRule>
  </conditionalFormatting>
  <conditionalFormatting sqref="F1174 F1107 F740 F1059:F1060 F838:F858 F1120 F702:F738 G1065 F743:F764 F1086:F1099 F1130 F1123 F806:F836 F860:F877 F913:F962 F976:F977 F1155:F1161 F887:F894 F1202:F1222 F1176:F1200 F1134:F1151 F897:F909 F980:F1032">
    <cfRule type="colorScale" priority="6155">
      <colorScale>
        <cfvo type="min"/>
        <cfvo type="max"/>
        <color rgb="FFF8696B"/>
        <color rgb="FFFCFCFF"/>
      </colorScale>
    </cfRule>
  </conditionalFormatting>
  <conditionalFormatting sqref="F1108">
    <cfRule type="colorScale" priority="146">
      <colorScale>
        <cfvo type="min"/>
        <cfvo type="max"/>
        <color rgb="FFF8696B"/>
        <color rgb="FFFCFCFF"/>
      </colorScale>
    </cfRule>
  </conditionalFormatting>
  <conditionalFormatting sqref="F1109:F1119">
    <cfRule type="colorScale" priority="6786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118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117">
      <colorScale>
        <cfvo type="min"/>
        <cfvo type="max"/>
        <color rgb="FFF8696B"/>
        <color rgb="FFFCFCFF"/>
      </colorScale>
    </cfRule>
  </conditionalFormatting>
  <conditionalFormatting sqref="F1124:F1126">
    <cfRule type="colorScale" priority="3159">
      <colorScale>
        <cfvo type="min"/>
        <cfvo type="max"/>
        <color rgb="FFF8696B"/>
        <color rgb="FFFCFCFF"/>
      </colorScale>
    </cfRule>
  </conditionalFormatting>
  <conditionalFormatting sqref="F1127">
    <cfRule type="colorScale" priority="327">
      <colorScale>
        <cfvo type="min"/>
        <cfvo type="max"/>
        <color rgb="FFF8696B"/>
        <color rgb="FFFCFCFF"/>
      </colorScale>
    </cfRule>
  </conditionalFormatting>
  <conditionalFormatting sqref="F1128">
    <cfRule type="colorScale" priority="326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325">
      <colorScale>
        <cfvo type="min"/>
        <cfvo type="max"/>
        <color rgb="FFF8696B"/>
        <color rgb="FFFCFCFF"/>
      </colorScale>
    </cfRule>
  </conditionalFormatting>
  <conditionalFormatting sqref="F1131">
    <cfRule type="colorScale" priority="122">
      <colorScale>
        <cfvo type="min"/>
        <cfvo type="max"/>
        <color rgb="FFF8696B"/>
        <color rgb="FFFCFCFF"/>
      </colorScale>
    </cfRule>
  </conditionalFormatting>
  <conditionalFormatting sqref="F1132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133">
    <cfRule type="colorScale" priority="123">
      <colorScale>
        <cfvo type="min"/>
        <cfvo type="max"/>
        <color rgb="FFF8696B"/>
        <color rgb="FFFCFCFF"/>
      </colorScale>
    </cfRule>
  </conditionalFormatting>
  <conditionalFormatting sqref="F1152:F1153">
    <cfRule type="colorScale" priority="268">
      <colorScale>
        <cfvo type="min"/>
        <cfvo type="max"/>
        <color rgb="FFF8696B"/>
        <color rgb="FFFCFCFF"/>
      </colorScale>
    </cfRule>
  </conditionalFormatting>
  <conditionalFormatting sqref="F1154">
    <cfRule type="colorScale" priority="267">
      <colorScale>
        <cfvo type="min"/>
        <cfvo type="max"/>
        <color rgb="FFF8696B"/>
        <color rgb="FFFCFCFF"/>
      </colorScale>
    </cfRule>
  </conditionalFormatting>
  <conditionalFormatting sqref="F1162">
    <cfRule type="colorScale" priority="71">
      <colorScale>
        <cfvo type="min"/>
        <cfvo type="max"/>
        <color rgb="FFF8696B"/>
        <color rgb="FFFCFCFF"/>
      </colorScale>
    </cfRule>
  </conditionalFormatting>
  <conditionalFormatting sqref="F1163:F1173">
    <cfRule type="colorScale" priority="6344">
      <colorScale>
        <cfvo type="min"/>
        <cfvo type="max"/>
        <color rgb="FFF8696B"/>
        <color rgb="FFFCFCFF"/>
      </colorScale>
    </cfRule>
  </conditionalFormatting>
  <conditionalFormatting sqref="F1175">
    <cfRule type="colorScale" priority="65">
      <colorScale>
        <cfvo type="min"/>
        <cfvo type="max"/>
        <color rgb="FFF8696B"/>
        <color rgb="FFFCFCFF"/>
      </colorScale>
    </cfRule>
  </conditionalFormatting>
  <conditionalFormatting sqref="F1201">
    <cfRule type="colorScale" priority="81">
      <colorScale>
        <cfvo type="min"/>
        <cfvo type="max"/>
        <color rgb="FFF8696B"/>
        <color rgb="FFFCFCFF"/>
      </colorScale>
    </cfRule>
  </conditionalFormatting>
  <conditionalFormatting sqref="F1228:F1238">
    <cfRule type="colorScale" priority="5203">
      <colorScale>
        <cfvo type="min"/>
        <cfvo type="max"/>
        <color rgb="FFF8696B"/>
        <color rgb="FFFCFCFF"/>
      </colorScale>
    </cfRule>
  </conditionalFormatting>
  <conditionalFormatting sqref="F1242:F1249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1254:F1255">
    <cfRule type="colorScale" priority="6522">
      <colorScale>
        <cfvo type="min"/>
        <cfvo type="max"/>
        <color rgb="FFF8696B"/>
        <color rgb="FFFCFCFF"/>
      </colorScale>
    </cfRule>
  </conditionalFormatting>
  <conditionalFormatting sqref="F1256:F1271">
    <cfRule type="colorScale" priority="6456">
      <colorScale>
        <cfvo type="min"/>
        <cfvo type="max"/>
        <color rgb="FFF8696B"/>
        <color rgb="FFFCFCFF"/>
      </colorScale>
    </cfRule>
  </conditionalFormatting>
  <conditionalFormatting sqref="F1284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288:F1304">
    <cfRule type="colorScale" priority="4657">
      <colorScale>
        <cfvo type="min"/>
        <cfvo type="max"/>
        <color rgb="FFF8696B"/>
        <color rgb="FFFCFCFF"/>
      </colorScale>
    </cfRule>
  </conditionalFormatting>
  <conditionalFormatting sqref="F1318">
    <cfRule type="colorScale" priority="102">
      <colorScale>
        <cfvo type="min"/>
        <cfvo type="max"/>
        <color rgb="FFF8696B"/>
        <color rgb="FFFCFCFF"/>
      </colorScale>
    </cfRule>
  </conditionalFormatting>
  <conditionalFormatting sqref="F1319:F1329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341:F1346">
    <cfRule type="colorScale" priority="128">
      <colorScale>
        <cfvo type="min"/>
        <cfvo type="max"/>
        <color rgb="FFF8696B"/>
        <color rgb="FFFCFCFF"/>
      </colorScale>
    </cfRule>
  </conditionalFormatting>
  <conditionalFormatting sqref="F1347:F1356 F1360 F1375 F1330:F1340 F1362:F1364">
    <cfRule type="colorScale" priority="6565">
      <colorScale>
        <cfvo type="min"/>
        <cfvo type="max"/>
        <color rgb="FFF8696B"/>
        <color rgb="FFFCFCFF"/>
      </colorScale>
    </cfRule>
  </conditionalFormatting>
  <conditionalFormatting sqref="F1357:F1359">
    <cfRule type="colorScale" priority="132">
      <colorScale>
        <cfvo type="min"/>
        <cfvo type="max"/>
        <color rgb="FFF8696B"/>
        <color rgb="FFFCFCFF"/>
      </colorScale>
    </cfRule>
  </conditionalFormatting>
  <conditionalFormatting sqref="F1361">
    <cfRule type="colorScale" priority="98">
      <colorScale>
        <cfvo type="min"/>
        <cfvo type="max"/>
        <color rgb="FFF8696B"/>
        <color rgb="FFFCFCFF"/>
      </colorScale>
    </cfRule>
  </conditionalFormatting>
  <conditionalFormatting sqref="F1365:F1368">
    <cfRule type="colorScale" priority="210">
      <colorScale>
        <cfvo type="min"/>
        <cfvo type="max"/>
        <color rgb="FFF8696B"/>
        <color rgb="FFFCFCFF"/>
      </colorScale>
    </cfRule>
  </conditionalFormatting>
  <conditionalFormatting sqref="F1374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376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{844516D9-C012-4345-99E1-0E3C6DD3ED20}</x14:id>
        </ext>
      </extLst>
    </cfRule>
  </conditionalFormatting>
  <conditionalFormatting sqref="F1417">
    <cfRule type="colorScale" priority="7287">
      <colorScale>
        <cfvo type="min"/>
        <cfvo type="max"/>
        <color rgb="FFF8696B"/>
        <color rgb="FFFCFCFF"/>
      </colorScale>
    </cfRule>
  </conditionalFormatting>
  <conditionalFormatting sqref="F1429">
    <cfRule type="colorScale" priority="572">
      <colorScale>
        <cfvo type="min"/>
        <cfvo type="max"/>
        <color rgb="FFF8696B"/>
        <color rgb="FFFCFCFF"/>
      </colorScale>
    </cfRule>
  </conditionalFormatting>
  <conditionalFormatting sqref="F1430">
    <cfRule type="colorScale" priority="104">
      <colorScale>
        <cfvo type="min"/>
        <cfvo type="max"/>
        <color rgb="FFF8696B"/>
        <color rgb="FFFCFCFF"/>
      </colorScale>
    </cfRule>
  </conditionalFormatting>
  <conditionalFormatting sqref="F1465:F1466">
    <cfRule type="colorScale" priority="568">
      <colorScale>
        <cfvo type="min"/>
        <cfvo type="max"/>
        <color rgb="FFF8696B"/>
        <color rgb="FFFCFCFF"/>
      </colorScale>
    </cfRule>
  </conditionalFormatting>
  <conditionalFormatting sqref="F1467:F1471">
    <cfRule type="colorScale" priority="579">
      <colorScale>
        <cfvo type="min"/>
        <cfvo type="max"/>
        <color rgb="FFF8696B"/>
        <color rgb="FFFCFCFF"/>
      </colorScale>
    </cfRule>
  </conditionalFormatting>
  <conditionalFormatting sqref="F1502">
    <cfRule type="colorScale" priority="565">
      <colorScale>
        <cfvo type="min"/>
        <cfvo type="max"/>
        <color rgb="FFF8696B"/>
        <color rgb="FFFCFCFF"/>
      </colorScale>
    </cfRule>
  </conditionalFormatting>
  <conditionalFormatting sqref="F1503:F1506 F1671 F1418:F1428 F1376:F1416 F1673:F1677 F1593:F1595 F1597:F1628 F1657:F1659 F1661:F1669 F1637:F1652 F1431:F1464 F1472:F1501 F1515:F1580 F1681:F1691 F1694:F1715">
    <cfRule type="colorScale" priority="7331">
      <colorScale>
        <cfvo type="min"/>
        <cfvo type="max"/>
        <color rgb="FFF8696B"/>
        <color rgb="FFFCFCFF"/>
      </colorScale>
    </cfRule>
  </conditionalFormatting>
  <conditionalFormatting sqref="F1581">
    <cfRule type="colorScale" priority="233">
      <colorScale>
        <cfvo type="min"/>
        <cfvo type="max"/>
        <color rgb="FFF8696B"/>
        <color rgb="FFFCFCFF"/>
      </colorScale>
    </cfRule>
  </conditionalFormatting>
  <conditionalFormatting sqref="F1582">
    <cfRule type="colorScale" priority="235">
      <colorScale>
        <cfvo type="min"/>
        <cfvo type="max"/>
        <color rgb="FFF8696B"/>
        <color rgb="FFFCFCFF"/>
      </colorScale>
    </cfRule>
  </conditionalFormatting>
  <conditionalFormatting sqref="F1583:F1587 F1589:F1590">
    <cfRule type="colorScale" priority="4076">
      <colorScale>
        <cfvo type="min"/>
        <cfvo type="max"/>
        <color rgb="FFF8696B"/>
        <color rgb="FFFCFCFF"/>
      </colorScale>
    </cfRule>
  </conditionalFormatting>
  <conditionalFormatting sqref="F1588">
    <cfRule type="colorScale" priority="198">
      <colorScale>
        <cfvo type="min"/>
        <cfvo type="max"/>
        <color rgb="FFF8696B"/>
        <color rgb="FFFCFCFF"/>
      </colorScale>
    </cfRule>
  </conditionalFormatting>
  <conditionalFormatting sqref="F1591">
    <cfRule type="colorScale" priority="344">
      <colorScale>
        <cfvo type="min"/>
        <cfvo type="max"/>
        <color rgb="FFF8696B"/>
        <color rgb="FFFCFCFF"/>
      </colorScale>
    </cfRule>
  </conditionalFormatting>
  <conditionalFormatting sqref="F1592">
    <cfRule type="colorScale" priority="341">
      <colorScale>
        <cfvo type="min"/>
        <cfvo type="max"/>
        <color rgb="FFF8696B"/>
        <color rgb="FFFCFCFF"/>
      </colorScale>
    </cfRule>
  </conditionalFormatting>
  <conditionalFormatting sqref="F1596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632">
    <cfRule type="colorScale" priority="564">
      <colorScale>
        <cfvo type="min"/>
        <cfvo type="max"/>
        <color rgb="FFF8696B"/>
        <color rgb="FFFCFCFF"/>
      </colorScale>
    </cfRule>
  </conditionalFormatting>
  <conditionalFormatting sqref="F1633:F1635">
    <cfRule type="colorScale" priority="563">
      <colorScale>
        <cfvo type="min"/>
        <cfvo type="max"/>
        <color rgb="FFF8696B"/>
        <color rgb="FFFCFCFF"/>
      </colorScale>
    </cfRule>
  </conditionalFormatting>
  <conditionalFormatting sqref="F1636">
    <cfRule type="colorScale" priority="562">
      <colorScale>
        <cfvo type="min"/>
        <cfvo type="max"/>
        <color rgb="FFF8696B"/>
        <color rgb="FFFCFCFF"/>
      </colorScale>
    </cfRule>
  </conditionalFormatting>
  <conditionalFormatting sqref="F1653:F1655">
    <cfRule type="colorScale" priority="576">
      <colorScale>
        <cfvo type="min"/>
        <cfvo type="max"/>
        <color rgb="FFF8696B"/>
        <color rgb="FFFCFCFF"/>
      </colorScale>
    </cfRule>
  </conditionalFormatting>
  <conditionalFormatting sqref="F1656">
    <cfRule type="colorScale" priority="7330">
      <colorScale>
        <cfvo type="min"/>
        <cfvo type="max"/>
        <color rgb="FFF8696B"/>
        <color rgb="FFFCFCFF"/>
      </colorScale>
    </cfRule>
  </conditionalFormatting>
  <conditionalFormatting sqref="F1670">
    <cfRule type="colorScale" priority="560">
      <colorScale>
        <cfvo type="min"/>
        <cfvo type="max"/>
        <color rgb="FFF8696B"/>
        <color rgb="FFFCFCFF"/>
      </colorScale>
    </cfRule>
  </conditionalFormatting>
  <conditionalFormatting sqref="F1672">
    <cfRule type="colorScale" priority="30">
      <colorScale>
        <cfvo type="min"/>
        <cfvo type="max"/>
        <color rgb="FFF8696B"/>
        <color rgb="FFFCFCFF"/>
      </colorScale>
    </cfRule>
  </conditionalFormatting>
  <conditionalFormatting sqref="F1678:F1680">
    <cfRule type="colorScale" priority="3168">
      <colorScale>
        <cfvo type="min"/>
        <cfvo type="max"/>
        <color rgb="FFF8696B"/>
        <color rgb="FFFCFCFF"/>
      </colorScale>
    </cfRule>
  </conditionalFormatting>
  <conditionalFormatting sqref="F1692">
    <cfRule type="colorScale" priority="297">
      <colorScale>
        <cfvo type="min"/>
        <cfvo type="max"/>
        <color rgb="FFF8696B"/>
        <color rgb="FFFCFCFF"/>
      </colorScale>
    </cfRule>
  </conditionalFormatting>
  <conditionalFormatting sqref="F1693">
    <cfRule type="colorScale" priority="296">
      <colorScale>
        <cfvo type="min"/>
        <cfvo type="max"/>
        <color rgb="FFF8696B"/>
        <color rgb="FFFCFCFF"/>
      </colorScale>
    </cfRule>
  </conditionalFormatting>
  <conditionalFormatting sqref="F1716:F1717">
    <cfRule type="colorScale" priority="42">
      <colorScale>
        <cfvo type="min"/>
        <cfvo type="max"/>
        <color rgb="FFF8696B"/>
        <color rgb="FFFCFCFF"/>
      </colorScale>
    </cfRule>
  </conditionalFormatting>
  <conditionalFormatting sqref="F1719">
    <cfRule type="colorScale" priority="38">
      <colorScale>
        <cfvo type="min"/>
        <cfvo type="max"/>
        <color rgb="FFF8696B"/>
        <color rgb="FFFCFCFF"/>
      </colorScale>
    </cfRule>
  </conditionalFormatting>
  <conditionalFormatting sqref="F1741:F1743 F1745 F1770:F1772">
    <cfRule type="colorScale" priority="347">
      <colorScale>
        <cfvo type="min"/>
        <cfvo type="max"/>
        <color rgb="FFF8696B"/>
        <color rgb="FFFCFCFF"/>
      </colorScale>
    </cfRule>
  </conditionalFormatting>
  <conditionalFormatting sqref="F1744">
    <cfRule type="colorScale" priority="107">
      <colorScale>
        <cfvo type="min"/>
        <cfvo type="max"/>
        <color rgb="FFF8696B"/>
        <color rgb="FFFCFCFF"/>
      </colorScale>
    </cfRule>
  </conditionalFormatting>
  <conditionalFormatting sqref="F1746:F1769">
    <cfRule type="colorScale" priority="59">
      <colorScale>
        <cfvo type="min"/>
        <cfvo type="max"/>
        <color rgb="FFF8696B"/>
        <color rgb="FFFCFCFF"/>
      </colorScale>
    </cfRule>
  </conditionalFormatting>
  <conditionalFormatting sqref="F1781">
    <cfRule type="dataBar" priority="5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{51FAC81D-0FFF-4285-B9FB-DECA4367BA70}</x14:id>
        </ext>
      </extLst>
    </cfRule>
  </conditionalFormatting>
  <conditionalFormatting sqref="F1788:F1789">
    <cfRule type="colorScale" priority="48">
      <colorScale>
        <cfvo type="min"/>
        <cfvo type="max"/>
        <color rgb="FFF8696B"/>
        <color rgb="FFFCFCFF"/>
      </colorScale>
    </cfRule>
  </conditionalFormatting>
  <conditionalFormatting sqref="F1800:F1808">
    <cfRule type="colorScale" priority="7230">
      <colorScale>
        <cfvo type="min"/>
        <cfvo type="max"/>
        <color rgb="FFF8696B"/>
        <color rgb="FFFCFCFF"/>
      </colorScale>
    </cfRule>
  </conditionalFormatting>
  <conditionalFormatting sqref="F1809">
    <cfRule type="colorScale" priority="316">
      <colorScale>
        <cfvo type="min"/>
        <cfvo type="max"/>
        <color rgb="FFF8696B"/>
        <color rgb="FFFCFCFF"/>
      </colorScale>
    </cfRule>
  </conditionalFormatting>
  <conditionalFormatting sqref="F1813">
    <cfRule type="colorScale" priority="543">
      <colorScale>
        <cfvo type="min"/>
        <cfvo type="max"/>
        <color rgb="FFF8696B"/>
        <color rgb="FFFCFCFF"/>
      </colorScale>
    </cfRule>
  </conditionalFormatting>
  <conditionalFormatting sqref="F1828:F1829">
    <cfRule type="colorScale" priority="539">
      <colorScale>
        <cfvo type="min"/>
        <cfvo type="max"/>
        <color rgb="FFF8696B"/>
        <color rgb="FFFCFCFF"/>
      </colorScale>
    </cfRule>
  </conditionalFormatting>
  <conditionalFormatting sqref="F1830">
    <cfRule type="colorScale" priority="554">
      <colorScale>
        <cfvo type="min"/>
        <cfvo type="max"/>
        <color rgb="FFF8696B"/>
        <color rgb="FFFCFCFF"/>
      </colorScale>
    </cfRule>
  </conditionalFormatting>
  <conditionalFormatting sqref="F1831">
    <cfRule type="colorScale" priority="530">
      <colorScale>
        <cfvo type="min"/>
        <cfvo type="max"/>
        <color rgb="FFF8696B"/>
        <color rgb="FFFCFCFF"/>
      </colorScale>
    </cfRule>
  </conditionalFormatting>
  <conditionalFormatting sqref="F1838">
    <cfRule type="colorScale" priority="536">
      <colorScale>
        <cfvo type="min"/>
        <cfvo type="max"/>
        <color rgb="FFF8696B"/>
        <color rgb="FFFCFCFF"/>
      </colorScale>
    </cfRule>
  </conditionalFormatting>
  <conditionalFormatting sqref="F1932">
    <cfRule type="colorScale" priority="551">
      <colorScale>
        <cfvo type="min"/>
        <cfvo type="max"/>
        <color rgb="FFF8696B"/>
        <color rgb="FFFCFCFF"/>
      </colorScale>
    </cfRule>
  </conditionalFormatting>
  <conditionalFormatting sqref="F1933">
    <cfRule type="colorScale" priority="535">
      <colorScale>
        <cfvo type="min"/>
        <cfvo type="max"/>
        <color rgb="FFF8696B"/>
        <color rgb="FFFCFCFF"/>
      </colorScale>
    </cfRule>
  </conditionalFormatting>
  <conditionalFormatting sqref="F1934">
    <cfRule type="colorScale" priority="330">
      <colorScale>
        <cfvo type="min"/>
        <cfvo type="max"/>
        <color rgb="FFF8696B"/>
        <color rgb="FFFCFCFF"/>
      </colorScale>
    </cfRule>
  </conditionalFormatting>
  <conditionalFormatting sqref="F1935:F1937">
    <cfRule type="colorScale" priority="534">
      <colorScale>
        <cfvo type="min"/>
        <cfvo type="max"/>
        <color rgb="FFF8696B"/>
        <color rgb="FFFCFCFF"/>
      </colorScale>
    </cfRule>
  </conditionalFormatting>
  <conditionalFormatting sqref="F1938">
    <cfRule type="colorScale" priority="533">
      <colorScale>
        <cfvo type="min"/>
        <cfvo type="max"/>
        <color rgb="FFF8696B"/>
        <color rgb="FFFCFCFF"/>
      </colorScale>
    </cfRule>
  </conditionalFormatting>
  <conditionalFormatting sqref="F1950">
    <cfRule type="colorScale" priority="547">
      <colorScale>
        <cfvo type="min"/>
        <cfvo type="max"/>
        <color rgb="FFF8696B"/>
        <color rgb="FFFCFCFF"/>
      </colorScale>
    </cfRule>
  </conditionalFormatting>
  <conditionalFormatting sqref="F1951">
    <cfRule type="colorScale" priority="531">
      <colorScale>
        <cfvo type="min"/>
        <cfvo type="max"/>
        <color rgb="FFF8696B"/>
        <color rgb="FFFCFCFF"/>
      </colorScale>
    </cfRule>
  </conditionalFormatting>
  <conditionalFormatting sqref="F1952:F1960 F1814:F1827 F1939:F1949 F1974:F2007 F1963:F1969 F1781:F1787 F1810:F1812 F1832:F1837 F1839:F1931 F1790:F1799">
    <cfRule type="colorScale" priority="3275">
      <colorScale>
        <cfvo type="min"/>
        <cfvo type="max"/>
        <color rgb="FFF8696B"/>
        <color rgb="FFFCFCFF"/>
      </colorScale>
    </cfRule>
  </conditionalFormatting>
  <conditionalFormatting sqref="F1961">
    <cfRule type="colorScale" priority="528">
      <colorScale>
        <cfvo type="min"/>
        <cfvo type="max"/>
        <color rgb="FFF8696B"/>
        <color rgb="FFFCFCFF"/>
      </colorScale>
    </cfRule>
  </conditionalFormatting>
  <conditionalFormatting sqref="F1962">
    <cfRule type="colorScale" priority="336">
      <colorScale>
        <cfvo type="min"/>
        <cfvo type="max"/>
        <color rgb="FFF8696B"/>
        <color rgb="FFFCFCFF"/>
      </colorScale>
    </cfRule>
  </conditionalFormatting>
  <conditionalFormatting sqref="F1970:F1973">
    <cfRule type="colorScale" priority="527">
      <colorScale>
        <cfvo type="min"/>
        <cfvo type="max"/>
        <color rgb="FFF8696B"/>
        <color rgb="FFFCFCFF"/>
      </colorScale>
    </cfRule>
  </conditionalFormatting>
  <conditionalFormatting sqref="F2010:F2017">
    <cfRule type="colorScale" priority="4175">
      <colorScale>
        <cfvo type="min"/>
        <cfvo type="max"/>
        <color rgb="FFF8696B"/>
        <color rgb="FFFCFCFF"/>
      </colorScale>
    </cfRule>
  </conditionalFormatting>
  <conditionalFormatting sqref="F2021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{3EC5F668-CC6F-42FE-9F2C-D1DCED2C2C82}</x14:id>
        </ext>
      </extLst>
    </cfRule>
  </conditionalFormatting>
  <conditionalFormatting sqref="F2042">
    <cfRule type="colorScale" priority="513">
      <colorScale>
        <cfvo type="min"/>
        <cfvo type="max"/>
        <color rgb="FFF8696B"/>
        <color rgb="FFFCFCFF"/>
      </colorScale>
    </cfRule>
  </conditionalFormatting>
  <conditionalFormatting sqref="F2057">
    <cfRule type="colorScale" priority="511">
      <colorScale>
        <cfvo type="min"/>
        <cfvo type="max"/>
        <color rgb="FFF8696B"/>
        <color rgb="FFFCFCFF"/>
      </colorScale>
    </cfRule>
  </conditionalFormatting>
  <conditionalFormatting sqref="F2058:F2059">
    <cfRule type="colorScale" priority="509">
      <colorScale>
        <cfvo type="min"/>
        <cfvo type="max"/>
        <color rgb="FFF8696B"/>
        <color rgb="FFFCFCFF"/>
      </colorScale>
    </cfRule>
  </conditionalFormatting>
  <conditionalFormatting sqref="F2060:F2061">
    <cfRule type="colorScale" priority="520">
      <colorScale>
        <cfvo type="min"/>
        <cfvo type="max"/>
        <color rgb="FFF8696B"/>
        <color rgb="FFFCFCFF"/>
      </colorScale>
    </cfRule>
  </conditionalFormatting>
  <conditionalFormatting sqref="F2070">
    <cfRule type="colorScale" priority="506">
      <colorScale>
        <cfvo type="min"/>
        <cfvo type="max"/>
        <color rgb="FFF8696B"/>
        <color rgb="FFFCFCFF"/>
      </colorScale>
    </cfRule>
  </conditionalFormatting>
  <conditionalFormatting sqref="F2170">
    <cfRule type="colorScale" priority="521">
      <colorScale>
        <cfvo type="min"/>
        <cfvo type="max"/>
        <color rgb="FFF8696B"/>
        <color rgb="FFFCFCFF"/>
      </colorScale>
    </cfRule>
  </conditionalFormatting>
  <conditionalFormatting sqref="F2171:F2173">
    <cfRule type="colorScale" priority="505">
      <colorScale>
        <cfvo type="min"/>
        <cfvo type="max"/>
        <color rgb="FFF8696B"/>
        <color rgb="FFFCFCFF"/>
      </colorScale>
    </cfRule>
  </conditionalFormatting>
  <conditionalFormatting sqref="F2174">
    <cfRule type="colorScale" priority="504">
      <colorScale>
        <cfvo type="min"/>
        <cfvo type="max"/>
        <color rgb="FFF8696B"/>
        <color rgb="FFFCFCFF"/>
      </colorScale>
    </cfRule>
  </conditionalFormatting>
  <conditionalFormatting sqref="F2177">
    <cfRule type="colorScale" priority="3276">
      <colorScale>
        <cfvo type="min"/>
        <cfvo type="max"/>
        <color rgb="FFF8696B"/>
        <color rgb="FFFCFCFF"/>
      </colorScale>
    </cfRule>
  </conditionalFormatting>
  <conditionalFormatting sqref="F2178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2179">
    <cfRule type="colorScale" priority="323">
      <colorScale>
        <cfvo type="min"/>
        <cfvo type="max"/>
        <color rgb="FFF8696B"/>
        <color rgb="FFFCFCFF"/>
      </colorScale>
    </cfRule>
  </conditionalFormatting>
  <conditionalFormatting sqref="F2187">
    <cfRule type="colorScale" priority="329">
      <colorScale>
        <cfvo type="min"/>
        <cfvo type="max"/>
        <color rgb="FFF8696B"/>
        <color rgb="FFFCFCFF"/>
      </colorScale>
    </cfRule>
  </conditionalFormatting>
  <conditionalFormatting sqref="F2192">
    <cfRule type="colorScale" priority="503">
      <colorScale>
        <cfvo type="min"/>
        <cfvo type="max"/>
        <color rgb="FFF8696B"/>
        <color rgb="FFFCFCFF"/>
      </colorScale>
    </cfRule>
  </conditionalFormatting>
  <conditionalFormatting sqref="F2195:F2197">
    <cfRule type="colorScale" priority="3176">
      <colorScale>
        <cfvo type="min"/>
        <cfvo type="max"/>
        <color rgb="FFF8696B"/>
        <color rgb="FFFCFCFF"/>
      </colorScale>
    </cfRule>
  </conditionalFormatting>
  <conditionalFormatting sqref="F2198:F2207 F2193:F2194 F2180:F2186 F2021:F2041 F2043:F2056 F2062:F2069 F2175:F2176 F2071:F2169 F2188:F2191">
    <cfRule type="colorScale" priority="523">
      <colorScale>
        <cfvo type="min"/>
        <cfvo type="max"/>
        <color rgb="FFF8696B"/>
        <color rgb="FFFCFCFF"/>
      </colorScale>
    </cfRule>
  </conditionalFormatting>
  <conditionalFormatting sqref="F2219">
    <cfRule type="dataBar" priority="4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{A59574DB-C0B9-4504-B66C-E23DF6323C62}</x14:id>
        </ext>
      </extLst>
    </cfRule>
  </conditionalFormatting>
  <conditionalFormatting sqref="F2240:F2241">
    <cfRule type="colorScale" priority="487">
      <colorScale>
        <cfvo type="min"/>
        <cfvo type="max"/>
        <color rgb="FFF8696B"/>
        <color rgb="FFFCFCFF"/>
      </colorScale>
    </cfRule>
  </conditionalFormatting>
  <conditionalFormatting sqref="F2256">
    <cfRule type="colorScale" priority="485">
      <colorScale>
        <cfvo type="min"/>
        <cfvo type="max"/>
        <color rgb="FFF8696B"/>
        <color rgb="FFFCFCFF"/>
      </colorScale>
    </cfRule>
  </conditionalFormatting>
  <conditionalFormatting sqref="F2257:F2258">
    <cfRule type="colorScale" priority="483">
      <colorScale>
        <cfvo type="min"/>
        <cfvo type="max"/>
        <color rgb="FFF8696B"/>
        <color rgb="FFFCFCFF"/>
      </colorScale>
    </cfRule>
  </conditionalFormatting>
  <conditionalFormatting sqref="F2259:F2260">
    <cfRule type="colorScale" priority="494">
      <colorScale>
        <cfvo type="min"/>
        <cfvo type="max"/>
        <color rgb="FFF8696B"/>
        <color rgb="FFFCFCFF"/>
      </colorScale>
    </cfRule>
  </conditionalFormatting>
  <conditionalFormatting sqref="F2268">
    <cfRule type="colorScale" priority="480">
      <colorScale>
        <cfvo type="min"/>
        <cfvo type="max"/>
        <color rgb="FFF8696B"/>
        <color rgb="FFFCFCFF"/>
      </colorScale>
    </cfRule>
  </conditionalFormatting>
  <conditionalFormatting sqref="F2369:F2371">
    <cfRule type="colorScale" priority="479">
      <colorScale>
        <cfvo type="min"/>
        <cfvo type="max"/>
        <color rgb="FFF8696B"/>
        <color rgb="FFFCFCFF"/>
      </colorScale>
    </cfRule>
  </conditionalFormatting>
  <conditionalFormatting sqref="F2372">
    <cfRule type="colorScale" priority="478">
      <colorScale>
        <cfvo type="min"/>
        <cfvo type="max"/>
        <color rgb="FFF8696B"/>
        <color rgb="FFFCFCFF"/>
      </colorScale>
    </cfRule>
  </conditionalFormatting>
  <conditionalFormatting sqref="F2384">
    <cfRule type="colorScale" priority="491">
      <colorScale>
        <cfvo type="min"/>
        <cfvo type="max"/>
        <color rgb="FFF8696B"/>
        <color rgb="FFFCFCFF"/>
      </colorScale>
    </cfRule>
  </conditionalFormatting>
  <conditionalFormatting sqref="F2393">
    <cfRule type="colorScale" priority="328">
      <colorScale>
        <cfvo type="min"/>
        <cfvo type="max"/>
        <color rgb="FFF8696B"/>
        <color rgb="FFFCFCFF"/>
      </colorScale>
    </cfRule>
  </conditionalFormatting>
  <conditionalFormatting sqref="F2399">
    <cfRule type="colorScale" priority="476">
      <colorScale>
        <cfvo type="min"/>
        <cfvo type="max"/>
        <color rgb="FFF8696B"/>
        <color rgb="FFFCFCFF"/>
      </colorScale>
    </cfRule>
  </conditionalFormatting>
  <conditionalFormatting sqref="F2402:F2404">
    <cfRule type="colorScale" priority="3184">
      <colorScale>
        <cfvo type="min"/>
        <cfvo type="max"/>
        <color rgb="FFF8696B"/>
        <color rgb="FFFCFCFF"/>
      </colorScale>
    </cfRule>
  </conditionalFormatting>
  <conditionalFormatting sqref="F2405:F2413 F2400:F2401 F2219:F2239 F2242:F2255 F2261:F2267 F2373:F2383 F2269:F2368 F2385:F2392 F2394:F2398">
    <cfRule type="colorScale" priority="495">
      <colorScale>
        <cfvo type="min"/>
        <cfvo type="max"/>
        <color rgb="FFF8696B"/>
        <color rgb="FFFCFCFF"/>
      </colorScale>
    </cfRule>
  </conditionalFormatting>
  <conditionalFormatting sqref="F2424:F2425">
    <cfRule type="colorScale" priority="470">
      <colorScale>
        <cfvo type="min"/>
        <cfvo type="max"/>
        <color rgb="FFF8696B"/>
        <color rgb="FFFCFCFF"/>
      </colorScale>
    </cfRule>
  </conditionalFormatting>
  <conditionalFormatting sqref="F614:G620 F621">
    <cfRule type="colorScale" priority="381">
      <colorScale>
        <cfvo type="min"/>
        <cfvo type="max"/>
        <color rgb="FFF8696B"/>
        <color rgb="FFFCFCFF"/>
      </colorScale>
    </cfRule>
  </conditionalFormatting>
  <conditionalFormatting sqref="G12">
    <cfRule type="colorScale" priority="1813">
      <colorScale>
        <cfvo type="min"/>
        <cfvo type="max"/>
        <color rgb="FFF8696B"/>
        <color rgb="FFFCFCFF"/>
      </colorScale>
    </cfRule>
  </conditionalFormatting>
  <conditionalFormatting sqref="G13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14">
    <cfRule type="colorScale" priority="1031">
      <colorScale>
        <cfvo type="min"/>
        <cfvo type="max"/>
        <color rgb="FFF8696B"/>
        <color rgb="FFFCFCFF"/>
      </colorScale>
    </cfRule>
  </conditionalFormatting>
  <conditionalFormatting sqref="G15:G17">
    <cfRule type="colorScale" priority="429">
      <colorScale>
        <cfvo type="min"/>
        <cfvo type="max"/>
        <color rgb="FFF8696B"/>
        <color rgb="FFFCFCFF"/>
      </colorScale>
    </cfRule>
  </conditionalFormatting>
  <conditionalFormatting sqref="G30">
    <cfRule type="colorScale" priority="634">
      <colorScale>
        <cfvo type="min"/>
        <cfvo type="max"/>
        <color rgb="FFF8696B"/>
        <color rgb="FFFCFCFF"/>
      </colorScale>
    </cfRule>
  </conditionalFormatting>
  <conditionalFormatting sqref="G52">
    <cfRule type="colorScale" priority="630">
      <colorScale>
        <cfvo type="min"/>
        <cfvo type="max"/>
        <color rgb="FFF8696B"/>
        <color rgb="FFFCFCFF"/>
      </colorScale>
    </cfRule>
  </conditionalFormatting>
  <conditionalFormatting sqref="G59:G65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93:G102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191:G193 G195:G202">
    <cfRule type="colorScale" priority="417">
      <colorScale>
        <cfvo type="min"/>
        <cfvo type="max"/>
        <color rgb="FFF8696B"/>
        <color rgb="FFFCFCFF"/>
      </colorScale>
    </cfRule>
  </conditionalFormatting>
  <conditionalFormatting sqref="G194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204:G208">
    <cfRule type="colorScale" priority="3332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222:G224">
    <cfRule type="colorScale" priority="270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416">
      <colorScale>
        <cfvo type="min"/>
        <cfvo type="max"/>
        <color rgb="FFF8696B"/>
        <color rgb="FFFCFCFF"/>
      </colorScale>
    </cfRule>
  </conditionalFormatting>
  <conditionalFormatting sqref="G232">
    <cfRule type="colorScale" priority="274">
      <colorScale>
        <cfvo type="min"/>
        <cfvo type="max"/>
        <color rgb="FFF8696B"/>
        <color rgb="FFFCFCFF"/>
      </colorScale>
    </cfRule>
  </conditionalFormatting>
  <conditionalFormatting sqref="G233:G235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237">
    <cfRule type="colorScale" priority="361">
      <colorScale>
        <cfvo type="min"/>
        <cfvo type="max"/>
        <color rgb="FFF8696B"/>
        <color rgb="FFFCFCFF"/>
      </colorScale>
    </cfRule>
  </conditionalFormatting>
  <conditionalFormatting sqref="G241">
    <cfRule type="colorScale" priority="204">
      <colorScale>
        <cfvo type="min"/>
        <cfvo type="max"/>
        <color rgb="FFF8696B"/>
        <color rgb="FFFCFCFF"/>
      </colorScale>
    </cfRule>
  </conditionalFormatting>
  <conditionalFormatting sqref="G252">
    <cfRule type="colorScale" priority="165">
      <colorScale>
        <cfvo type="min"/>
        <cfvo type="max"/>
        <color rgb="FFF8696B"/>
        <color rgb="FFFCFCFF"/>
      </colorScale>
    </cfRule>
  </conditionalFormatting>
  <conditionalFormatting sqref="G253:G266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267">
    <cfRule type="colorScale" priority="180">
      <colorScale>
        <cfvo type="min"/>
        <cfvo type="max"/>
        <color rgb="FFF8696B"/>
        <color rgb="FFFCFCFF"/>
      </colorScale>
    </cfRule>
  </conditionalFormatting>
  <conditionalFormatting sqref="G268:G270">
    <cfRule type="colorScale" priority="193">
      <colorScale>
        <cfvo type="min"/>
        <cfvo type="max"/>
        <color rgb="FFF8696B"/>
        <color rgb="FFFCFCFF"/>
      </colorScale>
    </cfRule>
  </conditionalFormatting>
  <conditionalFormatting sqref="G271">
    <cfRule type="colorScale" priority="5508">
      <colorScale>
        <cfvo type="min"/>
        <cfvo type="max"/>
        <color rgb="FFF8696B"/>
        <color rgb="FFFCFCFF"/>
      </colorScale>
    </cfRule>
  </conditionalFormatting>
  <conditionalFormatting sqref="G272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273">
    <cfRule type="colorScale" priority="225">
      <colorScale>
        <cfvo type="min"/>
        <cfvo type="max"/>
        <color rgb="FFF8696B"/>
        <color rgb="FFFCFCFF"/>
      </colorScale>
    </cfRule>
  </conditionalFormatting>
  <conditionalFormatting sqref="G274:G276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277">
    <cfRule type="colorScale" priority="232">
      <colorScale>
        <cfvo type="min"/>
        <cfvo type="max"/>
        <color rgb="FFF8696B"/>
        <color rgb="FFFCFCFF"/>
      </colorScale>
    </cfRule>
  </conditionalFormatting>
  <conditionalFormatting sqref="G278:G283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290:G291">
    <cfRule type="colorScale" priority="451">
      <colorScale>
        <cfvo type="min"/>
        <cfvo type="max"/>
        <color rgb="FFF8696B"/>
        <color rgb="FFFCFCFF"/>
      </colorScale>
    </cfRule>
  </conditionalFormatting>
  <conditionalFormatting sqref="G295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296:G297">
    <cfRule type="colorScale" priority="242">
      <colorScale>
        <cfvo type="min"/>
        <cfvo type="max"/>
        <color rgb="FFF8696B"/>
        <color rgb="FFFCFCFF"/>
      </colorScale>
    </cfRule>
  </conditionalFormatting>
  <conditionalFormatting sqref="G323">
    <cfRule type="colorScale" priority="632">
      <colorScale>
        <cfvo type="min"/>
        <cfvo type="max"/>
        <color rgb="FFF8696B"/>
        <color rgb="FFFCFCFF"/>
      </colorScale>
    </cfRule>
  </conditionalFormatting>
  <conditionalFormatting sqref="G324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355">
    <cfRule type="colorScale" priority="389">
      <colorScale>
        <cfvo type="min"/>
        <cfvo type="max"/>
        <color rgb="FFF8696B"/>
        <color rgb="FFFCFCFF"/>
      </colorScale>
    </cfRule>
  </conditionalFormatting>
  <conditionalFormatting sqref="G359">
    <cfRule type="colorScale" priority="4240">
      <colorScale>
        <cfvo type="min"/>
        <cfvo type="max"/>
        <color rgb="FFF8696B"/>
        <color rgb="FFFCFCFF"/>
      </colorScale>
    </cfRule>
  </conditionalFormatting>
  <conditionalFormatting sqref="G360:G371">
    <cfRule type="colorScale" priority="4545">
      <colorScale>
        <cfvo type="min"/>
        <cfvo type="max"/>
        <color rgb="FFF8696B"/>
        <color rgb="FFFCFCFF"/>
      </colorScale>
    </cfRule>
  </conditionalFormatting>
  <conditionalFormatting sqref="G372">
    <cfRule type="colorScale" priority="195">
      <colorScale>
        <cfvo type="min"/>
        <cfvo type="max"/>
        <color rgb="FFF8696B"/>
        <color rgb="FFFCFCFF"/>
      </colorScale>
    </cfRule>
  </conditionalFormatting>
  <conditionalFormatting sqref="G373">
    <cfRule type="colorScale" priority="315">
      <colorScale>
        <cfvo type="min"/>
        <cfvo type="max"/>
        <color rgb="FFF8696B"/>
        <color rgb="FFFCFCFF"/>
      </colorScale>
    </cfRule>
  </conditionalFormatting>
  <conditionalFormatting sqref="G374:G375">
    <cfRule type="colorScale" priority="196">
      <colorScale>
        <cfvo type="min"/>
        <cfvo type="max"/>
        <color rgb="FFF8696B"/>
        <color rgb="FFFCFCFF"/>
      </colorScale>
    </cfRule>
  </conditionalFormatting>
  <conditionalFormatting sqref="G387:G392">
    <cfRule type="colorScale" priority="2076">
      <colorScale>
        <cfvo type="min"/>
        <cfvo type="max"/>
        <color rgb="FFF8696B"/>
        <color rgb="FFFCFCFF"/>
      </colorScale>
    </cfRule>
  </conditionalFormatting>
  <conditionalFormatting sqref="G393:G396">
    <cfRule type="colorScale" priority="383">
      <colorScale>
        <cfvo type="min"/>
        <cfvo type="max"/>
        <color rgb="FFF8696B"/>
        <color rgb="FFFCFCFF"/>
      </colorScale>
    </cfRule>
  </conditionalFormatting>
  <conditionalFormatting sqref="G397:G400 G356:G358 G376:G377 G405:G409 G412:G428">
    <cfRule type="colorScale" priority="4074">
      <colorScale>
        <cfvo type="min"/>
        <cfvo type="max"/>
        <color rgb="FFF8696B"/>
        <color rgb="FFFCFCFF"/>
      </colorScale>
    </cfRule>
  </conditionalFormatting>
  <conditionalFormatting sqref="G401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404">
    <cfRule type="colorScale" priority="421">
      <colorScale>
        <cfvo type="min"/>
        <cfvo type="max"/>
        <color rgb="FFF8696B"/>
        <color rgb="FFFCFCFF"/>
      </colorScale>
    </cfRule>
  </conditionalFormatting>
  <conditionalFormatting sqref="G410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429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430:G431">
    <cfRule type="colorScale" priority="244">
      <colorScale>
        <cfvo type="min"/>
        <cfvo type="max"/>
        <color rgb="FFF8696B"/>
        <color rgb="FFFCFCFF"/>
      </colorScale>
    </cfRule>
  </conditionalFormatting>
  <conditionalFormatting sqref="G432:G440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441">
    <cfRule type="colorScale" priority="222">
      <colorScale>
        <cfvo type="min"/>
        <cfvo type="max"/>
        <color rgb="FFF8696B"/>
        <color rgb="FFFCFCFF"/>
      </colorScale>
    </cfRule>
  </conditionalFormatting>
  <conditionalFormatting sqref="G442">
    <cfRule type="colorScale" priority="220">
      <colorScale>
        <cfvo type="min"/>
        <cfvo type="max"/>
        <color rgb="FFF8696B"/>
        <color rgb="FFFCFCFF"/>
      </colorScale>
    </cfRule>
  </conditionalFormatting>
  <conditionalFormatting sqref="G443:G448">
    <cfRule type="colorScale" priority="3390">
      <colorScale>
        <cfvo type="min"/>
        <cfvo type="max"/>
        <color rgb="FFF8696B"/>
        <color rgb="FFFCFCFF"/>
      </colorScale>
    </cfRule>
  </conditionalFormatting>
  <conditionalFormatting sqref="G449:G450">
    <cfRule type="colorScale" priority="294">
      <colorScale>
        <cfvo type="min"/>
        <cfvo type="max"/>
        <color rgb="FFF8696B"/>
        <color rgb="FFFCFCFF"/>
      </colorScale>
    </cfRule>
  </conditionalFormatting>
  <conditionalFormatting sqref="G451:G456">
    <cfRule type="colorScale" priority="3652">
      <colorScale>
        <cfvo type="min"/>
        <cfvo type="max"/>
        <color rgb="FFF8696B"/>
        <color rgb="FFFCFCFF"/>
      </colorScale>
    </cfRule>
  </conditionalFormatting>
  <conditionalFormatting sqref="G457">
    <cfRule type="colorScale" priority="179">
      <colorScale>
        <cfvo type="min"/>
        <cfvo type="max"/>
        <color rgb="FFF8696B"/>
        <color rgb="FFFCFCFF"/>
      </colorScale>
    </cfRule>
  </conditionalFormatting>
  <conditionalFormatting sqref="G458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459">
    <cfRule type="colorScale" priority="177">
      <colorScale>
        <cfvo type="min"/>
        <cfvo type="max"/>
        <color rgb="FFF8696B"/>
        <color rgb="FFFCFCFF"/>
      </colorScale>
    </cfRule>
  </conditionalFormatting>
  <conditionalFormatting sqref="G460">
    <cfRule type="colorScale" priority="176">
      <colorScale>
        <cfvo type="min"/>
        <cfvo type="max"/>
        <color rgb="FFF8696B"/>
        <color rgb="FFFCFCFF"/>
      </colorScale>
    </cfRule>
  </conditionalFormatting>
  <conditionalFormatting sqref="G461">
    <cfRule type="colorScale" priority="175">
      <colorScale>
        <cfvo type="min"/>
        <cfvo type="max"/>
        <color rgb="FFF8696B"/>
        <color rgb="FFFCFCFF"/>
      </colorScale>
    </cfRule>
  </conditionalFormatting>
  <conditionalFormatting sqref="G462">
    <cfRule type="colorScale" priority="174">
      <colorScale>
        <cfvo type="min"/>
        <cfvo type="max"/>
        <color rgb="FFF8696B"/>
        <color rgb="FFFCFCFF"/>
      </colorScale>
    </cfRule>
  </conditionalFormatting>
  <conditionalFormatting sqref="G463">
    <cfRule type="colorScale" priority="173">
      <colorScale>
        <cfvo type="min"/>
        <cfvo type="max"/>
        <color rgb="FFF8696B"/>
        <color rgb="FFFCFCFF"/>
      </colorScale>
    </cfRule>
  </conditionalFormatting>
  <conditionalFormatting sqref="G464">
    <cfRule type="colorScale" priority="172">
      <colorScale>
        <cfvo type="min"/>
        <cfvo type="max"/>
        <color rgb="FFF8696B"/>
        <color rgb="FFFCFCFF"/>
      </colorScale>
    </cfRule>
  </conditionalFormatting>
  <conditionalFormatting sqref="G465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466">
    <cfRule type="colorScale" priority="4480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169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168">
      <colorScale>
        <cfvo type="min"/>
        <cfvo type="max"/>
        <color rgb="FFF8696B"/>
        <color rgb="FFFCFCFF"/>
      </colorScale>
    </cfRule>
  </conditionalFormatting>
  <conditionalFormatting sqref="G469">
    <cfRule type="colorScale" priority="167">
      <colorScale>
        <cfvo type="min"/>
        <cfvo type="max"/>
        <color rgb="FFF8696B"/>
        <color rgb="FFFCFCFF"/>
      </colorScale>
    </cfRule>
  </conditionalFormatting>
  <conditionalFormatting sqref="G470:G473">
    <cfRule type="colorScale" priority="4656">
      <colorScale>
        <cfvo type="min"/>
        <cfvo type="max"/>
        <color rgb="FFF8696B"/>
        <color rgb="FFFCFCFF"/>
      </colorScale>
    </cfRule>
  </conditionalFormatting>
  <conditionalFormatting sqref="G474:G475 G478:G483">
    <cfRule type="colorScale" priority="2599">
      <colorScale>
        <cfvo type="min"/>
        <cfvo type="max"/>
        <color rgb="FFF8696B"/>
        <color rgb="FFFCFCFF"/>
      </colorScale>
    </cfRule>
  </conditionalFormatting>
  <conditionalFormatting sqref="G476">
    <cfRule type="colorScale" priority="314">
      <colorScale>
        <cfvo type="min"/>
        <cfvo type="max"/>
        <color rgb="FFF8696B"/>
        <color rgb="FFFCFCFF"/>
      </colorScale>
    </cfRule>
  </conditionalFormatting>
  <conditionalFormatting sqref="G477">
    <cfRule type="colorScale" priority="313">
      <colorScale>
        <cfvo type="min"/>
        <cfvo type="max"/>
        <color rgb="FFF8696B"/>
        <color rgb="FFFCFCFF"/>
      </colorScale>
    </cfRule>
  </conditionalFormatting>
  <conditionalFormatting sqref="G486">
    <cfRule type="colorScale" priority="419">
      <colorScale>
        <cfvo type="min"/>
        <cfvo type="max"/>
        <color rgb="FFF8696B"/>
        <color rgb="FFFCFCFF"/>
      </colorScale>
    </cfRule>
  </conditionalFormatting>
  <conditionalFormatting sqref="G487">
    <cfRule type="colorScale" priority="312">
      <colorScale>
        <cfvo type="min"/>
        <cfvo type="max"/>
        <color rgb="FFF8696B"/>
        <color rgb="FFFCFCFF"/>
      </colorScale>
    </cfRule>
  </conditionalFormatting>
  <conditionalFormatting sqref="G488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490:G494">
    <cfRule type="colorScale" priority="4014">
      <colorScale>
        <cfvo type="min"/>
        <cfvo type="max"/>
        <color rgb="FFF8696B"/>
        <color rgb="FFFCFCFF"/>
      </colorScale>
    </cfRule>
  </conditionalFormatting>
  <conditionalFormatting sqref="G495:G502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524:G526 G531:G535">
    <cfRule type="colorScale" priority="6681">
      <colorScale>
        <cfvo type="min"/>
        <cfvo type="max"/>
        <color rgb="FFF8696B"/>
        <color rgb="FFFCFCFF"/>
      </colorScale>
    </cfRule>
  </conditionalFormatting>
  <conditionalFormatting sqref="G527">
    <cfRule type="colorScale" priority="311">
      <colorScale>
        <cfvo type="min"/>
        <cfvo type="max"/>
        <color rgb="FFF8696B"/>
        <color rgb="FFFCFCFF"/>
      </colorScale>
    </cfRule>
  </conditionalFormatting>
  <conditionalFormatting sqref="G536">
    <cfRule type="colorScale" priority="611">
      <colorScale>
        <cfvo type="min"/>
        <cfvo type="max"/>
        <color rgb="FFF8696B"/>
        <color rgb="FFFCFCFF"/>
      </colorScale>
    </cfRule>
  </conditionalFormatting>
  <conditionalFormatting sqref="G537:G539">
    <cfRule type="colorScale" priority="2218">
      <colorScale>
        <cfvo type="min"/>
        <cfvo type="max"/>
        <color rgb="FFF8696B"/>
        <color rgb="FFFCFCFF"/>
      </colorScale>
    </cfRule>
  </conditionalFormatting>
  <conditionalFormatting sqref="G540:G544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555:G559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560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563:G568">
    <cfRule type="colorScale" priority="428">
      <colorScale>
        <cfvo type="min"/>
        <cfvo type="max"/>
        <color rgb="FFF8696B"/>
        <color rgb="FFFCFCFF"/>
      </colorScale>
    </cfRule>
  </conditionalFormatting>
  <conditionalFormatting sqref="G569:G570">
    <cfRule type="colorScale" priority="427">
      <colorScale>
        <cfvo type="min"/>
        <cfvo type="max"/>
        <color rgb="FFF8696B"/>
        <color rgb="FFFCFCFF"/>
      </colorScale>
    </cfRule>
  </conditionalFormatting>
  <conditionalFormatting sqref="G571">
    <cfRule type="colorScale" priority="310">
      <colorScale>
        <cfvo type="min"/>
        <cfvo type="max"/>
        <color rgb="FFF8696B"/>
        <color rgb="FFFCFCFF"/>
      </colorScale>
    </cfRule>
  </conditionalFormatting>
  <conditionalFormatting sqref="G572">
    <cfRule type="colorScale" priority="309">
      <colorScale>
        <cfvo type="min"/>
        <cfvo type="max"/>
        <color rgb="FFF8696B"/>
        <color rgb="FFFCFCFF"/>
      </colorScale>
    </cfRule>
  </conditionalFormatting>
  <conditionalFormatting sqref="G573:G576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577">
    <cfRule type="colorScale" priority="384">
      <colorScale>
        <cfvo type="min"/>
        <cfvo type="max"/>
        <color rgb="FFF8696B"/>
        <color rgb="FFFCFCFF"/>
      </colorScale>
    </cfRule>
  </conditionalFormatting>
  <conditionalFormatting sqref="G578 G582">
    <cfRule type="colorScale" priority="610">
      <colorScale>
        <cfvo type="min"/>
        <cfvo type="max"/>
        <color rgb="FFF8696B"/>
        <color rgb="FFFCFCFF"/>
      </colorScale>
    </cfRule>
  </conditionalFormatting>
  <conditionalFormatting sqref="G579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580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581">
    <cfRule type="colorScale" priority="393">
      <colorScale>
        <cfvo type="min"/>
        <cfvo type="max"/>
        <color rgb="FFF8696B"/>
        <color rgb="FFFCFCFF"/>
      </colorScale>
    </cfRule>
  </conditionalFormatting>
  <conditionalFormatting sqref="G583:G584 G687 G10 G411 G676:G677 G589:G592 G622:G623 G545:G554 G561:G562 G626 G402:G403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308">
      <colorScale>
        <cfvo type="min"/>
        <cfvo type="max"/>
        <color rgb="FFF8696B"/>
        <color rgb="FFFCFCFF"/>
      </colorScale>
    </cfRule>
  </conditionalFormatting>
  <conditionalFormatting sqref="G586:G587">
    <cfRule type="colorScale" priority="423">
      <colorScale>
        <cfvo type="min"/>
        <cfvo type="max"/>
        <color rgb="FFF8696B"/>
        <color rgb="FFFCFCFF"/>
      </colorScale>
    </cfRule>
  </conditionalFormatting>
  <conditionalFormatting sqref="G588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624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627">
    <cfRule type="colorScale" priority="1362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2167">
      <colorScale>
        <cfvo type="min"/>
        <cfvo type="max"/>
        <color rgb="FFF8696B"/>
        <color rgb="FFFCFCFF"/>
      </colorScale>
    </cfRule>
  </conditionalFormatting>
  <conditionalFormatting sqref="G640">
    <cfRule type="colorScale" priority="299">
      <colorScale>
        <cfvo type="min"/>
        <cfvo type="max"/>
        <color rgb="FFF8696B"/>
        <color rgb="FFFCFCFF"/>
      </colorScale>
    </cfRule>
  </conditionalFormatting>
  <conditionalFormatting sqref="G641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642:G643">
    <cfRule type="colorScale" priority="405">
      <colorScale>
        <cfvo type="min"/>
        <cfvo type="max"/>
        <color rgb="FFF8696B"/>
        <color rgb="FFFCFCFF"/>
      </colorScale>
    </cfRule>
  </conditionalFormatting>
  <conditionalFormatting sqref="G645:G646">
    <cfRule type="colorScale" priority="373">
      <colorScale>
        <cfvo type="min"/>
        <cfvo type="max"/>
        <color rgb="FFF8696B"/>
        <color rgb="FFFCFCFF"/>
      </colorScale>
    </cfRule>
  </conditionalFormatting>
  <conditionalFormatting sqref="G647:G656">
    <cfRule type="colorScale" priority="2425">
      <colorScale>
        <cfvo type="min"/>
        <cfvo type="max"/>
        <color rgb="FFF8696B"/>
        <color rgb="FFFCFCFF"/>
      </colorScale>
    </cfRule>
  </conditionalFormatting>
  <conditionalFormatting sqref="G657:G659">
    <cfRule type="colorScale" priority="455">
      <colorScale>
        <cfvo type="min"/>
        <cfvo type="max"/>
        <color rgb="FFF8696B"/>
        <color rgb="FFFCFCFF"/>
      </colorScale>
    </cfRule>
  </conditionalFormatting>
  <conditionalFormatting sqref="G660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661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662:G663">
    <cfRule type="colorScale" priority="1203">
      <colorScale>
        <cfvo type="min"/>
        <cfvo type="max"/>
        <color rgb="FFF8696B"/>
        <color rgb="FFFCFCFF"/>
      </colorScale>
    </cfRule>
  </conditionalFormatting>
  <conditionalFormatting sqref="G664:G669">
    <cfRule type="colorScale" priority="426">
      <colorScale>
        <cfvo type="min"/>
        <cfvo type="max"/>
        <color rgb="FFF8696B"/>
        <color rgb="FFFCFCFF"/>
      </colorScale>
    </cfRule>
  </conditionalFormatting>
  <conditionalFormatting sqref="G670">
    <cfRule type="colorScale" priority="391">
      <colorScale>
        <cfvo type="min"/>
        <cfvo type="max"/>
        <color rgb="FFF8696B"/>
        <color rgb="FFFCFCFF"/>
      </colorScale>
    </cfRule>
  </conditionalFormatting>
  <conditionalFormatting sqref="G672">
    <cfRule type="colorScale" priority="425">
      <colorScale>
        <cfvo type="min"/>
        <cfvo type="max"/>
        <color rgb="FFF8696B"/>
        <color rgb="FFFCFCFF"/>
      </colorScale>
    </cfRule>
  </conditionalFormatting>
  <conditionalFormatting sqref="G673">
    <cfRule type="colorScale" priority="5590">
      <colorScale>
        <cfvo type="min"/>
        <cfvo type="max"/>
        <color rgb="FFF8696B"/>
        <color rgb="FFFCFCFF"/>
      </colorScale>
    </cfRule>
  </conditionalFormatting>
  <conditionalFormatting sqref="G674:G675">
    <cfRule type="colorScale" priority="390">
      <colorScale>
        <cfvo type="min"/>
        <cfvo type="max"/>
        <color rgb="FFF8696B"/>
        <color rgb="FFFCFCFF"/>
      </colorScale>
    </cfRule>
  </conditionalFormatting>
  <conditionalFormatting sqref="G678:G681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682:G685">
    <cfRule type="colorScale" priority="1083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688:G690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691">
    <cfRule type="colorScale" priority="307">
      <colorScale>
        <cfvo type="min"/>
        <cfvo type="max"/>
        <color rgb="FFF8696B"/>
        <color rgb="FFFCFCFF"/>
      </colorScale>
    </cfRule>
  </conditionalFormatting>
  <conditionalFormatting sqref="G692:G694 G697">
    <cfRule type="colorScale" priority="4174">
      <colorScale>
        <cfvo type="min"/>
        <cfvo type="max"/>
        <color rgb="FFF8696B"/>
        <color rgb="FFFCFCFF"/>
      </colorScale>
    </cfRule>
  </conditionalFormatting>
  <conditionalFormatting sqref="G695">
    <cfRule type="colorScale" priority="2303">
      <colorScale>
        <cfvo type="min"/>
        <cfvo type="max"/>
        <color rgb="FFF8696B"/>
        <color rgb="FFFCFCFF"/>
      </colorScale>
    </cfRule>
  </conditionalFormatting>
  <conditionalFormatting sqref="G696">
    <cfRule type="colorScale" priority="181">
      <colorScale>
        <cfvo type="min"/>
        <cfvo type="max"/>
        <color rgb="FFF8696B"/>
        <color rgb="FFFCFCFF"/>
      </colorScale>
    </cfRule>
    <cfRule type="colorScale" priority="182">
      <colorScale>
        <cfvo type="min"/>
        <cfvo type="max"/>
        <color rgb="FFF8696B"/>
        <color rgb="FFFCFCFF"/>
      </colorScale>
    </cfRule>
  </conditionalFormatting>
  <conditionalFormatting sqref="G698:G700">
    <cfRule type="colorScale" priority="215">
      <colorScale>
        <cfvo type="min"/>
        <cfvo type="max"/>
        <color rgb="FFF8696B"/>
        <color rgb="FFFCFCFF"/>
      </colorScale>
    </cfRule>
    <cfRule type="colorScale" priority="216">
      <colorScale>
        <cfvo type="min"/>
        <cfvo type="max"/>
        <color rgb="FFF8696B"/>
        <color rgb="FFFCFCFF"/>
      </colorScale>
    </cfRule>
  </conditionalFormatting>
  <conditionalFormatting sqref="G701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708">
    <cfRule type="colorScale" priority="214">
      <colorScale>
        <cfvo type="min"/>
        <cfvo type="max"/>
        <color rgb="FFF8696B"/>
        <color rgb="FFFCFCFF"/>
      </colorScale>
    </cfRule>
  </conditionalFormatting>
  <conditionalFormatting sqref="G711:G712 G707">
    <cfRule type="colorScale" priority="360">
      <colorScale>
        <cfvo type="min"/>
        <cfvo type="max"/>
        <color rgb="FFF8696B"/>
        <color rgb="FFFCFCFF"/>
      </colorScale>
    </cfRule>
  </conditionalFormatting>
  <conditionalFormatting sqref="G714:G716">
    <cfRule type="colorScale" priority="4774">
      <colorScale>
        <cfvo type="min"/>
        <cfvo type="max"/>
        <color rgb="FFF8696B"/>
        <color rgb="FFFCFCFF"/>
      </colorScale>
    </cfRule>
  </conditionalFormatting>
  <conditionalFormatting sqref="G717:G720">
    <cfRule type="colorScale" priority="162">
      <colorScale>
        <cfvo type="min"/>
        <cfvo type="max"/>
        <color rgb="FFF8696B"/>
        <color rgb="FFFCFCFF"/>
      </colorScale>
    </cfRule>
  </conditionalFormatting>
  <conditionalFormatting sqref="G726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727">
    <cfRule type="colorScale" priority="4914">
      <colorScale>
        <cfvo type="min"/>
        <cfvo type="max"/>
        <color rgb="FFF8696B"/>
        <color rgb="FFFCFCFF"/>
      </colorScale>
    </cfRule>
  </conditionalFormatting>
  <conditionalFormatting sqref="G737">
    <cfRule type="colorScale" priority="157">
      <colorScale>
        <cfvo type="min"/>
        <cfvo type="max"/>
        <color rgb="FFF8696B"/>
        <color rgb="FFFCFCFF"/>
      </colorScale>
    </cfRule>
  </conditionalFormatting>
  <conditionalFormatting sqref="G741:G742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744">
    <cfRule type="colorScale" priority="604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212">
      <colorScale>
        <cfvo type="min"/>
        <cfvo type="max"/>
        <color rgb="FFF8696B"/>
        <color rgb="FFFCFCFF"/>
      </colorScale>
    </cfRule>
  </conditionalFormatting>
  <conditionalFormatting sqref="G774:G780 G785:G795">
    <cfRule type="colorScale" priority="6043">
      <colorScale>
        <cfvo type="min"/>
        <cfvo type="max"/>
        <color rgb="FFF8696B"/>
        <color rgb="FFFCFCFF"/>
      </colorScale>
    </cfRule>
  </conditionalFormatting>
  <conditionalFormatting sqref="G781:G782">
    <cfRule type="colorScale" priority="5258">
      <colorScale>
        <cfvo type="min"/>
        <cfvo type="max"/>
        <color rgb="FFF8696B"/>
        <color rgb="FFFCFCFF"/>
      </colorScale>
    </cfRule>
  </conditionalFormatting>
  <conditionalFormatting sqref="G783:G784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796">
    <cfRule type="colorScale" priority="229">
      <colorScale>
        <cfvo type="min"/>
        <cfvo type="max"/>
        <color rgb="FFF8696B"/>
        <color rgb="FFFCFCFF"/>
      </colorScale>
    </cfRule>
  </conditionalFormatting>
  <conditionalFormatting sqref="G798:G801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802:G803">
    <cfRule type="colorScale" priority="5347">
      <colorScale>
        <cfvo type="min"/>
        <cfvo type="max"/>
        <color rgb="FFF8696B"/>
        <color rgb="FFFCFCFF"/>
      </colorScale>
    </cfRule>
  </conditionalFormatting>
  <conditionalFormatting sqref="G797 G804">
    <cfRule type="colorScale" priority="5686">
      <colorScale>
        <cfvo type="min"/>
        <cfvo type="max"/>
        <color rgb="FFF8696B"/>
        <color rgb="FFFCFCFF"/>
      </colorScale>
    </cfRule>
  </conditionalFormatting>
  <conditionalFormatting sqref="G820:G833">
    <cfRule type="colorScale" priority="116">
      <colorScale>
        <cfvo type="min"/>
        <cfvo type="max"/>
        <color rgb="FFF8696B"/>
        <color rgb="FFFCFCFF"/>
      </colorScale>
    </cfRule>
  </conditionalFormatting>
  <conditionalFormatting sqref="G859:G860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887:G888">
    <cfRule type="colorScale" priority="147">
      <colorScale>
        <cfvo type="min"/>
        <cfvo type="max"/>
        <color rgb="FFF8696B"/>
        <color rgb="FFFCFCFF"/>
      </colorScale>
    </cfRule>
  </conditionalFormatting>
  <conditionalFormatting sqref="G890:G894">
    <cfRule type="colorScale" priority="6785">
      <colorScale>
        <cfvo type="min"/>
        <cfvo type="max"/>
        <color rgb="FFF8696B"/>
        <color rgb="FFFCFCFF"/>
      </colorScale>
    </cfRule>
  </conditionalFormatting>
  <conditionalFormatting sqref="G895">
    <cfRule type="colorScale" priority="149">
      <colorScale>
        <cfvo type="min"/>
        <cfvo type="max"/>
        <color rgb="FFF8696B"/>
        <color rgb="FFFCFCFF"/>
      </colorScale>
    </cfRule>
  </conditionalFormatting>
  <conditionalFormatting sqref="G896">
    <cfRule type="colorScale" priority="61">
      <colorScale>
        <cfvo type="min"/>
        <cfvo type="max"/>
        <color rgb="FFF8696B"/>
        <color rgb="FFFCFCFF"/>
      </colorScale>
    </cfRule>
  </conditionalFormatting>
  <conditionalFormatting sqref="G897:G906">
    <cfRule type="colorScale" priority="5745">
      <colorScale>
        <cfvo type="min"/>
        <cfvo type="max"/>
        <color rgb="FFF8696B"/>
        <color rgb="FFFCFCFF"/>
      </colorScale>
    </cfRule>
  </conditionalFormatting>
  <conditionalFormatting sqref="G909:G910">
    <cfRule type="colorScale" priority="304">
      <colorScale>
        <cfvo type="min"/>
        <cfvo type="max"/>
        <color rgb="FFF8696B"/>
        <color rgb="FFFCFCFF"/>
      </colorScale>
    </cfRule>
  </conditionalFormatting>
  <conditionalFormatting sqref="G912">
    <cfRule type="colorScale" priority="151">
      <colorScale>
        <cfvo type="min"/>
        <cfvo type="max"/>
        <color rgb="FFF8696B"/>
        <color rgb="FFFCFCFF"/>
      </colorScale>
    </cfRule>
  </conditionalFormatting>
  <conditionalFormatting sqref="G964">
    <cfRule type="colorScale" priority="127">
      <colorScale>
        <cfvo type="min"/>
        <cfvo type="max"/>
        <color rgb="FFF8696B"/>
        <color rgb="FFFCFCFF"/>
      </colorScale>
    </cfRule>
  </conditionalFormatting>
  <conditionalFormatting sqref="G965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966:G967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968">
    <cfRule type="colorScale" priority="34">
      <colorScale>
        <cfvo type="min"/>
        <cfvo type="max"/>
        <color rgb="FFF8696B"/>
        <color rgb="FFFCFCFF"/>
      </colorScale>
    </cfRule>
  </conditionalFormatting>
  <conditionalFormatting sqref="G969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970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971">
    <cfRule type="colorScale" priority="278">
      <colorScale>
        <cfvo type="min"/>
        <cfvo type="max"/>
        <color rgb="FFF8696B"/>
        <color rgb="FFFCFCFF"/>
      </colorScale>
    </cfRule>
  </conditionalFormatting>
  <conditionalFormatting sqref="G981:G983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985:G987">
    <cfRule type="colorScale" priority="108">
      <colorScale>
        <cfvo type="min"/>
        <cfvo type="max"/>
        <color rgb="FFF8696B"/>
        <color rgb="FFFCFCFF"/>
      </colorScale>
    </cfRule>
  </conditionalFormatting>
  <conditionalFormatting sqref="G993:G995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997">
    <cfRule type="colorScale" priority="6001">
      <colorScale>
        <cfvo type="min"/>
        <cfvo type="max"/>
        <color rgb="FFF8696B"/>
        <color rgb="FFFCFCFF"/>
      </colorScale>
    </cfRule>
  </conditionalFormatting>
  <conditionalFormatting sqref="G998:G999">
    <cfRule type="colorScale" priority="95">
      <colorScale>
        <cfvo type="min"/>
        <cfvo type="max"/>
        <color rgb="FFF8696B"/>
        <color rgb="FFFCFCFF"/>
      </colorScale>
    </cfRule>
  </conditionalFormatting>
  <conditionalFormatting sqref="G1006:G1008">
    <cfRule type="colorScale" priority="160">
      <colorScale>
        <cfvo type="min"/>
        <cfvo type="max"/>
        <color rgb="FFF8696B"/>
        <color rgb="FFFCFCFF"/>
      </colorScale>
    </cfRule>
  </conditionalFormatting>
  <conditionalFormatting sqref="G1009">
    <cfRule type="colorScale" priority="161">
      <colorScale>
        <cfvo type="min"/>
        <cfvo type="max"/>
        <color rgb="FFF8696B"/>
        <color rgb="FFFCFCFF"/>
      </colorScale>
    </cfRule>
  </conditionalFormatting>
  <conditionalFormatting sqref="G1061:G1064">
    <cfRule type="colorScale" priority="138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136">
      <colorScale>
        <cfvo type="min"/>
        <cfvo type="max"/>
        <color rgb="FFF8696B"/>
        <color rgb="FFFCFCFF"/>
      </colorScale>
    </cfRule>
  </conditionalFormatting>
  <conditionalFormatting sqref="G1068">
    <cfRule type="colorScale" priority="134">
      <colorScale>
        <cfvo type="min"/>
        <cfvo type="max"/>
        <color rgb="FFF8696B"/>
        <color rgb="FFFCFCFF"/>
      </colorScale>
    </cfRule>
  </conditionalFormatting>
  <conditionalFormatting sqref="G1069">
    <cfRule type="colorScale" priority="135">
      <colorScale>
        <cfvo type="min"/>
        <cfvo type="max"/>
        <color rgb="FFF8696B"/>
        <color rgb="FFFCFCFF"/>
      </colorScale>
    </cfRule>
  </conditionalFormatting>
  <conditionalFormatting sqref="G1070">
    <cfRule type="colorScale" priority="2745">
      <colorScale>
        <cfvo type="min"/>
        <cfvo type="max"/>
        <color rgb="FFF8696B"/>
        <color rgb="FFFCFCFF"/>
      </colorScale>
    </cfRule>
  </conditionalFormatting>
  <conditionalFormatting sqref="G1108">
    <cfRule type="colorScale" priority="145">
      <colorScale>
        <cfvo type="min"/>
        <cfvo type="max"/>
        <color rgb="FFF8696B"/>
        <color rgb="FFFCFCFF"/>
      </colorScale>
    </cfRule>
  </conditionalFormatting>
  <conditionalFormatting sqref="G1109">
    <cfRule type="colorScale" priority="143">
      <colorScale>
        <cfvo type="min"/>
        <cfvo type="max"/>
        <color rgb="FFF8696B"/>
        <color rgb="FFFCFCFF"/>
      </colorScale>
    </cfRule>
  </conditionalFormatting>
  <conditionalFormatting sqref="G1110:G1114">
    <cfRule type="colorScale" priority="6521">
      <colorScale>
        <cfvo type="min"/>
        <cfvo type="max"/>
        <color rgb="FFF8696B"/>
        <color rgb="FFFCFCFF"/>
      </colorScale>
    </cfRule>
  </conditionalFormatting>
  <conditionalFormatting sqref="G1116:G1117">
    <cfRule type="colorScale" priority="6852">
      <colorScale>
        <cfvo type="min"/>
        <cfvo type="max"/>
        <color rgb="FFF8696B"/>
        <color rgb="FFFCFCFF"/>
      </colorScale>
    </cfRule>
  </conditionalFormatting>
  <conditionalFormatting sqref="G1115 G1118">
    <cfRule type="colorScale" priority="76">
      <colorScale>
        <cfvo type="min"/>
        <cfvo type="max"/>
        <color rgb="FFF8696B"/>
        <color rgb="FFFCFCFF"/>
      </colorScale>
    </cfRule>
  </conditionalFormatting>
  <conditionalFormatting sqref="G1119">
    <cfRule type="colorScale" priority="67">
      <colorScale>
        <cfvo type="min"/>
        <cfvo type="max"/>
        <color rgb="FFF8696B"/>
        <color rgb="FFFCFCFF"/>
      </colorScale>
    </cfRule>
  </conditionalFormatting>
  <conditionalFormatting sqref="G1120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1150:G1151">
    <cfRule type="colorScale" priority="352">
      <colorScale>
        <cfvo type="min"/>
        <cfvo type="max"/>
        <color rgb="FFF8696B"/>
        <color rgb="FFFCFCFF"/>
      </colorScale>
    </cfRule>
  </conditionalFormatting>
  <conditionalFormatting sqref="G1152:G1154">
    <cfRule type="colorScale" priority="269">
      <colorScale>
        <cfvo type="min"/>
        <cfvo type="max"/>
        <color rgb="FFF8696B"/>
        <color rgb="FFFCFCFF"/>
      </colorScale>
    </cfRule>
  </conditionalFormatting>
  <conditionalFormatting sqref="G1155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1162">
    <cfRule type="colorScale" priority="72">
      <colorScale>
        <cfvo type="min"/>
        <cfvo type="max"/>
        <color rgb="FFF8696B"/>
        <color rgb="FFFCFCFF"/>
      </colorScale>
    </cfRule>
  </conditionalFormatting>
  <conditionalFormatting sqref="G1163:G1165">
    <cfRule type="colorScale" priority="6343">
      <colorScale>
        <cfvo type="min"/>
        <cfvo type="max"/>
        <color rgb="FFF8696B"/>
        <color rgb="FFFCFCFF"/>
      </colorScale>
    </cfRule>
  </conditionalFormatting>
  <conditionalFormatting sqref="G1166:G1173">
    <cfRule type="colorScale" priority="70">
      <colorScale>
        <cfvo type="min"/>
        <cfvo type="max"/>
        <color rgb="FFF8696B"/>
        <color rgb="FFFCFCFF"/>
      </colorScale>
    </cfRule>
  </conditionalFormatting>
  <conditionalFormatting sqref="G1175">
    <cfRule type="colorScale" priority="64">
      <colorScale>
        <cfvo type="min"/>
        <cfvo type="max"/>
        <color rgb="FFF8696B"/>
        <color rgb="FFFCFCFF"/>
      </colorScale>
    </cfRule>
  </conditionalFormatting>
  <conditionalFormatting sqref="G1176:G1177 G1212">
    <cfRule type="colorScale" priority="276">
      <colorScale>
        <cfvo type="min"/>
        <cfvo type="max"/>
        <color rgb="FFF8696B"/>
        <color rgb="FFFCFCFF"/>
      </colorScale>
    </cfRule>
  </conditionalFormatting>
  <conditionalFormatting sqref="G1178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1180:G1181">
    <cfRule type="colorScale" priority="92">
      <colorScale>
        <cfvo type="min"/>
        <cfvo type="max"/>
        <color rgb="FFF8696B"/>
        <color rgb="FFFCFCFF"/>
      </colorScale>
    </cfRule>
  </conditionalFormatting>
  <conditionalFormatting sqref="G1182:G1190 G1179">
    <cfRule type="colorScale" priority="5961">
      <colorScale>
        <cfvo type="min"/>
        <cfvo type="max"/>
        <color rgb="FFF8696B"/>
        <color rgb="FFFCFCFF"/>
      </colorScale>
    </cfRule>
  </conditionalFormatting>
  <conditionalFormatting sqref="G1191:G1192 G1197:G1200">
    <cfRule type="colorScale" priority="6121">
      <colorScale>
        <cfvo type="min"/>
        <cfvo type="max"/>
        <color rgb="FFF8696B"/>
        <color rgb="FFFCFCFF"/>
      </colorScale>
    </cfRule>
  </conditionalFormatting>
  <conditionalFormatting sqref="G1193">
    <cfRule type="colorScale" priority="86">
      <colorScale>
        <cfvo type="min"/>
        <cfvo type="max"/>
        <color rgb="FFF8696B"/>
        <color rgb="FFFCFCFF"/>
      </colorScale>
    </cfRule>
  </conditionalFormatting>
  <conditionalFormatting sqref="G1194">
    <cfRule type="colorScale" priority="85">
      <colorScale>
        <cfvo type="min"/>
        <cfvo type="max"/>
        <color rgb="FFF8696B"/>
        <color rgb="FFFCFCFF"/>
      </colorScale>
    </cfRule>
  </conditionalFormatting>
  <conditionalFormatting sqref="G1195">
    <cfRule type="colorScale" priority="84">
      <colorScale>
        <cfvo type="min"/>
        <cfvo type="max"/>
        <color rgb="FFF8696B"/>
        <color rgb="FFFCFCFF"/>
      </colorScale>
    </cfRule>
  </conditionalFormatting>
  <conditionalFormatting sqref="G1196">
    <cfRule type="colorScale" priority="83">
      <colorScale>
        <cfvo type="min"/>
        <cfvo type="max"/>
        <color rgb="FFF8696B"/>
        <color rgb="FFFCFCFF"/>
      </colorScale>
    </cfRule>
  </conditionalFormatting>
  <conditionalFormatting sqref="G1202">
    <cfRule type="colorScale" priority="6248">
      <colorScale>
        <cfvo type="min"/>
        <cfvo type="max"/>
        <color rgb="FFF8696B"/>
        <color rgb="FFFCFCFF"/>
      </colorScale>
    </cfRule>
  </conditionalFormatting>
  <conditionalFormatting sqref="G1203:G1204">
    <cfRule type="colorScale" priority="79">
      <colorScale>
        <cfvo type="min"/>
        <cfvo type="max"/>
        <color rgb="FFF8696B"/>
        <color rgb="FFFCFCFF"/>
      </colorScale>
    </cfRule>
  </conditionalFormatting>
  <conditionalFormatting sqref="G1205:G1211">
    <cfRule type="colorScale" priority="78">
      <colorScale>
        <cfvo type="min"/>
        <cfvo type="max"/>
        <color rgb="FFF8696B"/>
        <color rgb="FFFCFCFF"/>
      </colorScale>
    </cfRule>
  </conditionalFormatting>
  <conditionalFormatting sqref="G1215:G1220">
    <cfRule type="colorScale" priority="228">
      <colorScale>
        <cfvo type="min"/>
        <cfvo type="max"/>
        <color rgb="FFF8696B"/>
        <color rgb="FFFCFCFF"/>
      </colorScale>
    </cfRule>
  </conditionalFormatting>
  <conditionalFormatting sqref="G1221:G1222">
    <cfRule type="colorScale" priority="152">
      <colorScale>
        <cfvo type="min"/>
        <cfvo type="max"/>
        <color rgb="FFF8696B"/>
        <color rgb="FFFCFCFF"/>
      </colorScale>
    </cfRule>
  </conditionalFormatting>
  <conditionalFormatting sqref="G1230:G1231">
    <cfRule type="colorScale" priority="141">
      <colorScale>
        <cfvo type="min"/>
        <cfvo type="max"/>
        <color rgb="FFF8696B"/>
        <color rgb="FFFCFCFF"/>
      </colorScale>
    </cfRule>
  </conditionalFormatting>
  <conditionalFormatting sqref="G1232:G1238">
    <cfRule type="colorScale" priority="140">
      <colorScale>
        <cfvo type="min"/>
        <cfvo type="max"/>
        <color rgb="FFF8696B"/>
        <color rgb="FFFCFCFF"/>
      </colorScale>
    </cfRule>
  </conditionalFormatting>
  <conditionalFormatting sqref="G1241">
    <cfRule type="colorScale" priority="4951">
      <colorScale>
        <cfvo type="min"/>
        <cfvo type="max"/>
        <color rgb="FFF8696B"/>
        <color rgb="FFFCFCFF"/>
      </colorScale>
    </cfRule>
  </conditionalFormatting>
  <conditionalFormatting sqref="G1255">
    <cfRule type="colorScale" priority="6563">
      <colorScale>
        <cfvo type="min"/>
        <cfvo type="max"/>
        <color rgb="FFF8696B"/>
        <color rgb="FFFCFCFF"/>
      </colorScale>
    </cfRule>
  </conditionalFormatting>
  <conditionalFormatting sqref="G1256:G1271">
    <cfRule type="colorScale" priority="6457">
      <colorScale>
        <cfvo type="min"/>
        <cfvo type="max"/>
        <color rgb="FFF8696B"/>
        <color rgb="FFFCFCFF"/>
      </colorScale>
    </cfRule>
  </conditionalFormatting>
  <conditionalFormatting sqref="G1292:G1304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1341">
    <cfRule type="colorScale" priority="129">
      <colorScale>
        <cfvo type="min"/>
        <cfvo type="max"/>
        <color rgb="FFF8696B"/>
        <color rgb="FFFCFCFF"/>
      </colorScale>
    </cfRule>
  </conditionalFormatting>
  <conditionalFormatting sqref="G1342:G1344">
    <cfRule type="colorScale" priority="114">
      <colorScale>
        <cfvo type="min"/>
        <cfvo type="max"/>
        <color rgb="FFF8696B"/>
        <color rgb="FFFCFCFF"/>
      </colorScale>
    </cfRule>
  </conditionalFormatting>
  <conditionalFormatting sqref="G1345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46">
    <cfRule type="colorScale" priority="113">
      <colorScale>
        <cfvo type="min"/>
        <cfvo type="max"/>
        <color rgb="FFF8696B"/>
        <color rgb="FFFCFCFF"/>
      </colorScale>
    </cfRule>
  </conditionalFormatting>
  <conditionalFormatting sqref="G1357:G1359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361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362:G1364 G1360">
    <cfRule type="colorScale" priority="448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211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1367:G1372">
    <cfRule type="colorScale" priority="154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6605">
      <colorScale>
        <cfvo type="min"/>
        <cfvo type="max"/>
        <color rgb="FFF8696B"/>
        <color rgb="FFFCFCFF"/>
      </colorScale>
    </cfRule>
  </conditionalFormatting>
  <conditionalFormatting sqref="G1387:G1388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391:G1393">
    <cfRule type="colorScale" priority="7081">
      <colorScale>
        <cfvo type="min"/>
        <cfvo type="max"/>
        <color rgb="FFF8696B"/>
        <color rgb="FFFCFCFF"/>
      </colorScale>
    </cfRule>
  </conditionalFormatting>
  <conditionalFormatting sqref="G1394:G1398">
    <cfRule type="colorScale" priority="6892">
      <colorScale>
        <cfvo type="min"/>
        <cfvo type="max"/>
        <color rgb="FFF8696B"/>
        <color rgb="FFFCFCFF"/>
      </colorScale>
    </cfRule>
  </conditionalFormatting>
  <conditionalFormatting sqref="G1399">
    <cfRule type="colorScale" priority="55">
      <colorScale>
        <cfvo type="min"/>
        <cfvo type="max"/>
        <color rgb="FFF8696B"/>
        <color rgb="FFFCFCFF"/>
      </colorScale>
    </cfRule>
  </conditionalFormatting>
  <conditionalFormatting sqref="G1400">
    <cfRule type="colorScale" priority="6932">
      <colorScale>
        <cfvo type="min"/>
        <cfvo type="max"/>
        <color rgb="FFF8696B"/>
        <color rgb="FFFCFCFF"/>
      </colorScale>
    </cfRule>
  </conditionalFormatting>
  <conditionalFormatting sqref="G1401:G1404">
    <cfRule type="colorScale" priority="6972">
      <colorScale>
        <cfvo type="min"/>
        <cfvo type="max"/>
        <color rgb="FFF8696B"/>
        <color rgb="FFFCFCFF"/>
      </colorScale>
    </cfRule>
  </conditionalFormatting>
  <conditionalFormatting sqref="G1409:G1412">
    <cfRule type="colorScale" priority="46">
      <colorScale>
        <cfvo type="min"/>
        <cfvo type="max"/>
        <color rgb="FFF8696B"/>
        <color rgb="FFFCFCFF"/>
      </colorScale>
    </cfRule>
  </conditionalFormatting>
  <conditionalFormatting sqref="G1414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1417">
    <cfRule type="colorScale" priority="7329">
      <colorScale>
        <cfvo type="min"/>
        <cfvo type="max"/>
        <color rgb="FFF8696B"/>
        <color rgb="FFFCFCFF"/>
      </colorScale>
    </cfRule>
  </conditionalFormatting>
  <conditionalFormatting sqref="G1421:G1422">
    <cfRule type="colorScale" priority="50">
      <colorScale>
        <cfvo type="min"/>
        <cfvo type="max"/>
        <color rgb="FFF8696B"/>
        <color rgb="FFFCFCFF"/>
      </colorScale>
    </cfRule>
  </conditionalFormatting>
  <conditionalFormatting sqref="G1435">
    <cfRule type="colorScale" priority="7121">
      <colorScale>
        <cfvo type="min"/>
        <cfvo type="max"/>
        <color rgb="FFF8696B"/>
        <color rgb="FFFCFCFF"/>
      </colorScale>
    </cfRule>
  </conditionalFormatting>
  <conditionalFormatting sqref="G1449:G1450">
    <cfRule type="colorScale" priority="22">
      <colorScale>
        <cfvo type="min"/>
        <cfvo type="max"/>
        <color rgb="FFF8696B"/>
        <color rgb="FFFCFCFF"/>
      </colorScale>
    </cfRule>
  </conditionalFormatting>
  <conditionalFormatting sqref="G1451">
    <cfRule type="colorScale" priority="20">
      <colorScale>
        <cfvo type="min"/>
        <cfvo type="max"/>
        <color rgb="FFF8696B"/>
        <color rgb="FFFCFCFF"/>
      </colorScale>
    </cfRule>
  </conditionalFormatting>
  <conditionalFormatting sqref="G1465">
    <cfRule type="colorScale" priority="566">
      <colorScale>
        <cfvo type="min"/>
        <cfvo type="max"/>
        <color rgb="FFF8696B"/>
        <color rgb="FFFCFCFF"/>
      </colorScale>
    </cfRule>
  </conditionalFormatting>
  <conditionalFormatting sqref="G1466">
    <cfRule type="colorScale" priority="567">
      <colorScale>
        <cfvo type="min"/>
        <cfvo type="max"/>
        <color rgb="FFF8696B"/>
        <color rgb="FFFCFCFF"/>
      </colorScale>
    </cfRule>
  </conditionalFormatting>
  <conditionalFormatting sqref="G1468:G1469">
    <cfRule type="colorScale" priority="200">
      <colorScale>
        <cfvo type="min"/>
        <cfvo type="max"/>
        <color rgb="FFF8696B"/>
        <color rgb="FFFCFCFF"/>
      </colorScale>
    </cfRule>
  </conditionalFormatting>
  <conditionalFormatting sqref="G1470:G1471 G1467">
    <cfRule type="colorScale" priority="580">
      <colorScale>
        <cfvo type="min"/>
        <cfvo type="max"/>
        <color rgb="FFF8696B"/>
        <color rgb="FFFCFCFF"/>
      </colorScale>
    </cfRule>
  </conditionalFormatting>
  <conditionalFormatting sqref="G1545">
    <cfRule type="colorScale" priority="300">
      <colorScale>
        <cfvo type="min"/>
        <cfvo type="max"/>
        <color rgb="FFF8696B"/>
        <color rgb="FFFCFCFF"/>
      </colorScale>
    </cfRule>
  </conditionalFormatting>
  <conditionalFormatting sqref="G1546:G1555">
    <cfRule type="colorScale" priority="2335">
      <colorScale>
        <cfvo type="min"/>
        <cfvo type="max"/>
        <color rgb="FFF8696B"/>
        <color rgb="FFFCFCFF"/>
      </colorScale>
    </cfRule>
  </conditionalFormatting>
  <conditionalFormatting sqref="G1556:G1560">
    <cfRule type="colorScale" priority="345">
      <colorScale>
        <cfvo type="min"/>
        <cfvo type="max"/>
        <color rgb="FFF8696B"/>
        <color rgb="FFFCFCFF"/>
      </colorScale>
    </cfRule>
  </conditionalFormatting>
  <conditionalFormatting sqref="G1581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1582">
    <cfRule type="colorScale" priority="236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4110">
      <colorScale>
        <cfvo type="min"/>
        <cfvo type="max"/>
        <color rgb="FFF8696B"/>
        <color rgb="FFFCFCFF"/>
      </colorScale>
    </cfRule>
  </conditionalFormatting>
  <conditionalFormatting sqref="G1584:G1586">
    <cfRule type="colorScale" priority="218">
      <colorScale>
        <cfvo type="min"/>
        <cfvo type="max"/>
        <color rgb="FFF8696B"/>
        <color rgb="FFFCFCFF"/>
      </colorScale>
    </cfRule>
  </conditionalFormatting>
  <conditionalFormatting sqref="G1588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1589:G1590 G1587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1591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1592">
    <cfRule type="colorScale" priority="340">
      <colorScale>
        <cfvo type="min"/>
        <cfvo type="max"/>
        <color rgb="FFF8696B"/>
        <color rgb="FFFCFCFF"/>
      </colorScale>
    </cfRule>
  </conditionalFormatting>
  <conditionalFormatting sqref="G1596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599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1614:G1617">
    <cfRule type="colorScale" priority="53">
      <colorScale>
        <cfvo type="min"/>
        <cfvo type="max"/>
        <color rgb="FFF8696B"/>
        <color rgb="FFFCFCFF"/>
      </colorScale>
    </cfRule>
  </conditionalFormatting>
  <conditionalFormatting sqref="G1618">
    <cfRule type="colorScale" priority="45">
      <colorScale>
        <cfvo type="min"/>
        <cfvo type="max"/>
        <color rgb="FFF8696B"/>
        <color rgb="FFFCFCFF"/>
      </colorScale>
    </cfRule>
  </conditionalFormatting>
  <conditionalFormatting sqref="G1630">
    <cfRule type="colorScale" priority="23">
      <colorScale>
        <cfvo type="min"/>
        <cfvo type="max"/>
        <color rgb="FFF8696B"/>
        <color rgb="FFFCFCFF"/>
      </colorScale>
    </cfRule>
  </conditionalFormatting>
  <conditionalFormatting sqref="G1653:G1655">
    <cfRule type="colorScale" priority="571">
      <colorScale>
        <cfvo type="min"/>
        <cfvo type="max"/>
        <color rgb="FFF8696B"/>
        <color rgb="FFFCFCFF"/>
      </colorScale>
    </cfRule>
  </conditionalFormatting>
  <conditionalFormatting sqref="G1672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673">
    <cfRule type="colorScale" priority="561">
      <colorScale>
        <cfvo type="min"/>
        <cfvo type="max"/>
        <color rgb="FFF8696B"/>
        <color rgb="FFFCFCFF"/>
      </colorScale>
    </cfRule>
  </conditionalFormatting>
  <conditionalFormatting sqref="G1675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674 G1676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1686:G1689">
    <cfRule type="colorScale" priority="32">
      <colorScale>
        <cfvo type="min"/>
        <cfvo type="max"/>
        <color rgb="FFF8696B"/>
        <color rgb="FFFCFCFF"/>
      </colorScale>
    </cfRule>
  </conditionalFormatting>
  <conditionalFormatting sqref="G1695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700">
    <cfRule type="colorScale" priority="19">
      <colorScale>
        <cfvo type="min"/>
        <cfvo type="max"/>
        <color rgb="FFF8696B"/>
        <color rgb="FFFCFCFF"/>
      </colorScale>
    </cfRule>
  </conditionalFormatting>
  <conditionalFormatting sqref="G1711:G1715">
    <cfRule type="colorScale" priority="7373">
      <colorScale>
        <cfvo type="min"/>
        <cfvo type="max"/>
        <color rgb="FFF8696B"/>
        <color rgb="FFFCFCFF"/>
      </colorScale>
    </cfRule>
  </conditionalFormatting>
  <conditionalFormatting sqref="G1746:G1769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789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790:G1791">
    <cfRule type="colorScale" priority="550">
      <colorScale>
        <cfvo type="min"/>
        <cfvo type="max"/>
        <color rgb="FFF8696B"/>
        <color rgb="FFFCFCFF"/>
      </colorScale>
    </cfRule>
  </conditionalFormatting>
  <conditionalFormatting sqref="G1800:G1803">
    <cfRule type="colorScale" priority="27">
      <colorScale>
        <cfvo type="min"/>
        <cfvo type="max"/>
        <color rgb="FFF8696B"/>
        <color rgb="FFFCFCFF"/>
      </colorScale>
    </cfRule>
  </conditionalFormatting>
  <conditionalFormatting sqref="G1813">
    <cfRule type="colorScale" priority="544">
      <colorScale>
        <cfvo type="min"/>
        <cfvo type="max"/>
        <color rgb="FFF8696B"/>
        <color rgb="FFFCFCFF"/>
      </colorScale>
    </cfRule>
  </conditionalFormatting>
  <conditionalFormatting sqref="G1816">
    <cfRule type="colorScale" priority="549">
      <colorScale>
        <cfvo type="min"/>
        <cfvo type="max"/>
        <color rgb="FFF8696B"/>
        <color rgb="FFFCFCFF"/>
      </colorScale>
    </cfRule>
  </conditionalFormatting>
  <conditionalFormatting sqref="G1829">
    <cfRule type="colorScale" priority="538">
      <colorScale>
        <cfvo type="min"/>
        <cfvo type="max"/>
        <color rgb="FFF8696B"/>
        <color rgb="FFFCFCFF"/>
      </colorScale>
    </cfRule>
  </conditionalFormatting>
  <conditionalFormatting sqref="G1891:G1892">
    <cfRule type="colorScale" priority="49">
      <colorScale>
        <cfvo type="min"/>
        <cfvo type="max"/>
        <color rgb="FFF8696B"/>
        <color rgb="FFFCFCFF"/>
      </colorScale>
    </cfRule>
  </conditionalFormatting>
  <conditionalFormatting sqref="G1922">
    <cfRule type="colorScale" priority="548">
      <colorScale>
        <cfvo type="min"/>
        <cfvo type="max"/>
        <color rgb="FFF8696B"/>
        <color rgb="FFFCFCFF"/>
      </colorScale>
    </cfRule>
  </conditionalFormatting>
  <conditionalFormatting sqref="G1933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1951">
    <cfRule type="colorScale" priority="532">
      <colorScale>
        <cfvo type="min"/>
        <cfvo type="max"/>
        <color rgb="FFF8696B"/>
        <color rgb="FFFCFCFF"/>
      </colorScale>
    </cfRule>
  </conditionalFormatting>
  <conditionalFormatting sqref="G1953">
    <cfRule type="colorScale" priority="546">
      <colorScale>
        <cfvo type="min"/>
        <cfvo type="max"/>
        <color rgb="FFF8696B"/>
        <color rgb="FFFCFCFF"/>
      </colorScale>
    </cfRule>
  </conditionalFormatting>
  <conditionalFormatting sqref="G1966:G1967">
    <cfRule type="colorScale" priority="529">
      <colorScale>
        <cfvo type="min"/>
        <cfvo type="max"/>
        <color rgb="FFF8696B"/>
        <color rgb="FFFCFCFF"/>
      </colorScale>
    </cfRule>
  </conditionalFormatting>
  <conditionalFormatting sqref="G1981:G1987 G1993">
    <cfRule type="colorScale" priority="552">
      <colorScale>
        <cfvo type="min"/>
        <cfvo type="max"/>
        <color rgb="FFF8696B"/>
        <color rgb="FFFCFCFF"/>
      </colorScale>
    </cfRule>
  </conditionalFormatting>
  <conditionalFormatting sqref="G1997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2045">
    <cfRule type="colorScale" priority="518">
      <colorScale>
        <cfvo type="min"/>
        <cfvo type="max"/>
        <color rgb="FFF8696B"/>
        <color rgb="FFFCFCFF"/>
      </colorScale>
    </cfRule>
  </conditionalFormatting>
  <conditionalFormatting sqref="G2057">
    <cfRule type="colorScale" priority="510">
      <colorScale>
        <cfvo type="min"/>
        <cfvo type="max"/>
        <color rgb="FFF8696B"/>
        <color rgb="FFFCFCFF"/>
      </colorScale>
    </cfRule>
  </conditionalFormatting>
  <conditionalFormatting sqref="G2058">
    <cfRule type="colorScale" priority="507">
      <colorScale>
        <cfvo type="min"/>
        <cfvo type="max"/>
        <color rgb="FFF8696B"/>
        <color rgb="FFFCFCFF"/>
      </colorScale>
    </cfRule>
  </conditionalFormatting>
  <conditionalFormatting sqref="G2059">
    <cfRule type="colorScale" priority="508">
      <colorScale>
        <cfvo type="min"/>
        <cfvo type="max"/>
        <color rgb="FFF8696B"/>
        <color rgb="FFFCFCFF"/>
      </colorScale>
    </cfRule>
  </conditionalFormatting>
  <conditionalFormatting sqref="G2060:G2061">
    <cfRule type="colorScale" priority="522">
      <colorScale>
        <cfvo type="min"/>
        <cfvo type="max"/>
        <color rgb="FFF8696B"/>
        <color rgb="FFFCFCFF"/>
      </colorScale>
    </cfRule>
  </conditionalFormatting>
  <conditionalFormatting sqref="G2177">
    <cfRule type="colorScale" priority="512">
      <colorScale>
        <cfvo type="min"/>
        <cfvo type="max"/>
        <color rgb="FFF8696B"/>
        <color rgb="FFFCFCFF"/>
      </colorScale>
    </cfRule>
  </conditionalFormatting>
  <conditionalFormatting sqref="G2207">
    <cfRule type="colorScale" priority="498">
      <colorScale>
        <cfvo type="min"/>
        <cfvo type="max"/>
        <color rgb="FFF8696B"/>
        <color rgb="FFFCFCFF"/>
      </colorScale>
    </cfRule>
  </conditionalFormatting>
  <conditionalFormatting sqref="G2244">
    <cfRule type="colorScale" priority="492">
      <colorScale>
        <cfvo type="min"/>
        <cfvo type="max"/>
        <color rgb="FFF8696B"/>
        <color rgb="FFFCFCFF"/>
      </colorScale>
    </cfRule>
  </conditionalFormatting>
  <conditionalFormatting sqref="G2256">
    <cfRule type="colorScale" priority="484">
      <colorScale>
        <cfvo type="min"/>
        <cfvo type="max"/>
        <color rgb="FFF8696B"/>
        <color rgb="FFFCFCFF"/>
      </colorScale>
    </cfRule>
  </conditionalFormatting>
  <conditionalFormatting sqref="G2257">
    <cfRule type="colorScale" priority="481">
      <colorScale>
        <cfvo type="min"/>
        <cfvo type="max"/>
        <color rgb="FFF8696B"/>
        <color rgb="FFFCFCFF"/>
      </colorScale>
    </cfRule>
  </conditionalFormatting>
  <conditionalFormatting sqref="G2258">
    <cfRule type="colorScale" priority="482">
      <colorScale>
        <cfvo type="min"/>
        <cfvo type="max"/>
        <color rgb="FFF8696B"/>
        <color rgb="FFFCFCFF"/>
      </colorScale>
    </cfRule>
  </conditionalFormatting>
  <conditionalFormatting sqref="G2259:G2260">
    <cfRule type="colorScale" priority="497">
      <colorScale>
        <cfvo type="min"/>
        <cfvo type="max"/>
        <color rgb="FFF8696B"/>
        <color rgb="FFFCFCFF"/>
      </colorScale>
    </cfRule>
  </conditionalFormatting>
  <conditionalFormatting sqref="G2354">
    <cfRule type="colorScale" priority="468">
      <colorScale>
        <cfvo type="min"/>
        <cfvo type="max"/>
        <color rgb="FFF8696B"/>
        <color rgb="FFFCFCFF"/>
      </colorScale>
    </cfRule>
  </conditionalFormatting>
  <conditionalFormatting sqref="G2384">
    <cfRule type="colorScale" priority="486">
      <colorScale>
        <cfvo type="min"/>
        <cfvo type="max"/>
        <color rgb="FFF8696B"/>
        <color rgb="FFFCFCFF"/>
      </colorScale>
    </cfRule>
  </conditionalFormatting>
  <conditionalFormatting sqref="G2410:G2411 G2323 G2203:G2204 G2318 G2273 G2240:G2241 G2125 G1954 G2120 G2075 G2042 G1819:G1820 G1947 G1862 G1690:G1691 G1561 G1515 G1429:G1432 G913 G889 G842 G739 G162:G163 G104 G150 G1809:G1810 G1156:G1161">
    <cfRule type="colorScale" priority="462">
      <colorScale>
        <cfvo type="min"/>
        <cfvo type="max"/>
        <color rgb="FFF8696B"/>
        <color rgb="FFFCFCFF"/>
      </colorScale>
    </cfRule>
  </conditionalFormatting>
  <conditionalFormatting sqref="G2424:G2425">
    <cfRule type="colorScale" priority="469">
      <colorScale>
        <cfvo type="min"/>
        <cfvo type="max"/>
        <color rgb="FFF8696B"/>
        <color rgb="FFFCFCFF"/>
      </colorScale>
    </cfRule>
  </conditionalFormatting>
  <conditionalFormatting sqref="H660:H675">
    <cfRule type="colorScale" priority="5626">
      <colorScale>
        <cfvo type="min"/>
        <cfvo type="max"/>
        <color rgb="FFF8696B"/>
        <color rgb="FFFCFCFF"/>
      </colorScale>
    </cfRule>
  </conditionalFormatting>
  <conditionalFormatting sqref="H743:H754 H739">
    <cfRule type="colorScale" priority="4855">
      <colorScale>
        <cfvo type="min"/>
        <cfvo type="max"/>
        <color rgb="FFF8696B"/>
        <color rgb="FFFCFCFF"/>
      </colorScale>
    </cfRule>
  </conditionalFormatting>
  <conditionalFormatting sqref="H794:H796 H761:H792">
    <cfRule type="colorScale" priority="6080">
      <colorScale>
        <cfvo type="min"/>
        <cfvo type="max"/>
        <color rgb="FFF8696B"/>
        <color rgb="FFFCFCFF"/>
      </colorScale>
    </cfRule>
  </conditionalFormatting>
  <conditionalFormatting sqref="H890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1660">
    <cfRule type="colorScale" priority="18">
      <colorScale>
        <cfvo type="min"/>
        <cfvo type="max"/>
        <color rgb="FFF8696B"/>
        <color rgb="FFFCFCFF"/>
      </colorScale>
    </cfRule>
  </conditionalFormatting>
  <conditionalFormatting sqref="F1511:F1514">
    <cfRule type="colorScale" priority="7462">
      <colorScale>
        <cfvo type="min"/>
        <cfvo type="max"/>
        <color rgb="FFF8696B"/>
        <color rgb="FFFCFCFF"/>
      </colorScale>
    </cfRule>
  </conditionalFormatting>
  <conditionalFormatting sqref="G1511:G1514">
    <cfRule type="colorScale" priority="7491">
      <colorScale>
        <cfvo type="min"/>
        <cfvo type="max"/>
        <color rgb="FFF8696B"/>
        <color rgb="FFFCFCFF"/>
      </colorScale>
    </cfRule>
  </conditionalFormatting>
  <conditionalFormatting sqref="G768:G772">
    <cfRule type="colorScale" priority="16">
      <colorScale>
        <cfvo type="min"/>
        <cfvo type="max"/>
        <color rgb="FFF8696B"/>
        <color rgb="FFFCFCFF"/>
      </colorScale>
    </cfRule>
  </conditionalFormatting>
  <conditionalFormatting sqref="F765:F772">
    <cfRule type="colorScale" priority="7492">
      <colorScale>
        <cfvo type="min"/>
        <cfvo type="max"/>
        <color rgb="FFF8696B"/>
        <color rgb="FFFCFCFF"/>
      </colorScale>
    </cfRule>
  </conditionalFormatting>
  <conditionalFormatting sqref="G765:G767">
    <cfRule type="colorScale" priority="7562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14">
      <colorScale>
        <cfvo type="min"/>
        <cfvo type="max"/>
        <color rgb="FFF8696B"/>
        <color rgb="FFFCFCFF"/>
      </colorScale>
    </cfRule>
  </conditionalFormatting>
  <conditionalFormatting sqref="G1507">
    <cfRule type="colorScale" priority="15">
      <colorScale>
        <cfvo type="min"/>
        <cfvo type="max"/>
        <color rgb="FFF8696B"/>
        <color rgb="FFFCFCFF"/>
      </colorScale>
    </cfRule>
  </conditionalFormatting>
  <conditionalFormatting sqref="F1508">
    <cfRule type="colorScale" priority="12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509">
    <cfRule type="colorScale" priority="10">
      <colorScale>
        <cfvo type="min"/>
        <cfvo type="max"/>
        <color rgb="FFF8696B"/>
        <color rgb="FFFCFCFF"/>
      </colorScale>
    </cfRule>
  </conditionalFormatting>
  <conditionalFormatting sqref="G1509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510">
    <cfRule type="colorScale" priority="8">
      <colorScale>
        <cfvo type="min"/>
        <cfvo type="max"/>
        <color rgb="FFF8696B"/>
        <color rgb="FFFCFCFF"/>
      </colorScale>
    </cfRule>
  </conditionalFormatting>
  <conditionalFormatting sqref="G1510">
    <cfRule type="colorScale" priority="9">
      <colorScale>
        <cfvo type="min"/>
        <cfvo type="max"/>
        <color rgb="FFF8696B"/>
        <color rgb="FFFCFCFF"/>
      </colorScale>
    </cfRule>
  </conditionalFormatting>
  <conditionalFormatting sqref="G1486:G1494">
    <cfRule type="colorScale" priority="7">
      <colorScale>
        <cfvo type="min"/>
        <cfvo type="max"/>
        <color rgb="FFF8696B"/>
        <color rgb="FFFCFCFF"/>
      </colorScale>
    </cfRule>
  </conditionalFormatting>
  <conditionalFormatting sqref="G1495">
    <cfRule type="colorScale" priority="6">
      <colorScale>
        <cfvo type="min"/>
        <cfvo type="max"/>
        <color rgb="FFF8696B"/>
        <color rgb="FFFCFCFF"/>
      </colorScale>
    </cfRule>
  </conditionalFormatting>
  <conditionalFormatting sqref="G1496">
    <cfRule type="colorScale" priority="5">
      <colorScale>
        <cfvo type="min"/>
        <cfvo type="max"/>
        <color rgb="FFF8696B"/>
        <color rgb="FFFCFCFF"/>
      </colorScale>
    </cfRule>
  </conditionalFormatting>
  <conditionalFormatting sqref="G1497">
    <cfRule type="colorScale" priority="4">
      <colorScale>
        <cfvo type="min"/>
        <cfvo type="max"/>
        <color rgb="FFF8696B"/>
        <color rgb="FFFCFCFF"/>
      </colorScale>
    </cfRule>
  </conditionalFormatting>
  <conditionalFormatting sqref="G1498">
    <cfRule type="colorScale" priority="3">
      <colorScale>
        <cfvo type="min"/>
        <cfvo type="max"/>
        <color rgb="FFF8696B"/>
        <color rgb="FFFCFCFF"/>
      </colorScale>
    </cfRule>
  </conditionalFormatting>
  <conditionalFormatting sqref="G1477:G1485">
    <cfRule type="colorScale" priority="2">
      <colorScale>
        <cfvo type="min"/>
        <cfvo type="max"/>
        <color rgb="FFF8696B"/>
        <color rgb="FFFCFCFF"/>
      </colorScale>
    </cfRule>
  </conditionalFormatting>
  <conditionalFormatting sqref="F1629:F1631">
    <cfRule type="colorScale" priority="7577">
      <colorScale>
        <cfvo type="min"/>
        <cfvo type="max"/>
        <color rgb="FFF8696B"/>
        <color rgb="FFFCFCFF"/>
      </colorScale>
    </cfRule>
  </conditionalFormatting>
  <conditionalFormatting sqref="G1460:G1464">
    <cfRule type="colorScale" priority="7651">
      <colorScale>
        <cfvo type="min"/>
        <cfvo type="max"/>
        <color rgb="FFF8696B"/>
        <color rgb="FFFCFCFF"/>
      </colorScale>
    </cfRule>
  </conditionalFormatting>
  <conditionalFormatting sqref="G1699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8A89BE-24BF-4798-984E-1465E4A368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</xm:sqref>
        </x14:conditionalFormatting>
        <x14:conditionalFormatting xmlns:xm="http://schemas.microsoft.com/office/excel/2006/main">
          <x14:cfRule type="dataBar" id="{C1F8308C-0279-4772-981F-4378BFA1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F702</xm:sqref>
        </x14:conditionalFormatting>
        <x14:conditionalFormatting xmlns:xm="http://schemas.microsoft.com/office/excel/2006/main">
          <x14:cfRule type="dataBar" id="{844516D9-C012-4345-99E1-0E3C6DD3ED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F1376</xm:sqref>
        </x14:conditionalFormatting>
        <x14:conditionalFormatting xmlns:xm="http://schemas.microsoft.com/office/excel/2006/main">
          <x14:cfRule type="dataBar" id="{51FAC81D-0FFF-4285-B9FB-DECA4367BA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F1781</xm:sqref>
        </x14:conditionalFormatting>
        <x14:conditionalFormatting xmlns:xm="http://schemas.microsoft.com/office/excel/2006/main">
          <x14:cfRule type="dataBar" id="{3EC5F668-CC6F-42FE-9F2C-D1DCED2C2C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F2021</xm:sqref>
        </x14:conditionalFormatting>
        <x14:conditionalFormatting xmlns:xm="http://schemas.microsoft.com/office/excel/2006/main">
          <x14:cfRule type="dataBar" id="{A59574DB-C0B9-4504-B66C-E23DF6323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F2219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93A5-9228-4BBC-A30B-EFAB3E00B6D9}">
  <dimension ref="A1:M186"/>
  <sheetViews>
    <sheetView showGridLines="0" topLeftCell="A161" workbookViewId="0">
      <selection activeCell="K176" sqref="K176"/>
    </sheetView>
  </sheetViews>
  <sheetFormatPr defaultRowHeight="14.4" x14ac:dyDescent="0.3"/>
  <cols>
    <col min="1" max="1" width="15.88671875" style="6" customWidth="1"/>
    <col min="2" max="2" width="15.5546875" style="9" bestFit="1" customWidth="1"/>
    <col min="3" max="3" width="14.77734375" bestFit="1" customWidth="1"/>
    <col min="5" max="5" width="14" bestFit="1" customWidth="1"/>
    <col min="6" max="6" width="16.88671875" style="6" customWidth="1"/>
    <col min="7" max="7" width="15.5546875" style="9" bestFit="1" customWidth="1"/>
    <col min="8" max="8" width="10.33203125" bestFit="1" customWidth="1"/>
  </cols>
  <sheetData>
    <row r="1" spans="1:8" s="123" customFormat="1" x14ac:dyDescent="0.3">
      <c r="A1" s="915" t="s">
        <v>17</v>
      </c>
      <c r="B1" s="915"/>
      <c r="F1" s="917" t="s">
        <v>431</v>
      </c>
      <c r="G1" s="917"/>
    </row>
    <row r="2" spans="1:8" x14ac:dyDescent="0.3">
      <c r="A2" s="117">
        <v>3</v>
      </c>
      <c r="B2" s="44">
        <v>190</v>
      </c>
      <c r="F2" s="117">
        <v>3</v>
      </c>
      <c r="G2" s="44">
        <v>2280</v>
      </c>
    </row>
    <row r="3" spans="1:8" x14ac:dyDescent="0.3">
      <c r="A3" s="117">
        <v>4</v>
      </c>
      <c r="B3" s="44">
        <v>23800</v>
      </c>
      <c r="F3" s="117">
        <v>4</v>
      </c>
      <c r="G3" s="44">
        <v>8260</v>
      </c>
    </row>
    <row r="4" spans="1:8" x14ac:dyDescent="0.3">
      <c r="A4" s="117">
        <v>7</v>
      </c>
      <c r="B4" s="44">
        <v>1100</v>
      </c>
      <c r="F4" s="117">
        <v>7</v>
      </c>
      <c r="G4" s="44">
        <v>0</v>
      </c>
    </row>
    <row r="5" spans="1:8" x14ac:dyDescent="0.3">
      <c r="A5" s="117">
        <v>8</v>
      </c>
      <c r="B5" s="44">
        <v>5200</v>
      </c>
      <c r="F5" s="117">
        <v>8</v>
      </c>
      <c r="G5" s="44">
        <v>200</v>
      </c>
    </row>
    <row r="6" spans="1:8" x14ac:dyDescent="0.3">
      <c r="A6" s="117">
        <v>9</v>
      </c>
      <c r="B6" s="44">
        <v>0</v>
      </c>
      <c r="F6" s="117">
        <v>9</v>
      </c>
      <c r="G6" s="44">
        <v>0</v>
      </c>
    </row>
    <row r="7" spans="1:8" x14ac:dyDescent="0.3">
      <c r="A7" s="117">
        <v>10</v>
      </c>
      <c r="B7" s="44">
        <v>2050</v>
      </c>
      <c r="F7" s="117">
        <v>10</v>
      </c>
      <c r="G7" s="44">
        <v>75000</v>
      </c>
    </row>
    <row r="8" spans="1:8" x14ac:dyDescent="0.3">
      <c r="A8" s="117">
        <v>11</v>
      </c>
      <c r="B8" s="44">
        <v>37000</v>
      </c>
      <c r="F8" s="117">
        <v>11</v>
      </c>
      <c r="G8" s="44">
        <v>0</v>
      </c>
    </row>
    <row r="9" spans="1:8" x14ac:dyDescent="0.3">
      <c r="A9" s="117">
        <v>14</v>
      </c>
      <c r="B9" s="44">
        <v>900</v>
      </c>
      <c r="F9" s="117">
        <v>14</v>
      </c>
      <c r="G9" s="44">
        <v>0</v>
      </c>
    </row>
    <row r="10" spans="1:8" x14ac:dyDescent="0.3">
      <c r="B10" s="52">
        <f>SUM(B2:B9)</f>
        <v>70240</v>
      </c>
      <c r="G10" s="44">
        <f>SUM(G2:G9)</f>
        <v>85740</v>
      </c>
    </row>
    <row r="13" spans="1:8" x14ac:dyDescent="0.3">
      <c r="A13" s="117" t="s">
        <v>439</v>
      </c>
      <c r="B13" s="44">
        <v>348700</v>
      </c>
      <c r="F13" s="117" t="s">
        <v>440</v>
      </c>
      <c r="G13" s="44">
        <v>323800</v>
      </c>
    </row>
    <row r="14" spans="1:8" x14ac:dyDescent="0.3">
      <c r="A14" s="117" t="s">
        <v>434</v>
      </c>
      <c r="B14" s="44">
        <v>81000</v>
      </c>
      <c r="F14" s="117" t="s">
        <v>434</v>
      </c>
      <c r="G14" s="44">
        <v>90000</v>
      </c>
    </row>
    <row r="15" spans="1:8" ht="16.2" x14ac:dyDescent="0.45">
      <c r="B15" s="122">
        <f>B13-B14</f>
        <v>267700</v>
      </c>
      <c r="C15" s="116" t="s">
        <v>435</v>
      </c>
      <c r="D15" s="116"/>
      <c r="E15" s="116"/>
      <c r="G15" s="122">
        <f>G13-G14</f>
        <v>233800</v>
      </c>
      <c r="H15" s="116" t="s">
        <v>436</v>
      </c>
    </row>
    <row r="16" spans="1:8" x14ac:dyDescent="0.3">
      <c r="A16" s="117" t="s">
        <v>437</v>
      </c>
      <c r="B16" s="117">
        <v>5</v>
      </c>
      <c r="F16" s="117" t="s">
        <v>437</v>
      </c>
      <c r="G16" s="117">
        <v>4</v>
      </c>
    </row>
    <row r="19" spans="1:11" x14ac:dyDescent="0.3">
      <c r="A19" s="119" t="s">
        <v>438</v>
      </c>
      <c r="B19" s="118">
        <f>B15/B16</f>
        <v>53540</v>
      </c>
      <c r="F19" s="120" t="s">
        <v>438</v>
      </c>
      <c r="G19" s="121">
        <f>G15/G16</f>
        <v>58450</v>
      </c>
    </row>
    <row r="23" spans="1:11" x14ac:dyDescent="0.3">
      <c r="B23" s="9">
        <v>120</v>
      </c>
    </row>
    <row r="24" spans="1:11" x14ac:dyDescent="0.3">
      <c r="B24" s="9">
        <v>100</v>
      </c>
    </row>
    <row r="30" spans="1:11" x14ac:dyDescent="0.3">
      <c r="A30" s="915" t="s">
        <v>17</v>
      </c>
      <c r="B30" s="915"/>
      <c r="C30" s="123"/>
      <c r="D30" s="123"/>
      <c r="E30" s="123"/>
      <c r="F30" s="917" t="s">
        <v>431</v>
      </c>
      <c r="G30" s="917"/>
      <c r="H30" s="123"/>
      <c r="I30" s="123"/>
      <c r="J30" s="123"/>
      <c r="K30" s="123"/>
    </row>
    <row r="31" spans="1:11" x14ac:dyDescent="0.3">
      <c r="A31" s="117">
        <v>15</v>
      </c>
      <c r="B31" s="44">
        <v>72000</v>
      </c>
      <c r="F31" s="117">
        <v>15</v>
      </c>
      <c r="G31" s="44">
        <v>26000</v>
      </c>
    </row>
    <row r="32" spans="1:11" x14ac:dyDescent="0.3">
      <c r="A32" s="117">
        <v>16</v>
      </c>
      <c r="B32" s="44">
        <v>132000</v>
      </c>
      <c r="F32" s="117">
        <v>16</v>
      </c>
      <c r="G32" s="44">
        <v>6000</v>
      </c>
    </row>
    <row r="33" spans="1:13" x14ac:dyDescent="0.3">
      <c r="A33" s="117">
        <v>17</v>
      </c>
      <c r="B33" s="44">
        <v>15000</v>
      </c>
      <c r="F33" s="117">
        <v>17</v>
      </c>
      <c r="G33" s="44">
        <v>2000</v>
      </c>
    </row>
    <row r="34" spans="1:13" x14ac:dyDescent="0.3">
      <c r="A34" s="117">
        <v>18</v>
      </c>
      <c r="B34" s="44">
        <v>60000</v>
      </c>
      <c r="F34" s="117">
        <v>18</v>
      </c>
      <c r="G34" s="44">
        <v>10000</v>
      </c>
    </row>
    <row r="35" spans="1:13" x14ac:dyDescent="0.3">
      <c r="A35" s="117">
        <v>21</v>
      </c>
      <c r="B35" s="44">
        <v>7000</v>
      </c>
      <c r="F35" s="117">
        <v>21</v>
      </c>
      <c r="G35" s="44">
        <v>135000</v>
      </c>
    </row>
    <row r="36" spans="1:13" x14ac:dyDescent="0.3">
      <c r="A36" s="117">
        <v>22</v>
      </c>
      <c r="B36" s="44">
        <v>30000</v>
      </c>
      <c r="F36" s="117">
        <v>22</v>
      </c>
      <c r="G36" s="44">
        <v>0</v>
      </c>
    </row>
    <row r="37" spans="1:13" x14ac:dyDescent="0.3">
      <c r="A37" s="117">
        <v>23</v>
      </c>
      <c r="B37" s="44">
        <v>0</v>
      </c>
      <c r="F37" s="117">
        <v>23</v>
      </c>
      <c r="G37" s="44">
        <v>0</v>
      </c>
    </row>
    <row r="38" spans="1:13" x14ac:dyDescent="0.3">
      <c r="A38" s="117">
        <v>24</v>
      </c>
      <c r="B38" s="44">
        <v>1000</v>
      </c>
      <c r="F38" s="117">
        <v>24</v>
      </c>
      <c r="G38" s="44">
        <v>1000</v>
      </c>
    </row>
    <row r="39" spans="1:13" x14ac:dyDescent="0.3">
      <c r="A39" s="117">
        <v>25</v>
      </c>
      <c r="B39" s="44">
        <v>18000</v>
      </c>
      <c r="F39" s="117">
        <v>25</v>
      </c>
      <c r="G39" s="44">
        <v>13000</v>
      </c>
    </row>
    <row r="40" spans="1:13" x14ac:dyDescent="0.3">
      <c r="A40" s="117">
        <v>28</v>
      </c>
      <c r="B40" s="44">
        <v>200</v>
      </c>
      <c r="F40" s="117">
        <v>28</v>
      </c>
      <c r="G40" s="44">
        <v>0</v>
      </c>
    </row>
    <row r="41" spans="1:13" x14ac:dyDescent="0.3">
      <c r="A41" s="117">
        <v>29</v>
      </c>
      <c r="B41" s="44">
        <v>530</v>
      </c>
      <c r="F41" s="117">
        <v>29</v>
      </c>
      <c r="G41" s="44">
        <v>0</v>
      </c>
    </row>
    <row r="42" spans="1:13" x14ac:dyDescent="0.3">
      <c r="A42" s="117">
        <v>30</v>
      </c>
      <c r="B42" s="44"/>
      <c r="F42" s="117">
        <v>30</v>
      </c>
      <c r="G42" s="44"/>
    </row>
    <row r="43" spans="1:13" x14ac:dyDescent="0.3">
      <c r="A43" s="117">
        <v>31</v>
      </c>
      <c r="B43" s="44"/>
      <c r="F43" s="117">
        <v>31</v>
      </c>
      <c r="G43" s="44"/>
    </row>
    <row r="44" spans="1:13" x14ac:dyDescent="0.3">
      <c r="A44" s="117"/>
      <c r="B44" s="44"/>
      <c r="F44" s="117"/>
      <c r="G44" s="44"/>
    </row>
    <row r="45" spans="1:13" x14ac:dyDescent="0.3">
      <c r="B45" s="477">
        <f>SUM(B31:B41)</f>
        <v>335730</v>
      </c>
      <c r="G45" s="478">
        <f>SUM(G31:G41)</f>
        <v>193000</v>
      </c>
    </row>
    <row r="46" spans="1:13" x14ac:dyDescent="0.3">
      <c r="L46">
        <v>50</v>
      </c>
      <c r="M46">
        <f>L46*L47</f>
        <v>300</v>
      </c>
    </row>
    <row r="47" spans="1:13" x14ac:dyDescent="0.3">
      <c r="L47">
        <v>6</v>
      </c>
    </row>
    <row r="48" spans="1:13" x14ac:dyDescent="0.3">
      <c r="A48" s="117" t="s">
        <v>439</v>
      </c>
      <c r="B48" s="44"/>
      <c r="F48" s="117" t="s">
        <v>440</v>
      </c>
      <c r="G48" s="44">
        <v>933233</v>
      </c>
    </row>
    <row r="49" spans="1:8" x14ac:dyDescent="0.3">
      <c r="A49" s="117" t="s">
        <v>434</v>
      </c>
      <c r="B49" s="480"/>
      <c r="F49" s="117" t="s">
        <v>434</v>
      </c>
      <c r="G49" s="44">
        <f>G45</f>
        <v>193000</v>
      </c>
    </row>
    <row r="50" spans="1:8" ht="16.2" x14ac:dyDescent="0.45">
      <c r="B50" s="122">
        <f>B48-B49</f>
        <v>0</v>
      </c>
      <c r="C50" s="116" t="s">
        <v>435</v>
      </c>
      <c r="D50" s="116"/>
      <c r="E50" s="116"/>
      <c r="G50" s="122">
        <f>G48-G49</f>
        <v>740233</v>
      </c>
      <c r="H50" s="116" t="s">
        <v>436</v>
      </c>
    </row>
    <row r="51" spans="1:8" x14ac:dyDescent="0.3">
      <c r="A51" s="117" t="s">
        <v>437</v>
      </c>
      <c r="B51" s="117">
        <v>5</v>
      </c>
      <c r="F51" s="117" t="s">
        <v>820</v>
      </c>
      <c r="G51" s="480">
        <v>367928.84</v>
      </c>
    </row>
    <row r="52" spans="1:8" x14ac:dyDescent="0.3">
      <c r="G52" s="481">
        <f>G50-G51</f>
        <v>372304.16</v>
      </c>
      <c r="H52">
        <v>6</v>
      </c>
    </row>
    <row r="53" spans="1:8" x14ac:dyDescent="0.3">
      <c r="G53" s="9" t="s">
        <v>821</v>
      </c>
    </row>
    <row r="54" spans="1:8" x14ac:dyDescent="0.3">
      <c r="A54" s="119" t="s">
        <v>438</v>
      </c>
      <c r="B54" s="118">
        <f>B50/B51</f>
        <v>0</v>
      </c>
      <c r="F54" s="120" t="s">
        <v>438</v>
      </c>
      <c r="G54" s="121">
        <f>G52/H52</f>
        <v>62050.693333333329</v>
      </c>
    </row>
    <row r="68" spans="1:8" s="291" customFormat="1" ht="96.6" x14ac:dyDescent="0.3">
      <c r="A68" s="287">
        <v>45866</v>
      </c>
      <c r="B68" s="10" t="s">
        <v>211</v>
      </c>
      <c r="C68" s="17" t="s">
        <v>6</v>
      </c>
      <c r="D68" s="18" t="s">
        <v>112</v>
      </c>
      <c r="E68" s="19">
        <v>-300</v>
      </c>
      <c r="F68" s="25" t="s">
        <v>8</v>
      </c>
      <c r="G68" s="20" t="s">
        <v>207</v>
      </c>
    </row>
    <row r="69" spans="1:8" s="306" customFormat="1" x14ac:dyDescent="0.3">
      <c r="A69" s="167">
        <v>45866</v>
      </c>
      <c r="B69" s="520" t="s">
        <v>211</v>
      </c>
      <c r="C69" s="529" t="s">
        <v>81</v>
      </c>
      <c r="D69" s="510" t="s">
        <v>405</v>
      </c>
      <c r="E69" s="224">
        <v>-538.46</v>
      </c>
      <c r="F69" s="255" t="s">
        <v>8</v>
      </c>
      <c r="G69" s="530" t="s">
        <v>127</v>
      </c>
      <c r="H69" s="531"/>
    </row>
    <row r="76" spans="1:8" x14ac:dyDescent="0.3">
      <c r="A76" s="915" t="s">
        <v>17</v>
      </c>
      <c r="B76" s="915"/>
      <c r="D76" s="916" t="s">
        <v>431</v>
      </c>
      <c r="E76" s="916"/>
    </row>
    <row r="77" spans="1:8" x14ac:dyDescent="0.3">
      <c r="A77" s="117">
        <v>6</v>
      </c>
      <c r="B77" s="44">
        <v>36700</v>
      </c>
      <c r="D77" s="117">
        <v>6</v>
      </c>
      <c r="E77" s="44">
        <v>12000</v>
      </c>
    </row>
    <row r="78" spans="1:8" x14ac:dyDescent="0.3">
      <c r="A78" s="117">
        <v>7</v>
      </c>
      <c r="B78" s="44">
        <v>2000</v>
      </c>
      <c r="D78" s="117">
        <v>7</v>
      </c>
      <c r="E78" s="44">
        <v>0</v>
      </c>
    </row>
    <row r="79" spans="1:8" x14ac:dyDescent="0.3">
      <c r="A79" s="117">
        <v>8</v>
      </c>
      <c r="B79" s="44">
        <v>17500</v>
      </c>
      <c r="D79" s="117">
        <v>8</v>
      </c>
      <c r="E79" s="44">
        <v>0</v>
      </c>
    </row>
    <row r="80" spans="1:8" x14ac:dyDescent="0.3">
      <c r="A80" s="117">
        <v>11</v>
      </c>
      <c r="B80" s="44">
        <v>5000</v>
      </c>
      <c r="D80" s="117">
        <v>11</v>
      </c>
      <c r="E80" s="44">
        <v>60000</v>
      </c>
    </row>
    <row r="81" spans="1:6" x14ac:dyDescent="0.3">
      <c r="A81" s="117">
        <v>12</v>
      </c>
      <c r="B81" s="44">
        <v>0</v>
      </c>
      <c r="D81" s="117">
        <v>12</v>
      </c>
      <c r="E81" s="44">
        <v>0</v>
      </c>
    </row>
    <row r="82" spans="1:6" x14ac:dyDescent="0.3">
      <c r="A82" s="117">
        <v>13</v>
      </c>
      <c r="B82" s="44">
        <v>0</v>
      </c>
      <c r="D82" s="117">
        <v>13</v>
      </c>
      <c r="E82" s="44">
        <v>0</v>
      </c>
    </row>
    <row r="83" spans="1:6" x14ac:dyDescent="0.3">
      <c r="A83" s="117">
        <v>14</v>
      </c>
      <c r="B83" s="44">
        <v>0</v>
      </c>
      <c r="D83" s="117">
        <v>14</v>
      </c>
      <c r="E83" s="44">
        <v>0</v>
      </c>
    </row>
    <row r="84" spans="1:6" x14ac:dyDescent="0.3">
      <c r="A84" s="117">
        <v>15</v>
      </c>
      <c r="B84" s="44">
        <v>0</v>
      </c>
      <c r="D84" s="117">
        <v>15</v>
      </c>
      <c r="E84" s="44"/>
    </row>
    <row r="85" spans="1:6" x14ac:dyDescent="0.3">
      <c r="B85" s="477">
        <f>SUM(B77:B84)</f>
        <v>61200</v>
      </c>
      <c r="D85" s="6"/>
      <c r="E85" s="477">
        <f>SUM(E77:E84)</f>
        <v>72000</v>
      </c>
    </row>
    <row r="88" spans="1:6" x14ac:dyDescent="0.3">
      <c r="A88" s="117" t="s">
        <v>439</v>
      </c>
      <c r="B88" s="44">
        <v>331000</v>
      </c>
      <c r="D88" s="117" t="s">
        <v>1119</v>
      </c>
      <c r="E88" s="44">
        <v>16000</v>
      </c>
      <c r="F88" s="635">
        <v>21000</v>
      </c>
    </row>
    <row r="89" spans="1:6" x14ac:dyDescent="0.3">
      <c r="A89" s="117" t="s">
        <v>434</v>
      </c>
      <c r="B89" s="480">
        <v>65000</v>
      </c>
      <c r="D89" s="117" t="s">
        <v>1120</v>
      </c>
      <c r="E89" s="480">
        <f>E85-E88</f>
        <v>56000</v>
      </c>
    </row>
    <row r="90" spans="1:6" ht="16.2" x14ac:dyDescent="0.45">
      <c r="B90" s="122">
        <f>B88-B89</f>
        <v>266000</v>
      </c>
    </row>
    <row r="91" spans="1:6" x14ac:dyDescent="0.3">
      <c r="A91" s="117" t="s">
        <v>437</v>
      </c>
      <c r="B91" s="117">
        <v>4</v>
      </c>
    </row>
    <row r="92" spans="1:6" x14ac:dyDescent="0.3">
      <c r="E92" s="9">
        <f>E89-F88</f>
        <v>35000</v>
      </c>
    </row>
    <row r="94" spans="1:6" x14ac:dyDescent="0.3">
      <c r="B94" s="9">
        <f>B90/B91</f>
        <v>66500</v>
      </c>
    </row>
    <row r="98" spans="1:5" ht="16.2" x14ac:dyDescent="0.45">
      <c r="C98" s="122">
        <v>266000</v>
      </c>
    </row>
    <row r="99" spans="1:5" x14ac:dyDescent="0.3">
      <c r="C99" s="9">
        <v>35000</v>
      </c>
      <c r="D99" t="s">
        <v>431</v>
      </c>
    </row>
    <row r="101" spans="1:5" x14ac:dyDescent="0.3">
      <c r="C101" s="9">
        <f>C98-C99</f>
        <v>231000</v>
      </c>
    </row>
    <row r="104" spans="1:5" x14ac:dyDescent="0.3">
      <c r="C104" s="9">
        <f>C101/B91</f>
        <v>57750</v>
      </c>
    </row>
    <row r="112" spans="1:5" x14ac:dyDescent="0.3">
      <c r="A112" s="915" t="s">
        <v>17</v>
      </c>
      <c r="B112" s="915"/>
      <c r="D112" s="915" t="s">
        <v>431</v>
      </c>
      <c r="E112" s="915"/>
    </row>
    <row r="113" spans="1:5" x14ac:dyDescent="0.3">
      <c r="A113" s="117">
        <v>15</v>
      </c>
      <c r="B113" s="44">
        <v>119900</v>
      </c>
      <c r="D113" s="117">
        <v>15</v>
      </c>
      <c r="E113" s="44">
        <v>31500</v>
      </c>
    </row>
    <row r="114" spans="1:5" x14ac:dyDescent="0.3">
      <c r="A114" s="117">
        <v>18</v>
      </c>
      <c r="B114" s="44">
        <v>86500</v>
      </c>
      <c r="D114" s="117">
        <v>18</v>
      </c>
      <c r="E114" s="44">
        <v>0</v>
      </c>
    </row>
    <row r="115" spans="1:5" x14ac:dyDescent="0.3">
      <c r="B115" s="52">
        <f>SUM(B113:B114)</f>
        <v>206400</v>
      </c>
      <c r="D115" s="6"/>
      <c r="E115" s="52">
        <f>SUM(E113:E114)</f>
        <v>31500</v>
      </c>
    </row>
    <row r="116" spans="1:5" x14ac:dyDescent="0.3">
      <c r="B116" s="9">
        <v>9000</v>
      </c>
    </row>
    <row r="117" spans="1:5" x14ac:dyDescent="0.3">
      <c r="B117" s="9">
        <f>B115-B116</f>
        <v>197400</v>
      </c>
    </row>
    <row r="122" spans="1:5" x14ac:dyDescent="0.3">
      <c r="A122" s="915" t="s">
        <v>17</v>
      </c>
      <c r="B122" s="915"/>
      <c r="D122" s="916" t="s">
        <v>431</v>
      </c>
      <c r="E122" s="916"/>
    </row>
    <row r="123" spans="1:5" x14ac:dyDescent="0.3">
      <c r="A123" s="117">
        <v>19</v>
      </c>
      <c r="B123" s="44">
        <v>12800</v>
      </c>
      <c r="D123" s="117">
        <v>19</v>
      </c>
      <c r="E123" s="44">
        <v>9200</v>
      </c>
    </row>
    <row r="124" spans="1:5" x14ac:dyDescent="0.3">
      <c r="A124" s="117">
        <v>20</v>
      </c>
      <c r="B124" s="44">
        <v>68000</v>
      </c>
      <c r="D124" s="117">
        <v>20</v>
      </c>
      <c r="E124" s="44">
        <v>129000</v>
      </c>
    </row>
    <row r="125" spans="1:5" x14ac:dyDescent="0.3">
      <c r="A125" s="117">
        <v>21</v>
      </c>
      <c r="B125" s="44">
        <v>9960</v>
      </c>
      <c r="D125" s="117">
        <v>21</v>
      </c>
      <c r="E125" s="44">
        <v>0</v>
      </c>
    </row>
    <row r="126" spans="1:5" x14ac:dyDescent="0.3">
      <c r="A126" s="117">
        <v>22</v>
      </c>
      <c r="B126" s="44">
        <v>17240</v>
      </c>
      <c r="D126" s="117">
        <v>22</v>
      </c>
      <c r="E126" s="44">
        <v>19970</v>
      </c>
    </row>
    <row r="127" spans="1:5" x14ac:dyDescent="0.3">
      <c r="A127" s="117">
        <v>25</v>
      </c>
      <c r="B127" s="44">
        <v>1070</v>
      </c>
      <c r="D127" s="117">
        <v>25</v>
      </c>
      <c r="E127" s="44">
        <v>5630</v>
      </c>
    </row>
    <row r="128" spans="1:5" x14ac:dyDescent="0.3">
      <c r="A128" s="117">
        <v>26</v>
      </c>
      <c r="B128" s="44">
        <v>0</v>
      </c>
      <c r="D128" s="117">
        <v>26</v>
      </c>
      <c r="E128" s="44">
        <v>0</v>
      </c>
    </row>
    <row r="129" spans="1:8" x14ac:dyDescent="0.3">
      <c r="A129" s="117">
        <v>27</v>
      </c>
      <c r="B129" s="44">
        <v>0</v>
      </c>
      <c r="D129" s="117">
        <v>27</v>
      </c>
      <c r="E129" s="44">
        <v>0</v>
      </c>
    </row>
    <row r="130" spans="1:8" x14ac:dyDescent="0.3">
      <c r="A130" s="117">
        <v>28</v>
      </c>
      <c r="B130" s="44">
        <v>0</v>
      </c>
      <c r="D130" s="117">
        <v>28</v>
      </c>
      <c r="E130" s="44">
        <v>0</v>
      </c>
    </row>
    <row r="131" spans="1:8" x14ac:dyDescent="0.3">
      <c r="B131" s="477">
        <f>SUM(B123:B130)</f>
        <v>109070</v>
      </c>
      <c r="D131" s="6"/>
      <c r="E131" s="477">
        <f>SUM(E123:E130)</f>
        <v>163800</v>
      </c>
    </row>
    <row r="135" spans="1:8" x14ac:dyDescent="0.3">
      <c r="A135" s="117" t="s">
        <v>439</v>
      </c>
      <c r="B135" s="44">
        <v>7000</v>
      </c>
      <c r="D135" s="117" t="s">
        <v>1119</v>
      </c>
      <c r="E135" s="44">
        <v>712573</v>
      </c>
    </row>
    <row r="136" spans="1:8" x14ac:dyDescent="0.3">
      <c r="A136" s="117" t="s">
        <v>434</v>
      </c>
      <c r="B136" s="480">
        <v>120000</v>
      </c>
      <c r="D136" s="117" t="s">
        <v>1120</v>
      </c>
      <c r="E136" s="480">
        <v>165000</v>
      </c>
    </row>
    <row r="137" spans="1:8" ht="16.2" x14ac:dyDescent="0.45">
      <c r="B137" s="122">
        <f>B135-B136</f>
        <v>-113000</v>
      </c>
      <c r="E137" s="446">
        <f>E135-E136</f>
        <v>547573</v>
      </c>
    </row>
    <row r="138" spans="1:8" x14ac:dyDescent="0.3">
      <c r="A138" s="117" t="s">
        <v>437</v>
      </c>
      <c r="B138" s="117"/>
      <c r="E138" s="9">
        <v>326687.15000000002</v>
      </c>
      <c r="F138" s="6" t="s">
        <v>1292</v>
      </c>
    </row>
    <row r="139" spans="1:8" x14ac:dyDescent="0.3">
      <c r="E139" s="9"/>
    </row>
    <row r="140" spans="1:8" x14ac:dyDescent="0.3">
      <c r="B140" s="9">
        <v>113000</v>
      </c>
      <c r="E140" s="9">
        <f>E137-E138</f>
        <v>220885.84999999998</v>
      </c>
      <c r="F140" s="6">
        <v>4</v>
      </c>
    </row>
    <row r="141" spans="1:8" x14ac:dyDescent="0.3">
      <c r="H141" s="9"/>
    </row>
    <row r="142" spans="1:8" x14ac:dyDescent="0.3">
      <c r="B142" s="9">
        <f>E138-B140</f>
        <v>213687.15000000002</v>
      </c>
      <c r="F142" s="635">
        <f>E140/F140</f>
        <v>55221.462499999994</v>
      </c>
    </row>
    <row r="147" spans="1:5" x14ac:dyDescent="0.3">
      <c r="A147" s="635">
        <v>115000</v>
      </c>
    </row>
    <row r="148" spans="1:5" x14ac:dyDescent="0.3">
      <c r="A148" s="635">
        <v>89000</v>
      </c>
    </row>
    <row r="157" spans="1:5" x14ac:dyDescent="0.3">
      <c r="A157" s="915" t="s">
        <v>17</v>
      </c>
      <c r="B157" s="915"/>
      <c r="D157" s="916" t="s">
        <v>431</v>
      </c>
      <c r="E157" s="916"/>
    </row>
    <row r="158" spans="1:5" x14ac:dyDescent="0.3">
      <c r="A158" s="117">
        <v>1</v>
      </c>
      <c r="B158" s="44">
        <v>14700</v>
      </c>
      <c r="D158" s="117">
        <v>1</v>
      </c>
      <c r="E158" s="44">
        <v>11800</v>
      </c>
    </row>
    <row r="159" spans="1:5" x14ac:dyDescent="0.3">
      <c r="A159" s="117">
        <v>2</v>
      </c>
      <c r="B159" s="44">
        <v>0</v>
      </c>
      <c r="D159" s="117">
        <v>2</v>
      </c>
      <c r="E159" s="44">
        <v>900</v>
      </c>
    </row>
    <row r="160" spans="1:5" x14ac:dyDescent="0.3">
      <c r="A160" s="117">
        <v>3</v>
      </c>
      <c r="B160" s="44">
        <v>403</v>
      </c>
      <c r="D160" s="117">
        <v>3</v>
      </c>
      <c r="E160" s="44">
        <v>0</v>
      </c>
    </row>
    <row r="161" spans="1:11" x14ac:dyDescent="0.3">
      <c r="A161" s="117">
        <v>4</v>
      </c>
      <c r="B161" s="44">
        <v>349</v>
      </c>
      <c r="D161" s="117">
        <v>4</v>
      </c>
      <c r="E161" s="44">
        <v>0</v>
      </c>
    </row>
    <row r="162" spans="1:11" x14ac:dyDescent="0.3">
      <c r="A162" s="117">
        <v>5</v>
      </c>
      <c r="B162" s="44">
        <v>71300</v>
      </c>
      <c r="D162" s="117">
        <v>5</v>
      </c>
      <c r="E162" s="44">
        <v>7500</v>
      </c>
    </row>
    <row r="163" spans="1:11" x14ac:dyDescent="0.3">
      <c r="A163" s="117">
        <v>8</v>
      </c>
      <c r="B163" s="44">
        <v>5245</v>
      </c>
      <c r="D163" s="117">
        <v>8</v>
      </c>
      <c r="E163" s="44">
        <v>760</v>
      </c>
    </row>
    <row r="164" spans="1:11" x14ac:dyDescent="0.3">
      <c r="A164" s="117">
        <v>9</v>
      </c>
      <c r="B164" s="44">
        <v>0</v>
      </c>
      <c r="D164" s="117">
        <v>9</v>
      </c>
      <c r="E164" s="44">
        <v>0</v>
      </c>
    </row>
    <row r="165" spans="1:11" x14ac:dyDescent="0.3">
      <c r="A165" s="117">
        <v>10</v>
      </c>
      <c r="B165" s="44">
        <v>1385</v>
      </c>
      <c r="D165" s="117">
        <v>10</v>
      </c>
      <c r="E165" s="44">
        <v>72900</v>
      </c>
    </row>
    <row r="166" spans="1:11" x14ac:dyDescent="0.3">
      <c r="A166" s="117">
        <v>11</v>
      </c>
      <c r="B166" s="44"/>
      <c r="D166" s="117">
        <v>11</v>
      </c>
      <c r="E166" s="478"/>
    </row>
    <row r="167" spans="1:11" x14ac:dyDescent="0.3">
      <c r="B167" s="477">
        <f>SUM(B160:B166)</f>
        <v>78682</v>
      </c>
      <c r="D167" s="6"/>
      <c r="E167" s="477">
        <f>SUM(E159:E166)</f>
        <v>82060</v>
      </c>
    </row>
    <row r="173" spans="1:11" x14ac:dyDescent="0.3">
      <c r="A173" s="117" t="s">
        <v>439</v>
      </c>
      <c r="B173" s="44">
        <v>268000</v>
      </c>
      <c r="D173" s="117" t="s">
        <v>1119</v>
      </c>
      <c r="E173" s="44">
        <v>163000</v>
      </c>
      <c r="F173" s="635"/>
    </row>
    <row r="174" spans="1:11" x14ac:dyDescent="0.3">
      <c r="A174" s="117" t="s">
        <v>434</v>
      </c>
      <c r="B174" s="480">
        <v>80000</v>
      </c>
      <c r="D174" s="117" t="s">
        <v>1120</v>
      </c>
      <c r="E174" s="480">
        <v>93800</v>
      </c>
      <c r="F174" s="635"/>
    </row>
    <row r="175" spans="1:11" ht="16.2" x14ac:dyDescent="0.45">
      <c r="B175" s="122">
        <f>B173-B174</f>
        <v>188000</v>
      </c>
      <c r="E175" s="446">
        <f>E173-E174</f>
        <v>69200</v>
      </c>
      <c r="F175" s="635">
        <f>F173-F174</f>
        <v>0</v>
      </c>
    </row>
    <row r="176" spans="1:11" x14ac:dyDescent="0.3">
      <c r="A176" s="117" t="s">
        <v>437</v>
      </c>
      <c r="B176" s="117">
        <v>3</v>
      </c>
      <c r="E176" s="9"/>
      <c r="K176" s="19">
        <v>-3135.73</v>
      </c>
    </row>
    <row r="179" spans="2:5" x14ac:dyDescent="0.3">
      <c r="B179" s="446">
        <f>B175/B176</f>
        <v>62666.666666666664</v>
      </c>
    </row>
    <row r="182" spans="2:5" x14ac:dyDescent="0.3">
      <c r="C182">
        <v>63000</v>
      </c>
    </row>
    <row r="184" spans="2:5" x14ac:dyDescent="0.3">
      <c r="B184">
        <v>2</v>
      </c>
      <c r="C184" s="9">
        <f>B175-C182</f>
        <v>125000</v>
      </c>
    </row>
    <row r="186" spans="2:5" x14ac:dyDescent="0.3">
      <c r="C186" s="9">
        <f>C184/B184</f>
        <v>62500</v>
      </c>
      <c r="D186">
        <v>62000</v>
      </c>
      <c r="E186">
        <v>62000</v>
      </c>
    </row>
  </sheetData>
  <mergeCells count="12">
    <mergeCell ref="A157:B157"/>
    <mergeCell ref="D157:E157"/>
    <mergeCell ref="F1:G1"/>
    <mergeCell ref="A30:B30"/>
    <mergeCell ref="F30:G30"/>
    <mergeCell ref="A76:B76"/>
    <mergeCell ref="D76:E76"/>
    <mergeCell ref="A122:B122"/>
    <mergeCell ref="D122:E122"/>
    <mergeCell ref="A112:B112"/>
    <mergeCell ref="D112:E112"/>
    <mergeCell ref="A1:B1"/>
  </mergeCells>
  <conditionalFormatting sqref="F68">
    <cfRule type="colorScale" priority="3">
      <colorScale>
        <cfvo type="min"/>
        <cfvo type="max"/>
        <color rgb="FFF8696B"/>
        <color rgb="FFFCFCFF"/>
      </colorScale>
    </cfRule>
  </conditionalFormatting>
  <conditionalFormatting sqref="F69">
    <cfRule type="colorScale" priority="1">
      <colorScale>
        <cfvo type="min"/>
        <cfvo type="max"/>
        <color rgb="FFF8696B"/>
        <color rgb="FFFCFCFF"/>
      </colorScale>
    </cfRule>
  </conditionalFormatting>
  <conditionalFormatting sqref="G68">
    <cfRule type="colorScale" priority="2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37529-E68F-466F-947F-9C497AC31D1C}">
  <sheetPr codeName="Planilha1"/>
  <dimension ref="A1:H23"/>
  <sheetViews>
    <sheetView workbookViewId="0">
      <selection activeCell="E8" sqref="E8:H8"/>
    </sheetView>
  </sheetViews>
  <sheetFormatPr defaultRowHeight="14.4" x14ac:dyDescent="0.3"/>
  <cols>
    <col min="1" max="1" width="8.88671875" bestFit="1" customWidth="1"/>
    <col min="2" max="2" width="2.77734375" bestFit="1" customWidth="1"/>
    <col min="3" max="3" width="11.21875" bestFit="1" customWidth="1"/>
    <col min="4" max="4" width="33.33203125" bestFit="1" customWidth="1"/>
    <col min="5" max="5" width="36.21875" customWidth="1"/>
    <col min="6" max="6" width="39.5546875" customWidth="1"/>
    <col min="7" max="7" width="15.77734375" customWidth="1"/>
    <col min="8" max="8" width="7.44140625" customWidth="1"/>
  </cols>
  <sheetData>
    <row r="1" spans="1:8" ht="31.2" x14ac:dyDescent="0.3">
      <c r="A1" s="739" t="s">
        <v>698</v>
      </c>
      <c r="B1" s="740">
        <v>756</v>
      </c>
      <c r="C1" s="739" t="s">
        <v>698</v>
      </c>
      <c r="D1" t="s">
        <v>688</v>
      </c>
      <c r="E1" s="393" t="s">
        <v>698</v>
      </c>
      <c r="F1" s="35" t="s">
        <v>688</v>
      </c>
      <c r="G1" s="398">
        <v>515</v>
      </c>
      <c r="H1" s="398">
        <v>581.89</v>
      </c>
    </row>
    <row r="2" spans="1:8" ht="15.6" x14ac:dyDescent="0.3">
      <c r="A2" s="742"/>
      <c r="B2" s="743"/>
      <c r="C2" s="744" t="s">
        <v>700</v>
      </c>
      <c r="D2" s="742">
        <v>756</v>
      </c>
      <c r="E2" s="388" t="s">
        <v>700</v>
      </c>
      <c r="F2" s="35" t="s">
        <v>688</v>
      </c>
      <c r="G2" s="399">
        <v>380</v>
      </c>
      <c r="H2" s="399">
        <v>429.35</v>
      </c>
    </row>
    <row r="3" spans="1:8" ht="15.6" x14ac:dyDescent="0.3">
      <c r="A3" s="740"/>
      <c r="B3" s="741"/>
      <c r="C3" s="739" t="s">
        <v>702</v>
      </c>
      <c r="D3" s="740">
        <v>756</v>
      </c>
      <c r="E3" s="393" t="s">
        <v>702</v>
      </c>
      <c r="F3" s="35" t="s">
        <v>688</v>
      </c>
      <c r="G3" s="398">
        <v>410</v>
      </c>
      <c r="H3" s="398">
        <v>463.25</v>
      </c>
    </row>
    <row r="4" spans="1:8" ht="23.4" x14ac:dyDescent="0.3">
      <c r="A4" s="742"/>
      <c r="B4" s="743"/>
      <c r="C4" s="744" t="s">
        <v>704</v>
      </c>
      <c r="D4" s="742">
        <v>756</v>
      </c>
      <c r="E4" s="388" t="s">
        <v>704</v>
      </c>
      <c r="F4" s="35" t="s">
        <v>688</v>
      </c>
      <c r="G4" s="399">
        <v>410</v>
      </c>
      <c r="H4" s="399">
        <v>463.25</v>
      </c>
    </row>
    <row r="5" spans="1:8" ht="23.4" x14ac:dyDescent="0.3">
      <c r="A5" s="740"/>
      <c r="B5" s="741"/>
      <c r="C5" s="739" t="s">
        <v>687</v>
      </c>
      <c r="D5" s="740">
        <v>756</v>
      </c>
      <c r="E5" s="393" t="s">
        <v>687</v>
      </c>
      <c r="F5" s="35" t="s">
        <v>688</v>
      </c>
      <c r="G5" s="398">
        <v>179.04</v>
      </c>
      <c r="H5" s="398">
        <v>202.29</v>
      </c>
    </row>
    <row r="6" spans="1:8" ht="15.6" x14ac:dyDescent="0.3">
      <c r="A6" s="742"/>
      <c r="B6" s="743"/>
      <c r="C6" s="744" t="s">
        <v>692</v>
      </c>
      <c r="D6" s="742">
        <v>756</v>
      </c>
      <c r="E6" s="388" t="s">
        <v>692</v>
      </c>
      <c r="F6" s="35" t="s">
        <v>688</v>
      </c>
      <c r="G6" s="399">
        <v>114.12</v>
      </c>
      <c r="H6" s="399">
        <v>128.94</v>
      </c>
    </row>
    <row r="7" spans="1:8" ht="15.6" x14ac:dyDescent="0.3">
      <c r="A7" s="740"/>
      <c r="B7" s="741"/>
      <c r="C7" s="739" t="s">
        <v>694</v>
      </c>
      <c r="D7" s="740">
        <v>756</v>
      </c>
      <c r="E7" s="393" t="s">
        <v>694</v>
      </c>
      <c r="F7" s="35" t="s">
        <v>688</v>
      </c>
      <c r="G7" s="398">
        <v>171.18</v>
      </c>
      <c r="H7" s="398">
        <v>193.41</v>
      </c>
    </row>
    <row r="8" spans="1:8" ht="15.6" x14ac:dyDescent="0.3">
      <c r="A8" s="742"/>
      <c r="B8" s="743"/>
      <c r="C8" s="744" t="s">
        <v>696</v>
      </c>
      <c r="D8" s="742">
        <v>756</v>
      </c>
      <c r="E8" s="388" t="s">
        <v>696</v>
      </c>
      <c r="F8" s="35" t="s">
        <v>688</v>
      </c>
      <c r="G8" s="399">
        <v>457.94</v>
      </c>
      <c r="H8" s="399">
        <v>517.41</v>
      </c>
    </row>
    <row r="9" spans="1:8" ht="23.4" x14ac:dyDescent="0.3">
      <c r="A9" s="740"/>
      <c r="B9" s="741"/>
      <c r="C9" s="739" t="s">
        <v>706</v>
      </c>
      <c r="D9" s="740">
        <v>756</v>
      </c>
      <c r="E9" s="393" t="s">
        <v>706</v>
      </c>
      <c r="F9" s="35" t="s">
        <v>688</v>
      </c>
      <c r="G9" s="398">
        <v>690.98</v>
      </c>
      <c r="H9" s="398">
        <v>780.72</v>
      </c>
    </row>
    <row r="15" spans="1:8" x14ac:dyDescent="0.3">
      <c r="E15" s="393" t="s">
        <v>698</v>
      </c>
      <c r="F15" s="35" t="s">
        <v>688</v>
      </c>
      <c r="G15" s="398">
        <v>581.89</v>
      </c>
    </row>
    <row r="16" spans="1:8" x14ac:dyDescent="0.3">
      <c r="E16" s="388" t="s">
        <v>700</v>
      </c>
      <c r="F16" s="35" t="s">
        <v>688</v>
      </c>
      <c r="G16" s="399">
        <v>429.35</v>
      </c>
    </row>
    <row r="17" spans="5:7" x14ac:dyDescent="0.3">
      <c r="E17" s="393" t="s">
        <v>702</v>
      </c>
      <c r="F17" s="35" t="s">
        <v>688</v>
      </c>
      <c r="G17" s="398">
        <v>463.25</v>
      </c>
    </row>
    <row r="18" spans="5:7" x14ac:dyDescent="0.3">
      <c r="E18" s="388" t="s">
        <v>704</v>
      </c>
      <c r="F18" s="35" t="s">
        <v>688</v>
      </c>
      <c r="G18" s="399">
        <v>463.25</v>
      </c>
    </row>
    <row r="19" spans="5:7" x14ac:dyDescent="0.3">
      <c r="E19" s="393" t="s">
        <v>687</v>
      </c>
      <c r="F19" s="35" t="s">
        <v>688</v>
      </c>
      <c r="G19" s="398">
        <v>202.29</v>
      </c>
    </row>
    <row r="20" spans="5:7" x14ac:dyDescent="0.3">
      <c r="E20" s="388" t="s">
        <v>692</v>
      </c>
      <c r="F20" s="35" t="s">
        <v>688</v>
      </c>
      <c r="G20" s="399">
        <v>128.94</v>
      </c>
    </row>
    <row r="21" spans="5:7" x14ac:dyDescent="0.3">
      <c r="E21" s="393" t="s">
        <v>694</v>
      </c>
      <c r="F21" s="35" t="s">
        <v>688</v>
      </c>
      <c r="G21" s="398">
        <v>193.41</v>
      </c>
    </row>
    <row r="22" spans="5:7" x14ac:dyDescent="0.3">
      <c r="E22" s="388" t="s">
        <v>696</v>
      </c>
      <c r="F22" s="35" t="s">
        <v>688</v>
      </c>
      <c r="G22" s="399">
        <v>517.41</v>
      </c>
    </row>
    <row r="23" spans="5:7" x14ac:dyDescent="0.3">
      <c r="E23" s="393" t="s">
        <v>706</v>
      </c>
      <c r="F23" s="35" t="s">
        <v>688</v>
      </c>
      <c r="G23" s="398">
        <v>780.72</v>
      </c>
    </row>
  </sheetData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26632" r:id="rId3" name="Control 8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0</xdr:col>
                <xdr:colOff>228600</xdr:colOff>
                <xdr:row>8</xdr:row>
                <xdr:rowOff>205740</xdr:rowOff>
              </to>
            </anchor>
          </controlPr>
        </control>
      </mc:Choice>
      <mc:Fallback>
        <control shapeId="26632" r:id="rId3" name="Control 8"/>
      </mc:Fallback>
    </mc:AlternateContent>
    <mc:AlternateContent xmlns:mc="http://schemas.openxmlformats.org/markup-compatibility/2006">
      <mc:Choice Requires="x14">
        <control shapeId="26631" r:id="rId5" name="Control 7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228600</xdr:colOff>
                <xdr:row>8</xdr:row>
                <xdr:rowOff>7620</xdr:rowOff>
              </to>
            </anchor>
          </controlPr>
        </control>
      </mc:Choice>
      <mc:Fallback>
        <control shapeId="26631" r:id="rId5" name="Control 7"/>
      </mc:Fallback>
    </mc:AlternateContent>
    <mc:AlternateContent xmlns:mc="http://schemas.openxmlformats.org/markup-compatibility/2006">
      <mc:Choice Requires="x14">
        <control shapeId="26630" r:id="rId6" name="Control 6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228600</xdr:colOff>
                <xdr:row>7</xdr:row>
                <xdr:rowOff>7620</xdr:rowOff>
              </to>
            </anchor>
          </controlPr>
        </control>
      </mc:Choice>
      <mc:Fallback>
        <control shapeId="26630" r:id="rId6" name="Control 6"/>
      </mc:Fallback>
    </mc:AlternateContent>
    <mc:AlternateContent xmlns:mc="http://schemas.openxmlformats.org/markup-compatibility/2006">
      <mc:Choice Requires="x14">
        <control shapeId="26629" r:id="rId7" name="Control 5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7620</xdr:rowOff>
              </to>
            </anchor>
          </controlPr>
        </control>
      </mc:Choice>
      <mc:Fallback>
        <control shapeId="26629" r:id="rId7" name="Control 5"/>
      </mc:Fallback>
    </mc:AlternateContent>
    <mc:AlternateContent xmlns:mc="http://schemas.openxmlformats.org/markup-compatibility/2006">
      <mc:Choice Requires="x14">
        <control shapeId="26628" r:id="rId8" name="Control 4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4</xdr:row>
                <xdr:rowOff>205740</xdr:rowOff>
              </to>
            </anchor>
          </controlPr>
        </control>
      </mc:Choice>
      <mc:Fallback>
        <control shapeId="26628" r:id="rId8" name="Control 4"/>
      </mc:Fallback>
    </mc:AlternateContent>
    <mc:AlternateContent xmlns:mc="http://schemas.openxmlformats.org/markup-compatibility/2006">
      <mc:Choice Requires="x14">
        <control shapeId="26627" r:id="rId9" name="Control 3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3</xdr:row>
                <xdr:rowOff>205740</xdr:rowOff>
              </to>
            </anchor>
          </controlPr>
        </control>
      </mc:Choice>
      <mc:Fallback>
        <control shapeId="26627" r:id="rId9" name="Control 3"/>
      </mc:Fallback>
    </mc:AlternateContent>
    <mc:AlternateContent xmlns:mc="http://schemas.openxmlformats.org/markup-compatibility/2006">
      <mc:Choice Requires="x14">
        <control shapeId="26626" r:id="rId10" name="Control 2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228600</xdr:colOff>
                <xdr:row>3</xdr:row>
                <xdr:rowOff>7620</xdr:rowOff>
              </to>
            </anchor>
          </controlPr>
        </control>
      </mc:Choice>
      <mc:Fallback>
        <control shapeId="26626" r:id="rId10" name="Control 2"/>
      </mc:Fallback>
    </mc:AlternateContent>
    <mc:AlternateContent xmlns:mc="http://schemas.openxmlformats.org/markup-compatibility/2006">
      <mc:Choice Requires="x14">
        <control shapeId="26625" r:id="rId11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0</xdr:col>
                <xdr:colOff>228600</xdr:colOff>
                <xdr:row>2</xdr:row>
                <xdr:rowOff>7620</xdr:rowOff>
              </to>
            </anchor>
          </controlPr>
        </control>
      </mc:Choice>
      <mc:Fallback>
        <control shapeId="26625" r:id="rId11" name="Control 1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4FCA4-B394-4F3D-AEF3-D1EA71770C52}">
  <sheetPr>
    <pageSetUpPr fitToPage="1"/>
  </sheetPr>
  <dimension ref="A1:I70"/>
  <sheetViews>
    <sheetView showGridLines="0" topLeftCell="A47" workbookViewId="0">
      <selection activeCell="F69" sqref="F68:F69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2" width="11" bestFit="1" customWidth="1"/>
    <col min="13" max="13" width="11.21875" bestFit="1" customWidth="1"/>
    <col min="14" max="14" width="11" bestFit="1" customWidth="1"/>
    <col min="15" max="15" width="13.77734375" bestFit="1" customWidth="1"/>
    <col min="16" max="16" width="12.6640625" bestFit="1" customWidth="1"/>
  </cols>
  <sheetData>
    <row r="1" spans="1:9" x14ac:dyDescent="0.3">
      <c r="A1" s="41" t="s">
        <v>4</v>
      </c>
      <c r="B1" s="44" t="s">
        <v>8</v>
      </c>
    </row>
    <row r="3" spans="1:9" x14ac:dyDescent="0.3">
      <c r="A3" s="41" t="s">
        <v>225</v>
      </c>
      <c r="B3" s="44" t="s">
        <v>226</v>
      </c>
      <c r="C3"/>
      <c r="D3"/>
      <c r="E3"/>
      <c r="F3"/>
      <c r="G3"/>
      <c r="H3"/>
    </row>
    <row r="4" spans="1:9" x14ac:dyDescent="0.3">
      <c r="A4" s="448" t="s">
        <v>189</v>
      </c>
      <c r="B4" s="44">
        <v>-701551.95</v>
      </c>
      <c r="C4"/>
      <c r="D4"/>
      <c r="E4"/>
      <c r="F4"/>
      <c r="G4"/>
      <c r="H4"/>
    </row>
    <row r="5" spans="1:9" x14ac:dyDescent="0.3">
      <c r="A5" s="448" t="s">
        <v>101</v>
      </c>
      <c r="B5" s="44">
        <v>-4280.8799999999974</v>
      </c>
      <c r="C5"/>
      <c r="D5"/>
      <c r="E5"/>
      <c r="F5"/>
      <c r="G5"/>
      <c r="H5"/>
    </row>
    <row r="6" spans="1:9" x14ac:dyDescent="0.3">
      <c r="A6" s="452" t="s">
        <v>53</v>
      </c>
      <c r="B6" s="453">
        <v>-36003.009999999995</v>
      </c>
      <c r="C6"/>
      <c r="D6"/>
      <c r="E6"/>
      <c r="F6"/>
      <c r="G6"/>
      <c r="H6"/>
    </row>
    <row r="7" spans="1:9" x14ac:dyDescent="0.3">
      <c r="A7" s="448" t="s">
        <v>74</v>
      </c>
      <c r="B7" s="44">
        <v>-179767.85000000003</v>
      </c>
      <c r="C7"/>
      <c r="D7"/>
      <c r="E7"/>
      <c r="F7"/>
      <c r="G7"/>
      <c r="H7"/>
    </row>
    <row r="8" spans="1:9" s="454" customFormat="1" x14ac:dyDescent="0.3">
      <c r="A8" s="448" t="s">
        <v>156</v>
      </c>
      <c r="B8" s="44">
        <v>-326700.43000000005</v>
      </c>
      <c r="C8"/>
      <c r="D8"/>
      <c r="E8"/>
      <c r="F8"/>
      <c r="G8"/>
      <c r="H8"/>
      <c r="I8"/>
    </row>
    <row r="9" spans="1:9" x14ac:dyDescent="0.3">
      <c r="A9" s="448" t="s">
        <v>79</v>
      </c>
      <c r="B9" s="44">
        <v>-240412</v>
      </c>
      <c r="C9"/>
      <c r="D9"/>
      <c r="E9"/>
      <c r="F9"/>
      <c r="G9"/>
      <c r="H9"/>
    </row>
    <row r="10" spans="1:9" x14ac:dyDescent="0.3">
      <c r="A10" s="448" t="s">
        <v>15</v>
      </c>
      <c r="B10" s="44">
        <v>-35000</v>
      </c>
      <c r="C10"/>
      <c r="D10"/>
      <c r="E10"/>
      <c r="F10"/>
      <c r="G10"/>
      <c r="H10"/>
    </row>
    <row r="11" spans="1:9" ht="13.2" customHeight="1" x14ac:dyDescent="0.3">
      <c r="A11" s="448" t="s">
        <v>93</v>
      </c>
      <c r="B11" s="44">
        <v>-106183.24</v>
      </c>
      <c r="C11"/>
      <c r="D11"/>
      <c r="E11"/>
      <c r="F11"/>
      <c r="G11"/>
      <c r="H11"/>
    </row>
    <row r="12" spans="1:9" x14ac:dyDescent="0.3">
      <c r="A12" s="448" t="s">
        <v>86</v>
      </c>
      <c r="B12" s="44">
        <v>-192366.43000000008</v>
      </c>
      <c r="C12"/>
      <c r="D12"/>
      <c r="E12"/>
      <c r="F12"/>
      <c r="G12"/>
      <c r="H12"/>
    </row>
    <row r="13" spans="1:9" x14ac:dyDescent="0.3">
      <c r="A13" s="448" t="s">
        <v>411</v>
      </c>
      <c r="B13" s="44">
        <v>-4721.7</v>
      </c>
      <c r="C13"/>
      <c r="D13"/>
      <c r="E13"/>
      <c r="F13"/>
      <c r="G13"/>
      <c r="H13"/>
    </row>
    <row r="14" spans="1:9" x14ac:dyDescent="0.3">
      <c r="A14" s="448" t="s">
        <v>64</v>
      </c>
      <c r="B14" s="44">
        <v>-128002.82</v>
      </c>
      <c r="C14"/>
      <c r="D14"/>
      <c r="E14"/>
      <c r="F14"/>
      <c r="G14"/>
      <c r="H14"/>
    </row>
    <row r="15" spans="1:9" x14ac:dyDescent="0.3">
      <c r="A15" s="448" t="s">
        <v>55</v>
      </c>
      <c r="B15" s="44">
        <v>-12804.87</v>
      </c>
      <c r="C15"/>
      <c r="D15"/>
      <c r="E15"/>
      <c r="F15"/>
      <c r="G15"/>
      <c r="H15"/>
    </row>
    <row r="16" spans="1:9" x14ac:dyDescent="0.3">
      <c r="A16" s="448" t="s">
        <v>37</v>
      </c>
      <c r="B16" s="44">
        <v>-30877.47</v>
      </c>
      <c r="C16"/>
      <c r="D16"/>
      <c r="E16"/>
      <c r="F16"/>
      <c r="G16"/>
      <c r="H16"/>
    </row>
    <row r="17" spans="1:9" x14ac:dyDescent="0.3">
      <c r="A17" s="448" t="s">
        <v>122</v>
      </c>
      <c r="B17" s="44">
        <v>-95721.299999999988</v>
      </c>
      <c r="C17"/>
      <c r="D17"/>
      <c r="E17"/>
      <c r="F17"/>
      <c r="G17"/>
      <c r="H17"/>
    </row>
    <row r="18" spans="1:9" x14ac:dyDescent="0.3">
      <c r="A18" s="448" t="s">
        <v>62</v>
      </c>
      <c r="B18" s="44">
        <v>-52270.95</v>
      </c>
      <c r="C18"/>
      <c r="D18"/>
      <c r="E18"/>
      <c r="F18"/>
      <c r="G18"/>
      <c r="H18"/>
    </row>
    <row r="19" spans="1:9" x14ac:dyDescent="0.3">
      <c r="A19" s="448" t="s">
        <v>231</v>
      </c>
      <c r="B19" s="44">
        <v>-479420.48</v>
      </c>
      <c r="C19"/>
      <c r="D19"/>
      <c r="E19"/>
      <c r="F19"/>
      <c r="G19"/>
      <c r="H19"/>
    </row>
    <row r="20" spans="1:9" x14ac:dyDescent="0.3">
      <c r="A20" s="448" t="s">
        <v>8</v>
      </c>
      <c r="B20" s="44">
        <v>-635</v>
      </c>
      <c r="C20"/>
      <c r="D20"/>
      <c r="E20"/>
      <c r="F20"/>
      <c r="G20"/>
      <c r="H20"/>
    </row>
    <row r="21" spans="1:9" x14ac:dyDescent="0.3">
      <c r="A21" s="452" t="s">
        <v>46</v>
      </c>
      <c r="B21" s="453">
        <v>-541210.04</v>
      </c>
      <c r="C21"/>
      <c r="D21"/>
      <c r="E21"/>
      <c r="F21"/>
      <c r="G21"/>
      <c r="H21"/>
    </row>
    <row r="22" spans="1:9" x14ac:dyDescent="0.3">
      <c r="A22" s="448" t="s">
        <v>22</v>
      </c>
      <c r="B22" s="44">
        <v>-3951.73</v>
      </c>
      <c r="C22"/>
      <c r="D22"/>
      <c r="E22"/>
      <c r="F22"/>
      <c r="G22"/>
      <c r="H22"/>
    </row>
    <row r="23" spans="1:9" x14ac:dyDescent="0.3">
      <c r="A23" s="448" t="s">
        <v>9</v>
      </c>
      <c r="B23" s="44">
        <v>-6762.6200000000008</v>
      </c>
      <c r="C23"/>
      <c r="D23"/>
      <c r="E23"/>
      <c r="F23"/>
      <c r="G23"/>
      <c r="H23"/>
    </row>
    <row r="24" spans="1:9" x14ac:dyDescent="0.3">
      <c r="A24" s="448" t="s">
        <v>358</v>
      </c>
      <c r="B24" s="44">
        <v>-35.299999999999997</v>
      </c>
      <c r="C24"/>
      <c r="D24"/>
      <c r="E24"/>
      <c r="F24"/>
      <c r="G24"/>
      <c r="H24"/>
    </row>
    <row r="25" spans="1:9" s="454" customFormat="1" x14ac:dyDescent="0.3">
      <c r="A25" s="452" t="s">
        <v>114</v>
      </c>
      <c r="B25" s="453">
        <v>-30690.510000000002</v>
      </c>
      <c r="C25"/>
      <c r="D25"/>
      <c r="E25"/>
      <c r="F25"/>
      <c r="G25"/>
      <c r="H25"/>
      <c r="I25"/>
    </row>
    <row r="26" spans="1:9" x14ac:dyDescent="0.3">
      <c r="A26" s="448" t="s">
        <v>155</v>
      </c>
      <c r="B26" s="44">
        <v>-204431.24</v>
      </c>
      <c r="C26"/>
      <c r="D26"/>
      <c r="E26"/>
      <c r="F26"/>
      <c r="G26"/>
      <c r="H26"/>
    </row>
    <row r="27" spans="1:9" x14ac:dyDescent="0.3">
      <c r="A27" s="448" t="s">
        <v>24</v>
      </c>
      <c r="B27" s="44">
        <v>-22859.88</v>
      </c>
      <c r="C27"/>
      <c r="D27"/>
      <c r="E27"/>
      <c r="F27"/>
      <c r="G27"/>
      <c r="H27"/>
    </row>
    <row r="28" spans="1:9" x14ac:dyDescent="0.3">
      <c r="A28" s="448" t="s">
        <v>355</v>
      </c>
      <c r="B28" s="44">
        <v>-127.65</v>
      </c>
      <c r="C28"/>
      <c r="D28"/>
      <c r="E28"/>
      <c r="F28"/>
      <c r="G28"/>
      <c r="H28"/>
    </row>
    <row r="29" spans="1:9" s="454" customFormat="1" x14ac:dyDescent="0.3">
      <c r="A29" s="448" t="s">
        <v>27</v>
      </c>
      <c r="B29" s="44">
        <v>-983201.92999999982</v>
      </c>
      <c r="C29"/>
      <c r="D29"/>
      <c r="E29"/>
      <c r="F29"/>
      <c r="G29"/>
      <c r="H29"/>
      <c r="I29"/>
    </row>
    <row r="30" spans="1:9" x14ac:dyDescent="0.3">
      <c r="A30" s="448" t="s">
        <v>127</v>
      </c>
      <c r="B30" s="44">
        <v>-1246194.8999999994</v>
      </c>
      <c r="C30"/>
      <c r="D30"/>
      <c r="E30"/>
      <c r="F30"/>
      <c r="G30"/>
      <c r="H30"/>
    </row>
    <row r="31" spans="1:9" x14ac:dyDescent="0.3">
      <c r="A31" s="448" t="s">
        <v>139</v>
      </c>
      <c r="B31" s="44">
        <v>-1768.8</v>
      </c>
      <c r="C31"/>
      <c r="D31"/>
      <c r="E31"/>
      <c r="F31"/>
      <c r="G31"/>
      <c r="H31"/>
    </row>
    <row r="32" spans="1:9" x14ac:dyDescent="0.3">
      <c r="A32" s="448" t="s">
        <v>207</v>
      </c>
      <c r="B32" s="44">
        <v>-18919.86</v>
      </c>
      <c r="C32"/>
      <c r="D32"/>
      <c r="E32"/>
      <c r="F32"/>
      <c r="G32"/>
      <c r="H32"/>
    </row>
    <row r="33" spans="1:9" x14ac:dyDescent="0.3">
      <c r="A33" s="448" t="s">
        <v>49</v>
      </c>
      <c r="B33" s="44">
        <v>-4521.3899999999994</v>
      </c>
      <c r="C33"/>
      <c r="D33"/>
      <c r="E33"/>
      <c r="F33"/>
      <c r="G33"/>
      <c r="H33"/>
    </row>
    <row r="34" spans="1:9" x14ac:dyDescent="0.3">
      <c r="A34" s="448" t="s">
        <v>233</v>
      </c>
      <c r="B34" s="44">
        <v>-168626.53020600005</v>
      </c>
      <c r="C34"/>
      <c r="D34"/>
      <c r="E34"/>
      <c r="F34"/>
      <c r="G34"/>
      <c r="H34"/>
    </row>
    <row r="35" spans="1:9" x14ac:dyDescent="0.3">
      <c r="A35" s="448" t="s">
        <v>59</v>
      </c>
      <c r="B35" s="44">
        <v>-428274.74</v>
      </c>
      <c r="C35"/>
      <c r="D35"/>
      <c r="E35"/>
      <c r="F35"/>
      <c r="G35"/>
      <c r="H35"/>
    </row>
    <row r="36" spans="1:9" x14ac:dyDescent="0.3">
      <c r="A36" s="448" t="s">
        <v>153</v>
      </c>
      <c r="B36" s="44">
        <v>-5041.83</v>
      </c>
      <c r="C36"/>
      <c r="D36"/>
      <c r="E36"/>
      <c r="F36"/>
      <c r="G36"/>
      <c r="H36"/>
    </row>
    <row r="37" spans="1:9" x14ac:dyDescent="0.3">
      <c r="A37" s="448" t="s">
        <v>76</v>
      </c>
      <c r="B37" s="44">
        <v>-259916.76</v>
      </c>
      <c r="C37"/>
      <c r="D37"/>
      <c r="E37"/>
      <c r="F37"/>
      <c r="G37"/>
      <c r="H37"/>
    </row>
    <row r="38" spans="1:9" x14ac:dyDescent="0.3">
      <c r="A38" s="448" t="s">
        <v>39</v>
      </c>
      <c r="B38" s="44">
        <v>-95589.359999999986</v>
      </c>
      <c r="C38"/>
      <c r="D38"/>
      <c r="E38"/>
      <c r="F38"/>
      <c r="G38"/>
      <c r="H38"/>
    </row>
    <row r="39" spans="1:9" x14ac:dyDescent="0.3">
      <c r="A39" s="448" t="s">
        <v>679</v>
      </c>
      <c r="B39" s="44">
        <v>-127.27</v>
      </c>
      <c r="C39"/>
      <c r="D39"/>
      <c r="E39"/>
      <c r="F39"/>
      <c r="G39"/>
      <c r="H39"/>
    </row>
    <row r="40" spans="1:9" ht="13.8" customHeight="1" x14ac:dyDescent="0.3">
      <c r="A40" s="448" t="s">
        <v>41</v>
      </c>
      <c r="B40" s="44">
        <v>-3421051.5100000002</v>
      </c>
      <c r="C40"/>
      <c r="D40"/>
      <c r="E40"/>
      <c r="F40"/>
      <c r="G40"/>
      <c r="H40"/>
    </row>
    <row r="41" spans="1:9" x14ac:dyDescent="0.3">
      <c r="A41" s="448" t="s">
        <v>389</v>
      </c>
      <c r="B41" s="44">
        <v>-3757.1099999999997</v>
      </c>
      <c r="C41"/>
      <c r="D41"/>
      <c r="E41"/>
      <c r="F41"/>
      <c r="G41"/>
      <c r="H41"/>
    </row>
    <row r="42" spans="1:9" x14ac:dyDescent="0.3">
      <c r="A42" s="448" t="s">
        <v>57</v>
      </c>
      <c r="B42" s="44">
        <v>-63000</v>
      </c>
      <c r="C42"/>
      <c r="D42"/>
      <c r="E42"/>
      <c r="F42"/>
      <c r="G42"/>
      <c r="H42"/>
    </row>
    <row r="43" spans="1:9" x14ac:dyDescent="0.3">
      <c r="A43" s="448" t="s">
        <v>71</v>
      </c>
      <c r="B43" s="44">
        <v>-2361.91</v>
      </c>
      <c r="C43"/>
      <c r="D43"/>
      <c r="E43"/>
      <c r="F43"/>
      <c r="G43"/>
      <c r="H43"/>
    </row>
    <row r="44" spans="1:9" x14ac:dyDescent="0.3">
      <c r="A44" s="452" t="s">
        <v>51</v>
      </c>
      <c r="B44" s="453">
        <v>-166243.31</v>
      </c>
      <c r="C44"/>
      <c r="D44"/>
      <c r="E44"/>
      <c r="F44"/>
      <c r="G44"/>
      <c r="H44"/>
    </row>
    <row r="45" spans="1:9" ht="16.8" customHeight="1" x14ac:dyDescent="0.3">
      <c r="A45" s="448" t="s">
        <v>69</v>
      </c>
      <c r="B45" s="44">
        <v>-61042.910000000018</v>
      </c>
      <c r="C45"/>
      <c r="D45"/>
      <c r="E45"/>
      <c r="F45"/>
      <c r="G45"/>
      <c r="H45"/>
    </row>
    <row r="46" spans="1:9" s="454" customFormat="1" x14ac:dyDescent="0.3">
      <c r="A46" s="448" t="s">
        <v>29</v>
      </c>
      <c r="B46" s="44">
        <v>-25281.679999999971</v>
      </c>
      <c r="C46"/>
      <c r="D46"/>
      <c r="E46"/>
      <c r="F46"/>
      <c r="G46"/>
      <c r="H46"/>
      <c r="I46"/>
    </row>
    <row r="47" spans="1:9" x14ac:dyDescent="0.3">
      <c r="A47" s="448" t="s">
        <v>135</v>
      </c>
      <c r="B47" s="44">
        <v>-9921.36</v>
      </c>
      <c r="C47"/>
      <c r="D47"/>
      <c r="E47"/>
      <c r="F47"/>
      <c r="G47"/>
      <c r="H47"/>
    </row>
    <row r="48" spans="1:9" x14ac:dyDescent="0.3">
      <c r="A48" s="448" t="s">
        <v>150</v>
      </c>
      <c r="B48" s="44">
        <v>-11500</v>
      </c>
      <c r="C48"/>
      <c r="D48"/>
      <c r="E48"/>
      <c r="F48"/>
      <c r="G48"/>
      <c r="H48"/>
    </row>
    <row r="49" spans="1:9" s="451" customFormat="1" x14ac:dyDescent="0.3">
      <c r="A49" s="448" t="s">
        <v>142</v>
      </c>
      <c r="B49" s="44">
        <v>-40831.808719000001</v>
      </c>
      <c r="C49"/>
      <c r="D49"/>
      <c r="E49"/>
      <c r="F49"/>
      <c r="G49"/>
      <c r="H49"/>
      <c r="I49"/>
    </row>
    <row r="50" spans="1:9" x14ac:dyDescent="0.3">
      <c r="A50" s="448" t="s">
        <v>394</v>
      </c>
      <c r="B50" s="44">
        <v>-4535.38</v>
      </c>
      <c r="C50"/>
      <c r="D50"/>
      <c r="E50"/>
      <c r="F50"/>
      <c r="G50"/>
      <c r="H50"/>
    </row>
    <row r="51" spans="1:9" x14ac:dyDescent="0.3">
      <c r="A51" s="448" t="s">
        <v>19</v>
      </c>
      <c r="B51" s="44">
        <v>-997491.28</v>
      </c>
      <c r="C51"/>
      <c r="D51"/>
      <c r="E51"/>
      <c r="F51"/>
      <c r="G51"/>
      <c r="H51"/>
    </row>
    <row r="52" spans="1:9" x14ac:dyDescent="0.3">
      <c r="A52" s="448" t="s">
        <v>99</v>
      </c>
      <c r="B52" s="44">
        <v>-90264.01999999999</v>
      </c>
      <c r="C52"/>
      <c r="D52"/>
      <c r="E52"/>
      <c r="F52"/>
      <c r="G52"/>
      <c r="H52"/>
    </row>
    <row r="53" spans="1:9" x14ac:dyDescent="0.3">
      <c r="A53" s="448" t="s">
        <v>83</v>
      </c>
      <c r="B53" s="44">
        <v>-415598.09984899982</v>
      </c>
      <c r="C53"/>
      <c r="D53"/>
      <c r="E53"/>
      <c r="F53"/>
      <c r="G53"/>
      <c r="H53"/>
    </row>
    <row r="54" spans="1:9" x14ac:dyDescent="0.3">
      <c r="A54" s="448" t="s">
        <v>871</v>
      </c>
      <c r="B54" s="44">
        <v>-2162.9199999999996</v>
      </c>
      <c r="C54"/>
      <c r="D54"/>
      <c r="E54"/>
      <c r="F54"/>
      <c r="G54"/>
      <c r="H54"/>
    </row>
    <row r="55" spans="1:9" x14ac:dyDescent="0.3">
      <c r="A55" s="448" t="s">
        <v>945</v>
      </c>
      <c r="B55" s="44">
        <v>-326.02</v>
      </c>
      <c r="C55"/>
      <c r="D55"/>
      <c r="E55"/>
      <c r="F55"/>
      <c r="G55"/>
      <c r="H55"/>
    </row>
    <row r="56" spans="1:9" x14ac:dyDescent="0.3">
      <c r="A56" s="448" t="s">
        <v>934</v>
      </c>
      <c r="B56" s="44">
        <v>-2581.3200000000006</v>
      </c>
      <c r="C56"/>
      <c r="D56"/>
      <c r="E56"/>
      <c r="F56"/>
      <c r="G56"/>
      <c r="H56"/>
    </row>
    <row r="57" spans="1:9" ht="13.2" customHeight="1" x14ac:dyDescent="0.3">
      <c r="A57" s="448" t="s">
        <v>1078</v>
      </c>
      <c r="B57" s="44">
        <v>-100</v>
      </c>
      <c r="C57"/>
      <c r="D57"/>
      <c r="E57"/>
      <c r="F57"/>
      <c r="G57"/>
      <c r="H57"/>
    </row>
    <row r="58" spans="1:9" x14ac:dyDescent="0.3">
      <c r="A58" s="448" t="s">
        <v>1169</v>
      </c>
      <c r="B58" s="44">
        <v>-489.49</v>
      </c>
      <c r="C58"/>
      <c r="D58"/>
      <c r="E58"/>
      <c r="F58"/>
      <c r="G58"/>
      <c r="H58"/>
    </row>
    <row r="59" spans="1:9" x14ac:dyDescent="0.3">
      <c r="A59" s="448" t="s">
        <v>1150</v>
      </c>
      <c r="B59" s="44">
        <v>-300</v>
      </c>
      <c r="C59"/>
      <c r="D59"/>
      <c r="E59"/>
      <c r="F59"/>
      <c r="G59"/>
      <c r="H59"/>
    </row>
    <row r="60" spans="1:9" x14ac:dyDescent="0.3">
      <c r="A60" s="448" t="s">
        <v>1246</v>
      </c>
      <c r="B60" s="44">
        <v>-1993.55</v>
      </c>
      <c r="C60"/>
      <c r="D60"/>
      <c r="E60"/>
      <c r="F60"/>
      <c r="G60"/>
      <c r="H60"/>
    </row>
    <row r="61" spans="1:9" x14ac:dyDescent="0.3">
      <c r="A61" s="448" t="s">
        <v>1238</v>
      </c>
      <c r="B61" s="44">
        <v>-700</v>
      </c>
      <c r="C61"/>
      <c r="D61"/>
      <c r="E61"/>
      <c r="F61"/>
      <c r="G61"/>
      <c r="H61"/>
    </row>
    <row r="62" spans="1:9" x14ac:dyDescent="0.3">
      <c r="A62" s="448" t="s">
        <v>1241</v>
      </c>
      <c r="B62" s="44">
        <v>-177.04</v>
      </c>
      <c r="C62"/>
      <c r="D62"/>
      <c r="E62"/>
      <c r="F62"/>
      <c r="G62"/>
      <c r="H62"/>
    </row>
    <row r="63" spans="1:9" x14ac:dyDescent="0.3">
      <c r="A63" s="448" t="s">
        <v>1273</v>
      </c>
      <c r="B63" s="44">
        <v>-733.76</v>
      </c>
      <c r="C63"/>
      <c r="D63"/>
      <c r="E63"/>
      <c r="F63"/>
      <c r="G63"/>
      <c r="H63"/>
    </row>
    <row r="64" spans="1:9" x14ac:dyDescent="0.3">
      <c r="A64" s="448" t="s">
        <v>1353</v>
      </c>
      <c r="B64" s="44">
        <v>-69</v>
      </c>
      <c r="C64"/>
      <c r="D64"/>
      <c r="E64"/>
      <c r="F64"/>
      <c r="G64"/>
      <c r="H64"/>
    </row>
    <row r="65" spans="1:2" customFormat="1" x14ac:dyDescent="0.3">
      <c r="A65" s="448" t="s">
        <v>1399</v>
      </c>
      <c r="B65" s="44">
        <v>-193.9</v>
      </c>
    </row>
    <row r="66" spans="1:2" x14ac:dyDescent="0.3">
      <c r="A66" s="448" t="s">
        <v>1470</v>
      </c>
      <c r="B66" s="44">
        <v>-2545.46</v>
      </c>
    </row>
    <row r="67" spans="1:2" x14ac:dyDescent="0.3">
      <c r="A67" s="448" t="s">
        <v>1478</v>
      </c>
      <c r="B67" s="44">
        <v>-2600</v>
      </c>
    </row>
    <row r="68" spans="1:2" x14ac:dyDescent="0.3">
      <c r="A68" s="448" t="s">
        <v>1514</v>
      </c>
      <c r="B68" s="44">
        <v>-1470</v>
      </c>
    </row>
    <row r="69" spans="1:2" x14ac:dyDescent="0.3">
      <c r="A69" s="448" t="s">
        <v>227</v>
      </c>
      <c r="B69" s="44">
        <v>-11978295.558774</v>
      </c>
    </row>
    <row r="70" spans="1:2" x14ac:dyDescent="0.3">
      <c r="B70"/>
    </row>
  </sheetData>
  <pageMargins left="0.511811024" right="0.511811024" top="0.78740157499999996" bottom="0.78740157499999996" header="0.31496062000000002" footer="0.31496062000000002"/>
  <pageSetup paperSize="9" scale="65" fitToWidth="0" orientation="landscape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CCAB-4B14-44FD-B652-08F42BBE0FF2}">
  <dimension ref="A2:H1756"/>
  <sheetViews>
    <sheetView showGridLines="0" topLeftCell="A1737" zoomScale="94" zoomScaleNormal="94" workbookViewId="0">
      <selection activeCell="A1740" sqref="A1740:G1756"/>
    </sheetView>
  </sheetViews>
  <sheetFormatPr defaultRowHeight="14.4" x14ac:dyDescent="0.3"/>
  <cols>
    <col min="1" max="1" width="16.44140625" customWidth="1"/>
    <col min="2" max="2" width="14.21875" customWidth="1"/>
    <col min="3" max="3" width="22.44140625" bestFit="1" customWidth="1"/>
    <col min="4" max="4" width="114.44140625" style="48" customWidth="1"/>
    <col min="5" max="5" width="15.21875" style="9" bestFit="1" customWidth="1"/>
    <col min="6" max="6" width="16.109375" style="48" customWidth="1"/>
    <col min="7" max="7" width="26.5546875" bestFit="1" customWidth="1"/>
  </cols>
  <sheetData>
    <row r="2" spans="1:7" x14ac:dyDescent="0.3">
      <c r="A2" s="914" t="s">
        <v>419</v>
      </c>
      <c r="B2" s="914"/>
      <c r="C2" s="914"/>
      <c r="D2" s="914"/>
      <c r="E2" s="914"/>
      <c r="F2" s="914"/>
      <c r="G2" s="914"/>
    </row>
    <row r="3" spans="1:7" ht="42" customHeight="1" x14ac:dyDescent="0.3">
      <c r="A3" s="914"/>
      <c r="B3" s="914"/>
      <c r="C3" s="914"/>
      <c r="D3" s="914"/>
      <c r="E3" s="914"/>
      <c r="F3" s="914"/>
      <c r="G3" s="914"/>
    </row>
    <row r="4" spans="1:7" x14ac:dyDescent="0.3">
      <c r="A4" s="7" t="s">
        <v>0</v>
      </c>
      <c r="B4" s="7" t="s">
        <v>210</v>
      </c>
      <c r="C4" s="40" t="s">
        <v>1</v>
      </c>
      <c r="D4" s="896" t="s">
        <v>2</v>
      </c>
      <c r="E4" s="1" t="s">
        <v>3</v>
      </c>
      <c r="F4" s="2" t="s">
        <v>4</v>
      </c>
      <c r="G4" s="3" t="s">
        <v>5</v>
      </c>
    </row>
    <row r="5" spans="1:7" x14ac:dyDescent="0.3">
      <c r="A5" s="73">
        <v>45839</v>
      </c>
      <c r="B5" s="74" t="s">
        <v>211</v>
      </c>
      <c r="C5" s="75" t="s">
        <v>13</v>
      </c>
      <c r="D5" s="156" t="s">
        <v>14</v>
      </c>
      <c r="E5" s="76">
        <v>-1500</v>
      </c>
      <c r="F5" s="77" t="s">
        <v>8</v>
      </c>
      <c r="G5" s="78" t="s">
        <v>15</v>
      </c>
    </row>
    <row r="6" spans="1:7" s="71" customFormat="1" x14ac:dyDescent="0.3">
      <c r="A6" s="79">
        <v>45839</v>
      </c>
      <c r="B6" s="80" t="s">
        <v>211</v>
      </c>
      <c r="C6" s="81" t="s">
        <v>17</v>
      </c>
      <c r="D6" s="897" t="s">
        <v>196</v>
      </c>
      <c r="E6" s="82">
        <v>-1848.63</v>
      </c>
      <c r="F6" s="83" t="s">
        <v>8</v>
      </c>
      <c r="G6" s="83" t="s">
        <v>189</v>
      </c>
    </row>
    <row r="7" spans="1:7" s="71" customFormat="1" x14ac:dyDescent="0.3">
      <c r="A7" s="84">
        <v>45839</v>
      </c>
      <c r="B7" s="85" t="s">
        <v>211</v>
      </c>
      <c r="C7" s="86" t="s">
        <v>44</v>
      </c>
      <c r="D7" s="86" t="s">
        <v>354</v>
      </c>
      <c r="E7" s="87">
        <v>-94.65</v>
      </c>
      <c r="F7" s="77" t="s">
        <v>8</v>
      </c>
      <c r="G7" s="88" t="s">
        <v>355</v>
      </c>
    </row>
    <row r="8" spans="1:7" s="71" customFormat="1" x14ac:dyDescent="0.3">
      <c r="A8" s="84">
        <v>45839</v>
      </c>
      <c r="B8" s="85" t="s">
        <v>211</v>
      </c>
      <c r="C8" s="86" t="s">
        <v>44</v>
      </c>
      <c r="D8" s="86" t="s">
        <v>417</v>
      </c>
      <c r="E8" s="87">
        <v>-6069.71</v>
      </c>
      <c r="F8" s="83" t="s">
        <v>8</v>
      </c>
      <c r="G8" s="83" t="s">
        <v>189</v>
      </c>
    </row>
    <row r="9" spans="1:7" s="71" customFormat="1" x14ac:dyDescent="0.3">
      <c r="A9" s="84">
        <v>45839</v>
      </c>
      <c r="B9" s="85" t="s">
        <v>211</v>
      </c>
      <c r="C9" s="86" t="s">
        <v>44</v>
      </c>
      <c r="D9" s="86" t="s">
        <v>418</v>
      </c>
      <c r="E9" s="87">
        <v>3968.99</v>
      </c>
      <c r="F9" s="83" t="s">
        <v>8</v>
      </c>
      <c r="G9" s="83" t="s">
        <v>189</v>
      </c>
    </row>
    <row r="10" spans="1:7" s="71" customFormat="1" x14ac:dyDescent="0.3">
      <c r="A10" s="84">
        <v>45839</v>
      </c>
      <c r="B10" s="85" t="s">
        <v>211</v>
      </c>
      <c r="C10" s="86" t="s">
        <v>25</v>
      </c>
      <c r="D10" s="86" t="s">
        <v>356</v>
      </c>
      <c r="E10" s="87">
        <v>-82.93</v>
      </c>
      <c r="F10" s="77" t="s">
        <v>8</v>
      </c>
      <c r="G10" s="89" t="s">
        <v>76</v>
      </c>
    </row>
    <row r="11" spans="1:7" s="71" customFormat="1" x14ac:dyDescent="0.3">
      <c r="A11" s="90">
        <v>45839</v>
      </c>
      <c r="B11" s="74" t="s">
        <v>211</v>
      </c>
      <c r="C11" s="91" t="s">
        <v>33</v>
      </c>
      <c r="D11" s="91" t="s">
        <v>363</v>
      </c>
      <c r="E11" s="92">
        <v>-62.28</v>
      </c>
      <c r="F11" s="93" t="s">
        <v>8</v>
      </c>
      <c r="G11" s="94" t="s">
        <v>19</v>
      </c>
    </row>
    <row r="12" spans="1:7" s="71" customFormat="1" x14ac:dyDescent="0.3">
      <c r="A12" s="90">
        <v>45839</v>
      </c>
      <c r="B12" s="74" t="s">
        <v>211</v>
      </c>
      <c r="C12" s="91" t="s">
        <v>106</v>
      </c>
      <c r="D12" s="91" t="s">
        <v>364</v>
      </c>
      <c r="E12" s="92">
        <v>-62.28</v>
      </c>
      <c r="F12" s="93" t="s">
        <v>8</v>
      </c>
      <c r="G12" s="94" t="s">
        <v>19</v>
      </c>
    </row>
    <row r="13" spans="1:7" s="71" customFormat="1" x14ac:dyDescent="0.3">
      <c r="A13" s="90">
        <v>45839</v>
      </c>
      <c r="B13" s="74" t="s">
        <v>211</v>
      </c>
      <c r="C13" s="91" t="s">
        <v>72</v>
      </c>
      <c r="D13" s="91" t="s">
        <v>365</v>
      </c>
      <c r="E13" s="92">
        <v>-62.28</v>
      </c>
      <c r="F13" s="93" t="s">
        <v>8</v>
      </c>
      <c r="G13" s="94" t="s">
        <v>19</v>
      </c>
    </row>
    <row r="14" spans="1:7" s="71" customFormat="1" x14ac:dyDescent="0.3">
      <c r="A14" s="90">
        <v>45839</v>
      </c>
      <c r="B14" s="74" t="s">
        <v>211</v>
      </c>
      <c r="C14" s="91" t="s">
        <v>44</v>
      </c>
      <c r="D14" s="91" t="s">
        <v>367</v>
      </c>
      <c r="E14" s="95">
        <v>-207.6</v>
      </c>
      <c r="F14" s="93" t="s">
        <v>8</v>
      </c>
      <c r="G14" s="94" t="s">
        <v>19</v>
      </c>
    </row>
    <row r="15" spans="1:7" s="71" customFormat="1" x14ac:dyDescent="0.3">
      <c r="A15" s="90">
        <v>45839</v>
      </c>
      <c r="B15" s="74" t="s">
        <v>211</v>
      </c>
      <c r="C15" s="91" t="s">
        <v>44</v>
      </c>
      <c r="D15" s="91" t="s">
        <v>366</v>
      </c>
      <c r="E15" s="92">
        <v>-40</v>
      </c>
      <c r="F15" s="93" t="s">
        <v>8</v>
      </c>
      <c r="G15" s="94" t="s">
        <v>83</v>
      </c>
    </row>
    <row r="16" spans="1:7" s="71" customFormat="1" x14ac:dyDescent="0.3">
      <c r="A16" s="90">
        <v>45839</v>
      </c>
      <c r="B16" s="74" t="s">
        <v>211</v>
      </c>
      <c r="C16" s="91" t="s">
        <v>33</v>
      </c>
      <c r="D16" s="91" t="s">
        <v>363</v>
      </c>
      <c r="E16" s="95">
        <v>-100</v>
      </c>
      <c r="F16" s="93" t="s">
        <v>8</v>
      </c>
      <c r="G16" s="94" t="s">
        <v>83</v>
      </c>
    </row>
    <row r="17" spans="1:7" s="71" customFormat="1" x14ac:dyDescent="0.3">
      <c r="A17" s="90">
        <v>45839</v>
      </c>
      <c r="B17" s="74" t="s">
        <v>211</v>
      </c>
      <c r="C17" s="91" t="s">
        <v>106</v>
      </c>
      <c r="D17" s="91" t="s">
        <v>368</v>
      </c>
      <c r="E17" s="95">
        <v>-110</v>
      </c>
      <c r="F17" s="93" t="s">
        <v>8</v>
      </c>
      <c r="G17" s="94" t="s">
        <v>83</v>
      </c>
    </row>
    <row r="18" spans="1:7" s="71" customFormat="1" x14ac:dyDescent="0.3">
      <c r="A18" s="90">
        <v>45839</v>
      </c>
      <c r="B18" s="74" t="s">
        <v>211</v>
      </c>
      <c r="C18" s="91" t="s">
        <v>32</v>
      </c>
      <c r="D18" s="91" t="s">
        <v>369</v>
      </c>
      <c r="E18" s="95">
        <v>-30</v>
      </c>
      <c r="F18" s="93" t="s">
        <v>8</v>
      </c>
      <c r="G18" s="94" t="s">
        <v>83</v>
      </c>
    </row>
    <row r="19" spans="1:7" s="71" customFormat="1" x14ac:dyDescent="0.3">
      <c r="A19" s="90">
        <v>45839</v>
      </c>
      <c r="B19" s="74" t="s">
        <v>211</v>
      </c>
      <c r="C19" s="91" t="s">
        <v>25</v>
      </c>
      <c r="D19" s="91" t="s">
        <v>370</v>
      </c>
      <c r="E19" s="96">
        <v>-40</v>
      </c>
      <c r="F19" s="93" t="s">
        <v>8</v>
      </c>
      <c r="G19" s="94" t="s">
        <v>27</v>
      </c>
    </row>
    <row r="20" spans="1:7" x14ac:dyDescent="0.3">
      <c r="E20" s="72">
        <f>SUM(E5:E19)</f>
        <v>-6341.37</v>
      </c>
    </row>
    <row r="23" spans="1:7" x14ac:dyDescent="0.3">
      <c r="A23" s="914" t="s">
        <v>427</v>
      </c>
      <c r="B23" s="914"/>
      <c r="C23" s="914"/>
      <c r="D23" s="914"/>
      <c r="E23" s="914"/>
      <c r="F23" s="914"/>
      <c r="G23" s="914"/>
    </row>
    <row r="24" spans="1:7" ht="43.8" customHeight="1" x14ac:dyDescent="0.3">
      <c r="A24" s="914"/>
      <c r="B24" s="914"/>
      <c r="C24" s="914"/>
      <c r="D24" s="914"/>
      <c r="E24" s="914"/>
      <c r="F24" s="914"/>
      <c r="G24" s="914"/>
    </row>
    <row r="25" spans="1:7" x14ac:dyDescent="0.3">
      <c r="A25" s="7" t="s">
        <v>0</v>
      </c>
      <c r="B25" s="7" t="s">
        <v>210</v>
      </c>
      <c r="C25" s="40" t="s">
        <v>1</v>
      </c>
      <c r="D25" s="896" t="s">
        <v>2</v>
      </c>
      <c r="E25" s="1" t="s">
        <v>3</v>
      </c>
      <c r="F25" s="2" t="s">
        <v>4</v>
      </c>
      <c r="G25" s="3" t="s">
        <v>5</v>
      </c>
    </row>
    <row r="26" spans="1:7" s="103" customFormat="1" x14ac:dyDescent="0.3">
      <c r="A26" s="98">
        <v>45840</v>
      </c>
      <c r="B26" s="97" t="s">
        <v>211</v>
      </c>
      <c r="C26" s="99" t="s">
        <v>44</v>
      </c>
      <c r="D26" s="99" t="s">
        <v>423</v>
      </c>
      <c r="E26" s="100">
        <v>-1709.15</v>
      </c>
      <c r="F26" s="101" t="s">
        <v>8</v>
      </c>
      <c r="G26" s="102" t="s">
        <v>233</v>
      </c>
    </row>
    <row r="27" spans="1:7" s="103" customFormat="1" x14ac:dyDescent="0.3">
      <c r="A27" s="98">
        <v>45840</v>
      </c>
      <c r="B27" s="97" t="s">
        <v>211</v>
      </c>
      <c r="C27" s="99" t="s">
        <v>72</v>
      </c>
      <c r="D27" s="99" t="s">
        <v>425</v>
      </c>
      <c r="E27" s="100">
        <v>-1330</v>
      </c>
      <c r="F27" s="101" t="s">
        <v>8</v>
      </c>
      <c r="G27" s="104" t="s">
        <v>207</v>
      </c>
    </row>
    <row r="28" spans="1:7" s="103" customFormat="1" x14ac:dyDescent="0.3">
      <c r="A28" s="98">
        <v>45840</v>
      </c>
      <c r="B28" s="97" t="s">
        <v>211</v>
      </c>
      <c r="C28" s="99" t="s">
        <v>31</v>
      </c>
      <c r="D28" s="99" t="s">
        <v>371</v>
      </c>
      <c r="E28" s="100">
        <v>-282.07</v>
      </c>
      <c r="F28" s="101" t="s">
        <v>8</v>
      </c>
      <c r="G28" s="105" t="s">
        <v>76</v>
      </c>
    </row>
    <row r="29" spans="1:7" s="103" customFormat="1" x14ac:dyDescent="0.3">
      <c r="A29" s="106">
        <v>45840</v>
      </c>
      <c r="B29" s="8" t="s">
        <v>211</v>
      </c>
      <c r="C29" s="107" t="s">
        <v>25</v>
      </c>
      <c r="D29" s="107" t="s">
        <v>359</v>
      </c>
      <c r="E29" s="4">
        <v>-21.33</v>
      </c>
      <c r="F29" s="101" t="s">
        <v>8</v>
      </c>
      <c r="G29" s="108" t="s">
        <v>76</v>
      </c>
    </row>
    <row r="30" spans="1:7" s="103" customFormat="1" x14ac:dyDescent="0.3">
      <c r="A30" s="106">
        <v>45840</v>
      </c>
      <c r="B30" s="8" t="s">
        <v>211</v>
      </c>
      <c r="C30" s="99" t="s">
        <v>72</v>
      </c>
      <c r="D30" s="99" t="s">
        <v>357</v>
      </c>
      <c r="E30" s="100">
        <v>-163</v>
      </c>
      <c r="F30" s="101" t="s">
        <v>8</v>
      </c>
      <c r="G30" s="105" t="s">
        <v>358</v>
      </c>
    </row>
    <row r="31" spans="1:7" s="103" customFormat="1" x14ac:dyDescent="0.3">
      <c r="A31" s="106">
        <v>45840</v>
      </c>
      <c r="B31" s="8" t="s">
        <v>211</v>
      </c>
      <c r="C31" s="107" t="s">
        <v>25</v>
      </c>
      <c r="D31" s="107" t="s">
        <v>376</v>
      </c>
      <c r="E31" s="4">
        <v>-99</v>
      </c>
      <c r="F31" s="5" t="s">
        <v>8</v>
      </c>
      <c r="G31" s="108" t="s">
        <v>83</v>
      </c>
    </row>
    <row r="32" spans="1:7" s="103" customFormat="1" x14ac:dyDescent="0.3">
      <c r="A32" s="106">
        <v>45840</v>
      </c>
      <c r="B32" s="8" t="s">
        <v>211</v>
      </c>
      <c r="C32" s="107" t="s">
        <v>25</v>
      </c>
      <c r="D32" s="107" t="s">
        <v>372</v>
      </c>
      <c r="E32" s="4">
        <v>-377.6</v>
      </c>
      <c r="F32" s="5" t="s">
        <v>8</v>
      </c>
      <c r="G32" s="108" t="s">
        <v>83</v>
      </c>
    </row>
    <row r="33" spans="1:7" s="103" customFormat="1" x14ac:dyDescent="0.3">
      <c r="A33" s="106">
        <v>45840</v>
      </c>
      <c r="B33" s="8" t="s">
        <v>211</v>
      </c>
      <c r="C33" s="107" t="s">
        <v>17</v>
      </c>
      <c r="D33" s="107" t="s">
        <v>377</v>
      </c>
      <c r="E33" s="4">
        <v>-165</v>
      </c>
      <c r="F33" s="5" t="s">
        <v>8</v>
      </c>
      <c r="G33" s="108" t="s">
        <v>83</v>
      </c>
    </row>
    <row r="34" spans="1:7" s="103" customFormat="1" x14ac:dyDescent="0.3">
      <c r="A34" s="106">
        <v>45840</v>
      </c>
      <c r="B34" s="8" t="s">
        <v>211</v>
      </c>
      <c r="C34" s="107" t="s">
        <v>44</v>
      </c>
      <c r="D34" s="107" t="s">
        <v>414</v>
      </c>
      <c r="E34" s="4">
        <v>-1593.18</v>
      </c>
      <c r="F34" s="5" t="s">
        <v>8</v>
      </c>
      <c r="G34" s="108" t="s">
        <v>142</v>
      </c>
    </row>
    <row r="35" spans="1:7" s="103" customFormat="1" x14ac:dyDescent="0.3">
      <c r="A35" s="98">
        <v>45840</v>
      </c>
      <c r="B35" s="97" t="s">
        <v>211</v>
      </c>
      <c r="C35" s="109" t="s">
        <v>44</v>
      </c>
      <c r="D35" s="99" t="s">
        <v>416</v>
      </c>
      <c r="E35" s="100">
        <v>-3266.04</v>
      </c>
      <c r="F35" s="110" t="s">
        <v>8</v>
      </c>
      <c r="G35" s="105" t="s">
        <v>233</v>
      </c>
    </row>
    <row r="36" spans="1:7" s="103" customFormat="1" x14ac:dyDescent="0.3">
      <c r="A36" s="98">
        <v>45840</v>
      </c>
      <c r="B36" s="97" t="s">
        <v>211</v>
      </c>
      <c r="C36" s="107" t="s">
        <v>25</v>
      </c>
      <c r="D36" s="107" t="s">
        <v>426</v>
      </c>
      <c r="E36" s="111">
        <v>-150</v>
      </c>
      <c r="F36" s="110" t="s">
        <v>8</v>
      </c>
      <c r="G36" s="108" t="s">
        <v>41</v>
      </c>
    </row>
    <row r="37" spans="1:7" s="103" customFormat="1" x14ac:dyDescent="0.3">
      <c r="A37" s="106">
        <v>45840</v>
      </c>
      <c r="B37" s="8" t="s">
        <v>211</v>
      </c>
      <c r="C37" s="112" t="s">
        <v>17</v>
      </c>
      <c r="D37" s="112" t="s">
        <v>399</v>
      </c>
      <c r="E37" s="113">
        <v>-2651.79</v>
      </c>
      <c r="F37" s="114" t="s">
        <v>8</v>
      </c>
      <c r="G37" s="2" t="s">
        <v>69</v>
      </c>
    </row>
    <row r="38" spans="1:7" s="103" customFormat="1" x14ac:dyDescent="0.3">
      <c r="A38" s="106">
        <v>45840</v>
      </c>
      <c r="B38" s="8" t="s">
        <v>211</v>
      </c>
      <c r="C38" s="112" t="s">
        <v>17</v>
      </c>
      <c r="D38" s="112" t="s">
        <v>399</v>
      </c>
      <c r="E38" s="115">
        <v>-1668.9</v>
      </c>
      <c r="F38" s="114" t="s">
        <v>8</v>
      </c>
      <c r="G38" s="2" t="s">
        <v>69</v>
      </c>
    </row>
    <row r="39" spans="1:7" s="103" customFormat="1" x14ac:dyDescent="0.3">
      <c r="A39" s="98">
        <v>45840</v>
      </c>
      <c r="B39" s="97" t="s">
        <v>211</v>
      </c>
      <c r="C39" s="109" t="s">
        <v>72</v>
      </c>
      <c r="D39" s="99" t="s">
        <v>424</v>
      </c>
      <c r="E39" s="100">
        <v>-902.17</v>
      </c>
      <c r="F39" s="110" t="s">
        <v>8</v>
      </c>
      <c r="G39" s="102" t="s">
        <v>233</v>
      </c>
    </row>
    <row r="40" spans="1:7" x14ac:dyDescent="0.3">
      <c r="E40" s="72">
        <f>SUM(E26:E39)</f>
        <v>-14379.23</v>
      </c>
    </row>
    <row r="41" spans="1:7" x14ac:dyDescent="0.3">
      <c r="A41" s="914" t="s">
        <v>449</v>
      </c>
      <c r="B41" s="914"/>
      <c r="C41" s="914"/>
      <c r="D41" s="914"/>
      <c r="E41" s="914"/>
      <c r="F41" s="914"/>
      <c r="G41" s="914"/>
    </row>
    <row r="42" spans="1:7" ht="47.4" customHeight="1" x14ac:dyDescent="0.3">
      <c r="A42" s="914"/>
      <c r="B42" s="914"/>
      <c r="C42" s="914"/>
      <c r="D42" s="914"/>
      <c r="E42" s="914"/>
      <c r="F42" s="914"/>
      <c r="G42" s="914"/>
    </row>
    <row r="43" spans="1:7" x14ac:dyDescent="0.3">
      <c r="A43" s="127" t="s">
        <v>0</v>
      </c>
      <c r="B43" s="127" t="s">
        <v>210</v>
      </c>
      <c r="C43" s="128" t="s">
        <v>1</v>
      </c>
      <c r="D43" s="898" t="s">
        <v>2</v>
      </c>
      <c r="E43" s="129" t="s">
        <v>3</v>
      </c>
      <c r="F43" s="104" t="s">
        <v>4</v>
      </c>
      <c r="G43" s="130" t="s">
        <v>5</v>
      </c>
    </row>
    <row r="44" spans="1:7" s="103" customFormat="1" x14ac:dyDescent="0.3">
      <c r="A44" s="98">
        <v>45841</v>
      </c>
      <c r="B44" s="97" t="s">
        <v>211</v>
      </c>
      <c r="C44" s="124" t="s">
        <v>106</v>
      </c>
      <c r="D44" s="272" t="s">
        <v>443</v>
      </c>
      <c r="E44" s="125">
        <v>-710.99</v>
      </c>
      <c r="F44" s="110" t="s">
        <v>8</v>
      </c>
      <c r="G44" s="131" t="s">
        <v>114</v>
      </c>
    </row>
    <row r="45" spans="1:7" s="103" customFormat="1" x14ac:dyDescent="0.3">
      <c r="A45" s="98">
        <v>45841</v>
      </c>
      <c r="B45" s="97" t="s">
        <v>211</v>
      </c>
      <c r="C45" s="124" t="s">
        <v>33</v>
      </c>
      <c r="D45" s="272" t="s">
        <v>443</v>
      </c>
      <c r="E45" s="125">
        <v>-408.28</v>
      </c>
      <c r="F45" s="110" t="s">
        <v>8</v>
      </c>
      <c r="G45" s="131" t="s">
        <v>114</v>
      </c>
    </row>
    <row r="46" spans="1:7" s="103" customFormat="1" x14ac:dyDescent="0.3">
      <c r="A46" s="98">
        <v>45841</v>
      </c>
      <c r="B46" s="97" t="s">
        <v>211</v>
      </c>
      <c r="C46" s="124" t="s">
        <v>30</v>
      </c>
      <c r="D46" s="272" t="s">
        <v>443</v>
      </c>
      <c r="E46" s="125">
        <v>-408.28</v>
      </c>
      <c r="F46" s="110" t="s">
        <v>8</v>
      </c>
      <c r="G46" s="131" t="s">
        <v>114</v>
      </c>
    </row>
    <row r="47" spans="1:7" s="103" customFormat="1" x14ac:dyDescent="0.3">
      <c r="A47" s="98">
        <v>45841</v>
      </c>
      <c r="B47" s="97" t="s">
        <v>211</v>
      </c>
      <c r="C47" s="124" t="s">
        <v>32</v>
      </c>
      <c r="D47" s="272" t="s">
        <v>443</v>
      </c>
      <c r="E47" s="125">
        <v>-408.28</v>
      </c>
      <c r="F47" s="110" t="s">
        <v>8</v>
      </c>
      <c r="G47" s="131" t="s">
        <v>114</v>
      </c>
    </row>
    <row r="48" spans="1:7" s="103" customFormat="1" x14ac:dyDescent="0.3">
      <c r="A48" s="98">
        <v>45841</v>
      </c>
      <c r="B48" s="97" t="s">
        <v>211</v>
      </c>
      <c r="C48" s="124" t="s">
        <v>44</v>
      </c>
      <c r="D48" s="272" t="s">
        <v>443</v>
      </c>
      <c r="E48" s="125">
        <v>-243.84</v>
      </c>
      <c r="F48" s="110" t="s">
        <v>8</v>
      </c>
      <c r="G48" s="131" t="s">
        <v>114</v>
      </c>
    </row>
    <row r="49" spans="1:7" s="103" customFormat="1" x14ac:dyDescent="0.3">
      <c r="A49" s="98">
        <v>45841</v>
      </c>
      <c r="B49" s="97" t="s">
        <v>211</v>
      </c>
      <c r="C49" s="124" t="s">
        <v>441</v>
      </c>
      <c r="D49" s="272" t="s">
        <v>443</v>
      </c>
      <c r="E49" s="125">
        <v>-1224.42</v>
      </c>
      <c r="F49" s="110" t="s">
        <v>8</v>
      </c>
      <c r="G49" s="131" t="s">
        <v>114</v>
      </c>
    </row>
    <row r="50" spans="1:7" s="103" customFormat="1" x14ac:dyDescent="0.3">
      <c r="A50" s="98">
        <v>45841</v>
      </c>
      <c r="B50" s="97" t="s">
        <v>211</v>
      </c>
      <c r="C50" s="124" t="s">
        <v>442</v>
      </c>
      <c r="D50" s="272" t="s">
        <v>443</v>
      </c>
      <c r="E50" s="125">
        <v>-1063.23</v>
      </c>
      <c r="F50" s="110" t="s">
        <v>8</v>
      </c>
      <c r="G50" s="131" t="s">
        <v>114</v>
      </c>
    </row>
    <row r="51" spans="1:7" s="103" customFormat="1" x14ac:dyDescent="0.3">
      <c r="A51" s="98">
        <v>45841</v>
      </c>
      <c r="B51" s="97" t="s">
        <v>211</v>
      </c>
      <c r="C51" s="124" t="s">
        <v>17</v>
      </c>
      <c r="D51" s="272" t="s">
        <v>443</v>
      </c>
      <c r="E51" s="125">
        <v>-41.59</v>
      </c>
      <c r="F51" s="110" t="s">
        <v>8</v>
      </c>
      <c r="G51" s="131" t="s">
        <v>114</v>
      </c>
    </row>
    <row r="52" spans="1:7" s="103" customFormat="1" x14ac:dyDescent="0.3">
      <c r="A52" s="98">
        <v>45841</v>
      </c>
      <c r="B52" s="97" t="s">
        <v>211</v>
      </c>
      <c r="C52" s="99" t="s">
        <v>31</v>
      </c>
      <c r="D52" s="99" t="s">
        <v>378</v>
      </c>
      <c r="E52" s="100">
        <v>-200</v>
      </c>
      <c r="F52" s="110" t="s">
        <v>8</v>
      </c>
      <c r="G52" s="105" t="s">
        <v>83</v>
      </c>
    </row>
    <row r="53" spans="1:7" s="103" customFormat="1" x14ac:dyDescent="0.3">
      <c r="A53" s="98">
        <v>45841</v>
      </c>
      <c r="B53" s="97" t="s">
        <v>211</v>
      </c>
      <c r="C53" s="99" t="s">
        <v>25</v>
      </c>
      <c r="D53" s="99" t="s">
        <v>379</v>
      </c>
      <c r="E53" s="100">
        <v>-177</v>
      </c>
      <c r="F53" s="110" t="s">
        <v>8</v>
      </c>
      <c r="G53" s="105" t="s">
        <v>83</v>
      </c>
    </row>
    <row r="54" spans="1:7" s="103" customFormat="1" x14ac:dyDescent="0.3">
      <c r="A54" s="98">
        <v>45841</v>
      </c>
      <c r="B54" s="97" t="s">
        <v>211</v>
      </c>
      <c r="C54" s="99" t="s">
        <v>25</v>
      </c>
      <c r="D54" s="99" t="s">
        <v>380</v>
      </c>
      <c r="E54" s="100">
        <v>-253</v>
      </c>
      <c r="F54" s="110" t="s">
        <v>8</v>
      </c>
      <c r="G54" s="105" t="s">
        <v>83</v>
      </c>
    </row>
    <row r="55" spans="1:7" s="103" customFormat="1" x14ac:dyDescent="0.3">
      <c r="A55" s="98">
        <v>45841</v>
      </c>
      <c r="B55" s="97" t="s">
        <v>211</v>
      </c>
      <c r="C55" s="99" t="s">
        <v>25</v>
      </c>
      <c r="D55" s="99" t="s">
        <v>381</v>
      </c>
      <c r="E55" s="100">
        <v>-165</v>
      </c>
      <c r="F55" s="110" t="s">
        <v>8</v>
      </c>
      <c r="G55" s="105" t="s">
        <v>83</v>
      </c>
    </row>
    <row r="56" spans="1:7" s="103" customFormat="1" x14ac:dyDescent="0.3">
      <c r="A56" s="98">
        <v>45841</v>
      </c>
      <c r="B56" s="97" t="s">
        <v>211</v>
      </c>
      <c r="C56" s="99" t="s">
        <v>25</v>
      </c>
      <c r="D56" s="99" t="s">
        <v>382</v>
      </c>
      <c r="E56" s="100">
        <v>-177</v>
      </c>
      <c r="F56" s="110" t="s">
        <v>8</v>
      </c>
      <c r="G56" s="105" t="s">
        <v>83</v>
      </c>
    </row>
    <row r="57" spans="1:7" s="103" customFormat="1" x14ac:dyDescent="0.3">
      <c r="A57" s="98">
        <v>45841</v>
      </c>
      <c r="B57" s="97" t="s">
        <v>211</v>
      </c>
      <c r="C57" s="99" t="s">
        <v>32</v>
      </c>
      <c r="D57" s="99" t="s">
        <v>383</v>
      </c>
      <c r="E57" s="100">
        <v>-240</v>
      </c>
      <c r="F57" s="110" t="s">
        <v>8</v>
      </c>
      <c r="G57" s="105" t="s">
        <v>83</v>
      </c>
    </row>
    <row r="58" spans="1:7" s="103" customFormat="1" x14ac:dyDescent="0.3">
      <c r="A58" s="98">
        <v>45841</v>
      </c>
      <c r="B58" s="97" t="s">
        <v>211</v>
      </c>
      <c r="C58" s="99" t="s">
        <v>17</v>
      </c>
      <c r="D58" s="99" t="s">
        <v>384</v>
      </c>
      <c r="E58" s="100">
        <v>-130</v>
      </c>
      <c r="F58" s="110" t="s">
        <v>8</v>
      </c>
      <c r="G58" s="105" t="s">
        <v>99</v>
      </c>
    </row>
    <row r="59" spans="1:7" s="103" customFormat="1" x14ac:dyDescent="0.3">
      <c r="A59" s="98">
        <v>45841</v>
      </c>
      <c r="B59" s="97" t="s">
        <v>211</v>
      </c>
      <c r="C59" s="99" t="s">
        <v>25</v>
      </c>
      <c r="D59" s="99" t="s">
        <v>385</v>
      </c>
      <c r="E59" s="100">
        <v>-200</v>
      </c>
      <c r="F59" s="110" t="s">
        <v>8</v>
      </c>
      <c r="G59" s="105" t="s">
        <v>27</v>
      </c>
    </row>
    <row r="60" spans="1:7" s="103" customFormat="1" x14ac:dyDescent="0.3">
      <c r="A60" s="98">
        <v>45841</v>
      </c>
      <c r="B60" s="97" t="s">
        <v>211</v>
      </c>
      <c r="C60" s="109" t="s">
        <v>17</v>
      </c>
      <c r="D60" s="99" t="s">
        <v>205</v>
      </c>
      <c r="E60" s="100">
        <v>-60</v>
      </c>
      <c r="F60" s="110" t="s">
        <v>8</v>
      </c>
      <c r="G60" s="105" t="s">
        <v>142</v>
      </c>
    </row>
    <row r="61" spans="1:7" s="103" customFormat="1" x14ac:dyDescent="0.3">
      <c r="A61" s="98">
        <v>45841</v>
      </c>
      <c r="B61" s="97" t="s">
        <v>211</v>
      </c>
      <c r="C61" s="124" t="s">
        <v>30</v>
      </c>
      <c r="D61" s="272" t="s">
        <v>444</v>
      </c>
      <c r="E61" s="126">
        <v>-360</v>
      </c>
      <c r="F61" s="110" t="s">
        <v>8</v>
      </c>
      <c r="G61" s="105" t="s">
        <v>27</v>
      </c>
    </row>
    <row r="62" spans="1:7" s="103" customFormat="1" x14ac:dyDescent="0.3">
      <c r="A62" s="98">
        <v>45841</v>
      </c>
      <c r="B62" s="97" t="s">
        <v>211</v>
      </c>
      <c r="C62" s="124" t="s">
        <v>30</v>
      </c>
      <c r="D62" s="272" t="s">
        <v>445</v>
      </c>
      <c r="E62" s="126">
        <v>-440</v>
      </c>
      <c r="F62" s="110" t="s">
        <v>8</v>
      </c>
      <c r="G62" s="105" t="s">
        <v>27</v>
      </c>
    </row>
    <row r="63" spans="1:7" s="103" customFormat="1" x14ac:dyDescent="0.3">
      <c r="A63" s="98">
        <v>45841</v>
      </c>
      <c r="B63" s="97" t="s">
        <v>211</v>
      </c>
      <c r="C63" s="124" t="s">
        <v>30</v>
      </c>
      <c r="D63" s="272" t="s">
        <v>446</v>
      </c>
      <c r="E63" s="126">
        <v>-360</v>
      </c>
      <c r="F63" s="110" t="s">
        <v>8</v>
      </c>
      <c r="G63" s="105" t="s">
        <v>27</v>
      </c>
    </row>
    <row r="64" spans="1:7" s="103" customFormat="1" x14ac:dyDescent="0.3">
      <c r="A64" s="98">
        <v>45841</v>
      </c>
      <c r="B64" s="97" t="s">
        <v>211</v>
      </c>
      <c r="C64" s="124" t="s">
        <v>30</v>
      </c>
      <c r="D64" s="272" t="s">
        <v>447</v>
      </c>
      <c r="E64" s="126">
        <v>-120</v>
      </c>
      <c r="F64" s="110" t="s">
        <v>8</v>
      </c>
      <c r="G64" s="105" t="s">
        <v>27</v>
      </c>
    </row>
    <row r="65" spans="1:7" s="103" customFormat="1" x14ac:dyDescent="0.3">
      <c r="A65" s="98">
        <v>45841</v>
      </c>
      <c r="B65" s="97" t="s">
        <v>211</v>
      </c>
      <c r="C65" s="124" t="s">
        <v>30</v>
      </c>
      <c r="D65" s="272" t="s">
        <v>448</v>
      </c>
      <c r="E65" s="126">
        <v>-360</v>
      </c>
      <c r="F65" s="110" t="s">
        <v>8</v>
      </c>
      <c r="G65" s="105" t="s">
        <v>27</v>
      </c>
    </row>
    <row r="66" spans="1:7" x14ac:dyDescent="0.3">
      <c r="E66" s="72">
        <f>SUM(E44:E65)</f>
        <v>-7750.91</v>
      </c>
    </row>
    <row r="68" spans="1:7" x14ac:dyDescent="0.3">
      <c r="A68" s="914" t="s">
        <v>452</v>
      </c>
      <c r="B68" s="914"/>
      <c r="C68" s="914"/>
      <c r="D68" s="914"/>
      <c r="E68" s="914"/>
      <c r="F68" s="914"/>
      <c r="G68" s="914"/>
    </row>
    <row r="69" spans="1:7" ht="43.8" customHeight="1" x14ac:dyDescent="0.3">
      <c r="A69" s="914"/>
      <c r="B69" s="914"/>
      <c r="C69" s="914"/>
      <c r="D69" s="914"/>
      <c r="E69" s="914"/>
      <c r="F69" s="914"/>
      <c r="G69" s="914"/>
    </row>
    <row r="70" spans="1:7" x14ac:dyDescent="0.3">
      <c r="A70" s="7" t="s">
        <v>0</v>
      </c>
      <c r="B70" s="7" t="s">
        <v>210</v>
      </c>
      <c r="C70" s="40" t="s">
        <v>1</v>
      </c>
      <c r="D70" s="896" t="s">
        <v>2</v>
      </c>
      <c r="E70" s="1" t="s">
        <v>3</v>
      </c>
      <c r="F70" s="2" t="s">
        <v>4</v>
      </c>
      <c r="G70" s="3" t="s">
        <v>5</v>
      </c>
    </row>
    <row r="71" spans="1:7" x14ac:dyDescent="0.3">
      <c r="A71" s="132">
        <v>45842</v>
      </c>
      <c r="B71" s="97" t="s">
        <v>211</v>
      </c>
      <c r="C71" s="133" t="s">
        <v>17</v>
      </c>
      <c r="D71" s="899" t="s">
        <v>18</v>
      </c>
      <c r="E71" s="134">
        <v>-16869.599999999999</v>
      </c>
      <c r="F71" s="101" t="s">
        <v>8</v>
      </c>
      <c r="G71" s="104" t="s">
        <v>19</v>
      </c>
    </row>
    <row r="72" spans="1:7" x14ac:dyDescent="0.3">
      <c r="A72" s="135">
        <v>45842</v>
      </c>
      <c r="B72" s="97" t="s">
        <v>211</v>
      </c>
      <c r="C72" s="136" t="s">
        <v>6</v>
      </c>
      <c r="D72" s="272" t="s">
        <v>23</v>
      </c>
      <c r="E72" s="126">
        <v>-3809.98</v>
      </c>
      <c r="F72" s="110" t="s">
        <v>8</v>
      </c>
      <c r="G72" s="137" t="s">
        <v>24</v>
      </c>
    </row>
    <row r="73" spans="1:7" x14ac:dyDescent="0.3">
      <c r="A73" s="135">
        <v>45842</v>
      </c>
      <c r="B73" s="97" t="s">
        <v>211</v>
      </c>
      <c r="C73" s="133" t="s">
        <v>25</v>
      </c>
      <c r="D73" s="899" t="s">
        <v>28</v>
      </c>
      <c r="E73" s="126">
        <v>-389</v>
      </c>
      <c r="F73" s="101" t="s">
        <v>8</v>
      </c>
      <c r="G73" s="130" t="s">
        <v>29</v>
      </c>
    </row>
    <row r="74" spans="1:7" x14ac:dyDescent="0.3">
      <c r="A74" s="135">
        <v>45842</v>
      </c>
      <c r="B74" s="97" t="s">
        <v>211</v>
      </c>
      <c r="C74" s="133" t="s">
        <v>25</v>
      </c>
      <c r="D74" s="899" t="s">
        <v>450</v>
      </c>
      <c r="E74" s="126">
        <v>-389</v>
      </c>
      <c r="F74" s="101" t="s">
        <v>8</v>
      </c>
      <c r="G74" s="130" t="s">
        <v>29</v>
      </c>
    </row>
    <row r="75" spans="1:7" x14ac:dyDescent="0.3">
      <c r="A75" s="135">
        <v>45842</v>
      </c>
      <c r="B75" s="97" t="s">
        <v>211</v>
      </c>
      <c r="C75" s="133" t="s">
        <v>33</v>
      </c>
      <c r="D75" s="899" t="s">
        <v>450</v>
      </c>
      <c r="E75" s="126">
        <v>-389</v>
      </c>
      <c r="F75" s="101" t="s">
        <v>8</v>
      </c>
      <c r="G75" s="130" t="s">
        <v>29</v>
      </c>
    </row>
    <row r="76" spans="1:7" x14ac:dyDescent="0.3">
      <c r="A76" s="132">
        <v>45842</v>
      </c>
      <c r="B76" s="97" t="s">
        <v>211</v>
      </c>
      <c r="C76" s="133" t="s">
        <v>6</v>
      </c>
      <c r="D76" s="899" t="s">
        <v>40</v>
      </c>
      <c r="E76" s="134">
        <v>-460657.26</v>
      </c>
      <c r="F76" s="101" t="s">
        <v>8</v>
      </c>
      <c r="G76" s="104" t="s">
        <v>41</v>
      </c>
    </row>
    <row r="77" spans="1:7" x14ac:dyDescent="0.3">
      <c r="A77" s="132">
        <v>45842</v>
      </c>
      <c r="B77" s="97" t="s">
        <v>211</v>
      </c>
      <c r="C77" s="133" t="s">
        <v>433</v>
      </c>
      <c r="D77" s="899" t="s">
        <v>42</v>
      </c>
      <c r="E77" s="134">
        <v>-500</v>
      </c>
      <c r="F77" s="101" t="s">
        <v>8</v>
      </c>
      <c r="G77" s="104" t="s">
        <v>41</v>
      </c>
    </row>
    <row r="78" spans="1:7" x14ac:dyDescent="0.3">
      <c r="A78" s="132">
        <v>45842</v>
      </c>
      <c r="B78" s="97" t="s">
        <v>211</v>
      </c>
      <c r="C78" s="128" t="s">
        <v>6</v>
      </c>
      <c r="D78" s="899" t="s">
        <v>451</v>
      </c>
      <c r="E78" s="134">
        <v>-1974.52</v>
      </c>
      <c r="F78" s="101" t="s">
        <v>8</v>
      </c>
      <c r="G78" s="104" t="s">
        <v>41</v>
      </c>
    </row>
    <row r="79" spans="1:7" x14ac:dyDescent="0.3">
      <c r="A79" s="98">
        <v>45842</v>
      </c>
      <c r="B79" s="97" t="s">
        <v>211</v>
      </c>
      <c r="C79" s="109" t="s">
        <v>72</v>
      </c>
      <c r="D79" s="99" t="s">
        <v>204</v>
      </c>
      <c r="E79" s="100">
        <v>-1146.51</v>
      </c>
      <c r="F79" s="110" t="s">
        <v>8</v>
      </c>
      <c r="G79" s="102" t="s">
        <v>233</v>
      </c>
    </row>
    <row r="80" spans="1:7" x14ac:dyDescent="0.3">
      <c r="A80" s="138">
        <v>45842</v>
      </c>
      <c r="B80" s="97" t="s">
        <v>211</v>
      </c>
      <c r="C80" s="139" t="s">
        <v>17</v>
      </c>
      <c r="D80" s="112" t="s">
        <v>412</v>
      </c>
      <c r="E80" s="115">
        <v>-2000</v>
      </c>
      <c r="F80" s="114" t="s">
        <v>8</v>
      </c>
      <c r="G80" s="2" t="s">
        <v>150</v>
      </c>
    </row>
    <row r="81" spans="1:7" x14ac:dyDescent="0.3">
      <c r="A81" s="138">
        <v>45842</v>
      </c>
      <c r="B81" s="97" t="s">
        <v>211</v>
      </c>
      <c r="C81" s="139" t="s">
        <v>432</v>
      </c>
      <c r="D81" s="112" t="s">
        <v>413</v>
      </c>
      <c r="E81" s="115">
        <v>-150</v>
      </c>
      <c r="F81" s="114" t="s">
        <v>8</v>
      </c>
      <c r="G81" s="2" t="s">
        <v>150</v>
      </c>
    </row>
    <row r="82" spans="1:7" x14ac:dyDescent="0.3">
      <c r="A82" s="98">
        <v>45842</v>
      </c>
      <c r="B82" s="97" t="s">
        <v>211</v>
      </c>
      <c r="C82" s="99" t="s">
        <v>72</v>
      </c>
      <c r="D82" s="99" t="s">
        <v>75</v>
      </c>
      <c r="E82" s="100">
        <v>-293.45999999999998</v>
      </c>
      <c r="F82" s="110" t="s">
        <v>8</v>
      </c>
      <c r="G82" s="105" t="s">
        <v>74</v>
      </c>
    </row>
    <row r="83" spans="1:7" x14ac:dyDescent="0.3">
      <c r="A83" s="140">
        <v>45842</v>
      </c>
      <c r="B83" s="141" t="s">
        <v>211</v>
      </c>
      <c r="C83" s="142" t="s">
        <v>6</v>
      </c>
      <c r="D83" s="142" t="s">
        <v>360</v>
      </c>
      <c r="E83" s="143">
        <v>-180</v>
      </c>
      <c r="F83" s="144" t="s">
        <v>8</v>
      </c>
      <c r="G83" s="145" t="s">
        <v>361</v>
      </c>
    </row>
    <row r="84" spans="1:7" x14ac:dyDescent="0.3">
      <c r="A84" s="98">
        <v>45842</v>
      </c>
      <c r="B84" s="97" t="s">
        <v>211</v>
      </c>
      <c r="C84" s="99" t="s">
        <v>31</v>
      </c>
      <c r="D84" s="99" t="s">
        <v>373</v>
      </c>
      <c r="E84" s="100">
        <v>-1673.53</v>
      </c>
      <c r="F84" s="110" t="s">
        <v>8</v>
      </c>
      <c r="G84" s="105" t="s">
        <v>76</v>
      </c>
    </row>
    <row r="85" spans="1:7" x14ac:dyDescent="0.3">
      <c r="A85" s="98">
        <v>45842</v>
      </c>
      <c r="B85" s="97" t="s">
        <v>211</v>
      </c>
      <c r="C85" s="99" t="s">
        <v>72</v>
      </c>
      <c r="D85" s="99" t="s">
        <v>374</v>
      </c>
      <c r="E85" s="100">
        <v>-3012.37</v>
      </c>
      <c r="F85" s="110" t="s">
        <v>8</v>
      </c>
      <c r="G85" s="105" t="s">
        <v>76</v>
      </c>
    </row>
    <row r="86" spans="1:7" x14ac:dyDescent="0.3">
      <c r="A86" s="98">
        <v>45842</v>
      </c>
      <c r="B86" s="97" t="s">
        <v>211</v>
      </c>
      <c r="C86" s="99" t="s">
        <v>33</v>
      </c>
      <c r="D86" s="99" t="s">
        <v>390</v>
      </c>
      <c r="E86" s="100">
        <v>-1442.11</v>
      </c>
      <c r="F86" s="110" t="s">
        <v>8</v>
      </c>
      <c r="G86" s="105" t="s">
        <v>76</v>
      </c>
    </row>
    <row r="87" spans="1:7" x14ac:dyDescent="0.3">
      <c r="A87" s="98">
        <v>45842</v>
      </c>
      <c r="B87" s="97" t="s">
        <v>211</v>
      </c>
      <c r="C87" s="99" t="s">
        <v>32</v>
      </c>
      <c r="D87" s="99" t="s">
        <v>391</v>
      </c>
      <c r="E87" s="100">
        <v>-2146.87</v>
      </c>
      <c r="F87" s="110" t="s">
        <v>8</v>
      </c>
      <c r="G87" s="105" t="s">
        <v>76</v>
      </c>
    </row>
    <row r="88" spans="1:7" x14ac:dyDescent="0.3">
      <c r="A88" s="98">
        <v>45842</v>
      </c>
      <c r="B88" s="97" t="s">
        <v>211</v>
      </c>
      <c r="C88" s="146" t="s">
        <v>25</v>
      </c>
      <c r="D88" s="99" t="s">
        <v>386</v>
      </c>
      <c r="E88" s="100">
        <v>-194.6</v>
      </c>
      <c r="F88" s="110" t="s">
        <v>8</v>
      </c>
      <c r="G88" s="105" t="s">
        <v>83</v>
      </c>
    </row>
    <row r="89" spans="1:7" x14ac:dyDescent="0.3">
      <c r="A89" s="98">
        <v>45842</v>
      </c>
      <c r="B89" s="97" t="s">
        <v>211</v>
      </c>
      <c r="C89" s="99" t="s">
        <v>32</v>
      </c>
      <c r="D89" s="146" t="s">
        <v>387</v>
      </c>
      <c r="E89" s="100">
        <v>-225.6</v>
      </c>
      <c r="F89" s="110" t="s">
        <v>8</v>
      </c>
      <c r="G89" s="105" t="s">
        <v>83</v>
      </c>
    </row>
    <row r="90" spans="1:7" x14ac:dyDescent="0.3">
      <c r="A90" s="98">
        <v>45842</v>
      </c>
      <c r="B90" s="97" t="s">
        <v>211</v>
      </c>
      <c r="C90" s="99" t="s">
        <v>25</v>
      </c>
      <c r="D90" s="99" t="s">
        <v>429</v>
      </c>
      <c r="E90" s="100">
        <v>-225.6</v>
      </c>
      <c r="F90" s="110" t="s">
        <v>8</v>
      </c>
      <c r="G90" s="105" t="s">
        <v>83</v>
      </c>
    </row>
    <row r="91" spans="1:7" x14ac:dyDescent="0.3">
      <c r="A91" s="98">
        <v>45842</v>
      </c>
      <c r="B91" s="97" t="s">
        <v>211</v>
      </c>
      <c r="C91" s="99" t="s">
        <v>25</v>
      </c>
      <c r="D91" s="99" t="s">
        <v>430</v>
      </c>
      <c r="E91" s="100">
        <v>-267</v>
      </c>
      <c r="F91" s="110" t="s">
        <v>8</v>
      </c>
      <c r="G91" s="105" t="s">
        <v>83</v>
      </c>
    </row>
    <row r="92" spans="1:7" x14ac:dyDescent="0.3">
      <c r="A92" s="98">
        <v>45842</v>
      </c>
      <c r="B92" s="97" t="s">
        <v>211</v>
      </c>
      <c r="C92" s="99" t="s">
        <v>17</v>
      </c>
      <c r="D92" s="99" t="s">
        <v>384</v>
      </c>
      <c r="E92" s="100">
        <v>-225.6</v>
      </c>
      <c r="F92" s="110" t="s">
        <v>8</v>
      </c>
      <c r="G92" s="147" t="s">
        <v>99</v>
      </c>
    </row>
    <row r="93" spans="1:7" x14ac:dyDescent="0.3">
      <c r="A93" s="98">
        <v>45842</v>
      </c>
      <c r="B93" s="97" t="s">
        <v>211</v>
      </c>
      <c r="C93" s="99" t="s">
        <v>44</v>
      </c>
      <c r="D93" s="99" t="s">
        <v>388</v>
      </c>
      <c r="E93" s="100">
        <v>-368.68</v>
      </c>
      <c r="F93" s="110" t="s">
        <v>8</v>
      </c>
      <c r="G93" s="105" t="s">
        <v>389</v>
      </c>
    </row>
    <row r="94" spans="1:7" x14ac:dyDescent="0.3">
      <c r="A94" s="98">
        <v>45842</v>
      </c>
      <c r="B94" s="97" t="s">
        <v>211</v>
      </c>
      <c r="C94" s="99" t="s">
        <v>25</v>
      </c>
      <c r="D94" s="99" t="s">
        <v>392</v>
      </c>
      <c r="E94" s="100">
        <v>-3675</v>
      </c>
      <c r="F94" s="110" t="s">
        <v>8</v>
      </c>
      <c r="G94" s="105" t="s">
        <v>155</v>
      </c>
    </row>
    <row r="95" spans="1:7" x14ac:dyDescent="0.3">
      <c r="A95" s="140">
        <v>45842</v>
      </c>
      <c r="B95" s="141" t="s">
        <v>211</v>
      </c>
      <c r="C95" s="99" t="s">
        <v>6</v>
      </c>
      <c r="D95" s="762" t="s">
        <v>428</v>
      </c>
      <c r="E95" s="143">
        <v>-6441.1</v>
      </c>
      <c r="F95" s="144" t="s">
        <v>8</v>
      </c>
      <c r="G95" s="148" t="s">
        <v>46</v>
      </c>
    </row>
    <row r="96" spans="1:7" x14ac:dyDescent="0.3">
      <c r="A96" s="98">
        <v>45842</v>
      </c>
      <c r="B96" s="97" t="s">
        <v>211</v>
      </c>
      <c r="C96" s="99" t="s">
        <v>6</v>
      </c>
      <c r="D96" s="99" t="s">
        <v>48</v>
      </c>
      <c r="E96" s="100">
        <v>-1163.28</v>
      </c>
      <c r="F96" s="110" t="s">
        <v>8</v>
      </c>
      <c r="G96" s="105" t="s">
        <v>49</v>
      </c>
    </row>
    <row r="97" spans="1:7" x14ac:dyDescent="0.3">
      <c r="A97" s="98">
        <v>45842</v>
      </c>
      <c r="B97" s="97" t="s">
        <v>211</v>
      </c>
      <c r="C97" s="99" t="s">
        <v>6</v>
      </c>
      <c r="D97" s="99" t="s">
        <v>48</v>
      </c>
      <c r="E97" s="100">
        <v>-196.43</v>
      </c>
      <c r="F97" s="110" t="s">
        <v>8</v>
      </c>
      <c r="G97" s="105" t="s">
        <v>49</v>
      </c>
    </row>
    <row r="98" spans="1:7" x14ac:dyDescent="0.3">
      <c r="A98" s="149">
        <v>45842</v>
      </c>
      <c r="B98" s="150" t="s">
        <v>211</v>
      </c>
      <c r="C98" s="151" t="s">
        <v>44</v>
      </c>
      <c r="D98" s="151" t="s">
        <v>232</v>
      </c>
      <c r="E98" s="152">
        <v>-845.1</v>
      </c>
      <c r="F98" s="153" t="s">
        <v>8</v>
      </c>
      <c r="G98" s="154" t="s">
        <v>233</v>
      </c>
    </row>
    <row r="99" spans="1:7" x14ac:dyDescent="0.3">
      <c r="A99" s="106">
        <v>45842</v>
      </c>
      <c r="B99" s="8" t="s">
        <v>211</v>
      </c>
      <c r="C99" s="155" t="s">
        <v>44</v>
      </c>
      <c r="D99" s="107" t="s">
        <v>232</v>
      </c>
      <c r="E99" s="4">
        <v>-3534.54</v>
      </c>
      <c r="F99" s="110" t="s">
        <v>8</v>
      </c>
      <c r="G99" s="102" t="s">
        <v>233</v>
      </c>
    </row>
    <row r="100" spans="1:7" x14ac:dyDescent="0.3">
      <c r="E100" s="72">
        <f>SUM(E71:E99)</f>
        <v>-514385.73999999993</v>
      </c>
    </row>
    <row r="103" spans="1:7" x14ac:dyDescent="0.3">
      <c r="A103" s="914" t="s">
        <v>465</v>
      </c>
      <c r="B103" s="914"/>
      <c r="C103" s="914"/>
      <c r="D103" s="914"/>
      <c r="E103" s="914"/>
      <c r="F103" s="914"/>
      <c r="G103" s="914"/>
    </row>
    <row r="104" spans="1:7" ht="45.6" customHeight="1" x14ac:dyDescent="0.3">
      <c r="A104" s="914"/>
      <c r="B104" s="914"/>
      <c r="C104" s="914"/>
      <c r="D104" s="914"/>
      <c r="E104" s="914"/>
      <c r="F104" s="914"/>
      <c r="G104" s="914"/>
    </row>
    <row r="105" spans="1:7" x14ac:dyDescent="0.3">
      <c r="A105" s="7" t="s">
        <v>0</v>
      </c>
      <c r="B105" s="7" t="s">
        <v>210</v>
      </c>
      <c r="C105" s="40" t="s">
        <v>1</v>
      </c>
      <c r="D105" s="896" t="s">
        <v>2</v>
      </c>
      <c r="E105" s="1" t="s">
        <v>3</v>
      </c>
      <c r="F105" s="2" t="s">
        <v>4</v>
      </c>
      <c r="G105" s="3" t="s">
        <v>5</v>
      </c>
    </row>
    <row r="106" spans="1:7" x14ac:dyDescent="0.3">
      <c r="A106" s="132">
        <v>45845</v>
      </c>
      <c r="B106" s="97" t="s">
        <v>211</v>
      </c>
      <c r="C106" s="157" t="s">
        <v>31</v>
      </c>
      <c r="D106" s="900" t="s">
        <v>38</v>
      </c>
      <c r="E106" s="134">
        <v>-613.47</v>
      </c>
      <c r="F106" s="101" t="s">
        <v>8</v>
      </c>
      <c r="G106" s="158" t="s">
        <v>39</v>
      </c>
    </row>
    <row r="107" spans="1:7" x14ac:dyDescent="0.3">
      <c r="A107" s="132">
        <v>45845</v>
      </c>
      <c r="B107" s="97" t="s">
        <v>211</v>
      </c>
      <c r="C107" s="159" t="s">
        <v>13</v>
      </c>
      <c r="D107" s="899" t="s">
        <v>463</v>
      </c>
      <c r="E107" s="134">
        <v>-2980</v>
      </c>
      <c r="F107" s="101" t="s">
        <v>8</v>
      </c>
      <c r="G107" s="104" t="s">
        <v>27</v>
      </c>
    </row>
    <row r="108" spans="1:7" x14ac:dyDescent="0.3">
      <c r="A108" s="132">
        <v>45845</v>
      </c>
      <c r="B108" s="97" t="s">
        <v>211</v>
      </c>
      <c r="C108" s="159" t="s">
        <v>13</v>
      </c>
      <c r="D108" s="107" t="s">
        <v>460</v>
      </c>
      <c r="E108" s="160">
        <v>-1700</v>
      </c>
      <c r="F108" s="101" t="s">
        <v>8</v>
      </c>
      <c r="G108" s="104" t="s">
        <v>27</v>
      </c>
    </row>
    <row r="109" spans="1:7" x14ac:dyDescent="0.3">
      <c r="A109" s="132">
        <v>45845</v>
      </c>
      <c r="B109" s="97" t="s">
        <v>211</v>
      </c>
      <c r="C109" s="159" t="s">
        <v>13</v>
      </c>
      <c r="D109" s="107" t="s">
        <v>461</v>
      </c>
      <c r="E109" s="160">
        <v>-1000</v>
      </c>
      <c r="F109" s="101" t="s">
        <v>8</v>
      </c>
      <c r="G109" s="104" t="s">
        <v>27</v>
      </c>
    </row>
    <row r="110" spans="1:7" x14ac:dyDescent="0.3">
      <c r="A110" s="132">
        <v>45845</v>
      </c>
      <c r="B110" s="97" t="s">
        <v>211</v>
      </c>
      <c r="C110" s="159" t="s">
        <v>13</v>
      </c>
      <c r="D110" s="107" t="s">
        <v>462</v>
      </c>
      <c r="E110" s="160">
        <v>-600</v>
      </c>
      <c r="F110" s="101" t="s">
        <v>8</v>
      </c>
      <c r="G110" s="104" t="s">
        <v>27</v>
      </c>
    </row>
    <row r="111" spans="1:7" x14ac:dyDescent="0.3">
      <c r="A111" s="132">
        <v>45845</v>
      </c>
      <c r="B111" s="97" t="s">
        <v>211</v>
      </c>
      <c r="C111" s="159" t="s">
        <v>13</v>
      </c>
      <c r="D111" s="107" t="s">
        <v>456</v>
      </c>
      <c r="E111" s="160">
        <v>-900</v>
      </c>
      <c r="F111" s="101" t="s">
        <v>8</v>
      </c>
      <c r="G111" s="104" t="s">
        <v>27</v>
      </c>
    </row>
    <row r="112" spans="1:7" x14ac:dyDescent="0.3">
      <c r="A112" s="132">
        <v>45845</v>
      </c>
      <c r="B112" s="97" t="s">
        <v>211</v>
      </c>
      <c r="C112" s="159" t="s">
        <v>13</v>
      </c>
      <c r="D112" s="107" t="s">
        <v>457</v>
      </c>
      <c r="E112" s="160">
        <v>-900</v>
      </c>
      <c r="F112" s="101" t="s">
        <v>8</v>
      </c>
      <c r="G112" s="104" t="s">
        <v>27</v>
      </c>
    </row>
    <row r="113" spans="1:7" x14ac:dyDescent="0.3">
      <c r="A113" s="132">
        <v>45845</v>
      </c>
      <c r="B113" s="97" t="s">
        <v>211</v>
      </c>
      <c r="C113" s="159" t="s">
        <v>13</v>
      </c>
      <c r="D113" s="107" t="s">
        <v>458</v>
      </c>
      <c r="E113" s="160">
        <v>-1000</v>
      </c>
      <c r="F113" s="101" t="s">
        <v>8</v>
      </c>
      <c r="G113" s="104" t="s">
        <v>27</v>
      </c>
    </row>
    <row r="114" spans="1:7" x14ac:dyDescent="0.3">
      <c r="A114" s="132">
        <v>45845</v>
      </c>
      <c r="B114" s="97" t="s">
        <v>211</v>
      </c>
      <c r="C114" s="159" t="s">
        <v>13</v>
      </c>
      <c r="D114" s="107" t="s">
        <v>459</v>
      </c>
      <c r="E114" s="160">
        <v>-1020</v>
      </c>
      <c r="F114" s="101" t="s">
        <v>8</v>
      </c>
      <c r="G114" s="104" t="s">
        <v>27</v>
      </c>
    </row>
    <row r="115" spans="1:7" x14ac:dyDescent="0.3">
      <c r="A115" s="106">
        <v>45845</v>
      </c>
      <c r="B115" s="8" t="s">
        <v>211</v>
      </c>
      <c r="C115" s="107" t="s">
        <v>17</v>
      </c>
      <c r="D115" s="107" t="s">
        <v>464</v>
      </c>
      <c r="E115" s="160">
        <v>-159.4</v>
      </c>
      <c r="F115" s="101" t="s">
        <v>8</v>
      </c>
      <c r="G115" s="104" t="s">
        <v>22</v>
      </c>
    </row>
    <row r="116" spans="1:7" x14ac:dyDescent="0.3">
      <c r="A116" s="106">
        <v>45845</v>
      </c>
      <c r="B116" s="8" t="s">
        <v>211</v>
      </c>
      <c r="C116" s="107" t="s">
        <v>17</v>
      </c>
      <c r="D116" s="107" t="s">
        <v>393</v>
      </c>
      <c r="E116" s="4">
        <v>-708.24</v>
      </c>
      <c r="F116" s="108" t="s">
        <v>8</v>
      </c>
      <c r="G116" s="108" t="s">
        <v>394</v>
      </c>
    </row>
    <row r="117" spans="1:7" x14ac:dyDescent="0.3">
      <c r="A117" s="98">
        <v>45845</v>
      </c>
      <c r="B117" s="8" t="s">
        <v>211</v>
      </c>
      <c r="C117" s="99" t="s">
        <v>25</v>
      </c>
      <c r="D117" s="99" t="s">
        <v>453</v>
      </c>
      <c r="E117" s="100">
        <v>-448</v>
      </c>
      <c r="F117" s="108" t="s">
        <v>8</v>
      </c>
      <c r="G117" s="105" t="s">
        <v>83</v>
      </c>
    </row>
    <row r="118" spans="1:7" x14ac:dyDescent="0.3">
      <c r="A118" s="98">
        <v>45845</v>
      </c>
      <c r="B118" s="8" t="s">
        <v>211</v>
      </c>
      <c r="C118" s="99" t="s">
        <v>25</v>
      </c>
      <c r="D118" s="99" t="s">
        <v>454</v>
      </c>
      <c r="E118" s="100">
        <v>-177</v>
      </c>
      <c r="F118" s="108" t="s">
        <v>8</v>
      </c>
      <c r="G118" s="105" t="s">
        <v>83</v>
      </c>
    </row>
    <row r="119" spans="1:7" x14ac:dyDescent="0.3">
      <c r="A119" s="98">
        <v>45845</v>
      </c>
      <c r="B119" s="8" t="s">
        <v>211</v>
      </c>
      <c r="C119" s="99" t="s">
        <v>25</v>
      </c>
      <c r="D119" s="99" t="s">
        <v>455</v>
      </c>
      <c r="E119" s="100">
        <v>-412.5</v>
      </c>
      <c r="F119" s="108" t="s">
        <v>8</v>
      </c>
      <c r="G119" s="105" t="s">
        <v>83</v>
      </c>
    </row>
    <row r="120" spans="1:7" x14ac:dyDescent="0.3">
      <c r="A120" s="98">
        <v>45845</v>
      </c>
      <c r="B120" s="8" t="s">
        <v>211</v>
      </c>
      <c r="C120" s="99" t="s">
        <v>25</v>
      </c>
      <c r="D120" s="99" t="s">
        <v>386</v>
      </c>
      <c r="E120" s="100">
        <v>-278</v>
      </c>
      <c r="F120" s="108" t="s">
        <v>8</v>
      </c>
      <c r="G120" s="105" t="s">
        <v>83</v>
      </c>
    </row>
    <row r="121" spans="1:7" x14ac:dyDescent="0.3">
      <c r="A121" s="98">
        <v>45845</v>
      </c>
      <c r="B121" s="97" t="s">
        <v>211</v>
      </c>
      <c r="C121" s="109" t="s">
        <v>6</v>
      </c>
      <c r="D121" s="99" t="s">
        <v>192</v>
      </c>
      <c r="E121" s="100">
        <v>-1000</v>
      </c>
      <c r="F121" s="105" t="s">
        <v>8</v>
      </c>
      <c r="G121" s="105" t="s">
        <v>189</v>
      </c>
    </row>
    <row r="122" spans="1:7" x14ac:dyDescent="0.3">
      <c r="E122" s="72">
        <f>SUM(E106:E121)</f>
        <v>-13896.61</v>
      </c>
    </row>
    <row r="127" spans="1:7" x14ac:dyDescent="0.3">
      <c r="A127" s="914" t="s">
        <v>488</v>
      </c>
      <c r="B127" s="914"/>
      <c r="C127" s="914"/>
      <c r="D127" s="914"/>
      <c r="E127" s="914"/>
      <c r="F127" s="914"/>
      <c r="G127" s="914"/>
    </row>
    <row r="128" spans="1:7" ht="44.4" customHeight="1" x14ac:dyDescent="0.3">
      <c r="A128" s="914"/>
      <c r="B128" s="914"/>
      <c r="C128" s="914"/>
      <c r="D128" s="914"/>
      <c r="E128" s="914"/>
      <c r="F128" s="914"/>
      <c r="G128" s="914"/>
    </row>
    <row r="129" spans="1:7" x14ac:dyDescent="0.3">
      <c r="A129" s="7" t="s">
        <v>0</v>
      </c>
      <c r="B129" s="7" t="s">
        <v>210</v>
      </c>
      <c r="C129" s="40" t="s">
        <v>1</v>
      </c>
      <c r="D129" s="896" t="s">
        <v>2</v>
      </c>
      <c r="E129" s="1" t="s">
        <v>3</v>
      </c>
      <c r="F129" s="2" t="s">
        <v>4</v>
      </c>
      <c r="G129" s="3" t="s">
        <v>5</v>
      </c>
    </row>
    <row r="130" spans="1:7" x14ac:dyDescent="0.3">
      <c r="A130" s="132">
        <v>45846</v>
      </c>
      <c r="B130" s="97" t="s">
        <v>211</v>
      </c>
      <c r="C130" s="159" t="s">
        <v>13</v>
      </c>
      <c r="D130" s="107" t="s">
        <v>459</v>
      </c>
      <c r="E130" s="160">
        <v>-1020</v>
      </c>
      <c r="F130" s="101" t="s">
        <v>8</v>
      </c>
      <c r="G130" s="104" t="s">
        <v>27</v>
      </c>
    </row>
    <row r="131" spans="1:7" x14ac:dyDescent="0.3">
      <c r="A131" s="98">
        <v>45846</v>
      </c>
      <c r="B131" s="97" t="s">
        <v>211</v>
      </c>
      <c r="C131" s="109" t="s">
        <v>106</v>
      </c>
      <c r="D131" s="99" t="s">
        <v>484</v>
      </c>
      <c r="E131" s="100">
        <v>-2000</v>
      </c>
      <c r="F131" s="105" t="s">
        <v>8</v>
      </c>
      <c r="G131" s="105" t="s">
        <v>189</v>
      </c>
    </row>
    <row r="132" spans="1:7" x14ac:dyDescent="0.3">
      <c r="A132" s="138">
        <v>45846</v>
      </c>
      <c r="B132" s="97" t="s">
        <v>211</v>
      </c>
      <c r="C132" s="162" t="s">
        <v>44</v>
      </c>
      <c r="D132" s="99" t="s">
        <v>474</v>
      </c>
      <c r="E132" s="100">
        <v>-3255.2</v>
      </c>
      <c r="F132" s="110" t="s">
        <v>8</v>
      </c>
      <c r="G132" s="102" t="s">
        <v>233</v>
      </c>
    </row>
    <row r="133" spans="1:7" x14ac:dyDescent="0.3">
      <c r="A133" s="138">
        <v>45846</v>
      </c>
      <c r="B133" s="97" t="s">
        <v>211</v>
      </c>
      <c r="C133" s="155" t="s">
        <v>17</v>
      </c>
      <c r="D133" s="107" t="s">
        <v>471</v>
      </c>
      <c r="E133" s="4">
        <v>-90</v>
      </c>
      <c r="F133" s="110" t="s">
        <v>8</v>
      </c>
      <c r="G133" s="130" t="s">
        <v>142</v>
      </c>
    </row>
    <row r="134" spans="1:7" x14ac:dyDescent="0.3">
      <c r="A134" s="138">
        <v>45846</v>
      </c>
      <c r="B134" s="97" t="s">
        <v>211</v>
      </c>
      <c r="C134" s="99" t="s">
        <v>33</v>
      </c>
      <c r="D134" s="99" t="s">
        <v>396</v>
      </c>
      <c r="E134" s="100">
        <v>-105.31</v>
      </c>
      <c r="F134" s="110" t="s">
        <v>8</v>
      </c>
      <c r="G134" s="105" t="s">
        <v>76</v>
      </c>
    </row>
    <row r="135" spans="1:7" x14ac:dyDescent="0.3">
      <c r="A135" s="138">
        <v>45846</v>
      </c>
      <c r="B135" s="97" t="s">
        <v>211</v>
      </c>
      <c r="C135" s="99" t="s">
        <v>72</v>
      </c>
      <c r="D135" s="99" t="s">
        <v>470</v>
      </c>
      <c r="E135" s="100">
        <v>-252.74</v>
      </c>
      <c r="F135" s="110" t="s">
        <v>8</v>
      </c>
      <c r="G135" s="105" t="s">
        <v>76</v>
      </c>
    </row>
    <row r="136" spans="1:7" x14ac:dyDescent="0.3">
      <c r="A136" s="163">
        <v>45846</v>
      </c>
      <c r="B136" s="164" t="s">
        <v>211</v>
      </c>
      <c r="C136" s="99" t="s">
        <v>25</v>
      </c>
      <c r="D136" s="99" t="s">
        <v>362</v>
      </c>
      <c r="E136" s="100">
        <v>-5600</v>
      </c>
      <c r="F136" s="110" t="s">
        <v>8</v>
      </c>
      <c r="G136" s="158" t="s">
        <v>189</v>
      </c>
    </row>
    <row r="137" spans="1:7" x14ac:dyDescent="0.3">
      <c r="A137" s="138">
        <v>45846</v>
      </c>
      <c r="B137" s="97" t="s">
        <v>211</v>
      </c>
      <c r="C137" s="99" t="s">
        <v>72</v>
      </c>
      <c r="D137" s="99" t="s">
        <v>473</v>
      </c>
      <c r="E137" s="100">
        <v>-352.25</v>
      </c>
      <c r="F137" s="110" t="s">
        <v>8</v>
      </c>
      <c r="G137" s="165" t="s">
        <v>233</v>
      </c>
    </row>
    <row r="138" spans="1:7" x14ac:dyDescent="0.3">
      <c r="A138" s="138">
        <v>45846</v>
      </c>
      <c r="B138" s="97" t="s">
        <v>211</v>
      </c>
      <c r="C138" s="139" t="s">
        <v>13</v>
      </c>
      <c r="D138" s="900" t="s">
        <v>483</v>
      </c>
      <c r="E138" s="166">
        <v>-238.27</v>
      </c>
      <c r="F138" s="114" t="s">
        <v>8</v>
      </c>
      <c r="G138" s="2" t="s">
        <v>74</v>
      </c>
    </row>
    <row r="139" spans="1:7" x14ac:dyDescent="0.3">
      <c r="A139" s="138">
        <v>45846</v>
      </c>
      <c r="B139" s="97" t="s">
        <v>211</v>
      </c>
      <c r="C139" s="139" t="s">
        <v>13</v>
      </c>
      <c r="D139" s="900" t="s">
        <v>482</v>
      </c>
      <c r="E139" s="166">
        <v>-238.27</v>
      </c>
      <c r="F139" s="114" t="s">
        <v>8</v>
      </c>
      <c r="G139" s="2" t="s">
        <v>74</v>
      </c>
    </row>
    <row r="140" spans="1:7" x14ac:dyDescent="0.3">
      <c r="A140" s="138">
        <v>45846</v>
      </c>
      <c r="B140" s="97" t="s">
        <v>211</v>
      </c>
      <c r="C140" s="139" t="s">
        <v>13</v>
      </c>
      <c r="D140" s="900" t="s">
        <v>481</v>
      </c>
      <c r="E140" s="166">
        <v>-238.27</v>
      </c>
      <c r="F140" s="114" t="s">
        <v>8</v>
      </c>
      <c r="G140" s="2" t="s">
        <v>74</v>
      </c>
    </row>
    <row r="141" spans="1:7" x14ac:dyDescent="0.3">
      <c r="A141" s="138">
        <v>45846</v>
      </c>
      <c r="B141" s="97" t="s">
        <v>211</v>
      </c>
      <c r="C141" s="139" t="s">
        <v>13</v>
      </c>
      <c r="D141" s="900" t="s">
        <v>480</v>
      </c>
      <c r="E141" s="166">
        <v>-238.27</v>
      </c>
      <c r="F141" s="114" t="s">
        <v>8</v>
      </c>
      <c r="G141" s="2" t="s">
        <v>74</v>
      </c>
    </row>
    <row r="142" spans="1:7" x14ac:dyDescent="0.3">
      <c r="A142" s="138">
        <v>45846</v>
      </c>
      <c r="B142" s="97" t="s">
        <v>211</v>
      </c>
      <c r="C142" s="139" t="s">
        <v>13</v>
      </c>
      <c r="D142" s="900" t="s">
        <v>478</v>
      </c>
      <c r="E142" s="166">
        <v>-327.58999999999997</v>
      </c>
      <c r="F142" s="114" t="s">
        <v>8</v>
      </c>
      <c r="G142" s="2" t="s">
        <v>74</v>
      </c>
    </row>
    <row r="143" spans="1:7" x14ac:dyDescent="0.3">
      <c r="A143" s="138">
        <v>45846</v>
      </c>
      <c r="B143" s="97" t="s">
        <v>211</v>
      </c>
      <c r="C143" s="139" t="s">
        <v>13</v>
      </c>
      <c r="D143" s="900" t="s">
        <v>477</v>
      </c>
      <c r="E143" s="166">
        <v>-492.61</v>
      </c>
      <c r="F143" s="114" t="s">
        <v>8</v>
      </c>
      <c r="G143" s="2" t="s">
        <v>74</v>
      </c>
    </row>
    <row r="144" spans="1:7" x14ac:dyDescent="0.3">
      <c r="A144" s="138">
        <v>45846</v>
      </c>
      <c r="B144" s="97" t="s">
        <v>211</v>
      </c>
      <c r="C144" s="139" t="s">
        <v>13</v>
      </c>
      <c r="D144" s="900" t="s">
        <v>479</v>
      </c>
      <c r="E144" s="166">
        <v>-635.09</v>
      </c>
      <c r="F144" s="114" t="s">
        <v>8</v>
      </c>
      <c r="G144" s="2" t="s">
        <v>74</v>
      </c>
    </row>
    <row r="145" spans="1:7" x14ac:dyDescent="0.3">
      <c r="A145" s="138">
        <v>45846</v>
      </c>
      <c r="B145" s="97" t="s">
        <v>211</v>
      </c>
      <c r="C145" s="139" t="s">
        <v>17</v>
      </c>
      <c r="D145" s="901" t="s">
        <v>475</v>
      </c>
      <c r="E145" s="115">
        <v>-752.69</v>
      </c>
      <c r="F145" s="114" t="s">
        <v>8</v>
      </c>
      <c r="G145" s="2" t="s">
        <v>74</v>
      </c>
    </row>
    <row r="146" spans="1:7" x14ac:dyDescent="0.3">
      <c r="A146" s="138">
        <v>45846</v>
      </c>
      <c r="B146" s="97" t="s">
        <v>211</v>
      </c>
      <c r="C146" s="139" t="s">
        <v>17</v>
      </c>
      <c r="D146" s="901" t="s">
        <v>476</v>
      </c>
      <c r="E146" s="115">
        <v>-6481.7</v>
      </c>
      <c r="F146" s="114" t="s">
        <v>8</v>
      </c>
      <c r="G146" s="2" t="s">
        <v>74</v>
      </c>
    </row>
    <row r="147" spans="1:7" x14ac:dyDescent="0.3">
      <c r="A147" s="106">
        <v>45846</v>
      </c>
      <c r="B147" s="8" t="s">
        <v>211</v>
      </c>
      <c r="C147" s="107" t="s">
        <v>6</v>
      </c>
      <c r="D147" s="107" t="s">
        <v>466</v>
      </c>
      <c r="E147" s="4">
        <v>-257</v>
      </c>
      <c r="F147" s="108" t="s">
        <v>8</v>
      </c>
      <c r="G147" s="108" t="s">
        <v>83</v>
      </c>
    </row>
    <row r="148" spans="1:7" x14ac:dyDescent="0.3">
      <c r="A148" s="106">
        <v>45846</v>
      </c>
      <c r="B148" s="8" t="s">
        <v>211</v>
      </c>
      <c r="C148" s="107" t="s">
        <v>25</v>
      </c>
      <c r="D148" s="107" t="s">
        <v>467</v>
      </c>
      <c r="E148" s="4">
        <v>-195</v>
      </c>
      <c r="F148" s="108" t="s">
        <v>8</v>
      </c>
      <c r="G148" s="108" t="s">
        <v>83</v>
      </c>
    </row>
    <row r="149" spans="1:7" x14ac:dyDescent="0.3">
      <c r="A149" s="106">
        <v>45846</v>
      </c>
      <c r="B149" s="8" t="s">
        <v>211</v>
      </c>
      <c r="C149" s="107" t="s">
        <v>17</v>
      </c>
      <c r="D149" s="107" t="s">
        <v>468</v>
      </c>
      <c r="E149" s="4">
        <v>-160</v>
      </c>
      <c r="F149" s="108" t="s">
        <v>8</v>
      </c>
      <c r="G149" s="108" t="s">
        <v>83</v>
      </c>
    </row>
    <row r="150" spans="1:7" x14ac:dyDescent="0.3">
      <c r="A150" s="106">
        <v>45846</v>
      </c>
      <c r="B150" s="8" t="s">
        <v>211</v>
      </c>
      <c r="C150" s="107" t="s">
        <v>17</v>
      </c>
      <c r="D150" s="107" t="s">
        <v>469</v>
      </c>
      <c r="E150" s="4">
        <v>-684</v>
      </c>
      <c r="F150" s="108" t="s">
        <v>8</v>
      </c>
      <c r="G150" s="108" t="s">
        <v>83</v>
      </c>
    </row>
    <row r="151" spans="1:7" x14ac:dyDescent="0.3">
      <c r="A151" s="106">
        <v>45846</v>
      </c>
      <c r="B151" s="8" t="s">
        <v>211</v>
      </c>
      <c r="C151" s="99" t="s">
        <v>72</v>
      </c>
      <c r="D151" s="107" t="s">
        <v>485</v>
      </c>
      <c r="E151" s="4">
        <v>-32.4</v>
      </c>
      <c r="F151" s="108" t="s">
        <v>8</v>
      </c>
      <c r="G151" s="108" t="s">
        <v>83</v>
      </c>
    </row>
    <row r="152" spans="1:7" x14ac:dyDescent="0.3">
      <c r="A152" s="106">
        <v>45846</v>
      </c>
      <c r="B152" s="8" t="s">
        <v>211</v>
      </c>
      <c r="C152" s="99" t="s">
        <v>72</v>
      </c>
      <c r="D152" s="107" t="s">
        <v>486</v>
      </c>
      <c r="E152" s="4">
        <v>-12</v>
      </c>
      <c r="F152" s="108" t="s">
        <v>8</v>
      </c>
      <c r="G152" s="108" t="s">
        <v>83</v>
      </c>
    </row>
    <row r="153" spans="1:7" x14ac:dyDescent="0.3">
      <c r="A153" s="106">
        <v>45846</v>
      </c>
      <c r="B153" s="8" t="s">
        <v>211</v>
      </c>
      <c r="C153" s="146" t="s">
        <v>31</v>
      </c>
      <c r="D153" s="107" t="s">
        <v>487</v>
      </c>
      <c r="E153" s="4">
        <v>-630.08000000000004</v>
      </c>
      <c r="F153" s="108" t="s">
        <v>8</v>
      </c>
      <c r="G153" s="108" t="s">
        <v>51</v>
      </c>
    </row>
    <row r="154" spans="1:7" x14ac:dyDescent="0.3">
      <c r="A154" s="138">
        <v>45846</v>
      </c>
      <c r="B154" s="97" t="s">
        <v>211</v>
      </c>
      <c r="C154" s="162" t="s">
        <v>72</v>
      </c>
      <c r="D154" s="99" t="s">
        <v>472</v>
      </c>
      <c r="E154" s="100">
        <v>-900.68</v>
      </c>
      <c r="F154" s="110" t="s">
        <v>8</v>
      </c>
      <c r="G154" s="102" t="s">
        <v>233</v>
      </c>
    </row>
    <row r="155" spans="1:7" x14ac:dyDescent="0.3">
      <c r="E155" s="72">
        <f>SUM(E130:E154)</f>
        <v>-25189.420000000006</v>
      </c>
    </row>
    <row r="158" spans="1:7" x14ac:dyDescent="0.3">
      <c r="A158" s="914" t="s">
        <v>510</v>
      </c>
      <c r="B158" s="914"/>
      <c r="C158" s="914"/>
      <c r="D158" s="914"/>
      <c r="E158" s="914"/>
      <c r="F158" s="914"/>
      <c r="G158" s="914"/>
    </row>
    <row r="159" spans="1:7" ht="45" customHeight="1" x14ac:dyDescent="0.3">
      <c r="A159" s="914"/>
      <c r="B159" s="914"/>
      <c r="C159" s="914"/>
      <c r="D159" s="914"/>
      <c r="E159" s="914"/>
      <c r="F159" s="914"/>
      <c r="G159" s="914"/>
    </row>
    <row r="160" spans="1:7" x14ac:dyDescent="0.3">
      <c r="A160" s="7" t="s">
        <v>0</v>
      </c>
      <c r="B160" s="7" t="s">
        <v>210</v>
      </c>
      <c r="C160" s="40" t="s">
        <v>1</v>
      </c>
      <c r="D160" s="896" t="s">
        <v>2</v>
      </c>
      <c r="E160" s="1" t="s">
        <v>3</v>
      </c>
      <c r="F160" s="2" t="s">
        <v>4</v>
      </c>
      <c r="G160" s="3" t="s">
        <v>5</v>
      </c>
    </row>
    <row r="161" spans="1:7" s="71" customFormat="1" x14ac:dyDescent="0.3">
      <c r="A161" s="175">
        <v>45848</v>
      </c>
      <c r="B161" s="85" t="s">
        <v>211</v>
      </c>
      <c r="C161" s="176" t="s">
        <v>31</v>
      </c>
      <c r="D161" s="176" t="s">
        <v>495</v>
      </c>
      <c r="E161" s="177">
        <v>-494.62</v>
      </c>
      <c r="F161" s="77" t="s">
        <v>8</v>
      </c>
      <c r="G161" s="178" t="s">
        <v>51</v>
      </c>
    </row>
    <row r="162" spans="1:7" s="71" customFormat="1" x14ac:dyDescent="0.3">
      <c r="A162" s="175">
        <v>45848</v>
      </c>
      <c r="B162" s="85" t="s">
        <v>211</v>
      </c>
      <c r="C162" s="176" t="s">
        <v>6</v>
      </c>
      <c r="D162" s="176" t="s">
        <v>495</v>
      </c>
      <c r="E162" s="177">
        <v>-883.25</v>
      </c>
      <c r="F162" s="77" t="s">
        <v>8</v>
      </c>
      <c r="G162" s="178" t="s">
        <v>51</v>
      </c>
    </row>
    <row r="163" spans="1:7" s="71" customFormat="1" x14ac:dyDescent="0.3">
      <c r="A163" s="175">
        <v>45848</v>
      </c>
      <c r="B163" s="85" t="s">
        <v>211</v>
      </c>
      <c r="C163" s="176" t="s">
        <v>44</v>
      </c>
      <c r="D163" s="176" t="s">
        <v>495</v>
      </c>
      <c r="E163" s="177">
        <v>-847.92</v>
      </c>
      <c r="F163" s="77" t="s">
        <v>8</v>
      </c>
      <c r="G163" s="178" t="s">
        <v>51</v>
      </c>
    </row>
    <row r="164" spans="1:7" s="71" customFormat="1" x14ac:dyDescent="0.3">
      <c r="A164" s="175">
        <v>45848</v>
      </c>
      <c r="B164" s="85" t="s">
        <v>211</v>
      </c>
      <c r="C164" s="176" t="s">
        <v>25</v>
      </c>
      <c r="D164" s="176" t="s">
        <v>495</v>
      </c>
      <c r="E164" s="177">
        <v>-2084.4699999999998</v>
      </c>
      <c r="F164" s="77" t="s">
        <v>8</v>
      </c>
      <c r="G164" s="178" t="s">
        <v>51</v>
      </c>
    </row>
    <row r="165" spans="1:7" s="71" customFormat="1" x14ac:dyDescent="0.3">
      <c r="A165" s="175">
        <v>45848</v>
      </c>
      <c r="B165" s="85" t="s">
        <v>211</v>
      </c>
      <c r="C165" s="176" t="s">
        <v>33</v>
      </c>
      <c r="D165" s="176" t="s">
        <v>495</v>
      </c>
      <c r="E165" s="177">
        <v>-600.61</v>
      </c>
      <c r="F165" s="77" t="s">
        <v>8</v>
      </c>
      <c r="G165" s="178" t="s">
        <v>51</v>
      </c>
    </row>
    <row r="166" spans="1:7" s="71" customFormat="1" x14ac:dyDescent="0.3">
      <c r="A166" s="175">
        <v>45848</v>
      </c>
      <c r="B166" s="85" t="s">
        <v>211</v>
      </c>
      <c r="C166" s="176" t="s">
        <v>106</v>
      </c>
      <c r="D166" s="176" t="s">
        <v>495</v>
      </c>
      <c r="E166" s="177">
        <v>-635.94000000000005</v>
      </c>
      <c r="F166" s="77" t="s">
        <v>8</v>
      </c>
      <c r="G166" s="178" t="s">
        <v>51</v>
      </c>
    </row>
    <row r="167" spans="1:7" s="71" customFormat="1" x14ac:dyDescent="0.3">
      <c r="A167" s="175">
        <v>45848</v>
      </c>
      <c r="B167" s="85" t="s">
        <v>211</v>
      </c>
      <c r="C167" s="176" t="s">
        <v>32</v>
      </c>
      <c r="D167" s="176" t="s">
        <v>495</v>
      </c>
      <c r="E167" s="177">
        <v>-1342.54</v>
      </c>
      <c r="F167" s="77" t="s">
        <v>8</v>
      </c>
      <c r="G167" s="178" t="s">
        <v>51</v>
      </c>
    </row>
    <row r="168" spans="1:7" s="71" customFormat="1" x14ac:dyDescent="0.3">
      <c r="A168" s="175">
        <v>45848</v>
      </c>
      <c r="B168" s="85" t="s">
        <v>211</v>
      </c>
      <c r="C168" s="176" t="s">
        <v>72</v>
      </c>
      <c r="D168" s="176" t="s">
        <v>495</v>
      </c>
      <c r="E168" s="177">
        <v>-777.26</v>
      </c>
      <c r="F168" s="77" t="s">
        <v>8</v>
      </c>
      <c r="G168" s="178" t="s">
        <v>51</v>
      </c>
    </row>
    <row r="169" spans="1:7" s="71" customFormat="1" x14ac:dyDescent="0.3">
      <c r="A169" s="175">
        <v>45848</v>
      </c>
      <c r="B169" s="85" t="s">
        <v>211</v>
      </c>
      <c r="C169" s="176" t="s">
        <v>17</v>
      </c>
      <c r="D169" s="176" t="s">
        <v>495</v>
      </c>
      <c r="E169" s="177">
        <v>-459.29</v>
      </c>
      <c r="F169" s="77" t="s">
        <v>8</v>
      </c>
      <c r="G169" s="178" t="s">
        <v>51</v>
      </c>
    </row>
    <row r="170" spans="1:7" s="71" customFormat="1" x14ac:dyDescent="0.3">
      <c r="A170" s="179">
        <v>45848</v>
      </c>
      <c r="B170" s="74" t="s">
        <v>211</v>
      </c>
      <c r="C170" s="156" t="s">
        <v>6</v>
      </c>
      <c r="D170" s="156" t="s">
        <v>52</v>
      </c>
      <c r="E170" s="92">
        <v>-421.26</v>
      </c>
      <c r="F170" s="77" t="s">
        <v>8</v>
      </c>
      <c r="G170" s="180" t="s">
        <v>53</v>
      </c>
    </row>
    <row r="171" spans="1:7" s="71" customFormat="1" x14ac:dyDescent="0.3">
      <c r="A171" s="179">
        <v>45848</v>
      </c>
      <c r="B171" s="74" t="s">
        <v>211</v>
      </c>
      <c r="C171" s="156" t="s">
        <v>17</v>
      </c>
      <c r="D171" s="156" t="s">
        <v>56</v>
      </c>
      <c r="E171" s="181">
        <v>-10500</v>
      </c>
      <c r="F171" s="77" t="s">
        <v>8</v>
      </c>
      <c r="G171" s="180" t="s">
        <v>57</v>
      </c>
    </row>
    <row r="172" spans="1:7" s="71" customFormat="1" x14ac:dyDescent="0.3">
      <c r="A172" s="179">
        <v>45848</v>
      </c>
      <c r="B172" s="74" t="s">
        <v>211</v>
      </c>
      <c r="C172" s="156" t="s">
        <v>31</v>
      </c>
      <c r="D172" s="156" t="s">
        <v>504</v>
      </c>
      <c r="E172" s="181">
        <v>-1000</v>
      </c>
      <c r="F172" s="77" t="s">
        <v>8</v>
      </c>
      <c r="G172" s="180" t="s">
        <v>59</v>
      </c>
    </row>
    <row r="173" spans="1:7" s="71" customFormat="1" x14ac:dyDescent="0.3">
      <c r="A173" s="179">
        <v>45848</v>
      </c>
      <c r="B173" s="74" t="s">
        <v>211</v>
      </c>
      <c r="C173" s="156" t="s">
        <v>95</v>
      </c>
      <c r="D173" s="156" t="s">
        <v>60</v>
      </c>
      <c r="E173" s="181">
        <v>-5590.46</v>
      </c>
      <c r="F173" s="77" t="s">
        <v>8</v>
      </c>
      <c r="G173" s="180" t="s">
        <v>59</v>
      </c>
    </row>
    <row r="174" spans="1:7" s="71" customFormat="1" x14ac:dyDescent="0.3">
      <c r="A174" s="179">
        <v>45848</v>
      </c>
      <c r="B174" s="74" t="s">
        <v>211</v>
      </c>
      <c r="C174" s="156" t="s">
        <v>44</v>
      </c>
      <c r="D174" s="156" t="s">
        <v>61</v>
      </c>
      <c r="E174" s="182">
        <v>-9146.82</v>
      </c>
      <c r="F174" s="180" t="s">
        <v>8</v>
      </c>
      <c r="G174" s="180" t="s">
        <v>62</v>
      </c>
    </row>
    <row r="175" spans="1:7" s="71" customFormat="1" x14ac:dyDescent="0.3">
      <c r="A175" s="179">
        <v>45848</v>
      </c>
      <c r="B175" s="74" t="s">
        <v>211</v>
      </c>
      <c r="C175" s="156" t="s">
        <v>6</v>
      </c>
      <c r="D175" s="156" t="s">
        <v>63</v>
      </c>
      <c r="E175" s="92">
        <v>-5896.35</v>
      </c>
      <c r="F175" s="77" t="s">
        <v>8</v>
      </c>
      <c r="G175" s="180" t="s">
        <v>64</v>
      </c>
    </row>
    <row r="176" spans="1:7" s="71" customFormat="1" x14ac:dyDescent="0.3">
      <c r="A176" s="179">
        <v>45848</v>
      </c>
      <c r="B176" s="74" t="s">
        <v>211</v>
      </c>
      <c r="C176" s="183" t="s">
        <v>65</v>
      </c>
      <c r="D176" s="156" t="s">
        <v>509</v>
      </c>
      <c r="E176" s="181">
        <v>-441.64</v>
      </c>
      <c r="F176" s="77" t="s">
        <v>8</v>
      </c>
      <c r="G176" s="180" t="s">
        <v>39</v>
      </c>
    </row>
    <row r="177" spans="1:7" s="71" customFormat="1" x14ac:dyDescent="0.3">
      <c r="A177" s="179">
        <v>45848</v>
      </c>
      <c r="B177" s="74" t="s">
        <v>211</v>
      </c>
      <c r="C177" s="184" t="s">
        <v>67</v>
      </c>
      <c r="D177" s="156" t="s">
        <v>68</v>
      </c>
      <c r="E177" s="181">
        <v>-553.25</v>
      </c>
      <c r="F177" s="77" t="s">
        <v>8</v>
      </c>
      <c r="G177" s="78" t="s">
        <v>69</v>
      </c>
    </row>
    <row r="178" spans="1:7" s="71" customFormat="1" x14ac:dyDescent="0.3">
      <c r="A178" s="179">
        <v>45848</v>
      </c>
      <c r="B178" s="74" t="s">
        <v>211</v>
      </c>
      <c r="C178" s="185" t="s">
        <v>6</v>
      </c>
      <c r="D178" s="91" t="s">
        <v>70</v>
      </c>
      <c r="E178" s="92">
        <v>-545.78</v>
      </c>
      <c r="F178" s="77" t="s">
        <v>8</v>
      </c>
      <c r="G178" s="94" t="s">
        <v>71</v>
      </c>
    </row>
    <row r="179" spans="1:7" s="71" customFormat="1" x14ac:dyDescent="0.3">
      <c r="A179" s="179">
        <v>45848</v>
      </c>
      <c r="B179" s="74" t="s">
        <v>211</v>
      </c>
      <c r="C179" s="156" t="s">
        <v>13</v>
      </c>
      <c r="D179" s="91" t="s">
        <v>172</v>
      </c>
      <c r="E179" s="92">
        <v>-25275.45</v>
      </c>
      <c r="F179" s="77" t="s">
        <v>8</v>
      </c>
      <c r="G179" s="94" t="s">
        <v>27</v>
      </c>
    </row>
    <row r="180" spans="1:7" s="71" customFormat="1" x14ac:dyDescent="0.3">
      <c r="A180" s="175">
        <v>45848</v>
      </c>
      <c r="B180" s="85" t="s">
        <v>211</v>
      </c>
      <c r="C180" s="176" t="s">
        <v>72</v>
      </c>
      <c r="D180" s="176" t="s">
        <v>235</v>
      </c>
      <c r="E180" s="177">
        <v>-968.52</v>
      </c>
      <c r="F180" s="77" t="s">
        <v>8</v>
      </c>
      <c r="G180" s="88" t="s">
        <v>233</v>
      </c>
    </row>
    <row r="181" spans="1:7" s="71" customFormat="1" x14ac:dyDescent="0.3">
      <c r="A181" s="179">
        <v>45848</v>
      </c>
      <c r="B181" s="186" t="s">
        <v>211</v>
      </c>
      <c r="C181" s="86" t="s">
        <v>6</v>
      </c>
      <c r="D181" s="86" t="s">
        <v>48</v>
      </c>
      <c r="E181" s="87">
        <v>-232.71</v>
      </c>
      <c r="F181" s="77" t="s">
        <v>8</v>
      </c>
      <c r="G181" s="89" t="s">
        <v>49</v>
      </c>
    </row>
    <row r="182" spans="1:7" s="71" customFormat="1" x14ac:dyDescent="0.3">
      <c r="A182" s="90">
        <v>45848</v>
      </c>
      <c r="B182" s="74" t="s">
        <v>211</v>
      </c>
      <c r="C182" s="185" t="s">
        <v>31</v>
      </c>
      <c r="D182" s="902" t="s">
        <v>514</v>
      </c>
      <c r="E182" s="92">
        <v>-2333</v>
      </c>
      <c r="F182" s="94" t="s">
        <v>8</v>
      </c>
      <c r="G182" s="94" t="s">
        <v>189</v>
      </c>
    </row>
    <row r="183" spans="1:7" s="71" customFormat="1" x14ac:dyDescent="0.3">
      <c r="A183" s="90">
        <v>45848</v>
      </c>
      <c r="B183" s="74" t="s">
        <v>211</v>
      </c>
      <c r="C183" s="185" t="s">
        <v>31</v>
      </c>
      <c r="D183" s="902" t="s">
        <v>513</v>
      </c>
      <c r="E183" s="92">
        <v>-1000</v>
      </c>
      <c r="F183" s="94" t="s">
        <v>8</v>
      </c>
      <c r="G183" s="94" t="s">
        <v>189</v>
      </c>
    </row>
    <row r="184" spans="1:7" s="71" customFormat="1" x14ac:dyDescent="0.3">
      <c r="A184" s="187">
        <v>45848</v>
      </c>
      <c r="B184" s="188" t="s">
        <v>211</v>
      </c>
      <c r="C184" s="189" t="s">
        <v>31</v>
      </c>
      <c r="D184" s="189" t="s">
        <v>395</v>
      </c>
      <c r="E184" s="190">
        <v>-295.72000000000003</v>
      </c>
      <c r="F184" s="191" t="s">
        <v>8</v>
      </c>
      <c r="G184" s="191" t="s">
        <v>37</v>
      </c>
    </row>
    <row r="185" spans="1:7" s="71" customFormat="1" x14ac:dyDescent="0.3">
      <c r="A185" s="187">
        <v>45848</v>
      </c>
      <c r="B185" s="188" t="s">
        <v>211</v>
      </c>
      <c r="C185" s="189" t="s">
        <v>44</v>
      </c>
      <c r="D185" s="189" t="s">
        <v>395</v>
      </c>
      <c r="E185" s="190">
        <v>-215.21</v>
      </c>
      <c r="F185" s="191" t="s">
        <v>8</v>
      </c>
      <c r="G185" s="191" t="s">
        <v>37</v>
      </c>
    </row>
    <row r="186" spans="1:7" s="71" customFormat="1" x14ac:dyDescent="0.3">
      <c r="A186" s="187">
        <v>45848</v>
      </c>
      <c r="B186" s="188" t="s">
        <v>211</v>
      </c>
      <c r="C186" s="189" t="s">
        <v>25</v>
      </c>
      <c r="D186" s="189" t="s">
        <v>395</v>
      </c>
      <c r="E186" s="190">
        <v>-364.95</v>
      </c>
      <c r="F186" s="191" t="s">
        <v>8</v>
      </c>
      <c r="G186" s="191" t="s">
        <v>37</v>
      </c>
    </row>
    <row r="187" spans="1:7" s="71" customFormat="1" x14ac:dyDescent="0.3">
      <c r="A187" s="187">
        <v>45848</v>
      </c>
      <c r="B187" s="188" t="s">
        <v>211</v>
      </c>
      <c r="C187" s="189" t="s">
        <v>33</v>
      </c>
      <c r="D187" s="189" t="s">
        <v>395</v>
      </c>
      <c r="E187" s="190">
        <v>-395.23</v>
      </c>
      <c r="F187" s="191" t="s">
        <v>8</v>
      </c>
      <c r="G187" s="191" t="s">
        <v>37</v>
      </c>
    </row>
    <row r="188" spans="1:7" s="71" customFormat="1" x14ac:dyDescent="0.3">
      <c r="A188" s="187">
        <v>45848</v>
      </c>
      <c r="B188" s="188" t="s">
        <v>211</v>
      </c>
      <c r="C188" s="189" t="s">
        <v>106</v>
      </c>
      <c r="D188" s="189" t="s">
        <v>395</v>
      </c>
      <c r="E188" s="190">
        <v>-376.91</v>
      </c>
      <c r="F188" s="191" t="s">
        <v>8</v>
      </c>
      <c r="G188" s="191" t="s">
        <v>37</v>
      </c>
    </row>
    <row r="189" spans="1:7" s="71" customFormat="1" x14ac:dyDescent="0.3">
      <c r="A189" s="192">
        <v>45848</v>
      </c>
      <c r="B189" s="193" t="s">
        <v>211</v>
      </c>
      <c r="C189" s="194" t="s">
        <v>17</v>
      </c>
      <c r="D189" s="194" t="s">
        <v>395</v>
      </c>
      <c r="E189" s="195">
        <v>-360.09</v>
      </c>
      <c r="F189" s="196" t="s">
        <v>8</v>
      </c>
      <c r="G189" s="196" t="s">
        <v>37</v>
      </c>
    </row>
    <row r="190" spans="1:7" s="71" customFormat="1" x14ac:dyDescent="0.3">
      <c r="A190" s="90">
        <v>45848</v>
      </c>
      <c r="B190" s="74" t="s">
        <v>211</v>
      </c>
      <c r="C190" s="91" t="s">
        <v>72</v>
      </c>
      <c r="D190" s="91" t="s">
        <v>209</v>
      </c>
      <c r="E190" s="92">
        <v>-1925</v>
      </c>
      <c r="F190" s="77" t="s">
        <v>8</v>
      </c>
      <c r="G190" s="94" t="s">
        <v>233</v>
      </c>
    </row>
    <row r="191" spans="1:7" s="71" customFormat="1" x14ac:dyDescent="0.3">
      <c r="A191" s="90">
        <v>45848</v>
      </c>
      <c r="B191" s="188" t="s">
        <v>211</v>
      </c>
      <c r="C191" s="189" t="s">
        <v>44</v>
      </c>
      <c r="D191" s="189" t="s">
        <v>208</v>
      </c>
      <c r="E191" s="190">
        <v>-1709.15</v>
      </c>
      <c r="F191" s="77" t="s">
        <v>8</v>
      </c>
      <c r="G191" s="88" t="s">
        <v>233</v>
      </c>
    </row>
    <row r="192" spans="1:7" s="71" customFormat="1" x14ac:dyDescent="0.3">
      <c r="A192" s="187">
        <v>45848</v>
      </c>
      <c r="B192" s="188" t="s">
        <v>211</v>
      </c>
      <c r="C192" s="197" t="s">
        <v>25</v>
      </c>
      <c r="D192" s="189" t="s">
        <v>490</v>
      </c>
      <c r="E192" s="190">
        <v>-55</v>
      </c>
      <c r="F192" s="198" t="s">
        <v>8</v>
      </c>
      <c r="G192" s="191" t="s">
        <v>83</v>
      </c>
    </row>
    <row r="193" spans="1:7" s="71" customFormat="1" x14ac:dyDescent="0.3">
      <c r="A193" s="187">
        <v>45848</v>
      </c>
      <c r="B193" s="188" t="s">
        <v>211</v>
      </c>
      <c r="C193" s="197" t="s">
        <v>25</v>
      </c>
      <c r="D193" s="197" t="s">
        <v>491</v>
      </c>
      <c r="E193" s="190">
        <v>-55</v>
      </c>
      <c r="F193" s="198" t="s">
        <v>8</v>
      </c>
      <c r="G193" s="191" t="s">
        <v>83</v>
      </c>
    </row>
    <row r="194" spans="1:7" s="71" customFormat="1" x14ac:dyDescent="0.3">
      <c r="A194" s="187">
        <v>45848</v>
      </c>
      <c r="B194" s="188" t="s">
        <v>211</v>
      </c>
      <c r="C194" s="197" t="s">
        <v>25</v>
      </c>
      <c r="D194" s="197" t="s">
        <v>492</v>
      </c>
      <c r="E194" s="190">
        <v>-224.2</v>
      </c>
      <c r="F194" s="198" t="s">
        <v>8</v>
      </c>
      <c r="G194" s="191" t="s">
        <v>83</v>
      </c>
    </row>
    <row r="195" spans="1:7" s="71" customFormat="1" x14ac:dyDescent="0.3">
      <c r="A195" s="187">
        <v>45848</v>
      </c>
      <c r="B195" s="188" t="s">
        <v>211</v>
      </c>
      <c r="C195" s="197" t="s">
        <v>106</v>
      </c>
      <c r="D195" s="197" t="s">
        <v>493</v>
      </c>
      <c r="E195" s="190">
        <v>-110</v>
      </c>
      <c r="F195" s="198" t="s">
        <v>8</v>
      </c>
      <c r="G195" s="191" t="s">
        <v>83</v>
      </c>
    </row>
    <row r="196" spans="1:7" s="71" customFormat="1" x14ac:dyDescent="0.3">
      <c r="A196" s="187">
        <v>45848</v>
      </c>
      <c r="B196" s="188" t="s">
        <v>211</v>
      </c>
      <c r="C196" s="197" t="s">
        <v>17</v>
      </c>
      <c r="D196" s="197" t="s">
        <v>494</v>
      </c>
      <c r="E196" s="190">
        <v>-180</v>
      </c>
      <c r="F196" s="198" t="s">
        <v>8</v>
      </c>
      <c r="G196" s="191" t="s">
        <v>83</v>
      </c>
    </row>
    <row r="197" spans="1:7" s="71" customFormat="1" x14ac:dyDescent="0.3">
      <c r="A197" s="187">
        <v>45848</v>
      </c>
      <c r="B197" s="188" t="s">
        <v>211</v>
      </c>
      <c r="C197" s="199" t="s">
        <v>32</v>
      </c>
      <c r="D197" s="197" t="s">
        <v>391</v>
      </c>
      <c r="E197" s="190">
        <v>-171.85</v>
      </c>
      <c r="F197" s="198" t="s">
        <v>8</v>
      </c>
      <c r="G197" s="191" t="s">
        <v>76</v>
      </c>
    </row>
    <row r="198" spans="1:7" s="71" customFormat="1" x14ac:dyDescent="0.3">
      <c r="A198" s="90">
        <v>45848</v>
      </c>
      <c r="B198" s="74" t="s">
        <v>211</v>
      </c>
      <c r="C198" s="91" t="s">
        <v>72</v>
      </c>
      <c r="D198" s="91" t="s">
        <v>505</v>
      </c>
      <c r="E198" s="92">
        <v>-1500</v>
      </c>
      <c r="F198" s="77" t="s">
        <v>8</v>
      </c>
      <c r="G198" s="94" t="s">
        <v>15</v>
      </c>
    </row>
    <row r="199" spans="1:7" s="71" customFormat="1" x14ac:dyDescent="0.3">
      <c r="A199" s="90">
        <v>45848</v>
      </c>
      <c r="B199" s="74" t="s">
        <v>211</v>
      </c>
      <c r="C199" s="91" t="s">
        <v>506</v>
      </c>
      <c r="D199" s="91" t="s">
        <v>507</v>
      </c>
      <c r="E199" s="92">
        <v>-30</v>
      </c>
      <c r="F199" s="77" t="s">
        <v>8</v>
      </c>
      <c r="G199" s="94" t="s">
        <v>508</v>
      </c>
    </row>
    <row r="200" spans="1:7" s="71" customFormat="1" x14ac:dyDescent="0.3">
      <c r="A200" s="90">
        <v>45848</v>
      </c>
      <c r="B200" s="74" t="s">
        <v>211</v>
      </c>
      <c r="C200" s="91" t="s">
        <v>506</v>
      </c>
      <c r="D200" s="91" t="s">
        <v>511</v>
      </c>
      <c r="E200" s="92">
        <v>-5000</v>
      </c>
      <c r="F200" s="77" t="s">
        <v>8</v>
      </c>
      <c r="G200" s="94" t="s">
        <v>39</v>
      </c>
    </row>
    <row r="201" spans="1:7" s="71" customFormat="1" x14ac:dyDescent="0.3">
      <c r="A201" s="187">
        <v>45848</v>
      </c>
      <c r="B201" s="188" t="s">
        <v>211</v>
      </c>
      <c r="C201" s="189" t="s">
        <v>72</v>
      </c>
      <c r="D201" s="189" t="s">
        <v>499</v>
      </c>
      <c r="E201" s="190">
        <v>-33</v>
      </c>
      <c r="F201" s="93" t="s">
        <v>8</v>
      </c>
      <c r="G201" s="191" t="s">
        <v>355</v>
      </c>
    </row>
    <row r="202" spans="1:7" x14ac:dyDescent="0.3">
      <c r="E202" s="72">
        <f>SUM(E161:E201)</f>
        <v>-85032.450000000012</v>
      </c>
    </row>
    <row r="206" spans="1:7" x14ac:dyDescent="0.3">
      <c r="A206" s="914" t="s">
        <v>815</v>
      </c>
      <c r="B206" s="914"/>
      <c r="C206" s="914"/>
      <c r="D206" s="914"/>
      <c r="E206" s="914"/>
      <c r="F206" s="914"/>
      <c r="G206" s="914"/>
    </row>
    <row r="207" spans="1:7" ht="43.2" customHeight="1" x14ac:dyDescent="0.3">
      <c r="A207" s="914"/>
      <c r="B207" s="914"/>
      <c r="C207" s="914"/>
      <c r="D207" s="914"/>
      <c r="E207" s="914"/>
      <c r="F207" s="914"/>
      <c r="G207" s="914"/>
    </row>
    <row r="208" spans="1:7" x14ac:dyDescent="0.3">
      <c r="A208" s="275" t="s">
        <v>0</v>
      </c>
      <c r="B208" s="275" t="s">
        <v>210</v>
      </c>
      <c r="C208" s="200" t="s">
        <v>1</v>
      </c>
      <c r="D208" s="124" t="s">
        <v>2</v>
      </c>
      <c r="E208" s="129" t="s">
        <v>3</v>
      </c>
      <c r="F208" s="137" t="s">
        <v>4</v>
      </c>
      <c r="G208" s="311" t="s">
        <v>5</v>
      </c>
    </row>
    <row r="209" spans="1:7" s="103" customFormat="1" x14ac:dyDescent="0.3">
      <c r="A209" s="135">
        <v>45852</v>
      </c>
      <c r="B209" s="97" t="s">
        <v>211</v>
      </c>
      <c r="C209" s="109" t="s">
        <v>44</v>
      </c>
      <c r="D209" s="99" t="s">
        <v>214</v>
      </c>
      <c r="E209" s="100">
        <v>-5670.51</v>
      </c>
      <c r="F209" s="110" t="s">
        <v>8</v>
      </c>
      <c r="G209" s="105" t="s">
        <v>46</v>
      </c>
    </row>
    <row r="210" spans="1:7" s="103" customFormat="1" x14ac:dyDescent="0.3">
      <c r="A210" s="98">
        <v>45852</v>
      </c>
      <c r="B210" s="97" t="s">
        <v>211</v>
      </c>
      <c r="C210" s="99" t="s">
        <v>31</v>
      </c>
      <c r="D210" s="99" t="s">
        <v>378</v>
      </c>
      <c r="E210" s="100">
        <v>-272.20999999999998</v>
      </c>
      <c r="F210" s="110" t="s">
        <v>8</v>
      </c>
      <c r="G210" s="105" t="s">
        <v>76</v>
      </c>
    </row>
    <row r="211" spans="1:7" s="103" customFormat="1" x14ac:dyDescent="0.3">
      <c r="A211" s="98">
        <v>45852</v>
      </c>
      <c r="B211" s="97" t="s">
        <v>211</v>
      </c>
      <c r="C211" s="99" t="s">
        <v>25</v>
      </c>
      <c r="D211" s="99" t="s">
        <v>517</v>
      </c>
      <c r="E211" s="100">
        <v>-403.6</v>
      </c>
      <c r="F211" s="110" t="s">
        <v>8</v>
      </c>
      <c r="G211" s="105" t="s">
        <v>76</v>
      </c>
    </row>
    <row r="212" spans="1:7" s="103" customFormat="1" x14ac:dyDescent="0.3">
      <c r="A212" s="465">
        <v>45852</v>
      </c>
      <c r="B212" s="466" t="s">
        <v>211</v>
      </c>
      <c r="C212" s="467" t="s">
        <v>32</v>
      </c>
      <c r="D212" s="467" t="s">
        <v>518</v>
      </c>
      <c r="E212" s="468">
        <v>-135.99</v>
      </c>
      <c r="F212" s="153" t="s">
        <v>8</v>
      </c>
      <c r="G212" s="469" t="s">
        <v>76</v>
      </c>
    </row>
    <row r="213" spans="1:7" s="103" customFormat="1" x14ac:dyDescent="0.3">
      <c r="A213" s="98">
        <v>45852</v>
      </c>
      <c r="B213" s="97" t="s">
        <v>211</v>
      </c>
      <c r="C213" s="109" t="s">
        <v>44</v>
      </c>
      <c r="D213" s="99" t="s">
        <v>141</v>
      </c>
      <c r="E213" s="100">
        <v>-1723</v>
      </c>
      <c r="F213" s="110" t="s">
        <v>8</v>
      </c>
      <c r="G213" s="105" t="s">
        <v>142</v>
      </c>
    </row>
    <row r="214" spans="1:7" x14ac:dyDescent="0.3">
      <c r="E214" s="442">
        <f>SUM(E209:E213)</f>
        <v>-8205.3100000000013</v>
      </c>
    </row>
    <row r="219" spans="1:7" x14ac:dyDescent="0.3">
      <c r="A219" s="914" t="s">
        <v>816</v>
      </c>
      <c r="B219" s="914"/>
      <c r="C219" s="914"/>
      <c r="D219" s="914"/>
      <c r="E219" s="914"/>
      <c r="F219" s="914"/>
      <c r="G219" s="914"/>
    </row>
    <row r="220" spans="1:7" ht="39.6" customHeight="1" x14ac:dyDescent="0.3">
      <c r="A220" s="914"/>
      <c r="B220" s="914"/>
      <c r="C220" s="914"/>
      <c r="D220" s="914"/>
      <c r="E220" s="914"/>
      <c r="F220" s="914"/>
      <c r="G220" s="914"/>
    </row>
    <row r="221" spans="1:7" x14ac:dyDescent="0.3">
      <c r="A221" s="275" t="s">
        <v>0</v>
      </c>
      <c r="B221" s="275" t="s">
        <v>210</v>
      </c>
      <c r="C221" s="200" t="s">
        <v>1</v>
      </c>
      <c r="D221" s="124" t="s">
        <v>2</v>
      </c>
      <c r="E221" s="129" t="s">
        <v>3</v>
      </c>
      <c r="F221" s="137" t="s">
        <v>4</v>
      </c>
      <c r="G221" s="311" t="s">
        <v>5</v>
      </c>
    </row>
    <row r="222" spans="1:7" x14ac:dyDescent="0.3">
      <c r="A222" s="135">
        <v>45849</v>
      </c>
      <c r="B222" s="97" t="s">
        <v>211</v>
      </c>
      <c r="C222" s="200" t="s">
        <v>17</v>
      </c>
      <c r="D222" s="272" t="s">
        <v>18</v>
      </c>
      <c r="E222" s="126">
        <v>-16200</v>
      </c>
      <c r="F222" s="110" t="s">
        <v>8</v>
      </c>
      <c r="G222" s="137" t="s">
        <v>19</v>
      </c>
    </row>
    <row r="223" spans="1:7" x14ac:dyDescent="0.3">
      <c r="A223" s="98">
        <v>45849</v>
      </c>
      <c r="B223" s="97" t="s">
        <v>211</v>
      </c>
      <c r="C223" s="109" t="s">
        <v>72</v>
      </c>
      <c r="D223" s="721" t="s">
        <v>681</v>
      </c>
      <c r="E223" s="143">
        <v>-1200</v>
      </c>
      <c r="F223" s="148" t="s">
        <v>8</v>
      </c>
      <c r="G223" s="148" t="s">
        <v>27</v>
      </c>
    </row>
    <row r="224" spans="1:7" x14ac:dyDescent="0.3">
      <c r="A224" s="470">
        <v>45849</v>
      </c>
      <c r="B224" s="141" t="s">
        <v>211</v>
      </c>
      <c r="C224" s="142" t="s">
        <v>17</v>
      </c>
      <c r="D224" s="771" t="s">
        <v>415</v>
      </c>
      <c r="E224" s="471">
        <v>-535.1</v>
      </c>
      <c r="F224" s="144" t="s">
        <v>8</v>
      </c>
      <c r="G224" s="472" t="s">
        <v>69</v>
      </c>
    </row>
    <row r="225" spans="1:7" x14ac:dyDescent="0.3">
      <c r="A225" s="98">
        <v>45849</v>
      </c>
      <c r="B225" s="97" t="s">
        <v>211</v>
      </c>
      <c r="C225" s="109" t="s">
        <v>72</v>
      </c>
      <c r="D225" s="99" t="s">
        <v>660</v>
      </c>
      <c r="E225" s="100">
        <v>-1146.51</v>
      </c>
      <c r="F225" s="110" t="s">
        <v>8</v>
      </c>
      <c r="G225" s="105" t="s">
        <v>233</v>
      </c>
    </row>
    <row r="226" spans="1:7" x14ac:dyDescent="0.3">
      <c r="A226" s="98">
        <v>45849</v>
      </c>
      <c r="B226" s="97" t="s">
        <v>211</v>
      </c>
      <c r="C226" s="99" t="s">
        <v>72</v>
      </c>
      <c r="D226" s="99" t="s">
        <v>357</v>
      </c>
      <c r="E226" s="100">
        <v>-40.86</v>
      </c>
      <c r="F226" s="110" t="s">
        <v>8</v>
      </c>
      <c r="G226" s="105" t="s">
        <v>207</v>
      </c>
    </row>
    <row r="227" spans="1:7" x14ac:dyDescent="0.3">
      <c r="A227" s="98">
        <v>45849</v>
      </c>
      <c r="B227" s="97" t="s">
        <v>211</v>
      </c>
      <c r="C227" s="99" t="s">
        <v>17</v>
      </c>
      <c r="D227" s="99" t="s">
        <v>410</v>
      </c>
      <c r="E227" s="100">
        <v>-1408.84</v>
      </c>
      <c r="F227" s="110" t="s">
        <v>8</v>
      </c>
      <c r="G227" s="105" t="s">
        <v>411</v>
      </c>
    </row>
    <row r="228" spans="1:7" x14ac:dyDescent="0.3">
      <c r="A228" s="98">
        <v>45849</v>
      </c>
      <c r="B228" s="141" t="s">
        <v>211</v>
      </c>
      <c r="C228" s="142" t="s">
        <v>17</v>
      </c>
      <c r="D228" s="142" t="s">
        <v>410</v>
      </c>
      <c r="E228" s="143">
        <v>-3312.86</v>
      </c>
      <c r="F228" s="144" t="s">
        <v>8</v>
      </c>
      <c r="G228" s="148" t="s">
        <v>411</v>
      </c>
    </row>
    <row r="229" spans="1:7" x14ac:dyDescent="0.3">
      <c r="A229" s="98">
        <v>45849</v>
      </c>
      <c r="B229" s="97" t="s">
        <v>211</v>
      </c>
      <c r="C229" s="99" t="s">
        <v>25</v>
      </c>
      <c r="D229" s="99" t="s">
        <v>500</v>
      </c>
      <c r="E229" s="100">
        <v>-336.85</v>
      </c>
      <c r="F229" s="110" t="s">
        <v>8</v>
      </c>
      <c r="G229" s="137" t="s">
        <v>41</v>
      </c>
    </row>
    <row r="230" spans="1:7" x14ac:dyDescent="0.3">
      <c r="A230" s="98">
        <v>45849</v>
      </c>
      <c r="B230" s="97" t="s">
        <v>211</v>
      </c>
      <c r="C230" s="99" t="s">
        <v>25</v>
      </c>
      <c r="D230" s="99" t="s">
        <v>501</v>
      </c>
      <c r="E230" s="100">
        <v>-165</v>
      </c>
      <c r="F230" s="110" t="s">
        <v>8</v>
      </c>
      <c r="G230" s="105" t="s">
        <v>83</v>
      </c>
    </row>
    <row r="231" spans="1:7" x14ac:dyDescent="0.3">
      <c r="A231" s="98">
        <v>45849</v>
      </c>
      <c r="B231" s="97" t="s">
        <v>211</v>
      </c>
      <c r="C231" s="99" t="s">
        <v>25</v>
      </c>
      <c r="D231" s="99" t="s">
        <v>502</v>
      </c>
      <c r="E231" s="100">
        <v>-178</v>
      </c>
      <c r="F231" s="110" t="s">
        <v>8</v>
      </c>
      <c r="G231" s="105" t="s">
        <v>83</v>
      </c>
    </row>
    <row r="232" spans="1:7" x14ac:dyDescent="0.3">
      <c r="A232" s="98">
        <v>45849</v>
      </c>
      <c r="B232" s="97" t="s">
        <v>211</v>
      </c>
      <c r="C232" s="99" t="s">
        <v>6</v>
      </c>
      <c r="D232" s="99" t="s">
        <v>503</v>
      </c>
      <c r="E232" s="100">
        <v>-238.27</v>
      </c>
      <c r="F232" s="110" t="s">
        <v>8</v>
      </c>
      <c r="G232" s="105" t="s">
        <v>114</v>
      </c>
    </row>
    <row r="233" spans="1:7" x14ac:dyDescent="0.3">
      <c r="A233" s="98">
        <v>45849</v>
      </c>
      <c r="B233" s="97" t="s">
        <v>211</v>
      </c>
      <c r="C233" s="99" t="s">
        <v>31</v>
      </c>
      <c r="D233" s="99" t="s">
        <v>664</v>
      </c>
      <c r="E233" s="100">
        <v>-259.25</v>
      </c>
      <c r="F233" s="110" t="s">
        <v>8</v>
      </c>
      <c r="G233" s="105" t="s">
        <v>127</v>
      </c>
    </row>
    <row r="234" spans="1:7" x14ac:dyDescent="0.3">
      <c r="A234" s="98">
        <v>45849</v>
      </c>
      <c r="B234" s="97" t="s">
        <v>211</v>
      </c>
      <c r="C234" s="99" t="s">
        <v>31</v>
      </c>
      <c r="D234" s="99" t="s">
        <v>665</v>
      </c>
      <c r="E234" s="100">
        <v>-132.47</v>
      </c>
      <c r="F234" s="110" t="s">
        <v>8</v>
      </c>
      <c r="G234" s="105" t="s">
        <v>127</v>
      </c>
    </row>
    <row r="235" spans="1:7" x14ac:dyDescent="0.3">
      <c r="A235" s="98">
        <v>45849</v>
      </c>
      <c r="B235" s="97" t="s">
        <v>211</v>
      </c>
      <c r="C235" s="99" t="s">
        <v>31</v>
      </c>
      <c r="D235" s="99" t="s">
        <v>666</v>
      </c>
      <c r="E235" s="100">
        <v>-234.94</v>
      </c>
      <c r="F235" s="110" t="s">
        <v>8</v>
      </c>
      <c r="G235" s="105" t="s">
        <v>127</v>
      </c>
    </row>
    <row r="236" spans="1:7" x14ac:dyDescent="0.3">
      <c r="A236" s="98">
        <v>45849</v>
      </c>
      <c r="B236" s="97" t="s">
        <v>211</v>
      </c>
      <c r="C236" s="99" t="s">
        <v>31</v>
      </c>
      <c r="D236" s="99" t="s">
        <v>667</v>
      </c>
      <c r="E236" s="100">
        <v>-265.04000000000002</v>
      </c>
      <c r="F236" s="110" t="s">
        <v>8</v>
      </c>
      <c r="G236" s="105" t="s">
        <v>127</v>
      </c>
    </row>
    <row r="237" spans="1:7" x14ac:dyDescent="0.3">
      <c r="A237" s="98">
        <v>45849</v>
      </c>
      <c r="B237" s="97" t="s">
        <v>211</v>
      </c>
      <c r="C237" s="99" t="s">
        <v>31</v>
      </c>
      <c r="D237" s="99" t="s">
        <v>668</v>
      </c>
      <c r="E237" s="100">
        <v>-236.39</v>
      </c>
      <c r="F237" s="110" t="s">
        <v>8</v>
      </c>
      <c r="G237" s="105" t="s">
        <v>127</v>
      </c>
    </row>
    <row r="238" spans="1:7" x14ac:dyDescent="0.3">
      <c r="A238" s="98">
        <v>45849</v>
      </c>
      <c r="B238" s="97" t="s">
        <v>211</v>
      </c>
      <c r="C238" s="99" t="s">
        <v>31</v>
      </c>
      <c r="D238" s="99" t="s">
        <v>669</v>
      </c>
      <c r="E238" s="100">
        <v>-179.49</v>
      </c>
      <c r="F238" s="110" t="s">
        <v>8</v>
      </c>
      <c r="G238" s="105" t="s">
        <v>127</v>
      </c>
    </row>
    <row r="239" spans="1:7" x14ac:dyDescent="0.3">
      <c r="A239" s="98">
        <v>45849</v>
      </c>
      <c r="B239" s="97" t="s">
        <v>211</v>
      </c>
      <c r="C239" s="99" t="s">
        <v>31</v>
      </c>
      <c r="D239" s="99" t="s">
        <v>670</v>
      </c>
      <c r="E239" s="100">
        <v>-275.81</v>
      </c>
      <c r="F239" s="110" t="s">
        <v>8</v>
      </c>
      <c r="G239" s="105" t="s">
        <v>127</v>
      </c>
    </row>
    <row r="240" spans="1:7" x14ac:dyDescent="0.3">
      <c r="A240" s="98">
        <v>45849</v>
      </c>
      <c r="B240" s="97" t="s">
        <v>211</v>
      </c>
      <c r="C240" s="99" t="s">
        <v>31</v>
      </c>
      <c r="D240" s="99" t="s">
        <v>671</v>
      </c>
      <c r="E240" s="100">
        <v>-348.05</v>
      </c>
      <c r="F240" s="110" t="s">
        <v>8</v>
      </c>
      <c r="G240" s="105" t="s">
        <v>127</v>
      </c>
    </row>
    <row r="241" spans="1:7" x14ac:dyDescent="0.3">
      <c r="A241" s="98">
        <v>45849</v>
      </c>
      <c r="B241" s="97" t="s">
        <v>211</v>
      </c>
      <c r="C241" s="99" t="s">
        <v>31</v>
      </c>
      <c r="D241" s="99" t="s">
        <v>672</v>
      </c>
      <c r="E241" s="100">
        <v>-338.6</v>
      </c>
      <c r="F241" s="110" t="s">
        <v>8</v>
      </c>
      <c r="G241" s="105" t="s">
        <v>127</v>
      </c>
    </row>
    <row r="242" spans="1:7" x14ac:dyDescent="0.3">
      <c r="A242" s="98">
        <v>45849</v>
      </c>
      <c r="B242" s="97" t="s">
        <v>211</v>
      </c>
      <c r="C242" s="99" t="s">
        <v>17</v>
      </c>
      <c r="D242" s="99" t="s">
        <v>663</v>
      </c>
      <c r="E242" s="100">
        <v>-120</v>
      </c>
      <c r="F242" s="110" t="s">
        <v>8</v>
      </c>
      <c r="G242" s="105" t="s">
        <v>74</v>
      </c>
    </row>
    <row r="243" spans="1:7" x14ac:dyDescent="0.3">
      <c r="A243" s="98">
        <v>45849</v>
      </c>
      <c r="B243" s="97" t="s">
        <v>211</v>
      </c>
      <c r="C243" s="99" t="s">
        <v>17</v>
      </c>
      <c r="D243" s="99" t="s">
        <v>661</v>
      </c>
      <c r="E243" s="100">
        <v>-233.26</v>
      </c>
      <c r="F243" s="110" t="s">
        <v>8</v>
      </c>
      <c r="G243" s="105" t="s">
        <v>74</v>
      </c>
    </row>
    <row r="244" spans="1:7" x14ac:dyDescent="0.3">
      <c r="A244" s="98">
        <v>45849</v>
      </c>
      <c r="B244" s="97" t="s">
        <v>211</v>
      </c>
      <c r="C244" s="99" t="s">
        <v>17</v>
      </c>
      <c r="D244" s="99" t="s">
        <v>662</v>
      </c>
      <c r="E244" s="100">
        <v>-233.26</v>
      </c>
      <c r="F244" s="110" t="s">
        <v>8</v>
      </c>
      <c r="G244" s="105" t="s">
        <v>74</v>
      </c>
    </row>
    <row r="245" spans="1:7" x14ac:dyDescent="0.3">
      <c r="E245" s="442">
        <f>SUM(E222:E244)</f>
        <v>-27618.849999999995</v>
      </c>
    </row>
    <row r="252" spans="1:7" x14ac:dyDescent="0.3">
      <c r="A252" s="914" t="s">
        <v>822</v>
      </c>
      <c r="B252" s="914"/>
      <c r="C252" s="914"/>
      <c r="D252" s="914"/>
      <c r="E252" s="914"/>
      <c r="F252" s="914"/>
      <c r="G252" s="914"/>
    </row>
    <row r="253" spans="1:7" ht="33" customHeight="1" x14ac:dyDescent="0.3">
      <c r="A253" s="914"/>
      <c r="B253" s="914"/>
      <c r="C253" s="914"/>
      <c r="D253" s="914"/>
      <c r="E253" s="914"/>
      <c r="F253" s="914"/>
      <c r="G253" s="914"/>
    </row>
    <row r="254" spans="1:7" x14ac:dyDescent="0.3">
      <c r="A254" s="275" t="s">
        <v>0</v>
      </c>
      <c r="B254" s="275" t="s">
        <v>210</v>
      </c>
      <c r="C254" s="200" t="s">
        <v>1</v>
      </c>
      <c r="D254" s="124" t="s">
        <v>2</v>
      </c>
      <c r="E254" s="129" t="s">
        <v>3</v>
      </c>
      <c r="F254" s="137" t="s">
        <v>4</v>
      </c>
      <c r="G254" s="311" t="s">
        <v>5</v>
      </c>
    </row>
    <row r="255" spans="1:7" s="454" customFormat="1" x14ac:dyDescent="0.3">
      <c r="A255" s="483">
        <v>45853</v>
      </c>
      <c r="B255" s="466" t="s">
        <v>211</v>
      </c>
      <c r="C255" s="484" t="s">
        <v>6</v>
      </c>
      <c r="D255" s="484" t="s">
        <v>545</v>
      </c>
      <c r="E255" s="486">
        <v>-82400.03</v>
      </c>
      <c r="F255" s="487" t="s">
        <v>8</v>
      </c>
      <c r="G255" s="487" t="s">
        <v>41</v>
      </c>
    </row>
    <row r="256" spans="1:7" s="454" customFormat="1" x14ac:dyDescent="0.3">
      <c r="A256" s="135">
        <v>45853</v>
      </c>
      <c r="B256" s="97" t="s">
        <v>211</v>
      </c>
      <c r="C256" s="99" t="s">
        <v>25</v>
      </c>
      <c r="D256" s="99" t="s">
        <v>392</v>
      </c>
      <c r="E256" s="100">
        <v>-456.72</v>
      </c>
      <c r="F256" s="137" t="s">
        <v>8</v>
      </c>
      <c r="G256" s="105" t="s">
        <v>19</v>
      </c>
    </row>
    <row r="257" spans="1:7" s="454" customFormat="1" x14ac:dyDescent="0.3">
      <c r="A257" s="135">
        <v>45853</v>
      </c>
      <c r="B257" s="97" t="s">
        <v>211</v>
      </c>
      <c r="C257" s="99" t="s">
        <v>17</v>
      </c>
      <c r="D257" s="99" t="s">
        <v>85</v>
      </c>
      <c r="E257" s="100">
        <v>-456.72</v>
      </c>
      <c r="F257" s="137" t="s">
        <v>8</v>
      </c>
      <c r="G257" s="105" t="s">
        <v>19</v>
      </c>
    </row>
    <row r="258" spans="1:7" s="454" customFormat="1" x14ac:dyDescent="0.3">
      <c r="A258" s="135">
        <v>45853</v>
      </c>
      <c r="B258" s="97" t="s">
        <v>211</v>
      </c>
      <c r="C258" s="99" t="s">
        <v>17</v>
      </c>
      <c r="D258" s="99" t="s">
        <v>519</v>
      </c>
      <c r="E258" s="100">
        <v>-456.72</v>
      </c>
      <c r="F258" s="137" t="s">
        <v>8</v>
      </c>
      <c r="G258" s="105" t="s">
        <v>19</v>
      </c>
    </row>
    <row r="259" spans="1:7" s="454" customFormat="1" x14ac:dyDescent="0.3">
      <c r="A259" s="135">
        <v>45853</v>
      </c>
      <c r="B259" s="97" t="s">
        <v>211</v>
      </c>
      <c r="C259" s="99" t="s">
        <v>17</v>
      </c>
      <c r="D259" s="99" t="s">
        <v>26</v>
      </c>
      <c r="E259" s="100">
        <v>-415.2</v>
      </c>
      <c r="F259" s="137" t="s">
        <v>8</v>
      </c>
      <c r="G259" s="105" t="s">
        <v>19</v>
      </c>
    </row>
    <row r="260" spans="1:7" s="454" customFormat="1" x14ac:dyDescent="0.3">
      <c r="A260" s="135">
        <v>45853</v>
      </c>
      <c r="B260" s="97" t="s">
        <v>211</v>
      </c>
      <c r="C260" s="99" t="s">
        <v>17</v>
      </c>
      <c r="D260" s="99" t="s">
        <v>520</v>
      </c>
      <c r="E260" s="100">
        <v>-373.68</v>
      </c>
      <c r="F260" s="137" t="s">
        <v>8</v>
      </c>
      <c r="G260" s="105" t="s">
        <v>19</v>
      </c>
    </row>
    <row r="261" spans="1:7" s="454" customFormat="1" x14ac:dyDescent="0.3">
      <c r="A261" s="135">
        <v>45853</v>
      </c>
      <c r="B261" s="97" t="s">
        <v>211</v>
      </c>
      <c r="C261" s="99" t="s">
        <v>17</v>
      </c>
      <c r="D261" s="99" t="s">
        <v>521</v>
      </c>
      <c r="E261" s="100">
        <v>-456.72</v>
      </c>
      <c r="F261" s="137" t="s">
        <v>8</v>
      </c>
      <c r="G261" s="105" t="s">
        <v>19</v>
      </c>
    </row>
    <row r="262" spans="1:7" s="454" customFormat="1" x14ac:dyDescent="0.3">
      <c r="A262" s="135">
        <v>45853</v>
      </c>
      <c r="B262" s="97" t="s">
        <v>211</v>
      </c>
      <c r="C262" s="99" t="s">
        <v>17</v>
      </c>
      <c r="D262" s="99" t="s">
        <v>522</v>
      </c>
      <c r="E262" s="100">
        <v>-456.72</v>
      </c>
      <c r="F262" s="137" t="s">
        <v>8</v>
      </c>
      <c r="G262" s="105" t="s">
        <v>19</v>
      </c>
    </row>
    <row r="263" spans="1:7" s="454" customFormat="1" x14ac:dyDescent="0.3">
      <c r="A263" s="135">
        <v>45853</v>
      </c>
      <c r="B263" s="97" t="s">
        <v>211</v>
      </c>
      <c r="C263" s="107" t="s">
        <v>6</v>
      </c>
      <c r="D263" s="107" t="s">
        <v>502</v>
      </c>
      <c r="E263" s="4">
        <v>-267</v>
      </c>
      <c r="F263" s="137" t="s">
        <v>8</v>
      </c>
      <c r="G263" s="137" t="s">
        <v>83</v>
      </c>
    </row>
    <row r="264" spans="1:7" s="454" customFormat="1" x14ac:dyDescent="0.3">
      <c r="A264" s="135">
        <v>45853</v>
      </c>
      <c r="B264" s="97" t="s">
        <v>211</v>
      </c>
      <c r="C264" s="107" t="s">
        <v>32</v>
      </c>
      <c r="D264" s="107" t="s">
        <v>812</v>
      </c>
      <c r="E264" s="4">
        <v>-196.8</v>
      </c>
      <c r="F264" s="137" t="s">
        <v>8</v>
      </c>
      <c r="G264" s="137" t="s">
        <v>83</v>
      </c>
    </row>
    <row r="265" spans="1:7" s="454" customFormat="1" x14ac:dyDescent="0.3">
      <c r="A265" s="135">
        <v>45853</v>
      </c>
      <c r="B265" s="97" t="s">
        <v>211</v>
      </c>
      <c r="C265" s="99" t="s">
        <v>25</v>
      </c>
      <c r="D265" s="99" t="s">
        <v>454</v>
      </c>
      <c r="E265" s="100">
        <v>-177</v>
      </c>
      <c r="F265" s="110" t="s">
        <v>8</v>
      </c>
      <c r="G265" s="137" t="s">
        <v>83</v>
      </c>
    </row>
    <row r="266" spans="1:7" s="454" customFormat="1" x14ac:dyDescent="0.3">
      <c r="A266" s="135">
        <v>45853</v>
      </c>
      <c r="B266" s="97" t="s">
        <v>211</v>
      </c>
      <c r="C266" s="99" t="s">
        <v>25</v>
      </c>
      <c r="D266" s="99" t="s">
        <v>523</v>
      </c>
      <c r="E266" s="100">
        <v>-165.2</v>
      </c>
      <c r="F266" s="110" t="s">
        <v>8</v>
      </c>
      <c r="G266" s="137" t="s">
        <v>83</v>
      </c>
    </row>
    <row r="267" spans="1:7" s="454" customFormat="1" x14ac:dyDescent="0.3">
      <c r="A267" s="135">
        <v>45853</v>
      </c>
      <c r="B267" s="97" t="s">
        <v>211</v>
      </c>
      <c r="C267" s="99" t="s">
        <v>25</v>
      </c>
      <c r="D267" s="99" t="s">
        <v>524</v>
      </c>
      <c r="E267" s="100">
        <v>-346.5</v>
      </c>
      <c r="F267" s="110" t="s">
        <v>8</v>
      </c>
      <c r="G267" s="137" t="s">
        <v>83</v>
      </c>
    </row>
    <row r="268" spans="1:7" s="454" customFormat="1" x14ac:dyDescent="0.3">
      <c r="A268" s="135">
        <v>45853</v>
      </c>
      <c r="B268" s="97" t="s">
        <v>211</v>
      </c>
      <c r="C268" s="99" t="s">
        <v>25</v>
      </c>
      <c r="D268" s="99" t="s">
        <v>392</v>
      </c>
      <c r="E268" s="100">
        <v>-304</v>
      </c>
      <c r="F268" s="110" t="s">
        <v>8</v>
      </c>
      <c r="G268" s="137" t="s">
        <v>83</v>
      </c>
    </row>
    <row r="269" spans="1:7" s="454" customFormat="1" x14ac:dyDescent="0.3">
      <c r="A269" s="135">
        <v>45853</v>
      </c>
      <c r="B269" s="97" t="s">
        <v>211</v>
      </c>
      <c r="C269" s="99" t="s">
        <v>25</v>
      </c>
      <c r="D269" s="99" t="s">
        <v>525</v>
      </c>
      <c r="E269" s="100">
        <v>-271</v>
      </c>
      <c r="F269" s="110" t="s">
        <v>8</v>
      </c>
      <c r="G269" s="137" t="s">
        <v>83</v>
      </c>
    </row>
    <row r="270" spans="1:7" s="454" customFormat="1" x14ac:dyDescent="0.3">
      <c r="A270" s="135">
        <v>45853</v>
      </c>
      <c r="B270" s="97" t="s">
        <v>211</v>
      </c>
      <c r="C270" s="99" t="s">
        <v>72</v>
      </c>
      <c r="D270" s="99" t="s">
        <v>526</v>
      </c>
      <c r="E270" s="100">
        <v>-110</v>
      </c>
      <c r="F270" s="110" t="s">
        <v>8</v>
      </c>
      <c r="G270" s="137" t="s">
        <v>83</v>
      </c>
    </row>
    <row r="271" spans="1:7" s="454" customFormat="1" x14ac:dyDescent="0.3">
      <c r="A271" s="135">
        <v>45853</v>
      </c>
      <c r="B271" s="97" t="s">
        <v>211</v>
      </c>
      <c r="C271" s="99" t="s">
        <v>17</v>
      </c>
      <c r="D271" s="99" t="s">
        <v>527</v>
      </c>
      <c r="E271" s="100">
        <v>-261.8</v>
      </c>
      <c r="F271" s="110" t="s">
        <v>8</v>
      </c>
      <c r="G271" s="137" t="s">
        <v>83</v>
      </c>
    </row>
    <row r="272" spans="1:7" s="454" customFormat="1" x14ac:dyDescent="0.3">
      <c r="A272" s="135">
        <v>45853</v>
      </c>
      <c r="B272" s="97" t="s">
        <v>211</v>
      </c>
      <c r="C272" s="99" t="s">
        <v>17</v>
      </c>
      <c r="D272" s="99" t="s">
        <v>528</v>
      </c>
      <c r="E272" s="100">
        <v>-342</v>
      </c>
      <c r="F272" s="110" t="s">
        <v>8</v>
      </c>
      <c r="G272" s="137" t="s">
        <v>83</v>
      </c>
    </row>
    <row r="273" spans="1:7" s="454" customFormat="1" x14ac:dyDescent="0.3">
      <c r="A273" s="135">
        <v>45853</v>
      </c>
      <c r="B273" s="97" t="s">
        <v>211</v>
      </c>
      <c r="C273" s="99" t="s">
        <v>17</v>
      </c>
      <c r="D273" s="99" t="s">
        <v>85</v>
      </c>
      <c r="E273" s="100">
        <v>-300</v>
      </c>
      <c r="F273" s="110" t="s">
        <v>8</v>
      </c>
      <c r="G273" s="137" t="s">
        <v>83</v>
      </c>
    </row>
    <row r="274" spans="1:7" s="454" customFormat="1" x14ac:dyDescent="0.3">
      <c r="A274" s="135">
        <v>45853</v>
      </c>
      <c r="B274" s="97" t="s">
        <v>211</v>
      </c>
      <c r="C274" s="99" t="s">
        <v>17</v>
      </c>
      <c r="D274" s="99" t="s">
        <v>520</v>
      </c>
      <c r="E274" s="100">
        <v>-90</v>
      </c>
      <c r="F274" s="110" t="s">
        <v>8</v>
      </c>
      <c r="G274" s="137" t="s">
        <v>83</v>
      </c>
    </row>
    <row r="275" spans="1:7" s="454" customFormat="1" x14ac:dyDescent="0.3">
      <c r="A275" s="135">
        <v>45853</v>
      </c>
      <c r="B275" s="97" t="s">
        <v>211</v>
      </c>
      <c r="C275" s="99" t="s">
        <v>17</v>
      </c>
      <c r="D275" s="99" t="s">
        <v>522</v>
      </c>
      <c r="E275" s="100">
        <v>-32.549999999999997</v>
      </c>
      <c r="F275" s="110" t="s">
        <v>8</v>
      </c>
      <c r="G275" s="137" t="s">
        <v>83</v>
      </c>
    </row>
    <row r="276" spans="1:7" s="454" customFormat="1" x14ac:dyDescent="0.3">
      <c r="A276" s="135">
        <v>45853</v>
      </c>
      <c r="B276" s="97" t="s">
        <v>211</v>
      </c>
      <c r="C276" s="99" t="s">
        <v>17</v>
      </c>
      <c r="D276" s="99" t="s">
        <v>529</v>
      </c>
      <c r="E276" s="100">
        <v>-275</v>
      </c>
      <c r="F276" s="110" t="s">
        <v>8</v>
      </c>
      <c r="G276" s="137" t="s">
        <v>83</v>
      </c>
    </row>
    <row r="277" spans="1:7" s="454" customFormat="1" x14ac:dyDescent="0.3">
      <c r="A277" s="135">
        <v>45853</v>
      </c>
      <c r="B277" s="97" t="s">
        <v>211</v>
      </c>
      <c r="C277" s="99" t="s">
        <v>17</v>
      </c>
      <c r="D277" s="99" t="s">
        <v>521</v>
      </c>
      <c r="E277" s="100">
        <v>-110</v>
      </c>
      <c r="F277" s="110" t="s">
        <v>8</v>
      </c>
      <c r="G277" s="137" t="s">
        <v>83</v>
      </c>
    </row>
    <row r="278" spans="1:7" s="454" customFormat="1" x14ac:dyDescent="0.3">
      <c r="A278" s="135">
        <v>45853</v>
      </c>
      <c r="B278" s="97" t="s">
        <v>211</v>
      </c>
      <c r="C278" s="99" t="s">
        <v>17</v>
      </c>
      <c r="D278" s="99" t="s">
        <v>519</v>
      </c>
      <c r="E278" s="100">
        <v>-110</v>
      </c>
      <c r="F278" s="110" t="s">
        <v>8</v>
      </c>
      <c r="G278" s="137" t="s">
        <v>83</v>
      </c>
    </row>
    <row r="279" spans="1:7" s="454" customFormat="1" x14ac:dyDescent="0.3">
      <c r="A279" s="135">
        <v>45853</v>
      </c>
      <c r="B279" s="97" t="s">
        <v>211</v>
      </c>
      <c r="C279" s="99" t="s">
        <v>17</v>
      </c>
      <c r="D279" s="99" t="s">
        <v>26</v>
      </c>
      <c r="E279" s="100">
        <v>-90</v>
      </c>
      <c r="F279" s="110" t="s">
        <v>8</v>
      </c>
      <c r="G279" s="137" t="s">
        <v>83</v>
      </c>
    </row>
    <row r="280" spans="1:7" s="454" customFormat="1" x14ac:dyDescent="0.3">
      <c r="A280" s="135">
        <v>45853</v>
      </c>
      <c r="B280" s="97" t="s">
        <v>211</v>
      </c>
      <c r="C280" s="107" t="s">
        <v>17</v>
      </c>
      <c r="D280" s="107" t="s">
        <v>810</v>
      </c>
      <c r="E280" s="4">
        <v>-140</v>
      </c>
      <c r="F280" s="110" t="s">
        <v>8</v>
      </c>
      <c r="G280" s="137" t="s">
        <v>83</v>
      </c>
    </row>
    <row r="281" spans="1:7" s="454" customFormat="1" x14ac:dyDescent="0.3">
      <c r="A281" s="135">
        <v>45853</v>
      </c>
      <c r="B281" s="97" t="s">
        <v>211</v>
      </c>
      <c r="C281" s="107" t="s">
        <v>17</v>
      </c>
      <c r="D281" s="107" t="s">
        <v>811</v>
      </c>
      <c r="E281" s="4">
        <v>-222</v>
      </c>
      <c r="F281" s="110" t="s">
        <v>8</v>
      </c>
      <c r="G281" s="137" t="s">
        <v>83</v>
      </c>
    </row>
    <row r="282" spans="1:7" s="454" customFormat="1" x14ac:dyDescent="0.3">
      <c r="A282" s="135">
        <v>45853</v>
      </c>
      <c r="B282" s="97" t="s">
        <v>211</v>
      </c>
      <c r="C282" s="272" t="s">
        <v>17</v>
      </c>
      <c r="D282" s="272" t="s">
        <v>84</v>
      </c>
      <c r="E282" s="126">
        <v>-20498.98</v>
      </c>
      <c r="F282" s="110" t="s">
        <v>8</v>
      </c>
      <c r="G282" s="137" t="s">
        <v>59</v>
      </c>
    </row>
    <row r="283" spans="1:7" s="454" customFormat="1" x14ac:dyDescent="0.3">
      <c r="A283" s="135">
        <v>45853</v>
      </c>
      <c r="B283" s="97" t="s">
        <v>211</v>
      </c>
      <c r="C283" s="109" t="s">
        <v>17</v>
      </c>
      <c r="D283" s="99" t="s">
        <v>85</v>
      </c>
      <c r="E283" s="126">
        <v>-144.68</v>
      </c>
      <c r="F283" s="137" t="s">
        <v>8</v>
      </c>
      <c r="G283" s="137" t="s">
        <v>86</v>
      </c>
    </row>
    <row r="284" spans="1:7" s="454" customFormat="1" x14ac:dyDescent="0.3">
      <c r="A284" s="135">
        <v>45853</v>
      </c>
      <c r="B284" s="97" t="s">
        <v>211</v>
      </c>
      <c r="C284" s="200" t="s">
        <v>13</v>
      </c>
      <c r="D284" s="272" t="s">
        <v>537</v>
      </c>
      <c r="E284" s="126">
        <v>-1375</v>
      </c>
      <c r="F284" s="137" t="s">
        <v>8</v>
      </c>
      <c r="G284" s="137" t="s">
        <v>41</v>
      </c>
    </row>
    <row r="285" spans="1:7" s="454" customFormat="1" x14ac:dyDescent="0.3">
      <c r="A285" s="135">
        <v>45853</v>
      </c>
      <c r="B285" s="97" t="s">
        <v>211</v>
      </c>
      <c r="C285" s="136" t="s">
        <v>89</v>
      </c>
      <c r="D285" s="272" t="s">
        <v>536</v>
      </c>
      <c r="E285" s="126">
        <v>-2281.6999999999998</v>
      </c>
      <c r="F285" s="137" t="s">
        <v>8</v>
      </c>
      <c r="G285" s="137" t="s">
        <v>41</v>
      </c>
    </row>
    <row r="286" spans="1:7" s="454" customFormat="1" x14ac:dyDescent="0.3">
      <c r="A286" s="135">
        <v>45853</v>
      </c>
      <c r="B286" s="97" t="s">
        <v>211</v>
      </c>
      <c r="C286" s="272" t="s">
        <v>6</v>
      </c>
      <c r="D286" s="272" t="s">
        <v>91</v>
      </c>
      <c r="E286" s="126">
        <v>-6276.28</v>
      </c>
      <c r="F286" s="137" t="s">
        <v>8</v>
      </c>
      <c r="G286" s="137" t="s">
        <v>64</v>
      </c>
    </row>
    <row r="287" spans="1:7" s="454" customFormat="1" x14ac:dyDescent="0.3">
      <c r="A287" s="135">
        <v>45853</v>
      </c>
      <c r="B287" s="97" t="s">
        <v>211</v>
      </c>
      <c r="C287" s="272" t="s">
        <v>17</v>
      </c>
      <c r="D287" s="272" t="s">
        <v>544</v>
      </c>
      <c r="E287" s="126">
        <v>-10605.99</v>
      </c>
      <c r="F287" s="110" t="s">
        <v>8</v>
      </c>
      <c r="G287" s="137" t="s">
        <v>93</v>
      </c>
    </row>
    <row r="288" spans="1:7" s="454" customFormat="1" x14ac:dyDescent="0.3">
      <c r="A288" s="135">
        <v>45853</v>
      </c>
      <c r="B288" s="97" t="s">
        <v>211</v>
      </c>
      <c r="C288" s="109" t="s">
        <v>31</v>
      </c>
      <c r="D288" s="124" t="s">
        <v>684</v>
      </c>
      <c r="E288" s="126">
        <v>-2225.21</v>
      </c>
      <c r="F288" s="110" t="s">
        <v>8</v>
      </c>
      <c r="G288" s="311" t="s">
        <v>93</v>
      </c>
    </row>
    <row r="289" spans="1:7" s="454" customFormat="1" x14ac:dyDescent="0.3">
      <c r="A289" s="135">
        <v>45853</v>
      </c>
      <c r="B289" s="97" t="s">
        <v>211</v>
      </c>
      <c r="C289" s="488" t="s">
        <v>25</v>
      </c>
      <c r="D289" s="124" t="s">
        <v>684</v>
      </c>
      <c r="E289" s="126">
        <v>-1248.99</v>
      </c>
      <c r="F289" s="110" t="s">
        <v>8</v>
      </c>
      <c r="G289" s="311" t="s">
        <v>93</v>
      </c>
    </row>
    <row r="290" spans="1:7" s="454" customFormat="1" x14ac:dyDescent="0.3">
      <c r="A290" s="135">
        <v>45853</v>
      </c>
      <c r="B290" s="97" t="s">
        <v>211</v>
      </c>
      <c r="C290" s="272" t="s">
        <v>6</v>
      </c>
      <c r="D290" s="272" t="s">
        <v>600</v>
      </c>
      <c r="E290" s="126">
        <v>-2012.45</v>
      </c>
      <c r="F290" s="110" t="s">
        <v>8</v>
      </c>
      <c r="G290" s="105" t="s">
        <v>46</v>
      </c>
    </row>
    <row r="291" spans="1:7" s="454" customFormat="1" x14ac:dyDescent="0.3">
      <c r="A291" s="483">
        <v>45853</v>
      </c>
      <c r="B291" s="466" t="s">
        <v>211</v>
      </c>
      <c r="C291" s="485" t="s">
        <v>6</v>
      </c>
      <c r="D291" s="484" t="s">
        <v>94</v>
      </c>
      <c r="E291" s="486">
        <v>-171.1</v>
      </c>
      <c r="F291" s="153" t="s">
        <v>8</v>
      </c>
      <c r="G291" s="489" t="s">
        <v>29</v>
      </c>
    </row>
    <row r="292" spans="1:7" s="454" customFormat="1" x14ac:dyDescent="0.3">
      <c r="A292" s="483">
        <v>45853</v>
      </c>
      <c r="B292" s="466" t="s">
        <v>211</v>
      </c>
      <c r="C292" s="485" t="s">
        <v>44</v>
      </c>
      <c r="D292" s="484" t="s">
        <v>94</v>
      </c>
      <c r="E292" s="486">
        <v>-171.1</v>
      </c>
      <c r="F292" s="153" t="s">
        <v>8</v>
      </c>
      <c r="G292" s="489" t="s">
        <v>29</v>
      </c>
    </row>
    <row r="293" spans="1:7" s="454" customFormat="1" x14ac:dyDescent="0.3">
      <c r="A293" s="483">
        <v>45853</v>
      </c>
      <c r="B293" s="466" t="s">
        <v>211</v>
      </c>
      <c r="C293" s="485" t="s">
        <v>13</v>
      </c>
      <c r="D293" s="484" t="s">
        <v>94</v>
      </c>
      <c r="E293" s="486">
        <v>-171.1</v>
      </c>
      <c r="F293" s="153" t="s">
        <v>8</v>
      </c>
      <c r="G293" s="489" t="s">
        <v>29</v>
      </c>
    </row>
    <row r="294" spans="1:7" s="454" customFormat="1" x14ac:dyDescent="0.3">
      <c r="A294" s="483">
        <v>45853</v>
      </c>
      <c r="B294" s="466" t="s">
        <v>211</v>
      </c>
      <c r="C294" s="485" t="s">
        <v>686</v>
      </c>
      <c r="D294" s="484" t="s">
        <v>94</v>
      </c>
      <c r="E294" s="486">
        <v>-171.1</v>
      </c>
      <c r="F294" s="153" t="s">
        <v>8</v>
      </c>
      <c r="G294" s="489" t="s">
        <v>29</v>
      </c>
    </row>
    <row r="295" spans="1:7" s="454" customFormat="1" x14ac:dyDescent="0.3">
      <c r="A295" s="135">
        <v>45853</v>
      </c>
      <c r="B295" s="97" t="s">
        <v>211</v>
      </c>
      <c r="C295" s="200" t="s">
        <v>31</v>
      </c>
      <c r="D295" s="272" t="s">
        <v>94</v>
      </c>
      <c r="E295" s="126">
        <v>-171.1</v>
      </c>
      <c r="F295" s="110" t="s">
        <v>8</v>
      </c>
      <c r="G295" s="311" t="s">
        <v>29</v>
      </c>
    </row>
    <row r="296" spans="1:7" s="454" customFormat="1" x14ac:dyDescent="0.3">
      <c r="A296" s="135">
        <v>45853</v>
      </c>
      <c r="B296" s="97" t="s">
        <v>211</v>
      </c>
      <c r="C296" s="200" t="s">
        <v>65</v>
      </c>
      <c r="D296" s="272" t="s">
        <v>94</v>
      </c>
      <c r="E296" s="126">
        <v>-171.1</v>
      </c>
      <c r="F296" s="110" t="s">
        <v>8</v>
      </c>
      <c r="G296" s="311" t="s">
        <v>29</v>
      </c>
    </row>
    <row r="297" spans="1:7" s="454" customFormat="1" x14ac:dyDescent="0.3">
      <c r="A297" s="135">
        <v>45853</v>
      </c>
      <c r="B297" s="97" t="s">
        <v>211</v>
      </c>
      <c r="C297" s="109" t="s">
        <v>17</v>
      </c>
      <c r="D297" s="272" t="s">
        <v>94</v>
      </c>
      <c r="E297" s="126">
        <v>-171.1</v>
      </c>
      <c r="F297" s="110" t="s">
        <v>8</v>
      </c>
      <c r="G297" s="311" t="s">
        <v>29</v>
      </c>
    </row>
    <row r="298" spans="1:7" s="454" customFormat="1" x14ac:dyDescent="0.3">
      <c r="A298" s="135">
        <v>45853</v>
      </c>
      <c r="B298" s="97" t="s">
        <v>211</v>
      </c>
      <c r="C298" s="109" t="s">
        <v>685</v>
      </c>
      <c r="D298" s="272" t="s">
        <v>94</v>
      </c>
      <c r="E298" s="126">
        <v>-171.1</v>
      </c>
      <c r="F298" s="110" t="s">
        <v>8</v>
      </c>
      <c r="G298" s="311" t="s">
        <v>29</v>
      </c>
    </row>
    <row r="299" spans="1:7" s="454" customFormat="1" x14ac:dyDescent="0.3">
      <c r="A299" s="135">
        <v>45853</v>
      </c>
      <c r="B299" s="97" t="s">
        <v>211</v>
      </c>
      <c r="C299" s="109" t="s">
        <v>30</v>
      </c>
      <c r="D299" s="272" t="s">
        <v>94</v>
      </c>
      <c r="E299" s="126">
        <v>-171.1</v>
      </c>
      <c r="F299" s="110" t="s">
        <v>8</v>
      </c>
      <c r="G299" s="311" t="s">
        <v>29</v>
      </c>
    </row>
    <row r="300" spans="1:7" s="454" customFormat="1" x14ac:dyDescent="0.3">
      <c r="A300" s="135">
        <v>45853</v>
      </c>
      <c r="B300" s="97" t="s">
        <v>211</v>
      </c>
      <c r="C300" s="109" t="s">
        <v>95</v>
      </c>
      <c r="D300" s="272" t="s">
        <v>94</v>
      </c>
      <c r="E300" s="126">
        <v>-171.1</v>
      </c>
      <c r="F300" s="110" t="s">
        <v>8</v>
      </c>
      <c r="G300" s="311" t="s">
        <v>29</v>
      </c>
    </row>
    <row r="301" spans="1:7" s="454" customFormat="1" x14ac:dyDescent="0.3">
      <c r="A301" s="135">
        <v>45853</v>
      </c>
      <c r="B301" s="97" t="s">
        <v>211</v>
      </c>
      <c r="C301" s="109" t="s">
        <v>33</v>
      </c>
      <c r="D301" s="272" t="s">
        <v>94</v>
      </c>
      <c r="E301" s="126">
        <v>-171.1</v>
      </c>
      <c r="F301" s="110" t="s">
        <v>8</v>
      </c>
      <c r="G301" s="311" t="s">
        <v>29</v>
      </c>
    </row>
    <row r="302" spans="1:7" s="454" customFormat="1" x14ac:dyDescent="0.3">
      <c r="A302" s="135">
        <v>45853</v>
      </c>
      <c r="B302" s="97" t="s">
        <v>211</v>
      </c>
      <c r="C302" s="109" t="s">
        <v>96</v>
      </c>
      <c r="D302" s="272" t="s">
        <v>94</v>
      </c>
      <c r="E302" s="126">
        <v>-171.1</v>
      </c>
      <c r="F302" s="110" t="s">
        <v>8</v>
      </c>
      <c r="G302" s="311" t="s">
        <v>29</v>
      </c>
    </row>
    <row r="303" spans="1:7" s="454" customFormat="1" x14ac:dyDescent="0.3">
      <c r="A303" s="135">
        <v>45853</v>
      </c>
      <c r="B303" s="97" t="s">
        <v>211</v>
      </c>
      <c r="C303" s="109" t="s">
        <v>32</v>
      </c>
      <c r="D303" s="272" t="s">
        <v>94</v>
      </c>
      <c r="E303" s="126">
        <v>-171.1</v>
      </c>
      <c r="F303" s="110" t="s">
        <v>8</v>
      </c>
      <c r="G303" s="311" t="s">
        <v>29</v>
      </c>
    </row>
    <row r="304" spans="1:7" s="454" customFormat="1" x14ac:dyDescent="0.3">
      <c r="A304" s="135">
        <v>45853</v>
      </c>
      <c r="B304" s="97" t="s">
        <v>211</v>
      </c>
      <c r="C304" s="109" t="s">
        <v>34</v>
      </c>
      <c r="D304" s="272" t="s">
        <v>94</v>
      </c>
      <c r="E304" s="126">
        <v>-171.1</v>
      </c>
      <c r="F304" s="110" t="s">
        <v>8</v>
      </c>
      <c r="G304" s="311" t="s">
        <v>29</v>
      </c>
    </row>
    <row r="305" spans="1:7" s="454" customFormat="1" x14ac:dyDescent="0.3">
      <c r="A305" s="135">
        <v>45853</v>
      </c>
      <c r="B305" s="97" t="s">
        <v>211</v>
      </c>
      <c r="C305" s="136" t="s">
        <v>32</v>
      </c>
      <c r="D305" s="272" t="s">
        <v>105</v>
      </c>
      <c r="E305" s="100">
        <v>-261.68</v>
      </c>
      <c r="F305" s="137" t="s">
        <v>8</v>
      </c>
      <c r="G305" s="137" t="s">
        <v>69</v>
      </c>
    </row>
    <row r="306" spans="1:7" s="454" customFormat="1" x14ac:dyDescent="0.3">
      <c r="A306" s="135">
        <v>45853</v>
      </c>
      <c r="B306" s="97" t="s">
        <v>211</v>
      </c>
      <c r="C306" s="136" t="s">
        <v>106</v>
      </c>
      <c r="D306" s="272" t="s">
        <v>105</v>
      </c>
      <c r="E306" s="126">
        <v>-300</v>
      </c>
      <c r="F306" s="137" t="s">
        <v>8</v>
      </c>
      <c r="G306" s="137" t="s">
        <v>69</v>
      </c>
    </row>
    <row r="307" spans="1:7" s="454" customFormat="1" x14ac:dyDescent="0.3">
      <c r="A307" s="135">
        <v>45853</v>
      </c>
      <c r="B307" s="97" t="s">
        <v>211</v>
      </c>
      <c r="C307" s="136" t="s">
        <v>35</v>
      </c>
      <c r="D307" s="272" t="s">
        <v>105</v>
      </c>
      <c r="E307" s="126">
        <v>-300</v>
      </c>
      <c r="F307" s="137" t="s">
        <v>8</v>
      </c>
      <c r="G307" s="137" t="s">
        <v>69</v>
      </c>
    </row>
    <row r="308" spans="1:7" s="454" customFormat="1" x14ac:dyDescent="0.3">
      <c r="A308" s="135">
        <v>45853</v>
      </c>
      <c r="B308" s="97" t="s">
        <v>211</v>
      </c>
      <c r="C308" s="136" t="s">
        <v>107</v>
      </c>
      <c r="D308" s="272" t="s">
        <v>105</v>
      </c>
      <c r="E308" s="126">
        <v>-300</v>
      </c>
      <c r="F308" s="137" t="s">
        <v>8</v>
      </c>
      <c r="G308" s="137" t="s">
        <v>69</v>
      </c>
    </row>
    <row r="309" spans="1:7" s="454" customFormat="1" x14ac:dyDescent="0.3">
      <c r="A309" s="135">
        <v>45853</v>
      </c>
      <c r="B309" s="97" t="s">
        <v>211</v>
      </c>
      <c r="C309" s="136" t="s">
        <v>108</v>
      </c>
      <c r="D309" s="272" t="s">
        <v>105</v>
      </c>
      <c r="E309" s="100">
        <v>-294.32</v>
      </c>
      <c r="F309" s="137" t="s">
        <v>8</v>
      </c>
      <c r="G309" s="137" t="s">
        <v>69</v>
      </c>
    </row>
    <row r="310" spans="1:7" s="454" customFormat="1" x14ac:dyDescent="0.3">
      <c r="A310" s="135">
        <v>45853</v>
      </c>
      <c r="B310" s="97" t="s">
        <v>211</v>
      </c>
      <c r="C310" s="136" t="s">
        <v>72</v>
      </c>
      <c r="D310" s="272" t="s">
        <v>105</v>
      </c>
      <c r="E310" s="126">
        <v>-300</v>
      </c>
      <c r="F310" s="137" t="s">
        <v>8</v>
      </c>
      <c r="G310" s="137" t="s">
        <v>69</v>
      </c>
    </row>
    <row r="311" spans="1:7" s="454" customFormat="1" x14ac:dyDescent="0.3">
      <c r="A311" s="135">
        <v>45853</v>
      </c>
      <c r="B311" s="97" t="s">
        <v>211</v>
      </c>
      <c r="C311" s="136" t="s">
        <v>109</v>
      </c>
      <c r="D311" s="272" t="s">
        <v>105</v>
      </c>
      <c r="E311" s="126">
        <v>-300</v>
      </c>
      <c r="F311" s="137" t="s">
        <v>8</v>
      </c>
      <c r="G311" s="137" t="s">
        <v>69</v>
      </c>
    </row>
    <row r="312" spans="1:7" s="454" customFormat="1" x14ac:dyDescent="0.3">
      <c r="A312" s="135">
        <v>45853</v>
      </c>
      <c r="B312" s="97" t="s">
        <v>211</v>
      </c>
      <c r="C312" s="136" t="s">
        <v>110</v>
      </c>
      <c r="D312" s="272" t="s">
        <v>105</v>
      </c>
      <c r="E312" s="126">
        <v>-350</v>
      </c>
      <c r="F312" s="137" t="s">
        <v>8</v>
      </c>
      <c r="G312" s="137" t="s">
        <v>69</v>
      </c>
    </row>
    <row r="313" spans="1:7" s="454" customFormat="1" x14ac:dyDescent="0.3">
      <c r="A313" s="135">
        <v>45853</v>
      </c>
      <c r="B313" s="97" t="s">
        <v>211</v>
      </c>
      <c r="C313" s="136" t="s">
        <v>111</v>
      </c>
      <c r="D313" s="272" t="s">
        <v>105</v>
      </c>
      <c r="E313" s="126">
        <v>-373.51</v>
      </c>
      <c r="F313" s="137" t="s">
        <v>8</v>
      </c>
      <c r="G313" s="137" t="s">
        <v>69</v>
      </c>
    </row>
    <row r="314" spans="1:7" s="454" customFormat="1" x14ac:dyDescent="0.3">
      <c r="A314" s="465">
        <v>45853</v>
      </c>
      <c r="B314" s="466" t="s">
        <v>211</v>
      </c>
      <c r="C314" s="490" t="s">
        <v>31</v>
      </c>
      <c r="D314" s="467" t="s">
        <v>541</v>
      </c>
      <c r="E314" s="468">
        <v>-1000</v>
      </c>
      <c r="F314" s="469" t="s">
        <v>8</v>
      </c>
      <c r="G314" s="469" t="s">
        <v>189</v>
      </c>
    </row>
    <row r="315" spans="1:7" s="454" customFormat="1" x14ac:dyDescent="0.3">
      <c r="A315" s="98">
        <v>45853</v>
      </c>
      <c r="B315" s="97" t="s">
        <v>211</v>
      </c>
      <c r="C315" s="109" t="s">
        <v>6</v>
      </c>
      <c r="D315" s="99" t="s">
        <v>540</v>
      </c>
      <c r="E315" s="100">
        <v>-10000</v>
      </c>
      <c r="F315" s="105" t="s">
        <v>8</v>
      </c>
      <c r="G315" s="105" t="s">
        <v>189</v>
      </c>
    </row>
    <row r="316" spans="1:7" s="454" customFormat="1" x14ac:dyDescent="0.3">
      <c r="A316" s="98">
        <v>45853</v>
      </c>
      <c r="B316" s="97" t="s">
        <v>211</v>
      </c>
      <c r="C316" s="109" t="s">
        <v>6</v>
      </c>
      <c r="D316" s="99" t="s">
        <v>538</v>
      </c>
      <c r="E316" s="100">
        <v>-2644</v>
      </c>
      <c r="F316" s="105" t="s">
        <v>8</v>
      </c>
      <c r="G316" s="105" t="s">
        <v>189</v>
      </c>
    </row>
    <row r="317" spans="1:7" s="454" customFormat="1" x14ac:dyDescent="0.3">
      <c r="A317" s="97">
        <v>45853</v>
      </c>
      <c r="B317" s="97" t="s">
        <v>211</v>
      </c>
      <c r="C317" s="488" t="s">
        <v>106</v>
      </c>
      <c r="D317" s="492" t="s">
        <v>542</v>
      </c>
      <c r="E317" s="125">
        <v>-2000</v>
      </c>
      <c r="F317" s="491" t="s">
        <v>8</v>
      </c>
      <c r="G317" s="491" t="s">
        <v>189</v>
      </c>
    </row>
    <row r="318" spans="1:7" s="454" customFormat="1" x14ac:dyDescent="0.3">
      <c r="A318" s="97">
        <v>45853</v>
      </c>
      <c r="B318" s="97" t="s">
        <v>211</v>
      </c>
      <c r="C318" s="492" t="s">
        <v>6</v>
      </c>
      <c r="D318" s="492" t="s">
        <v>539</v>
      </c>
      <c r="E318" s="125">
        <v>-3500</v>
      </c>
      <c r="F318" s="491" t="s">
        <v>8</v>
      </c>
      <c r="G318" s="491" t="s">
        <v>189</v>
      </c>
    </row>
    <row r="319" spans="1:7" s="454" customFormat="1" x14ac:dyDescent="0.3">
      <c r="A319" s="97">
        <v>45853</v>
      </c>
      <c r="B319" s="97" t="s">
        <v>211</v>
      </c>
      <c r="C319" s="492" t="s">
        <v>72</v>
      </c>
      <c r="D319" s="492" t="s">
        <v>535</v>
      </c>
      <c r="E319" s="100">
        <v>-1330</v>
      </c>
      <c r="F319" s="491" t="s">
        <v>8</v>
      </c>
      <c r="G319" s="491" t="s">
        <v>207</v>
      </c>
    </row>
    <row r="320" spans="1:7" s="454" customFormat="1" x14ac:dyDescent="0.3">
      <c r="A320" s="97">
        <v>45853</v>
      </c>
      <c r="B320" s="97" t="s">
        <v>211</v>
      </c>
      <c r="C320" s="492" t="s">
        <v>25</v>
      </c>
      <c r="D320" s="492" t="s">
        <v>530</v>
      </c>
      <c r="E320" s="100">
        <v>-430.4</v>
      </c>
      <c r="F320" s="491" t="s">
        <v>8</v>
      </c>
      <c r="G320" s="491" t="s">
        <v>69</v>
      </c>
    </row>
    <row r="321" spans="1:7" s="454" customFormat="1" x14ac:dyDescent="0.3">
      <c r="A321" s="97">
        <v>45853</v>
      </c>
      <c r="B321" s="97" t="s">
        <v>211</v>
      </c>
      <c r="C321" s="99" t="s">
        <v>31</v>
      </c>
      <c r="D321" s="99" t="s">
        <v>532</v>
      </c>
      <c r="E321" s="100">
        <v>-119.8</v>
      </c>
      <c r="F321" s="491" t="s">
        <v>8</v>
      </c>
      <c r="G321" s="105" t="s">
        <v>76</v>
      </c>
    </row>
    <row r="322" spans="1:7" s="454" customFormat="1" x14ac:dyDescent="0.3">
      <c r="A322" s="97">
        <v>45853</v>
      </c>
      <c r="B322" s="97" t="s">
        <v>211</v>
      </c>
      <c r="C322" s="99" t="s">
        <v>25</v>
      </c>
      <c r="D322" s="99" t="s">
        <v>531</v>
      </c>
      <c r="E322" s="100">
        <v>-183.91</v>
      </c>
      <c r="F322" s="491" t="s">
        <v>8</v>
      </c>
      <c r="G322" s="105" t="s">
        <v>76</v>
      </c>
    </row>
    <row r="323" spans="1:7" s="454" customFormat="1" x14ac:dyDescent="0.3">
      <c r="A323" s="97">
        <v>45853</v>
      </c>
      <c r="B323" s="97" t="s">
        <v>211</v>
      </c>
      <c r="C323" s="99" t="s">
        <v>32</v>
      </c>
      <c r="D323" s="99" t="s">
        <v>533</v>
      </c>
      <c r="E323" s="100">
        <v>-190.27</v>
      </c>
      <c r="F323" s="491" t="s">
        <v>8</v>
      </c>
      <c r="G323" s="105" t="s">
        <v>76</v>
      </c>
    </row>
    <row r="324" spans="1:7" s="454" customFormat="1" x14ac:dyDescent="0.3">
      <c r="A324" s="97">
        <v>45853</v>
      </c>
      <c r="B324" s="97" t="s">
        <v>211</v>
      </c>
      <c r="C324" s="99" t="s">
        <v>32</v>
      </c>
      <c r="D324" s="99" t="s">
        <v>534</v>
      </c>
      <c r="E324" s="100">
        <v>-898.96</v>
      </c>
      <c r="F324" s="491" t="s">
        <v>8</v>
      </c>
      <c r="G324" s="105" t="s">
        <v>76</v>
      </c>
    </row>
    <row r="325" spans="1:7" s="454" customFormat="1" x14ac:dyDescent="0.3">
      <c r="A325" s="97">
        <v>45853</v>
      </c>
      <c r="B325" s="97" t="s">
        <v>211</v>
      </c>
      <c r="C325" s="488" t="s">
        <v>44</v>
      </c>
      <c r="D325" s="492" t="s">
        <v>543</v>
      </c>
      <c r="E325" s="125">
        <v>-1035.44</v>
      </c>
      <c r="F325" s="110" t="s">
        <v>8</v>
      </c>
      <c r="G325" s="491" t="s">
        <v>207</v>
      </c>
    </row>
    <row r="326" spans="1:7" x14ac:dyDescent="0.3">
      <c r="E326" s="442">
        <f>SUM(E255:E325)</f>
        <v>-164460.33000000005</v>
      </c>
    </row>
    <row r="329" spans="1:7" x14ac:dyDescent="0.3">
      <c r="A329" s="914" t="s">
        <v>863</v>
      </c>
      <c r="B329" s="914"/>
      <c r="C329" s="914"/>
      <c r="D329" s="914"/>
      <c r="E329" s="914"/>
      <c r="F329" s="914"/>
      <c r="G329" s="914"/>
    </row>
    <row r="330" spans="1:7" ht="34.200000000000003" customHeight="1" x14ac:dyDescent="0.3">
      <c r="A330" s="914"/>
      <c r="B330" s="914"/>
      <c r="C330" s="914"/>
      <c r="D330" s="914"/>
      <c r="E330" s="914"/>
      <c r="F330" s="914"/>
      <c r="G330" s="914"/>
    </row>
    <row r="331" spans="1:7" x14ac:dyDescent="0.3">
      <c r="A331" s="275" t="s">
        <v>0</v>
      </c>
      <c r="B331" s="275" t="s">
        <v>210</v>
      </c>
      <c r="C331" s="200" t="s">
        <v>1</v>
      </c>
      <c r="D331" s="124" t="s">
        <v>2</v>
      </c>
      <c r="E331" s="129" t="s">
        <v>3</v>
      </c>
      <c r="F331" s="137" t="s">
        <v>4</v>
      </c>
      <c r="G331" s="311" t="s">
        <v>5</v>
      </c>
    </row>
    <row r="332" spans="1:7" x14ac:dyDescent="0.3">
      <c r="A332" s="135">
        <v>45854</v>
      </c>
      <c r="B332" s="97" t="s">
        <v>211</v>
      </c>
      <c r="C332" s="272" t="s">
        <v>31</v>
      </c>
      <c r="D332" s="272" t="s">
        <v>563</v>
      </c>
      <c r="E332" s="126">
        <v>-2000</v>
      </c>
      <c r="F332" s="110" t="s">
        <v>8</v>
      </c>
      <c r="G332" s="137" t="s">
        <v>59</v>
      </c>
    </row>
    <row r="333" spans="1:7" x14ac:dyDescent="0.3">
      <c r="A333" s="135">
        <v>45854</v>
      </c>
      <c r="B333" s="97" t="s">
        <v>211</v>
      </c>
      <c r="C333" s="99" t="s">
        <v>17</v>
      </c>
      <c r="D333" s="99" t="s">
        <v>547</v>
      </c>
      <c r="E333" s="100">
        <v>-18300</v>
      </c>
      <c r="F333" s="110" t="s">
        <v>8</v>
      </c>
      <c r="G333" s="137" t="s">
        <v>79</v>
      </c>
    </row>
    <row r="334" spans="1:7" x14ac:dyDescent="0.3">
      <c r="A334" s="135">
        <v>45854</v>
      </c>
      <c r="B334" s="97" t="s">
        <v>211</v>
      </c>
      <c r="C334" s="99" t="s">
        <v>17</v>
      </c>
      <c r="D334" s="99" t="s">
        <v>548</v>
      </c>
      <c r="E334" s="100">
        <v>-3700</v>
      </c>
      <c r="F334" s="110" t="s">
        <v>8</v>
      </c>
      <c r="G334" s="137" t="s">
        <v>79</v>
      </c>
    </row>
    <row r="335" spans="1:7" x14ac:dyDescent="0.3">
      <c r="A335" s="135">
        <v>45854</v>
      </c>
      <c r="B335" s="97" t="s">
        <v>211</v>
      </c>
      <c r="C335" s="99" t="s">
        <v>17</v>
      </c>
      <c r="D335" s="99" t="s">
        <v>549</v>
      </c>
      <c r="E335" s="100">
        <v>-900</v>
      </c>
      <c r="F335" s="110" t="s">
        <v>8</v>
      </c>
      <c r="G335" s="137" t="s">
        <v>79</v>
      </c>
    </row>
    <row r="336" spans="1:7" x14ac:dyDescent="0.3">
      <c r="A336" s="135">
        <v>45854</v>
      </c>
      <c r="B336" s="97" t="s">
        <v>211</v>
      </c>
      <c r="C336" s="99" t="s">
        <v>17</v>
      </c>
      <c r="D336" s="99" t="s">
        <v>550</v>
      </c>
      <c r="E336" s="100">
        <v>-12600</v>
      </c>
      <c r="F336" s="110" t="s">
        <v>8</v>
      </c>
      <c r="G336" s="137" t="s">
        <v>79</v>
      </c>
    </row>
    <row r="337" spans="1:7" x14ac:dyDescent="0.3">
      <c r="A337" s="135">
        <v>45854</v>
      </c>
      <c r="B337" s="97" t="s">
        <v>211</v>
      </c>
      <c r="C337" s="272" t="s">
        <v>6</v>
      </c>
      <c r="D337" s="272" t="s">
        <v>546</v>
      </c>
      <c r="E337" s="126">
        <v>-88560.88</v>
      </c>
      <c r="F337" s="110" t="s">
        <v>8</v>
      </c>
      <c r="G337" s="137" t="s">
        <v>19</v>
      </c>
    </row>
    <row r="338" spans="1:7" x14ac:dyDescent="0.3">
      <c r="A338" s="135">
        <v>45854</v>
      </c>
      <c r="B338" s="97" t="s">
        <v>211</v>
      </c>
      <c r="C338" s="272" t="s">
        <v>6</v>
      </c>
      <c r="D338" s="272" t="s">
        <v>551</v>
      </c>
      <c r="E338" s="100">
        <v>-6748.2</v>
      </c>
      <c r="F338" s="110" t="s">
        <v>8</v>
      </c>
      <c r="G338" s="137" t="s">
        <v>99</v>
      </c>
    </row>
    <row r="339" spans="1:7" x14ac:dyDescent="0.3">
      <c r="A339" s="98">
        <v>45854</v>
      </c>
      <c r="B339" s="97" t="s">
        <v>211</v>
      </c>
      <c r="C339" s="99" t="s">
        <v>17</v>
      </c>
      <c r="D339" s="99" t="s">
        <v>205</v>
      </c>
      <c r="E339" s="100">
        <v>-192</v>
      </c>
      <c r="F339" s="110" t="s">
        <v>8</v>
      </c>
      <c r="G339" s="105" t="s">
        <v>142</v>
      </c>
    </row>
    <row r="340" spans="1:7" x14ac:dyDescent="0.3">
      <c r="A340" s="135">
        <v>45854</v>
      </c>
      <c r="B340" s="97" t="s">
        <v>211</v>
      </c>
      <c r="C340" s="99" t="s">
        <v>44</v>
      </c>
      <c r="D340" s="99" t="s">
        <v>861</v>
      </c>
      <c r="E340" s="100">
        <v>-1709.15</v>
      </c>
      <c r="F340" s="110" t="s">
        <v>8</v>
      </c>
      <c r="G340" s="105" t="s">
        <v>233</v>
      </c>
    </row>
    <row r="341" spans="1:7" x14ac:dyDescent="0.3">
      <c r="A341" s="135">
        <v>45854</v>
      </c>
      <c r="B341" s="97" t="s">
        <v>211</v>
      </c>
      <c r="C341" s="99" t="s">
        <v>44</v>
      </c>
      <c r="D341" s="99" t="s">
        <v>862</v>
      </c>
      <c r="E341" s="100">
        <v>-1709.15</v>
      </c>
      <c r="F341" s="110" t="s">
        <v>8</v>
      </c>
      <c r="G341" s="105" t="s">
        <v>233</v>
      </c>
    </row>
    <row r="342" spans="1:7" x14ac:dyDescent="0.3">
      <c r="A342" s="97">
        <v>45854</v>
      </c>
      <c r="B342" s="97" t="s">
        <v>211</v>
      </c>
      <c r="C342" s="99" t="s">
        <v>72</v>
      </c>
      <c r="D342" s="99" t="s">
        <v>858</v>
      </c>
      <c r="E342" s="100">
        <v>-1800.33</v>
      </c>
      <c r="F342" s="110" t="s">
        <v>8</v>
      </c>
      <c r="G342" s="105" t="s">
        <v>233</v>
      </c>
    </row>
    <row r="343" spans="1:7" x14ac:dyDescent="0.3">
      <c r="A343" s="98">
        <v>45854</v>
      </c>
      <c r="B343" s="97" t="s">
        <v>211</v>
      </c>
      <c r="C343" s="109" t="s">
        <v>6</v>
      </c>
      <c r="D343" s="99" t="s">
        <v>552</v>
      </c>
      <c r="E343" s="100">
        <v>-1551.29</v>
      </c>
      <c r="F343" s="105" t="s">
        <v>8</v>
      </c>
      <c r="G343" s="105" t="s">
        <v>189</v>
      </c>
    </row>
    <row r="344" spans="1:7" x14ac:dyDescent="0.3">
      <c r="A344" s="500">
        <v>45854</v>
      </c>
      <c r="B344" s="8" t="s">
        <v>211</v>
      </c>
      <c r="C344" s="107" t="s">
        <v>25</v>
      </c>
      <c r="D344" s="107" t="s">
        <v>813</v>
      </c>
      <c r="E344" s="4">
        <v>-250.4</v>
      </c>
      <c r="F344" s="110" t="s">
        <v>8</v>
      </c>
      <c r="G344" s="108" t="s">
        <v>83</v>
      </c>
    </row>
    <row r="345" spans="1:7" x14ac:dyDescent="0.3">
      <c r="A345" s="135">
        <v>45854</v>
      </c>
      <c r="B345" s="8" t="s">
        <v>211</v>
      </c>
      <c r="C345" s="107" t="s">
        <v>25</v>
      </c>
      <c r="D345" s="107" t="s">
        <v>814</v>
      </c>
      <c r="E345" s="4">
        <v>-319.8</v>
      </c>
      <c r="F345" s="110" t="s">
        <v>8</v>
      </c>
      <c r="G345" s="108" t="s">
        <v>83</v>
      </c>
    </row>
    <row r="346" spans="1:7" x14ac:dyDescent="0.3">
      <c r="A346" s="98">
        <v>45854</v>
      </c>
      <c r="B346" s="97" t="s">
        <v>211</v>
      </c>
      <c r="C346" s="99" t="s">
        <v>32</v>
      </c>
      <c r="D346" s="99" t="s">
        <v>534</v>
      </c>
      <c r="E346" s="100">
        <v>-319.27</v>
      </c>
      <c r="F346" s="105" t="s">
        <v>8</v>
      </c>
      <c r="G346" s="105" t="s">
        <v>76</v>
      </c>
    </row>
    <row r="347" spans="1:7" x14ac:dyDescent="0.3">
      <c r="A347" s="98">
        <v>45854</v>
      </c>
      <c r="B347" s="97" t="s">
        <v>211</v>
      </c>
      <c r="C347" s="99" t="s">
        <v>6</v>
      </c>
      <c r="D347" s="99" t="s">
        <v>673</v>
      </c>
      <c r="E347" s="100">
        <v>-1302</v>
      </c>
      <c r="F347" s="105" t="s">
        <v>8</v>
      </c>
      <c r="G347" s="105" t="s">
        <v>19</v>
      </c>
    </row>
    <row r="348" spans="1:7" x14ac:dyDescent="0.3">
      <c r="A348" s="98">
        <v>45854</v>
      </c>
      <c r="B348" s="97" t="s">
        <v>211</v>
      </c>
      <c r="C348" s="99" t="s">
        <v>6</v>
      </c>
      <c r="D348" s="99" t="s">
        <v>848</v>
      </c>
      <c r="E348" s="100">
        <v>-2350</v>
      </c>
      <c r="F348" s="105" t="s">
        <v>8</v>
      </c>
      <c r="G348" s="105" t="s">
        <v>142</v>
      </c>
    </row>
    <row r="349" spans="1:7" x14ac:dyDescent="0.3">
      <c r="A349" s="98">
        <v>45854</v>
      </c>
      <c r="B349" s="97" t="s">
        <v>211</v>
      </c>
      <c r="C349" s="99" t="s">
        <v>6</v>
      </c>
      <c r="D349" s="99" t="s">
        <v>849</v>
      </c>
      <c r="E349" s="100">
        <v>-3200</v>
      </c>
      <c r="F349" s="105" t="s">
        <v>8</v>
      </c>
      <c r="G349" s="105" t="s">
        <v>142</v>
      </c>
    </row>
    <row r="350" spans="1:7" x14ac:dyDescent="0.3">
      <c r="A350" s="98">
        <v>45854</v>
      </c>
      <c r="B350" s="97" t="s">
        <v>211</v>
      </c>
      <c r="C350" s="99" t="s">
        <v>72</v>
      </c>
      <c r="D350" s="99" t="s">
        <v>678</v>
      </c>
      <c r="E350" s="100">
        <v>-600</v>
      </c>
      <c r="F350" s="105" t="s">
        <v>8</v>
      </c>
      <c r="G350" s="105" t="s">
        <v>27</v>
      </c>
    </row>
    <row r="351" spans="1:7" x14ac:dyDescent="0.3">
      <c r="A351" s="98">
        <v>45854</v>
      </c>
      <c r="B351" s="97" t="s">
        <v>211</v>
      </c>
      <c r="C351" s="99" t="s">
        <v>72</v>
      </c>
      <c r="D351" s="272" t="s">
        <v>677</v>
      </c>
      <c r="E351" s="126">
        <v>-800</v>
      </c>
      <c r="F351" s="105" t="s">
        <v>8</v>
      </c>
      <c r="G351" s="105" t="s">
        <v>27</v>
      </c>
    </row>
    <row r="352" spans="1:7" x14ac:dyDescent="0.3">
      <c r="A352" s="98">
        <v>45854</v>
      </c>
      <c r="B352" s="97" t="s">
        <v>211</v>
      </c>
      <c r="C352" s="99" t="s">
        <v>72</v>
      </c>
      <c r="D352" s="99" t="s">
        <v>676</v>
      </c>
      <c r="E352" s="100">
        <v>-200</v>
      </c>
      <c r="F352" s="105" t="s">
        <v>8</v>
      </c>
      <c r="G352" s="105" t="s">
        <v>27</v>
      </c>
    </row>
    <row r="353" spans="1:7" x14ac:dyDescent="0.3">
      <c r="A353" s="98">
        <v>45854</v>
      </c>
      <c r="B353" s="97" t="s">
        <v>211</v>
      </c>
      <c r="C353" s="99" t="s">
        <v>72</v>
      </c>
      <c r="D353" s="99" t="s">
        <v>675</v>
      </c>
      <c r="E353" s="100">
        <v>-1250</v>
      </c>
      <c r="F353" s="105" t="s">
        <v>8</v>
      </c>
      <c r="G353" s="105" t="s">
        <v>27</v>
      </c>
    </row>
    <row r="354" spans="1:7" x14ac:dyDescent="0.3">
      <c r="A354" s="98">
        <v>45854</v>
      </c>
      <c r="B354" s="97" t="s">
        <v>211</v>
      </c>
      <c r="C354" s="99" t="s">
        <v>72</v>
      </c>
      <c r="D354" s="99" t="s">
        <v>674</v>
      </c>
      <c r="E354" s="100">
        <v>-1400</v>
      </c>
      <c r="F354" s="105" t="s">
        <v>8</v>
      </c>
      <c r="G354" s="105" t="s">
        <v>27</v>
      </c>
    </row>
    <row r="355" spans="1:7" x14ac:dyDescent="0.3">
      <c r="A355" s="98">
        <v>45854</v>
      </c>
      <c r="B355" s="97" t="s">
        <v>211</v>
      </c>
      <c r="C355" s="109" t="s">
        <v>25</v>
      </c>
      <c r="D355" s="99" t="s">
        <v>860</v>
      </c>
      <c r="E355" s="100">
        <v>-840</v>
      </c>
      <c r="F355" s="105" t="s">
        <v>8</v>
      </c>
      <c r="G355" s="105" t="s">
        <v>101</v>
      </c>
    </row>
    <row r="356" spans="1:7" x14ac:dyDescent="0.3">
      <c r="A356" s="98">
        <v>45854</v>
      </c>
      <c r="B356" s="97" t="s">
        <v>211</v>
      </c>
      <c r="C356" s="109" t="s">
        <v>31</v>
      </c>
      <c r="D356" s="99" t="s">
        <v>854</v>
      </c>
      <c r="E356" s="100">
        <v>-2247.35</v>
      </c>
      <c r="F356" s="137" t="s">
        <v>8</v>
      </c>
      <c r="G356" s="137" t="s">
        <v>86</v>
      </c>
    </row>
    <row r="357" spans="1:7" x14ac:dyDescent="0.3">
      <c r="A357" s="98">
        <v>45854</v>
      </c>
      <c r="B357" s="97" t="s">
        <v>211</v>
      </c>
      <c r="C357" s="109" t="s">
        <v>6</v>
      </c>
      <c r="D357" s="99" t="s">
        <v>847</v>
      </c>
      <c r="E357" s="100">
        <v>-3022.31</v>
      </c>
      <c r="F357" s="137" t="s">
        <v>8</v>
      </c>
      <c r="G357" s="137" t="s">
        <v>86</v>
      </c>
    </row>
    <row r="358" spans="1:7" x14ac:dyDescent="0.3">
      <c r="A358" s="98">
        <v>45854</v>
      </c>
      <c r="B358" s="97" t="s">
        <v>211</v>
      </c>
      <c r="C358" s="109" t="s">
        <v>44</v>
      </c>
      <c r="D358" s="99" t="s">
        <v>850</v>
      </c>
      <c r="E358" s="100">
        <v>-774.95</v>
      </c>
      <c r="F358" s="137" t="s">
        <v>8</v>
      </c>
      <c r="G358" s="137" t="s">
        <v>86</v>
      </c>
    </row>
    <row r="359" spans="1:7" x14ac:dyDescent="0.3">
      <c r="A359" s="98">
        <v>45854</v>
      </c>
      <c r="B359" s="97" t="s">
        <v>211</v>
      </c>
      <c r="C359" s="109" t="s">
        <v>44</v>
      </c>
      <c r="D359" s="99" t="s">
        <v>851</v>
      </c>
      <c r="E359" s="100">
        <v>-3487.27</v>
      </c>
      <c r="F359" s="137" t="s">
        <v>8</v>
      </c>
      <c r="G359" s="137" t="s">
        <v>86</v>
      </c>
    </row>
    <row r="360" spans="1:7" x14ac:dyDescent="0.3">
      <c r="A360" s="98">
        <v>45854</v>
      </c>
      <c r="B360" s="97" t="s">
        <v>211</v>
      </c>
      <c r="C360" s="109" t="s">
        <v>25</v>
      </c>
      <c r="D360" s="99" t="s">
        <v>853</v>
      </c>
      <c r="E360" s="100">
        <v>-3177.29</v>
      </c>
      <c r="F360" s="137" t="s">
        <v>8</v>
      </c>
      <c r="G360" s="137" t="s">
        <v>86</v>
      </c>
    </row>
    <row r="361" spans="1:7" x14ac:dyDescent="0.3">
      <c r="A361" s="98">
        <v>45854</v>
      </c>
      <c r="B361" s="97" t="s">
        <v>211</v>
      </c>
      <c r="C361" s="109" t="s">
        <v>33</v>
      </c>
      <c r="D361" s="99" t="s">
        <v>856</v>
      </c>
      <c r="E361" s="100">
        <v>-852.45</v>
      </c>
      <c r="F361" s="137" t="s">
        <v>8</v>
      </c>
      <c r="G361" s="137" t="s">
        <v>86</v>
      </c>
    </row>
    <row r="362" spans="1:7" x14ac:dyDescent="0.3">
      <c r="A362" s="98">
        <v>45854</v>
      </c>
      <c r="B362" s="97" t="s">
        <v>211</v>
      </c>
      <c r="C362" s="109" t="s">
        <v>106</v>
      </c>
      <c r="D362" s="99" t="s">
        <v>857</v>
      </c>
      <c r="E362" s="100">
        <v>-619.96</v>
      </c>
      <c r="F362" s="137" t="s">
        <v>8</v>
      </c>
      <c r="G362" s="137" t="s">
        <v>86</v>
      </c>
    </row>
    <row r="363" spans="1:7" x14ac:dyDescent="0.3">
      <c r="A363" s="98">
        <v>45854</v>
      </c>
      <c r="B363" s="97" t="s">
        <v>211</v>
      </c>
      <c r="C363" s="109" t="s">
        <v>32</v>
      </c>
      <c r="D363" s="99" t="s">
        <v>855</v>
      </c>
      <c r="E363" s="100">
        <v>-232.49</v>
      </c>
      <c r="F363" s="137" t="s">
        <v>8</v>
      </c>
      <c r="G363" s="137" t="s">
        <v>86</v>
      </c>
    </row>
    <row r="364" spans="1:7" x14ac:dyDescent="0.3">
      <c r="A364" s="98">
        <v>45854</v>
      </c>
      <c r="B364" s="97" t="s">
        <v>211</v>
      </c>
      <c r="C364" s="109" t="s">
        <v>72</v>
      </c>
      <c r="D364" s="99" t="s">
        <v>859</v>
      </c>
      <c r="E364" s="100">
        <v>-464.97</v>
      </c>
      <c r="F364" s="137" t="s">
        <v>8</v>
      </c>
      <c r="G364" s="137" t="s">
        <v>86</v>
      </c>
    </row>
    <row r="365" spans="1:7" x14ac:dyDescent="0.3">
      <c r="A365" s="98">
        <v>45854</v>
      </c>
      <c r="B365" s="97" t="s">
        <v>211</v>
      </c>
      <c r="C365" s="109" t="s">
        <v>17</v>
      </c>
      <c r="D365" s="99" t="s">
        <v>852</v>
      </c>
      <c r="E365" s="100">
        <v>-619.96</v>
      </c>
      <c r="F365" s="137" t="s">
        <v>8</v>
      </c>
      <c r="G365" s="137" t="s">
        <v>86</v>
      </c>
    </row>
    <row r="366" spans="1:7" ht="27.6" x14ac:dyDescent="0.3">
      <c r="A366" s="466">
        <v>45854</v>
      </c>
      <c r="B366" s="466" t="s">
        <v>211</v>
      </c>
      <c r="C366" s="501" t="s">
        <v>35</v>
      </c>
      <c r="D366" s="467" t="s">
        <v>680</v>
      </c>
      <c r="E366" s="468">
        <v>-127.27</v>
      </c>
      <c r="F366" s="502" t="s">
        <v>8</v>
      </c>
      <c r="G366" s="469" t="s">
        <v>679</v>
      </c>
    </row>
    <row r="367" spans="1:7" x14ac:dyDescent="0.3">
      <c r="E367" s="442">
        <f>SUM(E332:E366)</f>
        <v>-168228.73999999996</v>
      </c>
    </row>
    <row r="374" spans="1:7" x14ac:dyDescent="0.3">
      <c r="A374" s="914" t="s">
        <v>885</v>
      </c>
      <c r="B374" s="914"/>
      <c r="C374" s="914"/>
      <c r="D374" s="914"/>
      <c r="E374" s="914"/>
      <c r="F374" s="914"/>
      <c r="G374" s="914"/>
    </row>
    <row r="375" spans="1:7" ht="37.200000000000003" customHeight="1" x14ac:dyDescent="0.3">
      <c r="A375" s="914"/>
      <c r="B375" s="914"/>
      <c r="C375" s="914"/>
      <c r="D375" s="914"/>
      <c r="E375" s="914"/>
      <c r="F375" s="914"/>
      <c r="G375" s="914"/>
    </row>
    <row r="376" spans="1:7" x14ac:dyDescent="0.3">
      <c r="A376" s="275" t="s">
        <v>0</v>
      </c>
      <c r="B376" s="275" t="s">
        <v>210</v>
      </c>
      <c r="C376" s="200" t="s">
        <v>1</v>
      </c>
      <c r="D376" s="124" t="s">
        <v>2</v>
      </c>
      <c r="E376" s="129" t="s">
        <v>3</v>
      </c>
      <c r="F376" s="137" t="s">
        <v>4</v>
      </c>
      <c r="G376" s="311" t="s">
        <v>5</v>
      </c>
    </row>
    <row r="377" spans="1:7" x14ac:dyDescent="0.3">
      <c r="A377" s="135">
        <v>45855</v>
      </c>
      <c r="B377" s="97" t="s">
        <v>211</v>
      </c>
      <c r="C377" s="272" t="s">
        <v>6</v>
      </c>
      <c r="D377" s="272" t="s">
        <v>100</v>
      </c>
      <c r="E377" s="126">
        <v>-138.56</v>
      </c>
      <c r="F377" s="110" t="s">
        <v>8</v>
      </c>
      <c r="G377" s="137" t="s">
        <v>101</v>
      </c>
    </row>
    <row r="378" spans="1:7" x14ac:dyDescent="0.3">
      <c r="A378" s="135">
        <v>45855</v>
      </c>
      <c r="B378" s="97" t="s">
        <v>211</v>
      </c>
      <c r="C378" s="272" t="s">
        <v>6</v>
      </c>
      <c r="D378" s="272" t="s">
        <v>102</v>
      </c>
      <c r="E378" s="126">
        <v>-138.56</v>
      </c>
      <c r="F378" s="110" t="s">
        <v>8</v>
      </c>
      <c r="G378" s="137" t="s">
        <v>101</v>
      </c>
    </row>
    <row r="379" spans="1:7" x14ac:dyDescent="0.3">
      <c r="A379" s="135">
        <v>45855</v>
      </c>
      <c r="B379" s="97" t="s">
        <v>211</v>
      </c>
      <c r="C379" s="272" t="s">
        <v>6</v>
      </c>
      <c r="D379" s="272" t="s">
        <v>103</v>
      </c>
      <c r="E379" s="126">
        <v>-138.56</v>
      </c>
      <c r="F379" s="110" t="s">
        <v>8</v>
      </c>
      <c r="G379" s="137" t="s">
        <v>101</v>
      </c>
    </row>
    <row r="380" spans="1:7" x14ac:dyDescent="0.3">
      <c r="A380" s="135">
        <v>45855</v>
      </c>
      <c r="B380" s="97" t="s">
        <v>211</v>
      </c>
      <c r="C380" s="272" t="s">
        <v>6</v>
      </c>
      <c r="D380" s="272" t="s">
        <v>104</v>
      </c>
      <c r="E380" s="126">
        <v>-138.56</v>
      </c>
      <c r="F380" s="110" t="s">
        <v>8</v>
      </c>
      <c r="G380" s="137" t="s">
        <v>101</v>
      </c>
    </row>
    <row r="381" spans="1:7" x14ac:dyDescent="0.3">
      <c r="A381" s="135">
        <v>45855</v>
      </c>
      <c r="B381" s="97" t="s">
        <v>211</v>
      </c>
      <c r="C381" s="272" t="s">
        <v>13</v>
      </c>
      <c r="D381" s="272" t="s">
        <v>554</v>
      </c>
      <c r="E381" s="126">
        <v>-4169.6000000000004</v>
      </c>
      <c r="F381" s="110" t="s">
        <v>8</v>
      </c>
      <c r="G381" s="137" t="s">
        <v>74</v>
      </c>
    </row>
    <row r="382" spans="1:7" x14ac:dyDescent="0.3">
      <c r="A382" s="135">
        <v>45855</v>
      </c>
      <c r="B382" s="97" t="s">
        <v>211</v>
      </c>
      <c r="C382" s="272" t="s">
        <v>13</v>
      </c>
      <c r="D382" s="272" t="s">
        <v>555</v>
      </c>
      <c r="E382" s="126">
        <v>-4169.6000000000004</v>
      </c>
      <c r="F382" s="110" t="s">
        <v>8</v>
      </c>
      <c r="G382" s="137" t="s">
        <v>74</v>
      </c>
    </row>
    <row r="383" spans="1:7" x14ac:dyDescent="0.3">
      <c r="A383" s="135">
        <v>45855</v>
      </c>
      <c r="B383" s="97" t="s">
        <v>211</v>
      </c>
      <c r="C383" s="272" t="s">
        <v>13</v>
      </c>
      <c r="D383" s="272" t="s">
        <v>556</v>
      </c>
      <c r="E383" s="126">
        <v>-4276.45</v>
      </c>
      <c r="F383" s="110" t="s">
        <v>8</v>
      </c>
      <c r="G383" s="137" t="s">
        <v>74</v>
      </c>
    </row>
    <row r="384" spans="1:7" x14ac:dyDescent="0.3">
      <c r="A384" s="135">
        <v>45855</v>
      </c>
      <c r="B384" s="97" t="s">
        <v>211</v>
      </c>
      <c r="C384" s="272" t="s">
        <v>17</v>
      </c>
      <c r="D384" s="272" t="s">
        <v>556</v>
      </c>
      <c r="E384" s="126">
        <v>-6435.72</v>
      </c>
      <c r="F384" s="110" t="s">
        <v>8</v>
      </c>
      <c r="G384" s="137" t="s">
        <v>74</v>
      </c>
    </row>
    <row r="385" spans="1:7" x14ac:dyDescent="0.3">
      <c r="A385" s="135">
        <v>45855</v>
      </c>
      <c r="B385" s="97" t="s">
        <v>211</v>
      </c>
      <c r="C385" s="492" t="s">
        <v>708</v>
      </c>
      <c r="D385" s="272" t="s">
        <v>711</v>
      </c>
      <c r="E385" s="504">
        <v>-223.28</v>
      </c>
      <c r="F385" s="110" t="s">
        <v>8</v>
      </c>
      <c r="G385" s="137" t="s">
        <v>114</v>
      </c>
    </row>
    <row r="386" spans="1:7" x14ac:dyDescent="0.3">
      <c r="A386" s="135">
        <v>45855</v>
      </c>
      <c r="B386" s="97" t="s">
        <v>211</v>
      </c>
      <c r="C386" s="492" t="s">
        <v>884</v>
      </c>
      <c r="D386" s="272" t="s">
        <v>711</v>
      </c>
      <c r="E386" s="125">
        <v>-714.08</v>
      </c>
      <c r="F386" s="110" t="s">
        <v>8</v>
      </c>
      <c r="G386" s="137" t="s">
        <v>114</v>
      </c>
    </row>
    <row r="387" spans="1:7" x14ac:dyDescent="0.3">
      <c r="A387" s="135">
        <v>45855</v>
      </c>
      <c r="B387" s="97" t="s">
        <v>211</v>
      </c>
      <c r="C387" s="492" t="s">
        <v>35</v>
      </c>
      <c r="D387" s="272" t="s">
        <v>711</v>
      </c>
      <c r="E387" s="125">
        <v>-247.03</v>
      </c>
      <c r="F387" s="110" t="s">
        <v>8</v>
      </c>
      <c r="G387" s="137" t="s">
        <v>114</v>
      </c>
    </row>
    <row r="388" spans="1:7" x14ac:dyDescent="0.3">
      <c r="A388" s="135">
        <v>45855</v>
      </c>
      <c r="B388" s="97" t="s">
        <v>211</v>
      </c>
      <c r="C388" s="492" t="s">
        <v>89</v>
      </c>
      <c r="D388" s="272" t="s">
        <v>711</v>
      </c>
      <c r="E388" s="125">
        <v>-853.8</v>
      </c>
      <c r="F388" s="110" t="s">
        <v>8</v>
      </c>
      <c r="G388" s="137" t="s">
        <v>114</v>
      </c>
    </row>
    <row r="389" spans="1:7" x14ac:dyDescent="0.3">
      <c r="A389" s="135">
        <v>45855</v>
      </c>
      <c r="B389" s="97" t="s">
        <v>211</v>
      </c>
      <c r="C389" s="492" t="s">
        <v>709</v>
      </c>
      <c r="D389" s="272" t="s">
        <v>711</v>
      </c>
      <c r="E389" s="125">
        <v>-731.98</v>
      </c>
      <c r="F389" s="110" t="s">
        <v>8</v>
      </c>
      <c r="G389" s="137" t="s">
        <v>114</v>
      </c>
    </row>
    <row r="390" spans="1:7" x14ac:dyDescent="0.3">
      <c r="A390" s="135">
        <v>45855</v>
      </c>
      <c r="B390" s="97" t="s">
        <v>211</v>
      </c>
      <c r="C390" s="492" t="s">
        <v>33</v>
      </c>
      <c r="D390" s="272" t="s">
        <v>711</v>
      </c>
      <c r="E390" s="125">
        <v>-405.11</v>
      </c>
      <c r="F390" s="110" t="s">
        <v>8</v>
      </c>
      <c r="G390" s="137" t="s">
        <v>114</v>
      </c>
    </row>
    <row r="391" spans="1:7" x14ac:dyDescent="0.3">
      <c r="A391" s="135">
        <v>45855</v>
      </c>
      <c r="B391" s="97" t="s">
        <v>211</v>
      </c>
      <c r="C391" s="492" t="s">
        <v>72</v>
      </c>
      <c r="D391" s="272" t="s">
        <v>711</v>
      </c>
      <c r="E391" s="125">
        <v>-455.06</v>
      </c>
      <c r="F391" s="110" t="s">
        <v>8</v>
      </c>
      <c r="G391" s="137" t="s">
        <v>114</v>
      </c>
    </row>
    <row r="392" spans="1:7" x14ac:dyDescent="0.3">
      <c r="A392" s="470">
        <v>45855</v>
      </c>
      <c r="B392" s="141" t="s">
        <v>211</v>
      </c>
      <c r="C392" s="505" t="s">
        <v>710</v>
      </c>
      <c r="D392" s="771" t="s">
        <v>711</v>
      </c>
      <c r="E392" s="506">
        <v>-505</v>
      </c>
      <c r="F392" s="144" t="s">
        <v>8</v>
      </c>
      <c r="G392" s="472" t="s">
        <v>114</v>
      </c>
    </row>
    <row r="393" spans="1:7" x14ac:dyDescent="0.3">
      <c r="A393" s="135">
        <v>45855</v>
      </c>
      <c r="B393" s="97" t="s">
        <v>211</v>
      </c>
      <c r="C393" s="492" t="s">
        <v>110</v>
      </c>
      <c r="D393" s="272" t="s">
        <v>711</v>
      </c>
      <c r="E393" s="125">
        <v>-47.48</v>
      </c>
      <c r="F393" s="110" t="s">
        <v>8</v>
      </c>
      <c r="G393" s="137" t="s">
        <v>114</v>
      </c>
    </row>
    <row r="394" spans="1:7" x14ac:dyDescent="0.3">
      <c r="A394" s="135">
        <v>45855</v>
      </c>
      <c r="B394" s="97" t="s">
        <v>211</v>
      </c>
      <c r="C394" s="272" t="s">
        <v>6</v>
      </c>
      <c r="D394" s="272" t="s">
        <v>117</v>
      </c>
      <c r="E394" s="126">
        <v>-11371.26</v>
      </c>
      <c r="F394" s="110" t="s">
        <v>8</v>
      </c>
      <c r="G394" s="137" t="s">
        <v>51</v>
      </c>
    </row>
    <row r="395" spans="1:7" x14ac:dyDescent="0.3">
      <c r="A395" s="135">
        <v>45855</v>
      </c>
      <c r="B395" s="97" t="s">
        <v>211</v>
      </c>
      <c r="C395" s="272" t="s">
        <v>17</v>
      </c>
      <c r="D395" s="272" t="s">
        <v>119</v>
      </c>
      <c r="E395" s="126">
        <v>-5300</v>
      </c>
      <c r="F395" s="110" t="s">
        <v>8</v>
      </c>
      <c r="G395" s="137" t="s">
        <v>53</v>
      </c>
    </row>
    <row r="396" spans="1:7" x14ac:dyDescent="0.3">
      <c r="A396" s="135">
        <v>45855</v>
      </c>
      <c r="B396" s="97" t="s">
        <v>211</v>
      </c>
      <c r="C396" s="99" t="s">
        <v>44</v>
      </c>
      <c r="D396" s="99" t="s">
        <v>861</v>
      </c>
      <c r="E396" s="100">
        <v>-1709.15</v>
      </c>
      <c r="F396" s="110" t="s">
        <v>8</v>
      </c>
      <c r="G396" s="105" t="s">
        <v>233</v>
      </c>
    </row>
    <row r="397" spans="1:7" x14ac:dyDescent="0.3">
      <c r="A397" s="135">
        <v>45855</v>
      </c>
      <c r="B397" s="8" t="s">
        <v>211</v>
      </c>
      <c r="C397" s="107" t="s">
        <v>25</v>
      </c>
      <c r="D397" s="107" t="s">
        <v>825</v>
      </c>
      <c r="E397" s="4">
        <v>-153.4</v>
      </c>
      <c r="F397" s="110" t="s">
        <v>8</v>
      </c>
      <c r="G397" s="108" t="s">
        <v>83</v>
      </c>
    </row>
    <row r="398" spans="1:7" x14ac:dyDescent="0.3">
      <c r="A398" s="135">
        <v>45855</v>
      </c>
      <c r="B398" s="8" t="s">
        <v>211</v>
      </c>
      <c r="C398" s="107" t="s">
        <v>25</v>
      </c>
      <c r="D398" s="107" t="s">
        <v>826</v>
      </c>
      <c r="E398" s="4">
        <v>-110</v>
      </c>
      <c r="F398" s="110" t="s">
        <v>8</v>
      </c>
      <c r="G398" s="108" t="s">
        <v>83</v>
      </c>
    </row>
    <row r="399" spans="1:7" x14ac:dyDescent="0.3">
      <c r="A399" s="135">
        <v>45855</v>
      </c>
      <c r="B399" s="8" t="s">
        <v>211</v>
      </c>
      <c r="C399" s="107" t="s">
        <v>25</v>
      </c>
      <c r="D399" s="107" t="s">
        <v>491</v>
      </c>
      <c r="E399" s="4">
        <v>-159.9</v>
      </c>
      <c r="F399" s="110" t="s">
        <v>8</v>
      </c>
      <c r="G399" s="108" t="s">
        <v>83</v>
      </c>
    </row>
    <row r="400" spans="1:7" x14ac:dyDescent="0.3">
      <c r="A400" s="135">
        <v>45855</v>
      </c>
      <c r="B400" s="8" t="s">
        <v>211</v>
      </c>
      <c r="C400" s="492" t="s">
        <v>708</v>
      </c>
      <c r="D400" s="107" t="s">
        <v>505</v>
      </c>
      <c r="E400" s="4">
        <v>-1500</v>
      </c>
      <c r="F400" s="110" t="s">
        <v>8</v>
      </c>
      <c r="G400" s="108" t="s">
        <v>233</v>
      </c>
    </row>
    <row r="401" spans="1:7" x14ac:dyDescent="0.3">
      <c r="A401" s="135">
        <v>45855</v>
      </c>
      <c r="B401" s="8" t="s">
        <v>211</v>
      </c>
      <c r="C401" s="107" t="s">
        <v>25</v>
      </c>
      <c r="D401" s="107" t="s">
        <v>870</v>
      </c>
      <c r="E401" s="4">
        <v>-44.87</v>
      </c>
      <c r="F401" s="110" t="s">
        <v>8</v>
      </c>
      <c r="G401" s="108" t="s">
        <v>871</v>
      </c>
    </row>
    <row r="402" spans="1:7" x14ac:dyDescent="0.3">
      <c r="A402" s="300"/>
      <c r="B402" s="301"/>
      <c r="C402" s="71"/>
      <c r="D402" s="903"/>
      <c r="E402" s="503">
        <f>SUM(E377:E401)</f>
        <v>-44137.010000000009</v>
      </c>
      <c r="F402" s="302"/>
      <c r="G402" s="302"/>
    </row>
    <row r="405" spans="1:7" x14ac:dyDescent="0.3">
      <c r="A405" s="914" t="s">
        <v>915</v>
      </c>
      <c r="B405" s="914"/>
      <c r="C405" s="914"/>
      <c r="D405" s="914"/>
      <c r="E405" s="914"/>
      <c r="F405" s="914"/>
      <c r="G405" s="914"/>
    </row>
    <row r="406" spans="1:7" ht="36.6" customHeight="1" x14ac:dyDescent="0.3">
      <c r="A406" s="914"/>
      <c r="B406" s="914"/>
      <c r="C406" s="914"/>
      <c r="D406" s="914"/>
      <c r="E406" s="914"/>
      <c r="F406" s="914"/>
      <c r="G406" s="914"/>
    </row>
    <row r="407" spans="1:7" x14ac:dyDescent="0.3">
      <c r="A407" s="532" t="s">
        <v>0</v>
      </c>
      <c r="B407" s="532" t="s">
        <v>210</v>
      </c>
      <c r="C407" s="474" t="s">
        <v>1</v>
      </c>
      <c r="D407" s="533" t="s">
        <v>2</v>
      </c>
      <c r="E407" s="534" t="s">
        <v>3</v>
      </c>
      <c r="F407" s="476" t="s">
        <v>4</v>
      </c>
      <c r="G407" s="535" t="s">
        <v>5</v>
      </c>
    </row>
    <row r="408" spans="1:7" x14ac:dyDescent="0.3">
      <c r="A408" s="473">
        <v>45856</v>
      </c>
      <c r="B408" s="74" t="s">
        <v>211</v>
      </c>
      <c r="C408" s="536" t="s">
        <v>65</v>
      </c>
      <c r="D408" s="537" t="s">
        <v>97</v>
      </c>
      <c r="E408" s="475">
        <v>-768.94</v>
      </c>
      <c r="F408" s="476" t="s">
        <v>8</v>
      </c>
      <c r="G408" s="535" t="s">
        <v>39</v>
      </c>
    </row>
    <row r="409" spans="1:7" x14ac:dyDescent="0.3">
      <c r="A409" s="473">
        <v>45856</v>
      </c>
      <c r="B409" s="74" t="s">
        <v>211</v>
      </c>
      <c r="C409" s="537" t="s">
        <v>25</v>
      </c>
      <c r="D409" s="537" t="s">
        <v>557</v>
      </c>
      <c r="E409" s="92">
        <v>-553.59</v>
      </c>
      <c r="F409" s="93" t="s">
        <v>8</v>
      </c>
      <c r="G409" s="476" t="s">
        <v>55</v>
      </c>
    </row>
    <row r="410" spans="1:7" x14ac:dyDescent="0.3">
      <c r="A410" s="473">
        <v>45856</v>
      </c>
      <c r="B410" s="74" t="s">
        <v>211</v>
      </c>
      <c r="C410" s="537" t="s">
        <v>25</v>
      </c>
      <c r="D410" s="537" t="s">
        <v>682</v>
      </c>
      <c r="E410" s="92">
        <v>-916.89</v>
      </c>
      <c r="F410" s="93" t="s">
        <v>8</v>
      </c>
      <c r="G410" s="476" t="s">
        <v>153</v>
      </c>
    </row>
    <row r="411" spans="1:7" x14ac:dyDescent="0.3">
      <c r="A411" s="473">
        <v>45856</v>
      </c>
      <c r="B411" s="74" t="s">
        <v>211</v>
      </c>
      <c r="C411" s="185" t="s">
        <v>13</v>
      </c>
      <c r="D411" s="537" t="s">
        <v>560</v>
      </c>
      <c r="E411" s="475">
        <v>-660.75</v>
      </c>
      <c r="F411" s="93" t="s">
        <v>8</v>
      </c>
      <c r="G411" s="94" t="s">
        <v>46</v>
      </c>
    </row>
    <row r="412" spans="1:7" x14ac:dyDescent="0.3">
      <c r="A412" s="473">
        <v>45856</v>
      </c>
      <c r="B412" s="74" t="s">
        <v>211</v>
      </c>
      <c r="C412" s="185" t="s">
        <v>13</v>
      </c>
      <c r="D412" s="537" t="s">
        <v>559</v>
      </c>
      <c r="E412" s="475">
        <v>-5173.13</v>
      </c>
      <c r="F412" s="93" t="s">
        <v>8</v>
      </c>
      <c r="G412" s="94" t="s">
        <v>46</v>
      </c>
    </row>
    <row r="413" spans="1:7" x14ac:dyDescent="0.3">
      <c r="A413" s="473">
        <v>45856</v>
      </c>
      <c r="B413" s="74" t="s">
        <v>211</v>
      </c>
      <c r="C413" s="537" t="s">
        <v>6</v>
      </c>
      <c r="D413" s="537" t="s">
        <v>126</v>
      </c>
      <c r="E413" s="475">
        <v>-17301.96</v>
      </c>
      <c r="F413" s="93" t="s">
        <v>8</v>
      </c>
      <c r="G413" s="538" t="s">
        <v>127</v>
      </c>
    </row>
    <row r="414" spans="1:7" x14ac:dyDescent="0.3">
      <c r="A414" s="473">
        <v>45856</v>
      </c>
      <c r="B414" s="74" t="s">
        <v>211</v>
      </c>
      <c r="C414" s="185" t="s">
        <v>17</v>
      </c>
      <c r="D414" s="91" t="s">
        <v>899</v>
      </c>
      <c r="E414" s="475">
        <v>-13903.62</v>
      </c>
      <c r="F414" s="93" t="s">
        <v>8</v>
      </c>
      <c r="G414" s="538" t="s">
        <v>127</v>
      </c>
    </row>
    <row r="415" spans="1:7" x14ac:dyDescent="0.3">
      <c r="A415" s="539">
        <v>45856</v>
      </c>
      <c r="B415" s="80" t="s">
        <v>211</v>
      </c>
      <c r="C415" s="537" t="s">
        <v>6</v>
      </c>
      <c r="D415" s="897" t="s">
        <v>900</v>
      </c>
      <c r="E415" s="540">
        <v>-1773.62</v>
      </c>
      <c r="F415" s="541" t="s">
        <v>8</v>
      </c>
      <c r="G415" s="542" t="s">
        <v>127</v>
      </c>
    </row>
    <row r="416" spans="1:7" x14ac:dyDescent="0.3">
      <c r="A416" s="473">
        <v>45856</v>
      </c>
      <c r="B416" s="74" t="s">
        <v>211</v>
      </c>
      <c r="C416" s="91" t="s">
        <v>31</v>
      </c>
      <c r="D416" s="91" t="s">
        <v>786</v>
      </c>
      <c r="E416" s="92">
        <v>-10844.25</v>
      </c>
      <c r="F416" s="93" t="s">
        <v>8</v>
      </c>
      <c r="G416" s="538" t="s">
        <v>127</v>
      </c>
    </row>
    <row r="417" spans="1:7" x14ac:dyDescent="0.3">
      <c r="A417" s="473">
        <v>45856</v>
      </c>
      <c r="B417" s="74" t="s">
        <v>211</v>
      </c>
      <c r="C417" s="91" t="s">
        <v>6</v>
      </c>
      <c r="D417" s="91" t="s">
        <v>787</v>
      </c>
      <c r="E417" s="92">
        <v>-3612.96</v>
      </c>
      <c r="F417" s="93" t="s">
        <v>8</v>
      </c>
      <c r="G417" s="538" t="s">
        <v>127</v>
      </c>
    </row>
    <row r="418" spans="1:7" x14ac:dyDescent="0.3">
      <c r="A418" s="473">
        <v>45856</v>
      </c>
      <c r="B418" s="74" t="s">
        <v>211</v>
      </c>
      <c r="C418" s="91" t="s">
        <v>44</v>
      </c>
      <c r="D418" s="91" t="s">
        <v>788</v>
      </c>
      <c r="E418" s="92">
        <v>-4669.5600000000004</v>
      </c>
      <c r="F418" s="93" t="s">
        <v>8</v>
      </c>
      <c r="G418" s="538" t="s">
        <v>127</v>
      </c>
    </row>
    <row r="419" spans="1:7" x14ac:dyDescent="0.3">
      <c r="A419" s="473">
        <v>45856</v>
      </c>
      <c r="B419" s="74" t="s">
        <v>211</v>
      </c>
      <c r="C419" s="91" t="s">
        <v>25</v>
      </c>
      <c r="D419" s="91" t="s">
        <v>789</v>
      </c>
      <c r="E419" s="92">
        <v>-9585.3799999999992</v>
      </c>
      <c r="F419" s="93" t="s">
        <v>8</v>
      </c>
      <c r="G419" s="538" t="s">
        <v>127</v>
      </c>
    </row>
    <row r="420" spans="1:7" x14ac:dyDescent="0.3">
      <c r="A420" s="473">
        <v>45856</v>
      </c>
      <c r="B420" s="74" t="s">
        <v>211</v>
      </c>
      <c r="C420" s="91" t="s">
        <v>33</v>
      </c>
      <c r="D420" s="91" t="s">
        <v>790</v>
      </c>
      <c r="E420" s="92">
        <v>-5389.73</v>
      </c>
      <c r="F420" s="93" t="s">
        <v>8</v>
      </c>
      <c r="G420" s="538" t="s">
        <v>127</v>
      </c>
    </row>
    <row r="421" spans="1:7" x14ac:dyDescent="0.3">
      <c r="A421" s="473">
        <v>45856</v>
      </c>
      <c r="B421" s="74" t="s">
        <v>211</v>
      </c>
      <c r="C421" s="91" t="s">
        <v>106</v>
      </c>
      <c r="D421" s="91" t="s">
        <v>792</v>
      </c>
      <c r="E421" s="92">
        <v>-2822.7</v>
      </c>
      <c r="F421" s="93" t="s">
        <v>8</v>
      </c>
      <c r="G421" s="538" t="s">
        <v>127</v>
      </c>
    </row>
    <row r="422" spans="1:7" x14ac:dyDescent="0.3">
      <c r="A422" s="473">
        <v>45856</v>
      </c>
      <c r="B422" s="74" t="s">
        <v>211</v>
      </c>
      <c r="C422" s="91" t="s">
        <v>32</v>
      </c>
      <c r="D422" s="91" t="s">
        <v>791</v>
      </c>
      <c r="E422" s="92">
        <v>-9747.2900000000009</v>
      </c>
      <c r="F422" s="93" t="s">
        <v>8</v>
      </c>
      <c r="G422" s="538" t="s">
        <v>127</v>
      </c>
    </row>
    <row r="423" spans="1:7" x14ac:dyDescent="0.3">
      <c r="A423" s="473">
        <v>45856</v>
      </c>
      <c r="B423" s="74" t="s">
        <v>211</v>
      </c>
      <c r="C423" s="91" t="s">
        <v>72</v>
      </c>
      <c r="D423" s="91" t="s">
        <v>793</v>
      </c>
      <c r="E423" s="543">
        <v>-3316.36</v>
      </c>
      <c r="F423" s="93" t="s">
        <v>8</v>
      </c>
      <c r="G423" s="538" t="s">
        <v>127</v>
      </c>
    </row>
    <row r="424" spans="1:7" x14ac:dyDescent="0.3">
      <c r="A424" s="473">
        <v>45856</v>
      </c>
      <c r="B424" s="74" t="s">
        <v>211</v>
      </c>
      <c r="C424" s="91" t="s">
        <v>17</v>
      </c>
      <c r="D424" s="91" t="s">
        <v>794</v>
      </c>
      <c r="E424" s="92">
        <v>-1814.02</v>
      </c>
      <c r="F424" s="93" t="s">
        <v>8</v>
      </c>
      <c r="G424" s="538" t="s">
        <v>127</v>
      </c>
    </row>
    <row r="425" spans="1:7" x14ac:dyDescent="0.3">
      <c r="A425" s="473">
        <v>45856</v>
      </c>
      <c r="B425" s="74" t="s">
        <v>211</v>
      </c>
      <c r="C425" s="91" t="s">
        <v>31</v>
      </c>
      <c r="D425" s="91" t="s">
        <v>795</v>
      </c>
      <c r="E425" s="92">
        <v>-9471.3700000000008</v>
      </c>
      <c r="F425" s="93" t="s">
        <v>8</v>
      </c>
      <c r="G425" s="538" t="s">
        <v>127</v>
      </c>
    </row>
    <row r="426" spans="1:7" x14ac:dyDescent="0.3">
      <c r="A426" s="473">
        <v>45856</v>
      </c>
      <c r="B426" s="74" t="s">
        <v>211</v>
      </c>
      <c r="C426" s="91" t="s">
        <v>6</v>
      </c>
      <c r="D426" s="91" t="s">
        <v>796</v>
      </c>
      <c r="E426" s="92">
        <v>-10100.56</v>
      </c>
      <c r="F426" s="93" t="s">
        <v>8</v>
      </c>
      <c r="G426" s="538" t="s">
        <v>127</v>
      </c>
    </row>
    <row r="427" spans="1:7" x14ac:dyDescent="0.3">
      <c r="A427" s="473">
        <v>45856</v>
      </c>
      <c r="B427" s="74" t="s">
        <v>211</v>
      </c>
      <c r="C427" s="91" t="s">
        <v>44</v>
      </c>
      <c r="D427" s="91" t="s">
        <v>797</v>
      </c>
      <c r="E427" s="92">
        <v>-4196.1499999999996</v>
      </c>
      <c r="F427" s="93" t="s">
        <v>8</v>
      </c>
      <c r="G427" s="538" t="s">
        <v>127</v>
      </c>
    </row>
    <row r="428" spans="1:7" x14ac:dyDescent="0.3">
      <c r="A428" s="473">
        <v>45856</v>
      </c>
      <c r="B428" s="74" t="s">
        <v>211</v>
      </c>
      <c r="C428" s="91" t="s">
        <v>25</v>
      </c>
      <c r="D428" s="91" t="s">
        <v>798</v>
      </c>
      <c r="E428" s="92">
        <v>-7126.8</v>
      </c>
      <c r="F428" s="93" t="s">
        <v>8</v>
      </c>
      <c r="G428" s="538" t="s">
        <v>127</v>
      </c>
    </row>
    <row r="429" spans="1:7" x14ac:dyDescent="0.3">
      <c r="A429" s="473">
        <v>45856</v>
      </c>
      <c r="B429" s="74" t="s">
        <v>211</v>
      </c>
      <c r="C429" s="91" t="s">
        <v>33</v>
      </c>
      <c r="D429" s="91" t="s">
        <v>799</v>
      </c>
      <c r="E429" s="92">
        <v>-2239.33</v>
      </c>
      <c r="F429" s="93" t="s">
        <v>8</v>
      </c>
      <c r="G429" s="538" t="s">
        <v>127</v>
      </c>
    </row>
    <row r="430" spans="1:7" x14ac:dyDescent="0.3">
      <c r="A430" s="473">
        <v>45856</v>
      </c>
      <c r="B430" s="74" t="s">
        <v>211</v>
      </c>
      <c r="C430" s="91" t="s">
        <v>32</v>
      </c>
      <c r="D430" s="91" t="s">
        <v>800</v>
      </c>
      <c r="E430" s="92">
        <v>-7005.46</v>
      </c>
      <c r="F430" s="93" t="s">
        <v>8</v>
      </c>
      <c r="G430" s="538" t="s">
        <v>127</v>
      </c>
    </row>
    <row r="431" spans="1:7" x14ac:dyDescent="0.3">
      <c r="A431" s="473">
        <v>45856</v>
      </c>
      <c r="B431" s="74" t="s">
        <v>211</v>
      </c>
      <c r="C431" s="91" t="s">
        <v>72</v>
      </c>
      <c r="D431" s="91" t="s">
        <v>801</v>
      </c>
      <c r="E431" s="92">
        <v>-2104.9</v>
      </c>
      <c r="F431" s="93" t="s">
        <v>8</v>
      </c>
      <c r="G431" s="538" t="s">
        <v>127</v>
      </c>
    </row>
    <row r="432" spans="1:7" x14ac:dyDescent="0.3">
      <c r="A432" s="473">
        <v>45856</v>
      </c>
      <c r="B432" s="74" t="s">
        <v>211</v>
      </c>
      <c r="C432" s="91" t="s">
        <v>17</v>
      </c>
      <c r="D432" s="91" t="s">
        <v>802</v>
      </c>
      <c r="E432" s="95">
        <v>-7440.24</v>
      </c>
      <c r="F432" s="93" t="s">
        <v>8</v>
      </c>
      <c r="G432" s="538" t="s">
        <v>127</v>
      </c>
    </row>
    <row r="433" spans="1:7" x14ac:dyDescent="0.3">
      <c r="A433" s="544">
        <v>45856</v>
      </c>
      <c r="B433" s="188" t="s">
        <v>211</v>
      </c>
      <c r="C433" s="189" t="s">
        <v>25</v>
      </c>
      <c r="D433" s="189" t="s">
        <v>386</v>
      </c>
      <c r="E433" s="92">
        <v>-291</v>
      </c>
      <c r="F433" s="93" t="s">
        <v>8</v>
      </c>
      <c r="G433" s="94" t="s">
        <v>83</v>
      </c>
    </row>
    <row r="434" spans="1:7" x14ac:dyDescent="0.3">
      <c r="A434" s="544">
        <v>45856</v>
      </c>
      <c r="B434" s="188" t="s">
        <v>211</v>
      </c>
      <c r="C434" s="189" t="s">
        <v>25</v>
      </c>
      <c r="D434" s="189" t="s">
        <v>873</v>
      </c>
      <c r="E434" s="92">
        <v>-108</v>
      </c>
      <c r="F434" s="93" t="s">
        <v>8</v>
      </c>
      <c r="G434" s="94" t="s">
        <v>83</v>
      </c>
    </row>
    <row r="435" spans="1:7" x14ac:dyDescent="0.3">
      <c r="A435" s="544">
        <v>45856</v>
      </c>
      <c r="B435" s="188" t="s">
        <v>211</v>
      </c>
      <c r="C435" s="189" t="s">
        <v>25</v>
      </c>
      <c r="D435" s="189" t="s">
        <v>380</v>
      </c>
      <c r="E435" s="92">
        <v>-110.7</v>
      </c>
      <c r="F435" s="93" t="s">
        <v>8</v>
      </c>
      <c r="G435" s="94" t="s">
        <v>83</v>
      </c>
    </row>
    <row r="436" spans="1:7" x14ac:dyDescent="0.3">
      <c r="A436" s="544">
        <v>45856</v>
      </c>
      <c r="B436" s="188" t="s">
        <v>211</v>
      </c>
      <c r="C436" s="189" t="s">
        <v>17</v>
      </c>
      <c r="D436" s="189" t="s">
        <v>468</v>
      </c>
      <c r="E436" s="92">
        <v>-160</v>
      </c>
      <c r="F436" s="93" t="s">
        <v>8</v>
      </c>
      <c r="G436" s="94" t="s">
        <v>83</v>
      </c>
    </row>
    <row r="437" spans="1:7" x14ac:dyDescent="0.3">
      <c r="A437" s="473">
        <v>45856</v>
      </c>
      <c r="B437" s="74" t="s">
        <v>211</v>
      </c>
      <c r="C437" s="91" t="s">
        <v>72</v>
      </c>
      <c r="D437" s="91" t="s">
        <v>911</v>
      </c>
      <c r="E437" s="92">
        <v>-130.16</v>
      </c>
      <c r="F437" s="93" t="s">
        <v>8</v>
      </c>
      <c r="G437" s="94" t="s">
        <v>74</v>
      </c>
    </row>
    <row r="438" spans="1:7" x14ac:dyDescent="0.3">
      <c r="A438" s="90">
        <v>45856</v>
      </c>
      <c r="B438" s="74" t="s">
        <v>211</v>
      </c>
      <c r="C438" s="185" t="s">
        <v>72</v>
      </c>
      <c r="D438" s="91" t="s">
        <v>204</v>
      </c>
      <c r="E438" s="92">
        <v>-1146.52</v>
      </c>
      <c r="F438" s="93" t="s">
        <v>8</v>
      </c>
      <c r="G438" s="94" t="s">
        <v>233</v>
      </c>
    </row>
    <row r="439" spans="1:7" x14ac:dyDescent="0.3">
      <c r="A439" s="90">
        <v>45856</v>
      </c>
      <c r="B439" s="74" t="s">
        <v>211</v>
      </c>
      <c r="C439" s="91" t="s">
        <v>6</v>
      </c>
      <c r="D439" s="91" t="s">
        <v>558</v>
      </c>
      <c r="E439" s="92">
        <v>-2003.3397440000001</v>
      </c>
      <c r="F439" s="93" t="s">
        <v>8</v>
      </c>
      <c r="G439" s="94" t="s">
        <v>142</v>
      </c>
    </row>
    <row r="440" spans="1:7" x14ac:dyDescent="0.3">
      <c r="A440" s="90">
        <v>45856</v>
      </c>
      <c r="B440" s="74" t="s">
        <v>211</v>
      </c>
      <c r="C440" s="91" t="s">
        <v>44</v>
      </c>
      <c r="D440" s="91" t="s">
        <v>232</v>
      </c>
      <c r="E440" s="92">
        <v>-955.7</v>
      </c>
      <c r="F440" s="93" t="s">
        <v>8</v>
      </c>
      <c r="G440" s="94" t="s">
        <v>233</v>
      </c>
    </row>
    <row r="441" spans="1:7" x14ac:dyDescent="0.3">
      <c r="A441" s="90">
        <v>45856</v>
      </c>
      <c r="B441" s="74" t="s">
        <v>211</v>
      </c>
      <c r="C441" s="91" t="s">
        <v>44</v>
      </c>
      <c r="D441" s="91" t="s">
        <v>232</v>
      </c>
      <c r="E441" s="95">
        <v>-372.75</v>
      </c>
      <c r="F441" s="93" t="s">
        <v>8</v>
      </c>
      <c r="G441" s="94" t="s">
        <v>233</v>
      </c>
    </row>
    <row r="442" spans="1:7" x14ac:dyDescent="0.3">
      <c r="A442" s="187">
        <v>45856</v>
      </c>
      <c r="B442" s="188" t="s">
        <v>211</v>
      </c>
      <c r="C442" s="189" t="s">
        <v>25</v>
      </c>
      <c r="D442" s="189" t="s">
        <v>912</v>
      </c>
      <c r="E442" s="95">
        <v>-325.02999999999997</v>
      </c>
      <c r="F442" s="93" t="s">
        <v>8</v>
      </c>
      <c r="G442" s="94" t="s">
        <v>37</v>
      </c>
    </row>
    <row r="443" spans="1:7" x14ac:dyDescent="0.3">
      <c r="A443" s="187">
        <v>45856</v>
      </c>
      <c r="B443" s="188" t="s">
        <v>211</v>
      </c>
      <c r="C443" s="189" t="s">
        <v>106</v>
      </c>
      <c r="D443" s="189" t="s">
        <v>827</v>
      </c>
      <c r="E443" s="545">
        <v>-2785.73</v>
      </c>
      <c r="F443" s="93" t="s">
        <v>8</v>
      </c>
      <c r="G443" s="191" t="s">
        <v>76</v>
      </c>
    </row>
    <row r="444" spans="1:7" x14ac:dyDescent="0.3">
      <c r="A444" s="187">
        <v>45856</v>
      </c>
      <c r="B444" s="188" t="s">
        <v>211</v>
      </c>
      <c r="C444" s="189" t="s">
        <v>25</v>
      </c>
      <c r="D444" s="91" t="s">
        <v>872</v>
      </c>
      <c r="E444" s="546">
        <v>-1000</v>
      </c>
      <c r="F444" s="93" t="s">
        <v>8</v>
      </c>
      <c r="G444" s="476" t="s">
        <v>41</v>
      </c>
    </row>
    <row r="445" spans="1:7" x14ac:dyDescent="0.3">
      <c r="A445" s="79">
        <v>45856</v>
      </c>
      <c r="B445" s="80" t="s">
        <v>211</v>
      </c>
      <c r="C445" s="91" t="s">
        <v>72</v>
      </c>
      <c r="D445" s="91" t="s">
        <v>234</v>
      </c>
      <c r="E445" s="95">
        <v>-352.25</v>
      </c>
      <c r="F445" s="541" t="s">
        <v>8</v>
      </c>
      <c r="G445" s="94" t="s">
        <v>233</v>
      </c>
    </row>
    <row r="446" spans="1:7" x14ac:dyDescent="0.3">
      <c r="A446" s="90">
        <v>45856</v>
      </c>
      <c r="B446" s="74" t="s">
        <v>211</v>
      </c>
      <c r="C446" s="533" t="s">
        <v>6</v>
      </c>
      <c r="D446" s="537" t="s">
        <v>400</v>
      </c>
      <c r="E446" s="547">
        <v>-32600.85</v>
      </c>
      <c r="F446" s="93" t="s">
        <v>8</v>
      </c>
      <c r="G446" s="548" t="s">
        <v>127</v>
      </c>
    </row>
    <row r="447" spans="1:7" x14ac:dyDescent="0.3">
      <c r="A447" s="90">
        <v>45856</v>
      </c>
      <c r="B447" s="74" t="s">
        <v>211</v>
      </c>
      <c r="C447" s="549" t="s">
        <v>17</v>
      </c>
      <c r="D447" s="91" t="s">
        <v>402</v>
      </c>
      <c r="E447" s="475">
        <v>-6479.07</v>
      </c>
      <c r="F447" s="93" t="s">
        <v>8</v>
      </c>
      <c r="G447" s="93" t="s">
        <v>127</v>
      </c>
    </row>
    <row r="448" spans="1:7" x14ac:dyDescent="0.3">
      <c r="A448" s="90">
        <v>45856</v>
      </c>
      <c r="B448" s="74" t="s">
        <v>211</v>
      </c>
      <c r="C448" s="549" t="s">
        <v>44</v>
      </c>
      <c r="D448" s="91" t="s">
        <v>403</v>
      </c>
      <c r="E448" s="475">
        <v>-547.91999999999996</v>
      </c>
      <c r="F448" s="93" t="s">
        <v>8</v>
      </c>
      <c r="G448" s="93" t="s">
        <v>127</v>
      </c>
    </row>
    <row r="449" spans="1:7" x14ac:dyDescent="0.3">
      <c r="A449" s="90">
        <v>45856</v>
      </c>
      <c r="B449" s="74" t="s">
        <v>211</v>
      </c>
      <c r="C449" s="91" t="s">
        <v>31</v>
      </c>
      <c r="D449" s="91" t="s">
        <v>404</v>
      </c>
      <c r="E449" s="92">
        <v>-527.71</v>
      </c>
      <c r="F449" s="93" t="s">
        <v>8</v>
      </c>
      <c r="G449" s="535" t="s">
        <v>127</v>
      </c>
    </row>
    <row r="450" spans="1:7" x14ac:dyDescent="0.3">
      <c r="A450" s="90">
        <v>45856</v>
      </c>
      <c r="B450" s="74" t="s">
        <v>211</v>
      </c>
      <c r="C450" s="91" t="s">
        <v>25</v>
      </c>
      <c r="D450" s="91" t="s">
        <v>406</v>
      </c>
      <c r="E450" s="92">
        <v>-511.22</v>
      </c>
      <c r="F450" s="93" t="s">
        <v>8</v>
      </c>
      <c r="G450" s="535" t="s">
        <v>127</v>
      </c>
    </row>
    <row r="451" spans="1:7" x14ac:dyDescent="0.3">
      <c r="A451" s="90">
        <v>45856</v>
      </c>
      <c r="B451" s="74" t="s">
        <v>211</v>
      </c>
      <c r="C451" s="533" t="s">
        <v>17</v>
      </c>
      <c r="D451" s="91" t="s">
        <v>407</v>
      </c>
      <c r="E451" s="92">
        <v>-4331.1099999999997</v>
      </c>
      <c r="F451" s="93" t="s">
        <v>8</v>
      </c>
      <c r="G451" s="535" t="s">
        <v>127</v>
      </c>
    </row>
    <row r="452" spans="1:7" x14ac:dyDescent="0.3">
      <c r="A452" s="90">
        <v>45856</v>
      </c>
      <c r="B452" s="74" t="s">
        <v>211</v>
      </c>
      <c r="C452" s="533" t="s">
        <v>401</v>
      </c>
      <c r="D452" s="91" t="s">
        <v>408</v>
      </c>
      <c r="E452" s="92">
        <v>-521.20000000000005</v>
      </c>
      <c r="F452" s="93" t="s">
        <v>8</v>
      </c>
      <c r="G452" s="535" t="s">
        <v>127</v>
      </c>
    </row>
    <row r="453" spans="1:7" x14ac:dyDescent="0.3">
      <c r="A453" s="90">
        <v>45856</v>
      </c>
      <c r="B453" s="74" t="s">
        <v>211</v>
      </c>
      <c r="C453" s="533" t="s">
        <v>33</v>
      </c>
      <c r="D453" s="91" t="s">
        <v>409</v>
      </c>
      <c r="E453" s="92">
        <v>-525.48</v>
      </c>
      <c r="F453" s="93" t="s">
        <v>8</v>
      </c>
      <c r="G453" s="535" t="s">
        <v>127</v>
      </c>
    </row>
    <row r="454" spans="1:7" x14ac:dyDescent="0.3">
      <c r="E454" s="442">
        <f>SUM(E408:E453)</f>
        <v>-198325.29974400002</v>
      </c>
    </row>
    <row r="458" spans="1:7" x14ac:dyDescent="0.3">
      <c r="A458" s="914" t="s">
        <v>923</v>
      </c>
      <c r="B458" s="914"/>
      <c r="C458" s="914"/>
      <c r="D458" s="914"/>
      <c r="E458" s="914"/>
      <c r="F458" s="914"/>
      <c r="G458" s="914"/>
    </row>
    <row r="459" spans="1:7" ht="40.799999999999997" customHeight="1" x14ac:dyDescent="0.3">
      <c r="A459" s="914"/>
      <c r="B459" s="914"/>
      <c r="C459" s="914"/>
      <c r="D459" s="914"/>
      <c r="E459" s="914"/>
      <c r="F459" s="914"/>
      <c r="G459" s="914"/>
    </row>
    <row r="460" spans="1:7" x14ac:dyDescent="0.3">
      <c r="A460" s="275" t="s">
        <v>0</v>
      </c>
      <c r="B460" s="275" t="s">
        <v>210</v>
      </c>
      <c r="C460" s="200" t="s">
        <v>1</v>
      </c>
      <c r="D460" s="124" t="s">
        <v>2</v>
      </c>
      <c r="E460" s="129" t="s">
        <v>3</v>
      </c>
      <c r="F460" s="137" t="s">
        <v>4</v>
      </c>
      <c r="G460" s="311" t="s">
        <v>5</v>
      </c>
    </row>
    <row r="461" spans="1:7" s="103" customFormat="1" x14ac:dyDescent="0.3">
      <c r="A461" s="135">
        <v>45859</v>
      </c>
      <c r="B461" s="97" t="s">
        <v>211</v>
      </c>
      <c r="C461" s="272" t="s">
        <v>17</v>
      </c>
      <c r="D461" s="272" t="s">
        <v>18</v>
      </c>
      <c r="E461" s="126">
        <v>-16200</v>
      </c>
      <c r="F461" s="110" t="s">
        <v>8</v>
      </c>
      <c r="G461" s="137" t="s">
        <v>19</v>
      </c>
    </row>
    <row r="462" spans="1:7" s="103" customFormat="1" x14ac:dyDescent="0.3">
      <c r="A462" s="135">
        <v>45859</v>
      </c>
      <c r="B462" s="97" t="s">
        <v>211</v>
      </c>
      <c r="C462" s="272" t="s">
        <v>6</v>
      </c>
      <c r="D462" s="272" t="s">
        <v>830</v>
      </c>
      <c r="E462" s="126">
        <v>-15860.65</v>
      </c>
      <c r="F462" s="110" t="s">
        <v>8</v>
      </c>
      <c r="G462" s="137" t="s">
        <v>122</v>
      </c>
    </row>
    <row r="463" spans="1:7" s="103" customFormat="1" x14ac:dyDescent="0.3">
      <c r="A463" s="135">
        <v>45859</v>
      </c>
      <c r="B463" s="97" t="s">
        <v>211</v>
      </c>
      <c r="C463" s="109" t="s">
        <v>17</v>
      </c>
      <c r="D463" s="272" t="s">
        <v>124</v>
      </c>
      <c r="E463" s="100">
        <v>-1046.6400000000001</v>
      </c>
      <c r="F463" s="110" t="s">
        <v>8</v>
      </c>
      <c r="G463" s="137" t="s">
        <v>69</v>
      </c>
    </row>
    <row r="464" spans="1:7" s="103" customFormat="1" x14ac:dyDescent="0.3">
      <c r="A464" s="135">
        <v>45859</v>
      </c>
      <c r="B464" s="97" t="s">
        <v>211</v>
      </c>
      <c r="C464" s="200" t="s">
        <v>6</v>
      </c>
      <c r="D464" s="272" t="s">
        <v>125</v>
      </c>
      <c r="E464" s="126">
        <v>-39.799999999999997</v>
      </c>
      <c r="F464" s="110" t="s">
        <v>8</v>
      </c>
      <c r="G464" s="137" t="s">
        <v>69</v>
      </c>
    </row>
    <row r="465" spans="1:7" s="103" customFormat="1" x14ac:dyDescent="0.3">
      <c r="A465" s="135">
        <v>45859</v>
      </c>
      <c r="B465" s="97" t="s">
        <v>211</v>
      </c>
      <c r="C465" s="272" t="s">
        <v>6</v>
      </c>
      <c r="D465" s="272" t="s">
        <v>561</v>
      </c>
      <c r="E465" s="126">
        <v>-76710</v>
      </c>
      <c r="F465" s="110" t="s">
        <v>8</v>
      </c>
      <c r="G465" s="137" t="s">
        <v>27</v>
      </c>
    </row>
    <row r="466" spans="1:7" s="103" customFormat="1" x14ac:dyDescent="0.3">
      <c r="A466" s="135">
        <v>45859</v>
      </c>
      <c r="B466" s="97" t="s">
        <v>211</v>
      </c>
      <c r="C466" s="272" t="s">
        <v>25</v>
      </c>
      <c r="D466" s="488" t="s">
        <v>574</v>
      </c>
      <c r="E466" s="126">
        <v>-2955.36</v>
      </c>
      <c r="F466" s="110" t="s">
        <v>8</v>
      </c>
      <c r="G466" s="311" t="s">
        <v>156</v>
      </c>
    </row>
    <row r="467" spans="1:7" s="103" customFormat="1" x14ac:dyDescent="0.3">
      <c r="A467" s="135">
        <v>45859</v>
      </c>
      <c r="B467" s="97" t="s">
        <v>211</v>
      </c>
      <c r="C467" s="136" t="s">
        <v>6</v>
      </c>
      <c r="D467" s="99" t="s">
        <v>828</v>
      </c>
      <c r="E467" s="100">
        <v>-50000</v>
      </c>
      <c r="F467" s="110" t="s">
        <v>8</v>
      </c>
      <c r="G467" s="105" t="s">
        <v>189</v>
      </c>
    </row>
    <row r="468" spans="1:7" s="103" customFormat="1" ht="28.8" x14ac:dyDescent="0.3">
      <c r="A468" s="500">
        <v>45859</v>
      </c>
      <c r="B468" s="8" t="s">
        <v>211</v>
      </c>
      <c r="C468" s="107" t="s">
        <v>17</v>
      </c>
      <c r="D468" s="107" t="s">
        <v>829</v>
      </c>
      <c r="E468" s="4">
        <v>-268.92</v>
      </c>
      <c r="F468" s="110" t="s">
        <v>8</v>
      </c>
      <c r="G468" s="105" t="s">
        <v>189</v>
      </c>
    </row>
    <row r="469" spans="1:7" s="103" customFormat="1" x14ac:dyDescent="0.3">
      <c r="A469" s="135">
        <v>45859</v>
      </c>
      <c r="B469" s="97" t="s">
        <v>211</v>
      </c>
      <c r="C469" s="200" t="s">
        <v>65</v>
      </c>
      <c r="D469" s="272" t="s">
        <v>136</v>
      </c>
      <c r="E469" s="126">
        <v>-8937.32</v>
      </c>
      <c r="F469" s="110" t="s">
        <v>8</v>
      </c>
      <c r="G469" s="137" t="s">
        <v>39</v>
      </c>
    </row>
    <row r="470" spans="1:7" s="103" customFormat="1" x14ac:dyDescent="0.3">
      <c r="A470" s="135">
        <v>45859</v>
      </c>
      <c r="B470" s="8" t="s">
        <v>211</v>
      </c>
      <c r="C470" s="107" t="s">
        <v>25</v>
      </c>
      <c r="D470" s="107" t="s">
        <v>869</v>
      </c>
      <c r="E470" s="4">
        <v>-150</v>
      </c>
      <c r="F470" s="110" t="s">
        <v>8</v>
      </c>
      <c r="G470" s="108" t="s">
        <v>27</v>
      </c>
    </row>
    <row r="471" spans="1:7" s="103" customFormat="1" x14ac:dyDescent="0.3">
      <c r="A471" s="135">
        <v>45859</v>
      </c>
      <c r="B471" s="97" t="s">
        <v>211</v>
      </c>
      <c r="C471" s="99" t="s">
        <v>6</v>
      </c>
      <c r="D471" s="146" t="s">
        <v>921</v>
      </c>
      <c r="E471" s="100">
        <v>-220</v>
      </c>
      <c r="F471" s="110" t="s">
        <v>8</v>
      </c>
      <c r="G471" s="137" t="s">
        <v>207</v>
      </c>
    </row>
    <row r="472" spans="1:7" s="103" customFormat="1" x14ac:dyDescent="0.3">
      <c r="A472" s="135">
        <v>45859</v>
      </c>
      <c r="B472" s="97" t="s">
        <v>211</v>
      </c>
      <c r="C472" s="99" t="s">
        <v>72</v>
      </c>
      <c r="D472" s="99" t="s">
        <v>916</v>
      </c>
      <c r="E472" s="100">
        <v>-1292.570109</v>
      </c>
      <c r="F472" s="110" t="s">
        <v>8</v>
      </c>
      <c r="G472" s="105" t="s">
        <v>233</v>
      </c>
    </row>
    <row r="473" spans="1:7" s="103" customFormat="1" x14ac:dyDescent="0.3">
      <c r="A473" s="98">
        <v>45859</v>
      </c>
      <c r="B473" s="97" t="s">
        <v>211</v>
      </c>
      <c r="C473" s="99" t="s">
        <v>6</v>
      </c>
      <c r="D473" s="99" t="s">
        <v>920</v>
      </c>
      <c r="E473" s="100">
        <v>-3619.3394859999999</v>
      </c>
      <c r="F473" s="110" t="s">
        <v>8</v>
      </c>
      <c r="G473" s="105" t="s">
        <v>142</v>
      </c>
    </row>
    <row r="474" spans="1:7" s="103" customFormat="1" x14ac:dyDescent="0.3">
      <c r="A474" s="98">
        <v>45859</v>
      </c>
      <c r="B474" s="97" t="s">
        <v>211</v>
      </c>
      <c r="C474" s="99" t="s">
        <v>72</v>
      </c>
      <c r="D474" s="99" t="s">
        <v>919</v>
      </c>
      <c r="E474" s="100">
        <v>-1718.37</v>
      </c>
      <c r="F474" s="105" t="s">
        <v>8</v>
      </c>
      <c r="G474" s="105" t="s">
        <v>233</v>
      </c>
    </row>
    <row r="475" spans="1:7" s="103" customFormat="1" x14ac:dyDescent="0.3">
      <c r="A475" s="98">
        <v>45859</v>
      </c>
      <c r="B475" s="97" t="s">
        <v>211</v>
      </c>
      <c r="C475" s="99" t="s">
        <v>44</v>
      </c>
      <c r="D475" s="99" t="s">
        <v>917</v>
      </c>
      <c r="E475" s="100">
        <v>-235.4</v>
      </c>
      <c r="F475" s="105" t="s">
        <v>8</v>
      </c>
      <c r="G475" s="137" t="s">
        <v>207</v>
      </c>
    </row>
    <row r="476" spans="1:7" s="103" customFormat="1" x14ac:dyDescent="0.3">
      <c r="A476" s="98">
        <v>45859</v>
      </c>
      <c r="B476" s="97" t="s">
        <v>211</v>
      </c>
      <c r="C476" s="99" t="s">
        <v>25</v>
      </c>
      <c r="D476" s="99" t="s">
        <v>874</v>
      </c>
      <c r="E476" s="100">
        <v>-330</v>
      </c>
      <c r="F476" s="105" t="s">
        <v>8</v>
      </c>
      <c r="G476" s="105" t="s">
        <v>83</v>
      </c>
    </row>
    <row r="477" spans="1:7" s="103" customFormat="1" x14ac:dyDescent="0.3">
      <c r="A477" s="98">
        <v>45859</v>
      </c>
      <c r="B477" s="97" t="s">
        <v>211</v>
      </c>
      <c r="C477" s="99" t="s">
        <v>25</v>
      </c>
      <c r="D477" s="99" t="s">
        <v>875</v>
      </c>
      <c r="E477" s="100">
        <v>-100</v>
      </c>
      <c r="F477" s="105" t="s">
        <v>8</v>
      </c>
      <c r="G477" s="105" t="s">
        <v>83</v>
      </c>
    </row>
    <row r="478" spans="1:7" s="103" customFormat="1" x14ac:dyDescent="0.3">
      <c r="A478" s="98">
        <v>45859</v>
      </c>
      <c r="B478" s="97" t="s">
        <v>211</v>
      </c>
      <c r="C478" s="99" t="s">
        <v>25</v>
      </c>
      <c r="D478" s="99" t="s">
        <v>876</v>
      </c>
      <c r="E478" s="100">
        <v>-205</v>
      </c>
      <c r="F478" s="105" t="s">
        <v>8</v>
      </c>
      <c r="G478" s="105" t="s">
        <v>83</v>
      </c>
    </row>
    <row r="479" spans="1:7" s="103" customFormat="1" x14ac:dyDescent="0.3">
      <c r="A479" s="98">
        <v>45859</v>
      </c>
      <c r="B479" s="97" t="s">
        <v>211</v>
      </c>
      <c r="C479" s="99" t="s">
        <v>25</v>
      </c>
      <c r="D479" s="99" t="s">
        <v>877</v>
      </c>
      <c r="E479" s="100">
        <v>-128</v>
      </c>
      <c r="F479" s="105" t="s">
        <v>8</v>
      </c>
      <c r="G479" s="105" t="s">
        <v>83</v>
      </c>
    </row>
    <row r="480" spans="1:7" s="103" customFormat="1" x14ac:dyDescent="0.3">
      <c r="A480" s="98">
        <v>45859</v>
      </c>
      <c r="B480" s="97" t="s">
        <v>211</v>
      </c>
      <c r="C480" s="99" t="s">
        <v>25</v>
      </c>
      <c r="D480" s="99" t="s">
        <v>878</v>
      </c>
      <c r="E480" s="100">
        <v>-123</v>
      </c>
      <c r="F480" s="105" t="s">
        <v>8</v>
      </c>
      <c r="G480" s="105" t="s">
        <v>83</v>
      </c>
    </row>
    <row r="481" spans="1:7" s="103" customFormat="1" x14ac:dyDescent="0.3">
      <c r="A481" s="98">
        <v>45859</v>
      </c>
      <c r="B481" s="97" t="s">
        <v>211</v>
      </c>
      <c r="C481" s="99" t="s">
        <v>31</v>
      </c>
      <c r="D481" s="99" t="s">
        <v>879</v>
      </c>
      <c r="E481" s="100">
        <v>-1729.66</v>
      </c>
      <c r="F481" s="105" t="s">
        <v>8</v>
      </c>
      <c r="G481" s="105" t="s">
        <v>51</v>
      </c>
    </row>
    <row r="482" spans="1:7" s="103" customFormat="1" x14ac:dyDescent="0.3">
      <c r="A482" s="98">
        <v>45859</v>
      </c>
      <c r="B482" s="97" t="s">
        <v>211</v>
      </c>
      <c r="C482" s="99" t="s">
        <v>6</v>
      </c>
      <c r="D482" s="99" t="s">
        <v>879</v>
      </c>
      <c r="E482" s="100">
        <v>-1061.3800000000001</v>
      </c>
      <c r="F482" s="105" t="s">
        <v>8</v>
      </c>
      <c r="G482" s="105" t="s">
        <v>51</v>
      </c>
    </row>
    <row r="483" spans="1:7" s="103" customFormat="1" x14ac:dyDescent="0.3">
      <c r="A483" s="98">
        <v>45859</v>
      </c>
      <c r="B483" s="97" t="s">
        <v>211</v>
      </c>
      <c r="C483" s="99" t="s">
        <v>44</v>
      </c>
      <c r="D483" s="99" t="s">
        <v>879</v>
      </c>
      <c r="E483" s="100">
        <v>-786.92</v>
      </c>
      <c r="F483" s="105" t="s">
        <v>8</v>
      </c>
      <c r="G483" s="105" t="s">
        <v>51</v>
      </c>
    </row>
    <row r="484" spans="1:7" s="103" customFormat="1" x14ac:dyDescent="0.3">
      <c r="A484" s="98">
        <v>45859</v>
      </c>
      <c r="B484" s="97" t="s">
        <v>211</v>
      </c>
      <c r="C484" s="99" t="s">
        <v>25</v>
      </c>
      <c r="D484" s="99" t="s">
        <v>879</v>
      </c>
      <c r="E484" s="100">
        <v>-2319.3200000000002</v>
      </c>
      <c r="F484" s="105" t="s">
        <v>8</v>
      </c>
      <c r="G484" s="105" t="s">
        <v>51</v>
      </c>
    </row>
    <row r="485" spans="1:7" s="103" customFormat="1" x14ac:dyDescent="0.3">
      <c r="A485" s="98">
        <v>45859</v>
      </c>
      <c r="B485" s="97" t="s">
        <v>211</v>
      </c>
      <c r="C485" s="99" t="s">
        <v>33</v>
      </c>
      <c r="D485" s="99" t="s">
        <v>879</v>
      </c>
      <c r="E485" s="100">
        <v>-791.16</v>
      </c>
      <c r="F485" s="105" t="s">
        <v>8</v>
      </c>
      <c r="G485" s="105" t="s">
        <v>51</v>
      </c>
    </row>
    <row r="486" spans="1:7" s="103" customFormat="1" x14ac:dyDescent="0.3">
      <c r="A486" s="98">
        <v>45859</v>
      </c>
      <c r="B486" s="97" t="s">
        <v>211</v>
      </c>
      <c r="C486" s="99" t="s">
        <v>106</v>
      </c>
      <c r="D486" s="99" t="s">
        <v>879</v>
      </c>
      <c r="E486" s="100">
        <v>-590.19000000000005</v>
      </c>
      <c r="F486" s="105" t="s">
        <v>8</v>
      </c>
      <c r="G486" s="105" t="s">
        <v>51</v>
      </c>
    </row>
    <row r="487" spans="1:7" s="103" customFormat="1" x14ac:dyDescent="0.3">
      <c r="A487" s="98">
        <v>45859</v>
      </c>
      <c r="B487" s="97" t="s">
        <v>211</v>
      </c>
      <c r="C487" s="99" t="s">
        <v>32</v>
      </c>
      <c r="D487" s="99" t="s">
        <v>879</v>
      </c>
      <c r="E487" s="100">
        <v>-157.38</v>
      </c>
      <c r="F487" s="105" t="s">
        <v>8</v>
      </c>
      <c r="G487" s="105" t="s">
        <v>51</v>
      </c>
    </row>
    <row r="488" spans="1:7" s="103" customFormat="1" x14ac:dyDescent="0.3">
      <c r="A488" s="98">
        <v>45859</v>
      </c>
      <c r="B488" s="97" t="s">
        <v>211</v>
      </c>
      <c r="C488" s="99" t="s">
        <v>72</v>
      </c>
      <c r="D488" s="99" t="s">
        <v>879</v>
      </c>
      <c r="E488" s="100">
        <v>-629.54</v>
      </c>
      <c r="F488" s="105" t="s">
        <v>8</v>
      </c>
      <c r="G488" s="105" t="s">
        <v>51</v>
      </c>
    </row>
    <row r="489" spans="1:7" s="103" customFormat="1" x14ac:dyDescent="0.3">
      <c r="A489" s="135">
        <v>45859</v>
      </c>
      <c r="B489" s="97" t="s">
        <v>211</v>
      </c>
      <c r="C489" s="109" t="s">
        <v>31</v>
      </c>
      <c r="D489" s="99" t="s">
        <v>201</v>
      </c>
      <c r="E489" s="100">
        <v>-3177.3</v>
      </c>
      <c r="F489" s="137" t="s">
        <v>8</v>
      </c>
      <c r="G489" s="137" t="s">
        <v>86</v>
      </c>
    </row>
    <row r="490" spans="1:7" s="103" customFormat="1" x14ac:dyDescent="0.3">
      <c r="A490" s="135">
        <v>45859</v>
      </c>
      <c r="B490" s="97" t="s">
        <v>211</v>
      </c>
      <c r="C490" s="109" t="s">
        <v>6</v>
      </c>
      <c r="D490" s="99" t="s">
        <v>201</v>
      </c>
      <c r="E490" s="100">
        <v>-2247.36</v>
      </c>
      <c r="F490" s="137" t="s">
        <v>8</v>
      </c>
      <c r="G490" s="137" t="s">
        <v>86</v>
      </c>
    </row>
    <row r="491" spans="1:7" s="103" customFormat="1" x14ac:dyDescent="0.3">
      <c r="A491" s="135">
        <v>45859</v>
      </c>
      <c r="B491" s="97" t="s">
        <v>211</v>
      </c>
      <c r="C491" s="109" t="s">
        <v>44</v>
      </c>
      <c r="D491" s="99" t="s">
        <v>201</v>
      </c>
      <c r="E491" s="100">
        <v>-3409.78</v>
      </c>
      <c r="F491" s="137" t="s">
        <v>8</v>
      </c>
      <c r="G491" s="137" t="s">
        <v>86</v>
      </c>
    </row>
    <row r="492" spans="1:7" s="103" customFormat="1" x14ac:dyDescent="0.3">
      <c r="A492" s="135">
        <v>45859</v>
      </c>
      <c r="B492" s="97" t="s">
        <v>211</v>
      </c>
      <c r="C492" s="109" t="s">
        <v>44</v>
      </c>
      <c r="D492" s="99" t="s">
        <v>201</v>
      </c>
      <c r="E492" s="100">
        <v>-1239.92</v>
      </c>
      <c r="F492" s="137" t="s">
        <v>8</v>
      </c>
      <c r="G492" s="137" t="s">
        <v>86</v>
      </c>
    </row>
    <row r="493" spans="1:7" s="103" customFormat="1" x14ac:dyDescent="0.3">
      <c r="A493" s="135">
        <v>45859</v>
      </c>
      <c r="B493" s="97" t="s">
        <v>211</v>
      </c>
      <c r="C493" s="109" t="s">
        <v>25</v>
      </c>
      <c r="D493" s="99" t="s">
        <v>201</v>
      </c>
      <c r="E493" s="100">
        <v>-3332.28</v>
      </c>
      <c r="F493" s="137" t="s">
        <v>8</v>
      </c>
      <c r="G493" s="137" t="s">
        <v>86</v>
      </c>
    </row>
    <row r="494" spans="1:7" s="103" customFormat="1" x14ac:dyDescent="0.3">
      <c r="A494" s="135">
        <v>45859</v>
      </c>
      <c r="B494" s="97" t="s">
        <v>211</v>
      </c>
      <c r="C494" s="109" t="s">
        <v>33</v>
      </c>
      <c r="D494" s="99" t="s">
        <v>201</v>
      </c>
      <c r="E494" s="100">
        <v>-929.94</v>
      </c>
      <c r="F494" s="137" t="s">
        <v>8</v>
      </c>
      <c r="G494" s="137" t="s">
        <v>86</v>
      </c>
    </row>
    <row r="495" spans="1:7" s="103" customFormat="1" x14ac:dyDescent="0.3">
      <c r="A495" s="135">
        <v>45859</v>
      </c>
      <c r="B495" s="97" t="s">
        <v>211</v>
      </c>
      <c r="C495" s="109" t="s">
        <v>106</v>
      </c>
      <c r="D495" s="99" t="s">
        <v>201</v>
      </c>
      <c r="E495" s="100">
        <v>-929.94</v>
      </c>
      <c r="F495" s="137" t="s">
        <v>8</v>
      </c>
      <c r="G495" s="137" t="s">
        <v>86</v>
      </c>
    </row>
    <row r="496" spans="1:7" s="103" customFormat="1" x14ac:dyDescent="0.3">
      <c r="A496" s="135">
        <v>45859</v>
      </c>
      <c r="B496" s="97" t="s">
        <v>211</v>
      </c>
      <c r="C496" s="109" t="s">
        <v>32</v>
      </c>
      <c r="D496" s="99" t="s">
        <v>201</v>
      </c>
      <c r="E496" s="100">
        <v>-232.48</v>
      </c>
      <c r="F496" s="137" t="s">
        <v>8</v>
      </c>
      <c r="G496" s="137" t="s">
        <v>86</v>
      </c>
    </row>
    <row r="497" spans="1:7" s="103" customFormat="1" x14ac:dyDescent="0.3">
      <c r="A497" s="135">
        <v>45859</v>
      </c>
      <c r="B497" s="97" t="s">
        <v>211</v>
      </c>
      <c r="C497" s="109" t="s">
        <v>72</v>
      </c>
      <c r="D497" s="99" t="s">
        <v>201</v>
      </c>
      <c r="E497" s="100">
        <v>-1084.93</v>
      </c>
      <c r="F497" s="137" t="s">
        <v>8</v>
      </c>
      <c r="G497" s="137" t="s">
        <v>86</v>
      </c>
    </row>
    <row r="498" spans="1:7" s="103" customFormat="1" x14ac:dyDescent="0.3">
      <c r="A498" s="135">
        <v>45859</v>
      </c>
      <c r="B498" s="97" t="s">
        <v>211</v>
      </c>
      <c r="C498" s="109" t="s">
        <v>17</v>
      </c>
      <c r="D498" s="99" t="s">
        <v>201</v>
      </c>
      <c r="E498" s="100">
        <v>-154.99</v>
      </c>
      <c r="F498" s="137" t="s">
        <v>8</v>
      </c>
      <c r="G498" s="137" t="s">
        <v>86</v>
      </c>
    </row>
    <row r="499" spans="1:7" s="103" customFormat="1" x14ac:dyDescent="0.3">
      <c r="A499" s="135">
        <v>45859</v>
      </c>
      <c r="B499" s="97" t="s">
        <v>211</v>
      </c>
      <c r="C499" s="109" t="s">
        <v>72</v>
      </c>
      <c r="D499" s="99" t="s">
        <v>922</v>
      </c>
      <c r="E499" s="100">
        <v>-2021.12</v>
      </c>
      <c r="F499" s="137" t="s">
        <v>8</v>
      </c>
      <c r="G499" s="137" t="s">
        <v>27</v>
      </c>
    </row>
    <row r="500" spans="1:7" s="103" customFormat="1" x14ac:dyDescent="0.3">
      <c r="A500" s="135">
        <v>45859</v>
      </c>
      <c r="B500" s="97" t="s">
        <v>211</v>
      </c>
      <c r="C500" s="109" t="s">
        <v>31</v>
      </c>
      <c r="D500" s="99" t="s">
        <v>918</v>
      </c>
      <c r="E500" s="100">
        <v>-2073.1799999999998</v>
      </c>
      <c r="F500" s="137" t="s">
        <v>8</v>
      </c>
      <c r="G500" s="137" t="s">
        <v>871</v>
      </c>
    </row>
    <row r="501" spans="1:7" x14ac:dyDescent="0.3">
      <c r="E501" s="442">
        <f>SUM(E461:E500)</f>
        <v>-209039.13959500004</v>
      </c>
    </row>
    <row r="506" spans="1:7" x14ac:dyDescent="0.3">
      <c r="A506" s="914" t="s">
        <v>926</v>
      </c>
      <c r="B506" s="914"/>
      <c r="C506" s="914"/>
      <c r="D506" s="914"/>
      <c r="E506" s="914"/>
      <c r="F506" s="914"/>
      <c r="G506" s="914"/>
    </row>
    <row r="507" spans="1:7" ht="34.799999999999997" customHeight="1" x14ac:dyDescent="0.3">
      <c r="A507" s="914"/>
      <c r="B507" s="914"/>
      <c r="C507" s="914"/>
      <c r="D507" s="914"/>
      <c r="E507" s="914"/>
      <c r="F507" s="914"/>
      <c r="G507" s="914"/>
    </row>
    <row r="508" spans="1:7" x14ac:dyDescent="0.3">
      <c r="A508" s="275" t="s">
        <v>0</v>
      </c>
      <c r="B508" s="275" t="s">
        <v>210</v>
      </c>
      <c r="C508" s="200" t="s">
        <v>1</v>
      </c>
      <c r="D508" s="124" t="s">
        <v>2</v>
      </c>
      <c r="E508" s="129" t="s">
        <v>3</v>
      </c>
      <c r="F508" s="137" t="s">
        <v>4</v>
      </c>
      <c r="G508" s="311" t="s">
        <v>5</v>
      </c>
    </row>
    <row r="509" spans="1:7" s="103" customFormat="1" x14ac:dyDescent="0.3">
      <c r="A509" s="135">
        <v>45860</v>
      </c>
      <c r="B509" s="97" t="s">
        <v>211</v>
      </c>
      <c r="C509" s="272" t="s">
        <v>13</v>
      </c>
      <c r="D509" s="272" t="s">
        <v>658</v>
      </c>
      <c r="E509" s="126">
        <v>-40</v>
      </c>
      <c r="F509" s="110" t="s">
        <v>8</v>
      </c>
      <c r="G509" s="137" t="s">
        <v>55</v>
      </c>
    </row>
    <row r="510" spans="1:7" s="103" customFormat="1" x14ac:dyDescent="0.3">
      <c r="A510" s="135">
        <v>45860</v>
      </c>
      <c r="B510" s="97" t="s">
        <v>211</v>
      </c>
      <c r="C510" s="99" t="s">
        <v>31</v>
      </c>
      <c r="D510" s="553" t="s">
        <v>553</v>
      </c>
      <c r="E510" s="160">
        <v>-928.72</v>
      </c>
      <c r="F510" s="554" t="s">
        <v>8</v>
      </c>
      <c r="G510" s="105" t="s">
        <v>51</v>
      </c>
    </row>
    <row r="511" spans="1:7" s="103" customFormat="1" x14ac:dyDescent="0.3">
      <c r="A511" s="135">
        <v>45860</v>
      </c>
      <c r="B511" s="97" t="s">
        <v>211</v>
      </c>
      <c r="C511" s="99" t="s">
        <v>6</v>
      </c>
      <c r="D511" s="553" t="s">
        <v>553</v>
      </c>
      <c r="E511" s="160">
        <v>-517.94000000000005</v>
      </c>
      <c r="F511" s="554" t="s">
        <v>8</v>
      </c>
      <c r="G511" s="105" t="s">
        <v>51</v>
      </c>
    </row>
    <row r="512" spans="1:7" s="103" customFormat="1" x14ac:dyDescent="0.3">
      <c r="A512" s="135">
        <v>45860</v>
      </c>
      <c r="B512" s="97" t="s">
        <v>211</v>
      </c>
      <c r="C512" s="99" t="s">
        <v>44</v>
      </c>
      <c r="D512" s="553" t="s">
        <v>553</v>
      </c>
      <c r="E512" s="160">
        <v>-339.33</v>
      </c>
      <c r="F512" s="554" t="s">
        <v>8</v>
      </c>
      <c r="G512" s="105" t="s">
        <v>51</v>
      </c>
    </row>
    <row r="513" spans="1:7" s="103" customFormat="1" x14ac:dyDescent="0.3">
      <c r="A513" s="135">
        <v>45860</v>
      </c>
      <c r="B513" s="97" t="s">
        <v>211</v>
      </c>
      <c r="C513" s="99" t="s">
        <v>25</v>
      </c>
      <c r="D513" s="553" t="s">
        <v>553</v>
      </c>
      <c r="E513" s="160">
        <v>-910.87</v>
      </c>
      <c r="F513" s="554" t="s">
        <v>8</v>
      </c>
      <c r="G513" s="105" t="s">
        <v>51</v>
      </c>
    </row>
    <row r="514" spans="1:7" s="103" customFormat="1" x14ac:dyDescent="0.3">
      <c r="A514" s="135">
        <v>45860</v>
      </c>
      <c r="B514" s="97" t="s">
        <v>211</v>
      </c>
      <c r="C514" s="99" t="s">
        <v>33</v>
      </c>
      <c r="D514" s="553" t="s">
        <v>553</v>
      </c>
      <c r="E514" s="160">
        <v>-232.18</v>
      </c>
      <c r="F514" s="554" t="s">
        <v>8</v>
      </c>
      <c r="G514" s="105" t="s">
        <v>51</v>
      </c>
    </row>
    <row r="515" spans="1:7" s="103" customFormat="1" x14ac:dyDescent="0.3">
      <c r="A515" s="135">
        <v>45860</v>
      </c>
      <c r="B515" s="97" t="s">
        <v>211</v>
      </c>
      <c r="C515" s="99" t="s">
        <v>106</v>
      </c>
      <c r="D515" s="553" t="s">
        <v>553</v>
      </c>
      <c r="E515" s="160">
        <v>-232.18</v>
      </c>
      <c r="F515" s="554" t="s">
        <v>8</v>
      </c>
      <c r="G515" s="105" t="s">
        <v>51</v>
      </c>
    </row>
    <row r="516" spans="1:7" s="103" customFormat="1" x14ac:dyDescent="0.3">
      <c r="A516" s="135">
        <v>45860</v>
      </c>
      <c r="B516" s="97" t="s">
        <v>211</v>
      </c>
      <c r="C516" s="99" t="s">
        <v>32</v>
      </c>
      <c r="D516" s="553" t="s">
        <v>553</v>
      </c>
      <c r="E516" s="160">
        <v>-71.430000000000007</v>
      </c>
      <c r="F516" s="554" t="s">
        <v>8</v>
      </c>
      <c r="G516" s="105" t="s">
        <v>51</v>
      </c>
    </row>
    <row r="517" spans="1:7" s="103" customFormat="1" x14ac:dyDescent="0.3">
      <c r="A517" s="135">
        <v>45860</v>
      </c>
      <c r="B517" s="97" t="s">
        <v>211</v>
      </c>
      <c r="C517" s="99" t="s">
        <v>72</v>
      </c>
      <c r="D517" s="553" t="s">
        <v>553</v>
      </c>
      <c r="E517" s="160">
        <v>-125.01</v>
      </c>
      <c r="F517" s="554" t="s">
        <v>8</v>
      </c>
      <c r="G517" s="105" t="s">
        <v>51</v>
      </c>
    </row>
    <row r="518" spans="1:7" s="103" customFormat="1" x14ac:dyDescent="0.3">
      <c r="A518" s="135">
        <v>45860</v>
      </c>
      <c r="B518" s="141" t="s">
        <v>211</v>
      </c>
      <c r="C518" s="142" t="s">
        <v>17</v>
      </c>
      <c r="D518" s="553" t="s">
        <v>553</v>
      </c>
      <c r="E518" s="160">
        <v>-357.2</v>
      </c>
      <c r="F518" s="555" t="s">
        <v>8</v>
      </c>
      <c r="G518" s="148" t="s">
        <v>51</v>
      </c>
    </row>
    <row r="519" spans="1:7" s="103" customFormat="1" x14ac:dyDescent="0.3">
      <c r="A519" s="135">
        <v>45860</v>
      </c>
      <c r="B519" s="97" t="s">
        <v>211</v>
      </c>
      <c r="C519" s="109" t="s">
        <v>17</v>
      </c>
      <c r="D519" s="558" t="s">
        <v>565</v>
      </c>
      <c r="E519" s="556">
        <v>-1560.68</v>
      </c>
      <c r="F519" s="557" t="s">
        <v>8</v>
      </c>
      <c r="G519" s="137" t="s">
        <v>135</v>
      </c>
    </row>
    <row r="520" spans="1:7" s="103" customFormat="1" x14ac:dyDescent="0.3">
      <c r="A520" s="98">
        <v>45860</v>
      </c>
      <c r="B520" s="97" t="s">
        <v>211</v>
      </c>
      <c r="C520" s="109" t="s">
        <v>6</v>
      </c>
      <c r="D520" s="99" t="s">
        <v>564</v>
      </c>
      <c r="E520" s="100">
        <v>-960</v>
      </c>
      <c r="F520" s="105" t="s">
        <v>8</v>
      </c>
      <c r="G520" s="105" t="s">
        <v>189</v>
      </c>
    </row>
    <row r="521" spans="1:7" s="103" customFormat="1" x14ac:dyDescent="0.3">
      <c r="A521" s="135">
        <v>45860</v>
      </c>
      <c r="B521" s="97" t="s">
        <v>211</v>
      </c>
      <c r="C521" s="99" t="s">
        <v>72</v>
      </c>
      <c r="D521" s="272" t="s">
        <v>905</v>
      </c>
      <c r="E521" s="125">
        <v>-4831.93</v>
      </c>
      <c r="F521" s="110" t="s">
        <v>8</v>
      </c>
      <c r="G521" s="105" t="s">
        <v>74</v>
      </c>
    </row>
    <row r="522" spans="1:7" s="103" customFormat="1" x14ac:dyDescent="0.3">
      <c r="A522" s="135">
        <v>45860</v>
      </c>
      <c r="B522" s="275" t="s">
        <v>211</v>
      </c>
      <c r="C522" s="109" t="s">
        <v>72</v>
      </c>
      <c r="D522" s="272" t="s">
        <v>908</v>
      </c>
      <c r="E522" s="125">
        <v>-133.02000000000001</v>
      </c>
      <c r="F522" s="110" t="s">
        <v>8</v>
      </c>
      <c r="G522" s="105" t="s">
        <v>74</v>
      </c>
    </row>
    <row r="523" spans="1:7" s="103" customFormat="1" x14ac:dyDescent="0.3">
      <c r="A523" s="135">
        <v>45860</v>
      </c>
      <c r="B523" s="275" t="s">
        <v>211</v>
      </c>
      <c r="C523" s="109" t="s">
        <v>72</v>
      </c>
      <c r="D523" s="272" t="s">
        <v>910</v>
      </c>
      <c r="E523" s="100">
        <v>-133.15</v>
      </c>
      <c r="F523" s="110" t="s">
        <v>8</v>
      </c>
      <c r="G523" s="105" t="s">
        <v>74</v>
      </c>
    </row>
    <row r="524" spans="1:7" s="103" customFormat="1" x14ac:dyDescent="0.3">
      <c r="A524" s="135">
        <v>45860</v>
      </c>
      <c r="B524" s="275" t="s">
        <v>211</v>
      </c>
      <c r="C524" s="272" t="s">
        <v>17</v>
      </c>
      <c r="D524" s="272" t="s">
        <v>924</v>
      </c>
      <c r="E524" s="100">
        <v>-211.01</v>
      </c>
      <c r="F524" s="110" t="s">
        <v>8</v>
      </c>
      <c r="G524" s="105" t="s">
        <v>127</v>
      </c>
    </row>
    <row r="525" spans="1:7" s="103" customFormat="1" x14ac:dyDescent="0.3">
      <c r="A525" s="98">
        <v>45860</v>
      </c>
      <c r="B525" s="275" t="s">
        <v>211</v>
      </c>
      <c r="C525" s="272" t="s">
        <v>31</v>
      </c>
      <c r="D525" s="272" t="s">
        <v>614</v>
      </c>
      <c r="E525" s="273">
        <v>-6371.92</v>
      </c>
      <c r="F525" s="110" t="s">
        <v>8</v>
      </c>
      <c r="G525" s="105" t="s">
        <v>46</v>
      </c>
    </row>
    <row r="526" spans="1:7" s="103" customFormat="1" x14ac:dyDescent="0.3">
      <c r="A526" s="98">
        <v>45860</v>
      </c>
      <c r="B526" s="275" t="s">
        <v>211</v>
      </c>
      <c r="C526" s="272" t="s">
        <v>25</v>
      </c>
      <c r="D526" s="272" t="s">
        <v>807</v>
      </c>
      <c r="E526" s="273">
        <v>-6456.32</v>
      </c>
      <c r="F526" s="110" t="s">
        <v>8</v>
      </c>
      <c r="G526" s="105" t="s">
        <v>46</v>
      </c>
    </row>
    <row r="527" spans="1:7" s="103" customFormat="1" x14ac:dyDescent="0.3">
      <c r="A527" s="98">
        <v>45860</v>
      </c>
      <c r="B527" s="275" t="s">
        <v>211</v>
      </c>
      <c r="C527" s="272" t="s">
        <v>25</v>
      </c>
      <c r="D527" s="272" t="s">
        <v>925</v>
      </c>
      <c r="E527" s="273">
        <v>-120</v>
      </c>
      <c r="F527" s="110" t="s">
        <v>8</v>
      </c>
      <c r="G527" s="105" t="s">
        <v>27</v>
      </c>
    </row>
    <row r="528" spans="1:7" x14ac:dyDescent="0.3">
      <c r="E528" s="442">
        <f>SUM(E509:E527)</f>
        <v>-24532.89</v>
      </c>
    </row>
    <row r="533" spans="1:7" x14ac:dyDescent="0.3">
      <c r="A533" s="914" t="s">
        <v>973</v>
      </c>
      <c r="B533" s="914"/>
      <c r="C533" s="914"/>
      <c r="D533" s="914"/>
      <c r="E533" s="914"/>
      <c r="F533" s="914"/>
      <c r="G533" s="914"/>
    </row>
    <row r="534" spans="1:7" ht="37.200000000000003" customHeight="1" x14ac:dyDescent="0.3">
      <c r="A534" s="914"/>
      <c r="B534" s="914"/>
      <c r="C534" s="914"/>
      <c r="D534" s="914"/>
      <c r="E534" s="914"/>
      <c r="F534" s="914"/>
      <c r="G534" s="914"/>
    </row>
    <row r="535" spans="1:7" x14ac:dyDescent="0.3">
      <c r="A535" s="275" t="s">
        <v>0</v>
      </c>
      <c r="B535" s="275" t="s">
        <v>210</v>
      </c>
      <c r="C535" s="200" t="s">
        <v>1</v>
      </c>
      <c r="D535" s="124" t="s">
        <v>2</v>
      </c>
      <c r="E535" s="129" t="s">
        <v>3</v>
      </c>
      <c r="F535" s="137" t="s">
        <v>4</v>
      </c>
      <c r="G535" s="311" t="s">
        <v>5</v>
      </c>
    </row>
    <row r="536" spans="1:7" s="103" customFormat="1" x14ac:dyDescent="0.3">
      <c r="A536" s="483">
        <v>45861</v>
      </c>
      <c r="B536" s="466" t="s">
        <v>211</v>
      </c>
      <c r="C536" s="501" t="s">
        <v>6</v>
      </c>
      <c r="D536" s="484" t="s">
        <v>567</v>
      </c>
      <c r="E536" s="486">
        <v>-252.95</v>
      </c>
      <c r="F536" s="153" t="s">
        <v>8</v>
      </c>
      <c r="G536" s="487" t="s">
        <v>9</v>
      </c>
    </row>
    <row r="537" spans="1:7" s="103" customFormat="1" x14ac:dyDescent="0.3">
      <c r="A537" s="135">
        <v>45861</v>
      </c>
      <c r="B537" s="97" t="s">
        <v>211</v>
      </c>
      <c r="C537" s="136" t="s">
        <v>6</v>
      </c>
      <c r="D537" s="272" t="s">
        <v>569</v>
      </c>
      <c r="E537" s="126">
        <v>-259.85000000000002</v>
      </c>
      <c r="F537" s="110" t="s">
        <v>8</v>
      </c>
      <c r="G537" s="137" t="s">
        <v>9</v>
      </c>
    </row>
    <row r="538" spans="1:7" s="103" customFormat="1" x14ac:dyDescent="0.3">
      <c r="A538" s="135">
        <v>45861</v>
      </c>
      <c r="B538" s="97" t="s">
        <v>211</v>
      </c>
      <c r="C538" s="136" t="s">
        <v>6</v>
      </c>
      <c r="D538" s="272" t="s">
        <v>568</v>
      </c>
      <c r="E538" s="126">
        <v>-83.43</v>
      </c>
      <c r="F538" s="110" t="s">
        <v>8</v>
      </c>
      <c r="G538" s="137" t="s">
        <v>9</v>
      </c>
    </row>
    <row r="539" spans="1:7" s="103" customFormat="1" x14ac:dyDescent="0.3">
      <c r="A539" s="135">
        <v>45861</v>
      </c>
      <c r="B539" s="97" t="s">
        <v>211</v>
      </c>
      <c r="C539" s="136" t="s">
        <v>6</v>
      </c>
      <c r="D539" s="272" t="s">
        <v>568</v>
      </c>
      <c r="E539" s="126">
        <v>-168.11</v>
      </c>
      <c r="F539" s="110" t="s">
        <v>8</v>
      </c>
      <c r="G539" s="137" t="s">
        <v>9</v>
      </c>
    </row>
    <row r="540" spans="1:7" s="103" customFormat="1" x14ac:dyDescent="0.3">
      <c r="A540" s="135">
        <v>45861</v>
      </c>
      <c r="B540" s="97" t="s">
        <v>211</v>
      </c>
      <c r="C540" s="272" t="s">
        <v>6</v>
      </c>
      <c r="D540" s="558" t="s">
        <v>831</v>
      </c>
      <c r="E540" s="556">
        <v>-4720</v>
      </c>
      <c r="F540" s="557" t="s">
        <v>8</v>
      </c>
      <c r="G540" s="137" t="s">
        <v>27</v>
      </c>
    </row>
    <row r="541" spans="1:7" s="103" customFormat="1" x14ac:dyDescent="0.3">
      <c r="A541" s="135">
        <v>45861</v>
      </c>
      <c r="B541" s="97" t="s">
        <v>211</v>
      </c>
      <c r="C541" s="99" t="s">
        <v>44</v>
      </c>
      <c r="D541" s="99" t="s">
        <v>964</v>
      </c>
      <c r="E541" s="100">
        <v>-879.16</v>
      </c>
      <c r="F541" s="110" t="s">
        <v>8</v>
      </c>
      <c r="G541" s="105" t="s">
        <v>233</v>
      </c>
    </row>
    <row r="542" spans="1:7" s="103" customFormat="1" x14ac:dyDescent="0.3">
      <c r="A542" s="500">
        <v>45861</v>
      </c>
      <c r="B542" s="8" t="s">
        <v>211</v>
      </c>
      <c r="C542" s="107" t="s">
        <v>44</v>
      </c>
      <c r="D542" s="107" t="s">
        <v>963</v>
      </c>
      <c r="E542" s="4">
        <v>-1093.9000000000001</v>
      </c>
      <c r="F542" s="110" t="s">
        <v>8</v>
      </c>
      <c r="G542" s="105" t="s">
        <v>233</v>
      </c>
    </row>
    <row r="543" spans="1:7" s="103" customFormat="1" x14ac:dyDescent="0.3">
      <c r="A543" s="500">
        <v>45861</v>
      </c>
      <c r="B543" s="8" t="s">
        <v>211</v>
      </c>
      <c r="C543" s="107" t="s">
        <v>72</v>
      </c>
      <c r="D543" s="107" t="s">
        <v>365</v>
      </c>
      <c r="E543" s="4">
        <v>-194.79</v>
      </c>
      <c r="F543" s="110" t="s">
        <v>8</v>
      </c>
      <c r="G543" s="105" t="s">
        <v>76</v>
      </c>
    </row>
    <row r="544" spans="1:7" s="103" customFormat="1" x14ac:dyDescent="0.3">
      <c r="A544" s="500">
        <v>45861</v>
      </c>
      <c r="B544" s="8" t="s">
        <v>211</v>
      </c>
      <c r="C544" s="107" t="s">
        <v>72</v>
      </c>
      <c r="D544" s="107" t="s">
        <v>965</v>
      </c>
      <c r="E544" s="4">
        <v>-1800.31</v>
      </c>
      <c r="F544" s="110" t="s">
        <v>8</v>
      </c>
      <c r="G544" s="105" t="s">
        <v>233</v>
      </c>
    </row>
    <row r="545" spans="1:7" s="103" customFormat="1" x14ac:dyDescent="0.3">
      <c r="A545" s="500">
        <v>45861</v>
      </c>
      <c r="B545" s="8" t="s">
        <v>211</v>
      </c>
      <c r="C545" s="107" t="s">
        <v>6</v>
      </c>
      <c r="D545" s="107" t="s">
        <v>880</v>
      </c>
      <c r="E545" s="4">
        <v>-11132.93</v>
      </c>
      <c r="F545" s="144" t="s">
        <v>8</v>
      </c>
      <c r="G545" s="148" t="s">
        <v>83</v>
      </c>
    </row>
    <row r="546" spans="1:7" s="103" customFormat="1" x14ac:dyDescent="0.3">
      <c r="A546" s="500">
        <v>45861</v>
      </c>
      <c r="B546" s="8" t="s">
        <v>211</v>
      </c>
      <c r="C546" s="107" t="s">
        <v>44</v>
      </c>
      <c r="D546" s="107" t="s">
        <v>880</v>
      </c>
      <c r="E546" s="4">
        <v>-2223.9</v>
      </c>
      <c r="F546" s="110" t="s">
        <v>8</v>
      </c>
      <c r="G546" s="105" t="s">
        <v>83</v>
      </c>
    </row>
    <row r="547" spans="1:7" s="103" customFormat="1" x14ac:dyDescent="0.3">
      <c r="A547" s="500">
        <v>45861</v>
      </c>
      <c r="B547" s="8" t="s">
        <v>211</v>
      </c>
      <c r="C547" s="107" t="s">
        <v>33</v>
      </c>
      <c r="D547" s="107" t="s">
        <v>880</v>
      </c>
      <c r="E547" s="4">
        <v>-217.38</v>
      </c>
      <c r="F547" s="110" t="s">
        <v>8</v>
      </c>
      <c r="G547" s="105" t="s">
        <v>83</v>
      </c>
    </row>
    <row r="548" spans="1:7" s="103" customFormat="1" x14ac:dyDescent="0.3">
      <c r="A548" s="500">
        <v>45861</v>
      </c>
      <c r="B548" s="8" t="s">
        <v>211</v>
      </c>
      <c r="C548" s="107" t="s">
        <v>106</v>
      </c>
      <c r="D548" s="107" t="s">
        <v>880</v>
      </c>
      <c r="E548" s="4">
        <v>-1076.56</v>
      </c>
      <c r="F548" s="110" t="s">
        <v>8</v>
      </c>
      <c r="G548" s="105" t="s">
        <v>83</v>
      </c>
    </row>
    <row r="549" spans="1:7" s="103" customFormat="1" x14ac:dyDescent="0.3">
      <c r="A549" s="500">
        <v>45861</v>
      </c>
      <c r="B549" s="8" t="s">
        <v>211</v>
      </c>
      <c r="C549" s="107" t="s">
        <v>32</v>
      </c>
      <c r="D549" s="107" t="s">
        <v>880</v>
      </c>
      <c r="E549" s="4">
        <v>-5876.56</v>
      </c>
      <c r="F549" s="110" t="s">
        <v>8</v>
      </c>
      <c r="G549" s="105" t="s">
        <v>83</v>
      </c>
    </row>
    <row r="550" spans="1:7" s="103" customFormat="1" x14ac:dyDescent="0.3">
      <c r="A550" s="500">
        <v>45861</v>
      </c>
      <c r="B550" s="8" t="s">
        <v>211</v>
      </c>
      <c r="C550" s="107" t="s">
        <v>72</v>
      </c>
      <c r="D550" s="107" t="s">
        <v>880</v>
      </c>
      <c r="E550" s="4">
        <v>-1627.95</v>
      </c>
      <c r="F550" s="110" t="s">
        <v>8</v>
      </c>
      <c r="G550" s="105" t="s">
        <v>83</v>
      </c>
    </row>
    <row r="551" spans="1:7" s="103" customFormat="1" x14ac:dyDescent="0.3">
      <c r="A551" s="500">
        <v>45861</v>
      </c>
      <c r="B551" s="8" t="s">
        <v>211</v>
      </c>
      <c r="C551" s="107" t="s">
        <v>17</v>
      </c>
      <c r="D551" s="107" t="s">
        <v>880</v>
      </c>
      <c r="E551" s="4">
        <v>-22056.55</v>
      </c>
      <c r="F551" s="110" t="s">
        <v>8</v>
      </c>
      <c r="G551" s="105" t="s">
        <v>83</v>
      </c>
    </row>
    <row r="552" spans="1:7" s="103" customFormat="1" x14ac:dyDescent="0.3">
      <c r="A552" s="500">
        <v>45861</v>
      </c>
      <c r="B552" s="8" t="s">
        <v>211</v>
      </c>
      <c r="C552" s="558" t="s">
        <v>17</v>
      </c>
      <c r="D552" s="558" t="s">
        <v>143</v>
      </c>
      <c r="E552" s="556">
        <v>-9980</v>
      </c>
      <c r="F552" s="110" t="s">
        <v>8</v>
      </c>
      <c r="G552" s="311" t="s">
        <v>59</v>
      </c>
    </row>
    <row r="553" spans="1:7" s="103" customFormat="1" x14ac:dyDescent="0.3">
      <c r="A553" s="500">
        <v>45861</v>
      </c>
      <c r="B553" s="8" t="s">
        <v>211</v>
      </c>
      <c r="C553" s="107" t="s">
        <v>17</v>
      </c>
      <c r="D553" s="107" t="s">
        <v>927</v>
      </c>
      <c r="E553" s="4">
        <v>-560.52</v>
      </c>
      <c r="F553" s="110" t="s">
        <v>8</v>
      </c>
      <c r="G553" s="108" t="s">
        <v>394</v>
      </c>
    </row>
    <row r="554" spans="1:7" s="103" customFormat="1" x14ac:dyDescent="0.3">
      <c r="A554" s="500">
        <v>45861</v>
      </c>
      <c r="B554" s="559" t="s">
        <v>211</v>
      </c>
      <c r="C554" s="482" t="s">
        <v>17</v>
      </c>
      <c r="D554" s="107" t="s">
        <v>928</v>
      </c>
      <c r="E554" s="560">
        <v>-107.69</v>
      </c>
      <c r="F554" s="110" t="s">
        <v>8</v>
      </c>
      <c r="G554" s="108" t="s">
        <v>99</v>
      </c>
    </row>
    <row r="555" spans="1:7" s="103" customFormat="1" x14ac:dyDescent="0.3">
      <c r="A555" s="500">
        <v>45861</v>
      </c>
      <c r="B555" s="559" t="s">
        <v>211</v>
      </c>
      <c r="C555" s="482" t="s">
        <v>17</v>
      </c>
      <c r="D555" s="107" t="s">
        <v>929</v>
      </c>
      <c r="E555" s="560">
        <v>-123</v>
      </c>
      <c r="F555" s="110" t="s">
        <v>8</v>
      </c>
      <c r="G555" s="108" t="s">
        <v>99</v>
      </c>
    </row>
    <row r="556" spans="1:7" s="103" customFormat="1" x14ac:dyDescent="0.3">
      <c r="A556" s="500">
        <v>45861</v>
      </c>
      <c r="B556" s="559" t="s">
        <v>211</v>
      </c>
      <c r="C556" s="107" t="s">
        <v>25</v>
      </c>
      <c r="D556" s="107" t="s">
        <v>931</v>
      </c>
      <c r="E556" s="4">
        <v>-118</v>
      </c>
      <c r="F556" s="110" t="s">
        <v>8</v>
      </c>
      <c r="G556" s="105" t="s">
        <v>83</v>
      </c>
    </row>
    <row r="557" spans="1:7" s="103" customFormat="1" x14ac:dyDescent="0.3">
      <c r="A557" s="500">
        <v>45861</v>
      </c>
      <c r="B557" s="559" t="s">
        <v>211</v>
      </c>
      <c r="C557" s="107" t="s">
        <v>17</v>
      </c>
      <c r="D557" s="107" t="s">
        <v>930</v>
      </c>
      <c r="E557" s="4">
        <v>-124</v>
      </c>
      <c r="F557" s="110" t="s">
        <v>8</v>
      </c>
      <c r="G557" s="105" t="s">
        <v>83</v>
      </c>
    </row>
    <row r="558" spans="1:7" s="103" customFormat="1" x14ac:dyDescent="0.3">
      <c r="A558" s="500">
        <v>45861</v>
      </c>
      <c r="B558" s="559" t="s">
        <v>211</v>
      </c>
      <c r="C558" s="107" t="s">
        <v>72</v>
      </c>
      <c r="D558" s="107" t="s">
        <v>966</v>
      </c>
      <c r="E558" s="4">
        <v>-500</v>
      </c>
      <c r="F558" s="110" t="s">
        <v>8</v>
      </c>
      <c r="G558" s="105" t="s">
        <v>27</v>
      </c>
    </row>
    <row r="559" spans="1:7" s="103" customFormat="1" x14ac:dyDescent="0.3">
      <c r="A559" s="500">
        <v>45861</v>
      </c>
      <c r="B559" s="559" t="s">
        <v>211</v>
      </c>
      <c r="C559" s="107" t="s">
        <v>72</v>
      </c>
      <c r="D559" s="107" t="s">
        <v>967</v>
      </c>
      <c r="E559" s="4">
        <v>-290</v>
      </c>
      <c r="F559" s="110" t="s">
        <v>8</v>
      </c>
      <c r="G559" s="105" t="s">
        <v>27</v>
      </c>
    </row>
    <row r="560" spans="1:7" s="103" customFormat="1" x14ac:dyDescent="0.3">
      <c r="A560" s="500">
        <v>45861</v>
      </c>
      <c r="B560" s="559" t="s">
        <v>211</v>
      </c>
      <c r="C560" s="107" t="s">
        <v>72</v>
      </c>
      <c r="D560" s="107" t="s">
        <v>968</v>
      </c>
      <c r="E560" s="4">
        <v>-700</v>
      </c>
      <c r="F560" s="110" t="s">
        <v>8</v>
      </c>
      <c r="G560" s="105" t="s">
        <v>27</v>
      </c>
    </row>
    <row r="561" spans="1:7" s="103" customFormat="1" x14ac:dyDescent="0.3">
      <c r="A561" s="500">
        <v>45861</v>
      </c>
      <c r="B561" s="559" t="s">
        <v>211</v>
      </c>
      <c r="C561" s="107" t="s">
        <v>72</v>
      </c>
      <c r="D561" s="107" t="s">
        <v>969</v>
      </c>
      <c r="E561" s="4">
        <v>-450</v>
      </c>
      <c r="F561" s="110" t="s">
        <v>8</v>
      </c>
      <c r="G561" s="105" t="s">
        <v>27</v>
      </c>
    </row>
    <row r="562" spans="1:7" s="103" customFormat="1" x14ac:dyDescent="0.3">
      <c r="A562" s="500">
        <v>45861</v>
      </c>
      <c r="B562" s="559" t="s">
        <v>211</v>
      </c>
      <c r="C562" s="107" t="s">
        <v>72</v>
      </c>
      <c r="D562" s="107" t="s">
        <v>970</v>
      </c>
      <c r="E562" s="4">
        <v>-900</v>
      </c>
      <c r="F562" s="110" t="s">
        <v>8</v>
      </c>
      <c r="G562" s="105" t="s">
        <v>27</v>
      </c>
    </row>
    <row r="563" spans="1:7" s="103" customFormat="1" x14ac:dyDescent="0.3">
      <c r="A563" s="500">
        <v>45861</v>
      </c>
      <c r="B563" s="559" t="s">
        <v>211</v>
      </c>
      <c r="C563" s="107" t="s">
        <v>72</v>
      </c>
      <c r="D563" s="107" t="s">
        <v>971</v>
      </c>
      <c r="E563" s="4">
        <v>-500</v>
      </c>
      <c r="F563" s="110" t="s">
        <v>8</v>
      </c>
      <c r="G563" s="105" t="s">
        <v>27</v>
      </c>
    </row>
    <row r="564" spans="1:7" s="103" customFormat="1" x14ac:dyDescent="0.3">
      <c r="A564" s="500">
        <v>45861</v>
      </c>
      <c r="B564" s="559" t="s">
        <v>211</v>
      </c>
      <c r="C564" s="107" t="s">
        <v>72</v>
      </c>
      <c r="D564" s="107" t="s">
        <v>972</v>
      </c>
      <c r="E564" s="4">
        <v>-340</v>
      </c>
      <c r="F564" s="110" t="s">
        <v>8</v>
      </c>
      <c r="G564" s="105" t="s">
        <v>27</v>
      </c>
    </row>
    <row r="565" spans="1:7" x14ac:dyDescent="0.3">
      <c r="E565" s="442">
        <f>SUM(E536:E564)</f>
        <v>-68357.540000000008</v>
      </c>
    </row>
    <row r="569" spans="1:7" x14ac:dyDescent="0.3">
      <c r="A569" s="914" t="s">
        <v>976</v>
      </c>
      <c r="B569" s="914"/>
      <c r="C569" s="914"/>
      <c r="D569" s="914"/>
      <c r="E569" s="914"/>
      <c r="F569" s="914"/>
      <c r="G569" s="914"/>
    </row>
    <row r="570" spans="1:7" ht="33" customHeight="1" x14ac:dyDescent="0.3">
      <c r="A570" s="914"/>
      <c r="B570" s="914"/>
      <c r="C570" s="914"/>
      <c r="D570" s="914"/>
      <c r="E570" s="914"/>
      <c r="F570" s="914"/>
      <c r="G570" s="914"/>
    </row>
    <row r="571" spans="1:7" x14ac:dyDescent="0.3">
      <c r="A571" s="275" t="s">
        <v>0</v>
      </c>
      <c r="B571" s="275" t="s">
        <v>210</v>
      </c>
      <c r="C571" s="200" t="s">
        <v>1</v>
      </c>
      <c r="D571" s="124" t="s">
        <v>2</v>
      </c>
      <c r="E571" s="129" t="s">
        <v>3</v>
      </c>
      <c r="F571" s="137" t="s">
        <v>4</v>
      </c>
      <c r="G571" s="311" t="s">
        <v>5</v>
      </c>
    </row>
    <row r="572" spans="1:7" s="103" customFormat="1" x14ac:dyDescent="0.3">
      <c r="A572" s="135">
        <v>45862</v>
      </c>
      <c r="B572" s="97" t="s">
        <v>211</v>
      </c>
      <c r="C572" s="492" t="s">
        <v>708</v>
      </c>
      <c r="D572" s="735" t="s">
        <v>757</v>
      </c>
      <c r="E572" s="125">
        <v>-403.79</v>
      </c>
      <c r="F572" s="110" t="s">
        <v>8</v>
      </c>
      <c r="G572" s="137" t="s">
        <v>51</v>
      </c>
    </row>
    <row r="573" spans="1:7" s="103" customFormat="1" x14ac:dyDescent="0.3">
      <c r="A573" s="135">
        <v>45862</v>
      </c>
      <c r="B573" s="97" t="s">
        <v>211</v>
      </c>
      <c r="C573" s="492" t="s">
        <v>31</v>
      </c>
      <c r="D573" s="735" t="s">
        <v>757</v>
      </c>
      <c r="E573" s="125">
        <v>-930.47</v>
      </c>
      <c r="F573" s="110" t="s">
        <v>8</v>
      </c>
      <c r="G573" s="137" t="s">
        <v>51</v>
      </c>
    </row>
    <row r="574" spans="1:7" s="103" customFormat="1" x14ac:dyDescent="0.3">
      <c r="A574" s="135">
        <v>45862</v>
      </c>
      <c r="B574" s="97" t="s">
        <v>211</v>
      </c>
      <c r="C574" s="492" t="s">
        <v>709</v>
      </c>
      <c r="D574" s="735" t="s">
        <v>757</v>
      </c>
      <c r="E574" s="125">
        <v>-333.56</v>
      </c>
      <c r="F574" s="110" t="s">
        <v>8</v>
      </c>
      <c r="G574" s="137" t="s">
        <v>51</v>
      </c>
    </row>
    <row r="575" spans="1:7" s="103" customFormat="1" x14ac:dyDescent="0.3">
      <c r="A575" s="135">
        <v>45862</v>
      </c>
      <c r="B575" s="97" t="s">
        <v>211</v>
      </c>
      <c r="C575" s="492" t="s">
        <v>67</v>
      </c>
      <c r="D575" s="735" t="s">
        <v>757</v>
      </c>
      <c r="E575" s="125">
        <v>-158</v>
      </c>
      <c r="F575" s="110" t="s">
        <v>8</v>
      </c>
      <c r="G575" s="137" t="s">
        <v>51</v>
      </c>
    </row>
    <row r="576" spans="1:7" s="103" customFormat="1" x14ac:dyDescent="0.3">
      <c r="A576" s="135">
        <v>45862</v>
      </c>
      <c r="B576" s="97" t="s">
        <v>211</v>
      </c>
      <c r="C576" s="492" t="s">
        <v>756</v>
      </c>
      <c r="D576" s="735" t="s">
        <v>757</v>
      </c>
      <c r="E576" s="125">
        <v>-105.34</v>
      </c>
      <c r="F576" s="110" t="s">
        <v>8</v>
      </c>
      <c r="G576" s="137" t="s">
        <v>51</v>
      </c>
    </row>
    <row r="577" spans="1:7" s="103" customFormat="1" x14ac:dyDescent="0.3">
      <c r="A577" s="135">
        <v>45862</v>
      </c>
      <c r="B577" s="97" t="s">
        <v>211</v>
      </c>
      <c r="C577" s="492" t="s">
        <v>6</v>
      </c>
      <c r="D577" s="735" t="s">
        <v>757</v>
      </c>
      <c r="E577" s="125">
        <v>-509.12</v>
      </c>
      <c r="F577" s="110" t="s">
        <v>8</v>
      </c>
      <c r="G577" s="137" t="s">
        <v>51</v>
      </c>
    </row>
    <row r="578" spans="1:7" s="103" customFormat="1" x14ac:dyDescent="0.3">
      <c r="A578" s="135">
        <v>45862</v>
      </c>
      <c r="B578" s="97" t="s">
        <v>211</v>
      </c>
      <c r="C578" s="492" t="s">
        <v>13</v>
      </c>
      <c r="D578" s="735" t="s">
        <v>757</v>
      </c>
      <c r="E578" s="125">
        <v>-1053.3599999999999</v>
      </c>
      <c r="F578" s="110" t="s">
        <v>8</v>
      </c>
      <c r="G578" s="137" t="s">
        <v>51</v>
      </c>
    </row>
    <row r="579" spans="1:7" s="103" customFormat="1" x14ac:dyDescent="0.3">
      <c r="A579" s="135">
        <v>45862</v>
      </c>
      <c r="B579" s="97" t="s">
        <v>211</v>
      </c>
      <c r="C579" s="492" t="s">
        <v>710</v>
      </c>
      <c r="D579" s="272" t="s">
        <v>757</v>
      </c>
      <c r="E579" s="125">
        <v>-70.22</v>
      </c>
      <c r="F579" s="110" t="s">
        <v>8</v>
      </c>
      <c r="G579" s="137" t="s">
        <v>51</v>
      </c>
    </row>
    <row r="580" spans="1:7" s="103" customFormat="1" x14ac:dyDescent="0.3">
      <c r="A580" s="135">
        <v>45862</v>
      </c>
      <c r="B580" s="141" t="s">
        <v>211</v>
      </c>
      <c r="C580" s="492" t="s">
        <v>109</v>
      </c>
      <c r="D580" s="272" t="s">
        <v>757</v>
      </c>
      <c r="E580" s="125">
        <v>-245.78</v>
      </c>
      <c r="F580" s="110" t="s">
        <v>8</v>
      </c>
      <c r="G580" s="472" t="s">
        <v>51</v>
      </c>
    </row>
    <row r="581" spans="1:7" s="103" customFormat="1" x14ac:dyDescent="0.3">
      <c r="A581" s="135">
        <v>45862</v>
      </c>
      <c r="B581" s="97" t="s">
        <v>211</v>
      </c>
      <c r="C581" s="109" t="s">
        <v>17</v>
      </c>
      <c r="D581" s="272" t="s">
        <v>123</v>
      </c>
      <c r="E581" s="100">
        <v>-711.2</v>
      </c>
      <c r="F581" s="110" t="s">
        <v>8</v>
      </c>
      <c r="G581" s="137" t="s">
        <v>19</v>
      </c>
    </row>
    <row r="582" spans="1:7" s="103" customFormat="1" x14ac:dyDescent="0.3">
      <c r="A582" s="98">
        <v>45862</v>
      </c>
      <c r="B582" s="97" t="s">
        <v>211</v>
      </c>
      <c r="C582" s="99" t="s">
        <v>31</v>
      </c>
      <c r="D582" s="99" t="s">
        <v>881</v>
      </c>
      <c r="E582" s="564">
        <v>-1262.8699999999999</v>
      </c>
      <c r="F582" s="110" t="s">
        <v>8</v>
      </c>
      <c r="G582" s="105" t="s">
        <v>76</v>
      </c>
    </row>
    <row r="583" spans="1:7" s="103" customFormat="1" x14ac:dyDescent="0.3">
      <c r="A583" s="98">
        <v>45862</v>
      </c>
      <c r="B583" s="97" t="s">
        <v>211</v>
      </c>
      <c r="C583" s="99" t="s">
        <v>17</v>
      </c>
      <c r="D583" s="99" t="s">
        <v>882</v>
      </c>
      <c r="E583" s="4">
        <v>-1580.18</v>
      </c>
      <c r="F583" s="110" t="s">
        <v>8</v>
      </c>
      <c r="G583" s="105" t="s">
        <v>76</v>
      </c>
    </row>
    <row r="584" spans="1:7" s="103" customFormat="1" x14ac:dyDescent="0.3">
      <c r="A584" s="98">
        <v>45862</v>
      </c>
      <c r="B584" s="97" t="s">
        <v>211</v>
      </c>
      <c r="C584" s="99" t="s">
        <v>17</v>
      </c>
      <c r="D584" s="99" t="s">
        <v>453</v>
      </c>
      <c r="E584" s="4">
        <v>-8.42</v>
      </c>
      <c r="F584" s="110" t="s">
        <v>8</v>
      </c>
      <c r="G584" s="105" t="s">
        <v>76</v>
      </c>
    </row>
    <row r="585" spans="1:7" s="103" customFormat="1" x14ac:dyDescent="0.3">
      <c r="A585" s="106">
        <v>45862</v>
      </c>
      <c r="B585" s="8" t="s">
        <v>211</v>
      </c>
      <c r="C585" s="107" t="s">
        <v>72</v>
      </c>
      <c r="D585" s="107" t="s">
        <v>975</v>
      </c>
      <c r="E585" s="111">
        <v>-357.72</v>
      </c>
      <c r="F585" s="105" t="s">
        <v>8</v>
      </c>
      <c r="G585" s="105" t="s">
        <v>233</v>
      </c>
    </row>
    <row r="586" spans="1:7" s="103" customFormat="1" x14ac:dyDescent="0.3">
      <c r="A586" s="106">
        <v>45862</v>
      </c>
      <c r="B586" s="8" t="s">
        <v>211</v>
      </c>
      <c r="C586" s="107" t="s">
        <v>6</v>
      </c>
      <c r="D586" s="107" t="s">
        <v>974</v>
      </c>
      <c r="E586" s="565">
        <v>-49.2</v>
      </c>
      <c r="F586" s="105" t="s">
        <v>8</v>
      </c>
      <c r="G586" s="108" t="s">
        <v>83</v>
      </c>
    </row>
    <row r="587" spans="1:7" s="103" customFormat="1" x14ac:dyDescent="0.3">
      <c r="A587" s="106">
        <v>45862</v>
      </c>
      <c r="B587" s="8" t="s">
        <v>211</v>
      </c>
      <c r="C587" s="107" t="s">
        <v>25</v>
      </c>
      <c r="D587" s="107" t="s">
        <v>932</v>
      </c>
      <c r="E587" s="111">
        <v>-118</v>
      </c>
      <c r="F587" s="105" t="s">
        <v>8</v>
      </c>
      <c r="G587" s="566" t="s">
        <v>83</v>
      </c>
    </row>
    <row r="588" spans="1:7" s="103" customFormat="1" x14ac:dyDescent="0.3">
      <c r="A588" s="106">
        <v>45862</v>
      </c>
      <c r="B588" s="8" t="s">
        <v>211</v>
      </c>
      <c r="C588" s="107" t="s">
        <v>17</v>
      </c>
      <c r="D588" s="107" t="s">
        <v>933</v>
      </c>
      <c r="E588" s="4">
        <v>-86.1</v>
      </c>
      <c r="F588" s="105" t="s">
        <v>8</v>
      </c>
      <c r="G588" s="566" t="s">
        <v>83</v>
      </c>
    </row>
    <row r="589" spans="1:7" s="103" customFormat="1" x14ac:dyDescent="0.3">
      <c r="A589" s="106">
        <v>45862</v>
      </c>
      <c r="B589" s="8" t="s">
        <v>211</v>
      </c>
      <c r="C589" s="107" t="s">
        <v>72</v>
      </c>
      <c r="D589" s="107" t="s">
        <v>977</v>
      </c>
      <c r="E589" s="4">
        <v>-12.3</v>
      </c>
      <c r="F589" s="105" t="s">
        <v>8</v>
      </c>
      <c r="G589" s="566" t="s">
        <v>83</v>
      </c>
    </row>
    <row r="590" spans="1:7" s="103" customFormat="1" x14ac:dyDescent="0.3">
      <c r="A590" s="106">
        <v>45862</v>
      </c>
      <c r="B590" s="8" t="s">
        <v>211</v>
      </c>
      <c r="C590" s="107" t="s">
        <v>72</v>
      </c>
      <c r="D590" s="107" t="s">
        <v>978</v>
      </c>
      <c r="E590" s="4">
        <v>-12.3</v>
      </c>
      <c r="F590" s="105" t="s">
        <v>8</v>
      </c>
      <c r="G590" s="566" t="s">
        <v>83</v>
      </c>
    </row>
    <row r="591" spans="1:7" s="103" customFormat="1" x14ac:dyDescent="0.3">
      <c r="A591" s="106">
        <v>45862</v>
      </c>
      <c r="B591" s="8" t="s">
        <v>211</v>
      </c>
      <c r="C591" s="107" t="s">
        <v>72</v>
      </c>
      <c r="D591" s="558" t="s">
        <v>903</v>
      </c>
      <c r="E591" s="160">
        <v>-187.42</v>
      </c>
      <c r="F591" s="105" t="s">
        <v>8</v>
      </c>
      <c r="G591" s="566" t="s">
        <v>83</v>
      </c>
    </row>
    <row r="592" spans="1:7" s="103" customFormat="1" x14ac:dyDescent="0.3">
      <c r="A592" s="106">
        <v>45862</v>
      </c>
      <c r="B592" s="97" t="s">
        <v>211</v>
      </c>
      <c r="C592" s="146" t="s">
        <v>72</v>
      </c>
      <c r="D592" s="272" t="s">
        <v>904</v>
      </c>
      <c r="E592" s="125">
        <v>-4375.75</v>
      </c>
      <c r="F592" s="110" t="s">
        <v>8</v>
      </c>
      <c r="G592" s="105" t="s">
        <v>74</v>
      </c>
    </row>
    <row r="593" spans="1:7" s="103" customFormat="1" x14ac:dyDescent="0.3">
      <c r="A593" s="106">
        <v>45862</v>
      </c>
      <c r="B593" s="97" t="s">
        <v>211</v>
      </c>
      <c r="C593" s="146" t="s">
        <v>72</v>
      </c>
      <c r="D593" s="272" t="s">
        <v>906</v>
      </c>
      <c r="E593" s="125">
        <v>-468.58</v>
      </c>
      <c r="F593" s="110" t="s">
        <v>8</v>
      </c>
      <c r="G593" s="105" t="s">
        <v>74</v>
      </c>
    </row>
    <row r="594" spans="1:7" s="103" customFormat="1" x14ac:dyDescent="0.3">
      <c r="A594" s="106">
        <v>45862</v>
      </c>
      <c r="B594" s="97" t="s">
        <v>211</v>
      </c>
      <c r="C594" s="99" t="s">
        <v>72</v>
      </c>
      <c r="D594" s="272" t="s">
        <v>907</v>
      </c>
      <c r="E594" s="125">
        <v>-1408.66</v>
      </c>
      <c r="F594" s="110" t="s">
        <v>8</v>
      </c>
      <c r="G594" s="105" t="s">
        <v>74</v>
      </c>
    </row>
    <row r="595" spans="1:7" x14ac:dyDescent="0.3">
      <c r="E595" s="442">
        <f>SUM(E572:E594)</f>
        <v>-14448.34</v>
      </c>
    </row>
    <row r="597" spans="1:7" ht="21" x14ac:dyDescent="0.3">
      <c r="D597" s="904" t="s">
        <v>996</v>
      </c>
    </row>
    <row r="602" spans="1:7" x14ac:dyDescent="0.3">
      <c r="A602" s="914" t="s">
        <v>995</v>
      </c>
      <c r="B602" s="914"/>
      <c r="C602" s="914"/>
      <c r="D602" s="914"/>
      <c r="E602" s="914"/>
      <c r="F602" s="914"/>
      <c r="G602" s="914"/>
    </row>
    <row r="603" spans="1:7" ht="46.2" customHeight="1" x14ac:dyDescent="0.3">
      <c r="A603" s="914"/>
      <c r="B603" s="914"/>
      <c r="C603" s="914"/>
      <c r="D603" s="914"/>
      <c r="E603" s="914"/>
      <c r="F603" s="914"/>
      <c r="G603" s="914"/>
    </row>
    <row r="604" spans="1:7" x14ac:dyDescent="0.3">
      <c r="A604" s="275" t="s">
        <v>0</v>
      </c>
      <c r="B604" s="275" t="s">
        <v>210</v>
      </c>
      <c r="C604" s="200" t="s">
        <v>1</v>
      </c>
      <c r="D604" s="124" t="s">
        <v>2</v>
      </c>
      <c r="E604" s="129" t="s">
        <v>3</v>
      </c>
      <c r="F604" s="137" t="s">
        <v>4</v>
      </c>
      <c r="G604" s="311" t="s">
        <v>5</v>
      </c>
    </row>
    <row r="605" spans="1:7" s="103" customFormat="1" x14ac:dyDescent="0.3">
      <c r="A605" s="135">
        <v>45863</v>
      </c>
      <c r="B605" s="97" t="s">
        <v>211</v>
      </c>
      <c r="C605" s="272" t="s">
        <v>17</v>
      </c>
      <c r="D605" s="272" t="s">
        <v>18</v>
      </c>
      <c r="E605" s="126">
        <v>-17235</v>
      </c>
      <c r="F605" s="110" t="s">
        <v>8</v>
      </c>
      <c r="G605" s="137" t="s">
        <v>19</v>
      </c>
    </row>
    <row r="606" spans="1:7" s="103" customFormat="1" x14ac:dyDescent="0.3">
      <c r="A606" s="98">
        <v>45863</v>
      </c>
      <c r="B606" s="97" t="s">
        <v>211</v>
      </c>
      <c r="C606" s="272" t="s">
        <v>44</v>
      </c>
      <c r="D606" s="272" t="s">
        <v>988</v>
      </c>
      <c r="E606" s="571">
        <v>-4943.53</v>
      </c>
      <c r="F606" s="110" t="s">
        <v>8</v>
      </c>
      <c r="G606" s="137" t="s">
        <v>64</v>
      </c>
    </row>
    <row r="607" spans="1:7" s="103" customFormat="1" x14ac:dyDescent="0.3">
      <c r="A607" s="98">
        <v>45863</v>
      </c>
      <c r="B607" s="97" t="s">
        <v>211</v>
      </c>
      <c r="C607" s="200" t="s">
        <v>17</v>
      </c>
      <c r="D607" s="272" t="s">
        <v>137</v>
      </c>
      <c r="E607" s="100">
        <v>-545.28</v>
      </c>
      <c r="F607" s="110" t="s">
        <v>8</v>
      </c>
      <c r="G607" s="137" t="s">
        <v>69</v>
      </c>
    </row>
    <row r="608" spans="1:7" s="103" customFormat="1" x14ac:dyDescent="0.3">
      <c r="A608" s="98">
        <v>45863</v>
      </c>
      <c r="B608" s="97" t="s">
        <v>211</v>
      </c>
      <c r="C608" s="272" t="s">
        <v>17</v>
      </c>
      <c r="D608" s="272" t="s">
        <v>571</v>
      </c>
      <c r="E608" s="126">
        <v>-154.9</v>
      </c>
      <c r="F608" s="110" t="s">
        <v>8</v>
      </c>
      <c r="G608" s="137" t="s">
        <v>139</v>
      </c>
    </row>
    <row r="609" spans="1:7" s="103" customFormat="1" x14ac:dyDescent="0.3">
      <c r="A609" s="98">
        <v>45863</v>
      </c>
      <c r="B609" s="97" t="s">
        <v>211</v>
      </c>
      <c r="C609" s="272" t="s">
        <v>17</v>
      </c>
      <c r="D609" s="272" t="s">
        <v>572</v>
      </c>
      <c r="E609" s="126">
        <v>-139.9</v>
      </c>
      <c r="F609" s="110" t="s">
        <v>8</v>
      </c>
      <c r="G609" s="137" t="s">
        <v>139</v>
      </c>
    </row>
    <row r="610" spans="1:7" s="103" customFormat="1" x14ac:dyDescent="0.3">
      <c r="A610" s="98">
        <v>45863</v>
      </c>
      <c r="B610" s="97" t="s">
        <v>211</v>
      </c>
      <c r="C610" s="272" t="s">
        <v>25</v>
      </c>
      <c r="D610" s="272" t="s">
        <v>575</v>
      </c>
      <c r="E610" s="126">
        <v>-1925.16</v>
      </c>
      <c r="F610" s="110" t="s">
        <v>8</v>
      </c>
      <c r="G610" s="311" t="s">
        <v>156</v>
      </c>
    </row>
    <row r="611" spans="1:7" s="103" customFormat="1" x14ac:dyDescent="0.3">
      <c r="A611" s="98">
        <v>45863</v>
      </c>
      <c r="B611" s="97" t="s">
        <v>211</v>
      </c>
      <c r="C611" s="272" t="s">
        <v>17</v>
      </c>
      <c r="D611" s="272" t="s">
        <v>143</v>
      </c>
      <c r="E611" s="126">
        <v>-9980</v>
      </c>
      <c r="F611" s="110" t="s">
        <v>8</v>
      </c>
      <c r="G611" s="311" t="s">
        <v>59</v>
      </c>
    </row>
    <row r="612" spans="1:7" s="103" customFormat="1" x14ac:dyDescent="0.3">
      <c r="A612" s="98">
        <v>45863</v>
      </c>
      <c r="B612" s="97" t="s">
        <v>211</v>
      </c>
      <c r="C612" s="99" t="s">
        <v>44</v>
      </c>
      <c r="D612" s="99" t="s">
        <v>989</v>
      </c>
      <c r="E612" s="100">
        <v>-1840.8</v>
      </c>
      <c r="F612" s="110" t="s">
        <v>8</v>
      </c>
      <c r="G612" s="105" t="s">
        <v>233</v>
      </c>
    </row>
    <row r="613" spans="1:7" s="103" customFormat="1" x14ac:dyDescent="0.3">
      <c r="A613" s="98">
        <v>45863</v>
      </c>
      <c r="B613" s="97" t="s">
        <v>211</v>
      </c>
      <c r="C613" s="99" t="s">
        <v>44</v>
      </c>
      <c r="D613" s="99" t="s">
        <v>987</v>
      </c>
      <c r="E613" s="100">
        <v>-10505.31</v>
      </c>
      <c r="F613" s="110" t="s">
        <v>8</v>
      </c>
      <c r="G613" s="105" t="s">
        <v>233</v>
      </c>
    </row>
    <row r="614" spans="1:7" s="103" customFormat="1" x14ac:dyDescent="0.3">
      <c r="A614" s="98">
        <v>45863</v>
      </c>
      <c r="B614" s="97" t="s">
        <v>211</v>
      </c>
      <c r="C614" s="99" t="s">
        <v>72</v>
      </c>
      <c r="D614" s="99" t="s">
        <v>991</v>
      </c>
      <c r="E614" s="100">
        <v>-1117.53</v>
      </c>
      <c r="F614" s="110" t="s">
        <v>8</v>
      </c>
      <c r="G614" s="105" t="s">
        <v>233</v>
      </c>
    </row>
    <row r="615" spans="1:7" s="103" customFormat="1" x14ac:dyDescent="0.3">
      <c r="A615" s="98">
        <v>45863</v>
      </c>
      <c r="B615" s="97" t="s">
        <v>211</v>
      </c>
      <c r="C615" s="99" t="s">
        <v>17</v>
      </c>
      <c r="D615" s="99" t="s">
        <v>990</v>
      </c>
      <c r="E615" s="100">
        <v>-180</v>
      </c>
      <c r="F615" s="110" t="s">
        <v>8</v>
      </c>
      <c r="G615" s="105" t="s">
        <v>142</v>
      </c>
    </row>
    <row r="616" spans="1:7" s="103" customFormat="1" x14ac:dyDescent="0.3">
      <c r="A616" s="98">
        <v>45863</v>
      </c>
      <c r="B616" s="97" t="s">
        <v>211</v>
      </c>
      <c r="C616" s="99" t="s">
        <v>17</v>
      </c>
      <c r="D616" s="99" t="s">
        <v>570</v>
      </c>
      <c r="E616" s="100">
        <v>-430.22</v>
      </c>
      <c r="F616" s="110" t="s">
        <v>8</v>
      </c>
      <c r="G616" s="105" t="s">
        <v>934</v>
      </c>
    </row>
    <row r="617" spans="1:7" s="103" customFormat="1" x14ac:dyDescent="0.3">
      <c r="A617" s="98">
        <v>45863</v>
      </c>
      <c r="B617" s="97" t="s">
        <v>211</v>
      </c>
      <c r="C617" s="109" t="s">
        <v>17</v>
      </c>
      <c r="D617" s="99" t="s">
        <v>203</v>
      </c>
      <c r="E617" s="100">
        <v>-440</v>
      </c>
      <c r="F617" s="110" t="s">
        <v>8</v>
      </c>
      <c r="G617" s="105" t="s">
        <v>53</v>
      </c>
    </row>
    <row r="618" spans="1:7" s="103" customFormat="1" x14ac:dyDescent="0.3">
      <c r="A618" s="98">
        <v>45863</v>
      </c>
      <c r="B618" s="97" t="s">
        <v>211</v>
      </c>
      <c r="C618" s="99" t="s">
        <v>31</v>
      </c>
      <c r="D618" s="99" t="s">
        <v>881</v>
      </c>
      <c r="E618" s="564">
        <v>-87.32</v>
      </c>
      <c r="F618" s="110" t="s">
        <v>8</v>
      </c>
      <c r="G618" s="105" t="s">
        <v>76</v>
      </c>
    </row>
    <row r="619" spans="1:7" s="103" customFormat="1" x14ac:dyDescent="0.3">
      <c r="A619" s="98">
        <v>45863</v>
      </c>
      <c r="B619" s="97" t="s">
        <v>211</v>
      </c>
      <c r="C619" s="99" t="s">
        <v>31</v>
      </c>
      <c r="D619" s="99" t="s">
        <v>881</v>
      </c>
      <c r="E619" s="100">
        <v>-166.65</v>
      </c>
      <c r="F619" s="110" t="s">
        <v>8</v>
      </c>
      <c r="G619" s="105" t="s">
        <v>76</v>
      </c>
    </row>
    <row r="620" spans="1:7" s="103" customFormat="1" x14ac:dyDescent="0.3">
      <c r="A620" s="98">
        <v>45863</v>
      </c>
      <c r="B620" s="97" t="s">
        <v>211</v>
      </c>
      <c r="C620" s="99" t="s">
        <v>17</v>
      </c>
      <c r="D620" s="99" t="s">
        <v>882</v>
      </c>
      <c r="E620" s="100">
        <v>-169.78</v>
      </c>
      <c r="F620" s="110" t="s">
        <v>8</v>
      </c>
      <c r="G620" s="105" t="s">
        <v>76</v>
      </c>
    </row>
    <row r="621" spans="1:7" s="103" customFormat="1" x14ac:dyDescent="0.3">
      <c r="A621" s="98">
        <v>45863</v>
      </c>
      <c r="B621" s="97" t="s">
        <v>211</v>
      </c>
      <c r="C621" s="99" t="s">
        <v>25</v>
      </c>
      <c r="D621" s="99" t="s">
        <v>936</v>
      </c>
      <c r="E621" s="100">
        <v>-1470.99</v>
      </c>
      <c r="F621" s="110" t="s">
        <v>8</v>
      </c>
      <c r="G621" s="105" t="s">
        <v>76</v>
      </c>
    </row>
    <row r="622" spans="1:7" s="103" customFormat="1" x14ac:dyDescent="0.3">
      <c r="A622" s="98">
        <v>45863</v>
      </c>
      <c r="B622" s="97" t="s">
        <v>211</v>
      </c>
      <c r="C622" s="99" t="s">
        <v>32</v>
      </c>
      <c r="D622" s="99" t="s">
        <v>937</v>
      </c>
      <c r="E622" s="100">
        <v>-178.81</v>
      </c>
      <c r="F622" s="110" t="s">
        <v>8</v>
      </c>
      <c r="G622" s="105" t="s">
        <v>76</v>
      </c>
    </row>
    <row r="623" spans="1:7" s="103" customFormat="1" x14ac:dyDescent="0.3">
      <c r="A623" s="98">
        <v>45863</v>
      </c>
      <c r="B623" s="97" t="s">
        <v>211</v>
      </c>
      <c r="C623" s="99" t="s">
        <v>32</v>
      </c>
      <c r="D623" s="99" t="s">
        <v>935</v>
      </c>
      <c r="E623" s="100">
        <v>-2258</v>
      </c>
      <c r="F623" s="110" t="s">
        <v>8</v>
      </c>
      <c r="G623" s="105" t="s">
        <v>76</v>
      </c>
    </row>
    <row r="624" spans="1:7" s="103" customFormat="1" x14ac:dyDescent="0.3">
      <c r="A624" s="98">
        <v>45863</v>
      </c>
      <c r="B624" s="97" t="s">
        <v>211</v>
      </c>
      <c r="C624" s="107" t="s">
        <v>17</v>
      </c>
      <c r="D624" s="107" t="s">
        <v>979</v>
      </c>
      <c r="E624" s="4">
        <v>-176.4</v>
      </c>
      <c r="F624" s="110" t="s">
        <v>8</v>
      </c>
      <c r="G624" s="108" t="s">
        <v>83</v>
      </c>
    </row>
    <row r="625" spans="1:7" s="103" customFormat="1" x14ac:dyDescent="0.3">
      <c r="A625" s="98">
        <v>45863</v>
      </c>
      <c r="B625" s="97" t="s">
        <v>211</v>
      </c>
      <c r="C625" s="107" t="s">
        <v>25</v>
      </c>
      <c r="D625" s="107" t="s">
        <v>980</v>
      </c>
      <c r="E625" s="4">
        <v>-284.39999999999998</v>
      </c>
      <c r="F625" s="110" t="s">
        <v>8</v>
      </c>
      <c r="G625" s="108" t="s">
        <v>83</v>
      </c>
    </row>
    <row r="626" spans="1:7" s="103" customFormat="1" x14ac:dyDescent="0.3">
      <c r="A626" s="98">
        <v>45863</v>
      </c>
      <c r="B626" s="97" t="s">
        <v>211</v>
      </c>
      <c r="C626" s="107" t="s">
        <v>25</v>
      </c>
      <c r="D626" s="107" t="s">
        <v>981</v>
      </c>
      <c r="E626" s="4">
        <v>-345.6</v>
      </c>
      <c r="F626" s="110" t="s">
        <v>8</v>
      </c>
      <c r="G626" s="108" t="s">
        <v>83</v>
      </c>
    </row>
    <row r="627" spans="1:7" s="103" customFormat="1" x14ac:dyDescent="0.3">
      <c r="A627" s="106">
        <v>45863</v>
      </c>
      <c r="B627" s="8" t="s">
        <v>211</v>
      </c>
      <c r="C627" s="107" t="s">
        <v>25</v>
      </c>
      <c r="D627" s="107" t="s">
        <v>982</v>
      </c>
      <c r="E627" s="4">
        <v>-1000</v>
      </c>
      <c r="F627" s="110" t="s">
        <v>8</v>
      </c>
      <c r="G627" s="108" t="s">
        <v>27</v>
      </c>
    </row>
    <row r="628" spans="1:7" s="103" customFormat="1" x14ac:dyDescent="0.3">
      <c r="A628" s="98">
        <v>45863</v>
      </c>
      <c r="B628" s="97" t="s">
        <v>211</v>
      </c>
      <c r="C628" s="99" t="s">
        <v>6</v>
      </c>
      <c r="D628" s="99" t="s">
        <v>652</v>
      </c>
      <c r="E628" s="100">
        <v>-2688.37</v>
      </c>
      <c r="F628" s="110" t="s">
        <v>8</v>
      </c>
      <c r="G628" s="105" t="s">
        <v>189</v>
      </c>
    </row>
    <row r="629" spans="1:7" s="103" customFormat="1" x14ac:dyDescent="0.3">
      <c r="A629" s="106">
        <v>45863</v>
      </c>
      <c r="B629" s="8" t="s">
        <v>211</v>
      </c>
      <c r="C629" s="99" t="s">
        <v>72</v>
      </c>
      <c r="D629" s="99" t="s">
        <v>992</v>
      </c>
      <c r="E629" s="100">
        <v>-1500</v>
      </c>
      <c r="F629" s="110" t="s">
        <v>8</v>
      </c>
      <c r="G629" s="108" t="s">
        <v>15</v>
      </c>
    </row>
    <row r="630" spans="1:7" s="103" customFormat="1" x14ac:dyDescent="0.3">
      <c r="A630" s="106">
        <v>45863</v>
      </c>
      <c r="B630" s="8" t="s">
        <v>211</v>
      </c>
      <c r="C630" s="99" t="s">
        <v>72</v>
      </c>
      <c r="D630" s="107" t="s">
        <v>994</v>
      </c>
      <c r="E630" s="4">
        <v>-1500</v>
      </c>
      <c r="F630" s="110" t="s">
        <v>8</v>
      </c>
      <c r="G630" s="108" t="s">
        <v>15</v>
      </c>
    </row>
    <row r="631" spans="1:7" s="103" customFormat="1" x14ac:dyDescent="0.3">
      <c r="A631" s="98">
        <v>45863</v>
      </c>
      <c r="B631" s="97" t="s">
        <v>211</v>
      </c>
      <c r="C631" s="99" t="s">
        <v>6</v>
      </c>
      <c r="D631" s="99" t="s">
        <v>993</v>
      </c>
      <c r="E631" s="100">
        <v>-1399</v>
      </c>
      <c r="F631" s="110" t="s">
        <v>8</v>
      </c>
      <c r="G631" s="105" t="s">
        <v>27</v>
      </c>
    </row>
    <row r="632" spans="1:7" x14ac:dyDescent="0.3">
      <c r="E632" s="442">
        <f>SUM(E605:E631)</f>
        <v>-62662.950000000004</v>
      </c>
    </row>
    <row r="636" spans="1:7" x14ac:dyDescent="0.3">
      <c r="A636" s="914" t="s">
        <v>1035</v>
      </c>
      <c r="B636" s="914"/>
      <c r="C636" s="914"/>
      <c r="D636" s="914"/>
      <c r="E636" s="914"/>
      <c r="F636" s="914"/>
      <c r="G636" s="914"/>
    </row>
    <row r="637" spans="1:7" ht="52.8" customHeight="1" x14ac:dyDescent="0.3">
      <c r="A637" s="914"/>
      <c r="B637" s="914"/>
      <c r="C637" s="914"/>
      <c r="D637" s="914"/>
      <c r="E637" s="914"/>
      <c r="F637" s="914"/>
      <c r="G637" s="914"/>
    </row>
    <row r="638" spans="1:7" x14ac:dyDescent="0.3">
      <c r="A638" s="275" t="s">
        <v>0</v>
      </c>
      <c r="B638" s="275" t="s">
        <v>210</v>
      </c>
      <c r="C638" s="200" t="s">
        <v>1</v>
      </c>
      <c r="D638" s="124" t="s">
        <v>2</v>
      </c>
      <c r="E638" s="129" t="s">
        <v>3</v>
      </c>
      <c r="F638" s="137" t="s">
        <v>4</v>
      </c>
      <c r="G638" s="311" t="s">
        <v>5</v>
      </c>
    </row>
    <row r="639" spans="1:7" s="103" customFormat="1" x14ac:dyDescent="0.3">
      <c r="A639" s="470">
        <v>45866</v>
      </c>
      <c r="B639" s="141" t="s">
        <v>211</v>
      </c>
      <c r="C639" s="589" t="s">
        <v>6</v>
      </c>
      <c r="D639" s="771" t="s">
        <v>115</v>
      </c>
      <c r="E639" s="471">
        <v>-35714.97</v>
      </c>
      <c r="F639" s="472" t="s">
        <v>8</v>
      </c>
      <c r="G639" s="148" t="s">
        <v>46</v>
      </c>
    </row>
    <row r="640" spans="1:7" s="103" customFormat="1" x14ac:dyDescent="0.3">
      <c r="A640" s="98">
        <v>45866</v>
      </c>
      <c r="B640" s="97" t="s">
        <v>211</v>
      </c>
      <c r="C640" s="492" t="s">
        <v>760</v>
      </c>
      <c r="D640" s="735" t="s">
        <v>759</v>
      </c>
      <c r="E640" s="556">
        <v>-367.08</v>
      </c>
      <c r="F640" s="554" t="s">
        <v>8</v>
      </c>
      <c r="G640" s="137" t="s">
        <v>51</v>
      </c>
    </row>
    <row r="641" spans="1:7" s="103" customFormat="1" x14ac:dyDescent="0.3">
      <c r="A641" s="98">
        <v>45866</v>
      </c>
      <c r="B641" s="97" t="s">
        <v>211</v>
      </c>
      <c r="C641" s="492" t="s">
        <v>106</v>
      </c>
      <c r="D641" s="735" t="s">
        <v>759</v>
      </c>
      <c r="E641" s="556">
        <v>-303.24</v>
      </c>
      <c r="F641" s="554" t="s">
        <v>8</v>
      </c>
      <c r="G641" s="137" t="s">
        <v>51</v>
      </c>
    </row>
    <row r="642" spans="1:7" s="103" customFormat="1" x14ac:dyDescent="0.3">
      <c r="A642" s="98">
        <v>45866</v>
      </c>
      <c r="B642" s="97" t="s">
        <v>211</v>
      </c>
      <c r="C642" s="492" t="s">
        <v>761</v>
      </c>
      <c r="D642" s="735" t="s">
        <v>759</v>
      </c>
      <c r="E642" s="556">
        <v>-845.88</v>
      </c>
      <c r="F642" s="554" t="s">
        <v>8</v>
      </c>
      <c r="G642" s="137" t="s">
        <v>51</v>
      </c>
    </row>
    <row r="643" spans="1:7" s="103" customFormat="1" x14ac:dyDescent="0.3">
      <c r="A643" s="98">
        <v>45866</v>
      </c>
      <c r="B643" s="97" t="s">
        <v>211</v>
      </c>
      <c r="C643" s="492" t="s">
        <v>762</v>
      </c>
      <c r="D643" s="735" t="s">
        <v>759</v>
      </c>
      <c r="E643" s="556">
        <v>-143.63999999999999</v>
      </c>
      <c r="F643" s="554" t="s">
        <v>8</v>
      </c>
      <c r="G643" s="137" t="s">
        <v>51</v>
      </c>
    </row>
    <row r="644" spans="1:7" s="103" customFormat="1" x14ac:dyDescent="0.3">
      <c r="A644" s="98">
        <v>45866</v>
      </c>
      <c r="B644" s="97" t="s">
        <v>211</v>
      </c>
      <c r="C644" s="492" t="s">
        <v>6</v>
      </c>
      <c r="D644" s="735" t="s">
        <v>759</v>
      </c>
      <c r="E644" s="556">
        <v>-63.84</v>
      </c>
      <c r="F644" s="554" t="s">
        <v>8</v>
      </c>
      <c r="G644" s="137" t="s">
        <v>51</v>
      </c>
    </row>
    <row r="645" spans="1:7" s="103" customFormat="1" x14ac:dyDescent="0.3">
      <c r="A645" s="98">
        <v>45866</v>
      </c>
      <c r="B645" s="97" t="s">
        <v>211</v>
      </c>
      <c r="C645" s="492" t="s">
        <v>1032</v>
      </c>
      <c r="D645" s="735" t="s">
        <v>759</v>
      </c>
      <c r="E645" s="556">
        <v>-95.76</v>
      </c>
      <c r="F645" s="554" t="s">
        <v>8</v>
      </c>
      <c r="G645" s="137" t="s">
        <v>51</v>
      </c>
    </row>
    <row r="646" spans="1:7" s="103" customFormat="1" x14ac:dyDescent="0.3">
      <c r="A646" s="98">
        <v>45866</v>
      </c>
      <c r="B646" s="97" t="s">
        <v>211</v>
      </c>
      <c r="C646" s="492" t="s">
        <v>13</v>
      </c>
      <c r="D646" s="735" t="s">
        <v>759</v>
      </c>
      <c r="E646" s="556">
        <v>-957.6</v>
      </c>
      <c r="F646" s="554" t="s">
        <v>8</v>
      </c>
      <c r="G646" s="137" t="s">
        <v>51</v>
      </c>
    </row>
    <row r="647" spans="1:7" s="103" customFormat="1" x14ac:dyDescent="0.3">
      <c r="A647" s="98">
        <v>45866</v>
      </c>
      <c r="B647" s="97" t="s">
        <v>211</v>
      </c>
      <c r="C647" s="492" t="s">
        <v>710</v>
      </c>
      <c r="D647" s="735" t="s">
        <v>759</v>
      </c>
      <c r="E647" s="556">
        <v>-63.84</v>
      </c>
      <c r="F647" s="554" t="s">
        <v>8</v>
      </c>
      <c r="G647" s="137" t="s">
        <v>51</v>
      </c>
    </row>
    <row r="648" spans="1:7" s="103" customFormat="1" x14ac:dyDescent="0.3">
      <c r="A648" s="98">
        <v>45866</v>
      </c>
      <c r="B648" s="97" t="s">
        <v>211</v>
      </c>
      <c r="C648" s="492" t="s">
        <v>765</v>
      </c>
      <c r="D648" s="735" t="s">
        <v>759</v>
      </c>
      <c r="E648" s="556">
        <v>-223.44</v>
      </c>
      <c r="F648" s="554" t="s">
        <v>8</v>
      </c>
      <c r="G648" s="137" t="s">
        <v>51</v>
      </c>
    </row>
    <row r="649" spans="1:7" s="103" customFormat="1" x14ac:dyDescent="0.3">
      <c r="A649" s="98">
        <v>45867</v>
      </c>
      <c r="B649" s="97" t="s">
        <v>211</v>
      </c>
      <c r="C649" s="272" t="s">
        <v>6</v>
      </c>
      <c r="D649" s="272" t="s">
        <v>1034</v>
      </c>
      <c r="E649" s="126">
        <v>-600</v>
      </c>
      <c r="F649" s="110" t="s">
        <v>8</v>
      </c>
      <c r="G649" s="137" t="s">
        <v>55</v>
      </c>
    </row>
    <row r="650" spans="1:7" s="103" customFormat="1" x14ac:dyDescent="0.3">
      <c r="A650" s="98">
        <v>45866</v>
      </c>
      <c r="B650" s="97" t="s">
        <v>211</v>
      </c>
      <c r="C650" s="272" t="s">
        <v>17</v>
      </c>
      <c r="D650" s="272" t="s">
        <v>143</v>
      </c>
      <c r="E650" s="126">
        <v>-9980</v>
      </c>
      <c r="F650" s="110" t="s">
        <v>8</v>
      </c>
      <c r="G650" s="311" t="s">
        <v>59</v>
      </c>
    </row>
    <row r="651" spans="1:7" s="103" customFormat="1" x14ac:dyDescent="0.3">
      <c r="A651" s="98">
        <v>45866</v>
      </c>
      <c r="B651" s="97" t="s">
        <v>211</v>
      </c>
      <c r="C651" s="109" t="s">
        <v>6</v>
      </c>
      <c r="D651" s="99" t="s">
        <v>576</v>
      </c>
      <c r="E651" s="100">
        <v>-2000</v>
      </c>
      <c r="F651" s="105" t="s">
        <v>8</v>
      </c>
      <c r="G651" s="105" t="s">
        <v>189</v>
      </c>
    </row>
    <row r="652" spans="1:7" s="103" customFormat="1" x14ac:dyDescent="0.3">
      <c r="A652" s="98">
        <v>45866</v>
      </c>
      <c r="B652" s="97" t="s">
        <v>211</v>
      </c>
      <c r="C652" s="99" t="s">
        <v>72</v>
      </c>
      <c r="D652" s="99" t="s">
        <v>1029</v>
      </c>
      <c r="E652" s="100">
        <v>-1292.549945</v>
      </c>
      <c r="F652" s="105" t="s">
        <v>8</v>
      </c>
      <c r="G652" s="105" t="s">
        <v>233</v>
      </c>
    </row>
    <row r="653" spans="1:7" s="103" customFormat="1" x14ac:dyDescent="0.3">
      <c r="A653" s="98">
        <v>45866</v>
      </c>
      <c r="B653" s="97" t="s">
        <v>211</v>
      </c>
      <c r="C653" s="99" t="s">
        <v>17</v>
      </c>
      <c r="D653" s="99" t="s">
        <v>1031</v>
      </c>
      <c r="E653" s="100">
        <v>-110.4</v>
      </c>
      <c r="F653" s="105" t="s">
        <v>8</v>
      </c>
      <c r="G653" s="105" t="s">
        <v>233</v>
      </c>
    </row>
    <row r="654" spans="1:7" s="103" customFormat="1" x14ac:dyDescent="0.3">
      <c r="A654" s="98">
        <v>45866</v>
      </c>
      <c r="B654" s="97" t="s">
        <v>211</v>
      </c>
      <c r="C654" s="107" t="s">
        <v>44</v>
      </c>
      <c r="D654" s="107" t="s">
        <v>983</v>
      </c>
      <c r="E654" s="590">
        <v>-90</v>
      </c>
      <c r="F654" s="105" t="s">
        <v>8</v>
      </c>
      <c r="G654" s="108" t="s">
        <v>83</v>
      </c>
    </row>
    <row r="655" spans="1:7" s="103" customFormat="1" x14ac:dyDescent="0.3">
      <c r="A655" s="98">
        <v>45866</v>
      </c>
      <c r="B655" s="97" t="s">
        <v>211</v>
      </c>
      <c r="C655" s="107" t="s">
        <v>106</v>
      </c>
      <c r="D655" s="107" t="s">
        <v>984</v>
      </c>
      <c r="E655" s="590">
        <v>-90</v>
      </c>
      <c r="F655" s="105" t="s">
        <v>8</v>
      </c>
      <c r="G655" s="108" t="s">
        <v>83</v>
      </c>
    </row>
    <row r="656" spans="1:7" s="103" customFormat="1" x14ac:dyDescent="0.3">
      <c r="A656" s="98">
        <v>45866</v>
      </c>
      <c r="B656" s="97" t="s">
        <v>211</v>
      </c>
      <c r="C656" s="107" t="s">
        <v>72</v>
      </c>
      <c r="D656" s="107" t="s">
        <v>985</v>
      </c>
      <c r="E656" s="590">
        <v>-90</v>
      </c>
      <c r="F656" s="105" t="s">
        <v>8</v>
      </c>
      <c r="G656" s="108" t="s">
        <v>83</v>
      </c>
    </row>
    <row r="657" spans="1:7" s="103" customFormat="1" x14ac:dyDescent="0.3">
      <c r="A657" s="98">
        <v>45866</v>
      </c>
      <c r="B657" s="97" t="s">
        <v>211</v>
      </c>
      <c r="C657" s="109" t="s">
        <v>44</v>
      </c>
      <c r="D657" s="99" t="s">
        <v>1030</v>
      </c>
      <c r="E657" s="4">
        <v>-1591.2</v>
      </c>
      <c r="F657" s="110" t="s">
        <v>8</v>
      </c>
      <c r="G657" s="105" t="s">
        <v>142</v>
      </c>
    </row>
    <row r="658" spans="1:7" x14ac:dyDescent="0.3">
      <c r="E658" s="442">
        <f>SUM(E639:E657)</f>
        <v>-54623.439944999991</v>
      </c>
    </row>
    <row r="661" spans="1:7" x14ac:dyDescent="0.3">
      <c r="A661" s="914" t="s">
        <v>1039</v>
      </c>
      <c r="B661" s="914"/>
      <c r="C661" s="914"/>
      <c r="D661" s="914"/>
      <c r="E661" s="914"/>
      <c r="F661" s="914"/>
      <c r="G661" s="914"/>
    </row>
    <row r="662" spans="1:7" ht="51" customHeight="1" x14ac:dyDescent="0.3">
      <c r="A662" s="914"/>
      <c r="B662" s="914"/>
      <c r="C662" s="914"/>
      <c r="D662" s="914"/>
      <c r="E662" s="914"/>
      <c r="F662" s="914"/>
      <c r="G662" s="914"/>
    </row>
    <row r="663" spans="1:7" x14ac:dyDescent="0.3">
      <c r="A663" s="275" t="s">
        <v>0</v>
      </c>
      <c r="B663" s="275" t="s">
        <v>210</v>
      </c>
      <c r="C663" s="200" t="s">
        <v>1</v>
      </c>
      <c r="D663" s="124" t="s">
        <v>2</v>
      </c>
      <c r="E663" s="129" t="s">
        <v>3</v>
      </c>
      <c r="F663" s="137" t="s">
        <v>4</v>
      </c>
    </row>
    <row r="664" spans="1:7" s="103" customFormat="1" x14ac:dyDescent="0.3">
      <c r="A664" s="98">
        <v>45867</v>
      </c>
      <c r="B664" s="97" t="s">
        <v>211</v>
      </c>
      <c r="C664" s="99" t="s">
        <v>31</v>
      </c>
      <c r="D664" s="99" t="s">
        <v>1038</v>
      </c>
      <c r="E664" s="595">
        <v>-211.01</v>
      </c>
      <c r="F664" s="110" t="s">
        <v>8</v>
      </c>
    </row>
    <row r="665" spans="1:7" s="103" customFormat="1" x14ac:dyDescent="0.3">
      <c r="A665" s="98">
        <v>45867</v>
      </c>
      <c r="B665" s="97" t="s">
        <v>211</v>
      </c>
      <c r="C665" s="99" t="s">
        <v>72</v>
      </c>
      <c r="D665" s="99" t="s">
        <v>1037</v>
      </c>
      <c r="E665" s="595">
        <v>-318.43</v>
      </c>
      <c r="F665" s="105" t="s">
        <v>8</v>
      </c>
    </row>
    <row r="666" spans="1:7" s="103" customFormat="1" x14ac:dyDescent="0.3">
      <c r="A666" s="106">
        <v>45867</v>
      </c>
      <c r="B666" s="8" t="s">
        <v>211</v>
      </c>
      <c r="C666" s="107" t="s">
        <v>25</v>
      </c>
      <c r="D666" s="107" t="s">
        <v>1036</v>
      </c>
      <c r="E666" s="565">
        <v>-12.3</v>
      </c>
      <c r="F666" s="105" t="s">
        <v>8</v>
      </c>
    </row>
    <row r="667" spans="1:7" s="103" customFormat="1" x14ac:dyDescent="0.3">
      <c r="A667" s="98">
        <v>45867</v>
      </c>
      <c r="B667" s="97" t="s">
        <v>211</v>
      </c>
      <c r="C667" s="99" t="s">
        <v>17</v>
      </c>
      <c r="D667" s="99" t="s">
        <v>398</v>
      </c>
      <c r="E667" s="595">
        <v>-535.1</v>
      </c>
      <c r="F667" s="105" t="s">
        <v>8</v>
      </c>
    </row>
    <row r="668" spans="1:7" x14ac:dyDescent="0.3">
      <c r="E668" s="442">
        <f>SUM(E664:E667)</f>
        <v>-1076.8400000000001</v>
      </c>
    </row>
    <row r="673" spans="1:7" x14ac:dyDescent="0.3">
      <c r="A673" s="914" t="s">
        <v>1044</v>
      </c>
      <c r="B673" s="914"/>
      <c r="C673" s="914"/>
      <c r="D673" s="914"/>
      <c r="E673" s="914"/>
      <c r="F673" s="914"/>
      <c r="G673" s="914"/>
    </row>
    <row r="674" spans="1:7" ht="39.6" customHeight="1" x14ac:dyDescent="0.3">
      <c r="A674" s="914"/>
      <c r="B674" s="914"/>
      <c r="C674" s="914"/>
      <c r="D674" s="914"/>
      <c r="E674" s="914"/>
      <c r="F674" s="914"/>
      <c r="G674" s="914"/>
    </row>
    <row r="675" spans="1:7" s="295" customFormat="1" ht="13.8" x14ac:dyDescent="0.3">
      <c r="A675" s="275" t="s">
        <v>0</v>
      </c>
      <c r="B675" s="275" t="s">
        <v>210</v>
      </c>
      <c r="C675" s="200" t="s">
        <v>1</v>
      </c>
      <c r="D675" s="124" t="s">
        <v>2</v>
      </c>
      <c r="E675" s="129" t="s">
        <v>3</v>
      </c>
      <c r="F675" s="137" t="s">
        <v>4</v>
      </c>
      <c r="G675" s="311" t="s">
        <v>5</v>
      </c>
    </row>
    <row r="676" spans="1:7" s="319" customFormat="1" ht="13.8" x14ac:dyDescent="0.3">
      <c r="A676" s="98">
        <v>45868</v>
      </c>
      <c r="B676" s="97" t="s">
        <v>211</v>
      </c>
      <c r="C676" s="610" t="s">
        <v>17</v>
      </c>
      <c r="D676" s="99" t="s">
        <v>1045</v>
      </c>
      <c r="E676" s="611">
        <v>-1689.04</v>
      </c>
      <c r="F676" s="110" t="s">
        <v>8</v>
      </c>
      <c r="G676" s="129" t="s">
        <v>69</v>
      </c>
    </row>
    <row r="677" spans="1:7" s="319" customFormat="1" ht="13.8" x14ac:dyDescent="0.3">
      <c r="A677" s="98">
        <v>45868</v>
      </c>
      <c r="B677" s="97" t="s">
        <v>211</v>
      </c>
      <c r="C677" s="610" t="s">
        <v>17</v>
      </c>
      <c r="D677" s="99" t="s">
        <v>1045</v>
      </c>
      <c r="E677" s="611">
        <v>-2644.76</v>
      </c>
      <c r="F677" s="110" t="s">
        <v>8</v>
      </c>
      <c r="G677" s="129" t="s">
        <v>69</v>
      </c>
    </row>
    <row r="678" spans="1:7" s="319" customFormat="1" ht="13.8" x14ac:dyDescent="0.3">
      <c r="A678" s="98">
        <v>45868</v>
      </c>
      <c r="B678" s="97" t="s">
        <v>211</v>
      </c>
      <c r="C678" s="272" t="s">
        <v>17</v>
      </c>
      <c r="D678" s="99" t="s">
        <v>1046</v>
      </c>
      <c r="E678" s="577">
        <v>-1500</v>
      </c>
      <c r="F678" s="110" t="s">
        <v>8</v>
      </c>
      <c r="G678" s="129" t="s">
        <v>150</v>
      </c>
    </row>
    <row r="679" spans="1:7" s="319" customFormat="1" ht="13.8" x14ac:dyDescent="0.3">
      <c r="A679" s="98">
        <v>45868</v>
      </c>
      <c r="B679" s="97" t="s">
        <v>211</v>
      </c>
      <c r="C679" s="99" t="s">
        <v>72</v>
      </c>
      <c r="D679" s="99" t="s">
        <v>1042</v>
      </c>
      <c r="E679" s="611">
        <v>-387.74</v>
      </c>
      <c r="F679" s="110" t="s">
        <v>8</v>
      </c>
      <c r="G679" s="611" t="s">
        <v>207</v>
      </c>
    </row>
    <row r="680" spans="1:7" s="319" customFormat="1" ht="13.8" customHeight="1" x14ac:dyDescent="0.3">
      <c r="A680" s="98">
        <v>45868</v>
      </c>
      <c r="B680" s="97" t="s">
        <v>211</v>
      </c>
      <c r="C680" s="99" t="s">
        <v>72</v>
      </c>
      <c r="D680" s="99" t="s">
        <v>1040</v>
      </c>
      <c r="E680" s="611">
        <v>-1330</v>
      </c>
      <c r="F680" s="110" t="s">
        <v>8</v>
      </c>
      <c r="G680" s="611" t="s">
        <v>207</v>
      </c>
    </row>
    <row r="681" spans="1:7" s="319" customFormat="1" ht="13.8" x14ac:dyDescent="0.3">
      <c r="A681" s="98">
        <v>45868</v>
      </c>
      <c r="B681" s="97" t="s">
        <v>211</v>
      </c>
      <c r="C681" s="200" t="s">
        <v>44</v>
      </c>
      <c r="D681" s="272" t="s">
        <v>1047</v>
      </c>
      <c r="E681" s="577">
        <v>-1719.53</v>
      </c>
      <c r="F681" s="110" t="s">
        <v>8</v>
      </c>
      <c r="G681" s="129" t="s">
        <v>93</v>
      </c>
    </row>
    <row r="682" spans="1:7" s="319" customFormat="1" ht="13.8" x14ac:dyDescent="0.3">
      <c r="A682" s="140">
        <v>45868</v>
      </c>
      <c r="B682" s="141" t="s">
        <v>211</v>
      </c>
      <c r="C682" s="200" t="s">
        <v>6</v>
      </c>
      <c r="D682" s="272" t="s">
        <v>1048</v>
      </c>
      <c r="E682" s="577">
        <v>-1392.65</v>
      </c>
      <c r="F682" s="110" t="s">
        <v>8</v>
      </c>
      <c r="G682" s="129" t="s">
        <v>93</v>
      </c>
    </row>
    <row r="683" spans="1:7" s="319" customFormat="1" ht="13.8" x14ac:dyDescent="0.3">
      <c r="A683" s="98">
        <v>45868</v>
      </c>
      <c r="B683" s="97" t="s">
        <v>211</v>
      </c>
      <c r="C683" s="99" t="s">
        <v>72</v>
      </c>
      <c r="D683" s="99" t="s">
        <v>1041</v>
      </c>
      <c r="E683" s="611">
        <v>-1800.31</v>
      </c>
      <c r="F683" s="110" t="s">
        <v>8</v>
      </c>
      <c r="G683" s="612" t="s">
        <v>233</v>
      </c>
    </row>
    <row r="684" spans="1:7" s="319" customFormat="1" x14ac:dyDescent="0.3">
      <c r="A684" s="106">
        <v>45868</v>
      </c>
      <c r="B684" s="8" t="s">
        <v>211</v>
      </c>
      <c r="C684" s="107" t="s">
        <v>32</v>
      </c>
      <c r="D684" s="107" t="s">
        <v>1049</v>
      </c>
      <c r="E684" s="613">
        <v>-141</v>
      </c>
      <c r="F684" s="5" t="s">
        <v>8</v>
      </c>
      <c r="G684" s="108" t="s">
        <v>83</v>
      </c>
    </row>
    <row r="685" spans="1:7" s="319" customFormat="1" x14ac:dyDescent="0.3">
      <c r="A685" s="98">
        <v>45868</v>
      </c>
      <c r="B685" s="466" t="s">
        <v>211</v>
      </c>
      <c r="C685" s="107" t="s">
        <v>6</v>
      </c>
      <c r="D685" s="107" t="s">
        <v>1050</v>
      </c>
      <c r="E685" s="613">
        <v>-178.79</v>
      </c>
      <c r="F685" s="110" t="s">
        <v>8</v>
      </c>
      <c r="G685" s="108" t="s">
        <v>71</v>
      </c>
    </row>
    <row r="686" spans="1:7" s="319" customFormat="1" ht="13.8" x14ac:dyDescent="0.3">
      <c r="A686" s="98">
        <v>45868</v>
      </c>
      <c r="B686" s="97" t="s">
        <v>211</v>
      </c>
      <c r="C686" s="99" t="s">
        <v>44</v>
      </c>
      <c r="D686" s="99" t="s">
        <v>1051</v>
      </c>
      <c r="E686" s="611">
        <v>-535.99999700000001</v>
      </c>
      <c r="F686" s="110" t="s">
        <v>8</v>
      </c>
      <c r="G686" s="105" t="s">
        <v>142</v>
      </c>
    </row>
    <row r="687" spans="1:7" s="614" customFormat="1" ht="13.2" customHeight="1" x14ac:dyDescent="0.3">
      <c r="A687" s="106">
        <v>45868</v>
      </c>
      <c r="B687" s="8" t="s">
        <v>211</v>
      </c>
      <c r="C687" s="107" t="s">
        <v>106</v>
      </c>
      <c r="D687" s="107" t="s">
        <v>997</v>
      </c>
      <c r="E687" s="613">
        <v>-1659.89</v>
      </c>
      <c r="F687" s="110" t="s">
        <v>8</v>
      </c>
      <c r="G687" s="108" t="s">
        <v>76</v>
      </c>
    </row>
    <row r="688" spans="1:7" s="614" customFormat="1" x14ac:dyDescent="0.3">
      <c r="A688" s="106">
        <v>45868</v>
      </c>
      <c r="B688" s="8" t="s">
        <v>211</v>
      </c>
      <c r="C688" s="107" t="s">
        <v>25</v>
      </c>
      <c r="D688" s="107" t="s">
        <v>998</v>
      </c>
      <c r="E688" s="613">
        <v>-2131.3000000000002</v>
      </c>
      <c r="F688" s="110" t="s">
        <v>8</v>
      </c>
      <c r="G688" s="108" t="s">
        <v>76</v>
      </c>
    </row>
    <row r="689" spans="1:7" s="614" customFormat="1" x14ac:dyDescent="0.3">
      <c r="A689" s="106">
        <v>45868</v>
      </c>
      <c r="B689" s="8" t="s">
        <v>211</v>
      </c>
      <c r="C689" s="553" t="s">
        <v>6</v>
      </c>
      <c r="D689" s="107" t="s">
        <v>581</v>
      </c>
      <c r="E689" s="613">
        <v>-6298.6</v>
      </c>
      <c r="F689" s="110" t="s">
        <v>8</v>
      </c>
      <c r="G689" s="613" t="s">
        <v>189</v>
      </c>
    </row>
    <row r="690" spans="1:7" s="319" customFormat="1" ht="13.8" x14ac:dyDescent="0.3">
      <c r="A690" s="98">
        <v>45868</v>
      </c>
      <c r="B690" s="97" t="s">
        <v>211</v>
      </c>
      <c r="C690" s="99" t="s">
        <v>6</v>
      </c>
      <c r="D690" s="99" t="s">
        <v>585</v>
      </c>
      <c r="E690" s="611">
        <v>-1000</v>
      </c>
      <c r="F690" s="110" t="s">
        <v>8</v>
      </c>
      <c r="G690" s="611" t="s">
        <v>189</v>
      </c>
    </row>
    <row r="691" spans="1:7" s="319" customFormat="1" ht="13.8" x14ac:dyDescent="0.3">
      <c r="A691" s="98">
        <v>45868</v>
      </c>
      <c r="B691" s="97" t="s">
        <v>211</v>
      </c>
      <c r="C691" s="109" t="s">
        <v>6</v>
      </c>
      <c r="D691" s="99" t="s">
        <v>586</v>
      </c>
      <c r="E691" s="611">
        <v>-501.54</v>
      </c>
      <c r="F691" s="105" t="s">
        <v>8</v>
      </c>
      <c r="G691" s="611" t="s">
        <v>189</v>
      </c>
    </row>
    <row r="692" spans="1:7" s="319" customFormat="1" ht="13.8" x14ac:dyDescent="0.3">
      <c r="A692" s="98">
        <v>45868</v>
      </c>
      <c r="B692" s="97" t="s">
        <v>211</v>
      </c>
      <c r="C692" s="109" t="s">
        <v>44</v>
      </c>
      <c r="D692" s="99" t="s">
        <v>587</v>
      </c>
      <c r="E692" s="611">
        <v>-2500</v>
      </c>
      <c r="F692" s="105" t="s">
        <v>8</v>
      </c>
      <c r="G692" s="611" t="s">
        <v>189</v>
      </c>
    </row>
    <row r="693" spans="1:7" s="319" customFormat="1" ht="13.8" x14ac:dyDescent="0.3">
      <c r="A693" s="98">
        <v>45868</v>
      </c>
      <c r="B693" s="97" t="s">
        <v>211</v>
      </c>
      <c r="C693" s="109" t="s">
        <v>17</v>
      </c>
      <c r="D693" s="99" t="s">
        <v>591</v>
      </c>
      <c r="E693" s="611">
        <v>-1916.67</v>
      </c>
      <c r="F693" s="105" t="s">
        <v>8</v>
      </c>
      <c r="G693" s="105" t="s">
        <v>189</v>
      </c>
    </row>
    <row r="694" spans="1:7" s="319" customFormat="1" ht="13.8" x14ac:dyDescent="0.3">
      <c r="A694" s="98">
        <v>45868</v>
      </c>
      <c r="B694" s="97" t="s">
        <v>211</v>
      </c>
      <c r="C694" s="99" t="s">
        <v>6</v>
      </c>
      <c r="D694" s="99" t="s">
        <v>582</v>
      </c>
      <c r="E694" s="611">
        <v>-2200</v>
      </c>
      <c r="F694" s="105" t="s">
        <v>8</v>
      </c>
      <c r="G694" s="105" t="s">
        <v>189</v>
      </c>
    </row>
    <row r="695" spans="1:7" s="319" customFormat="1" ht="13.8" x14ac:dyDescent="0.3">
      <c r="A695" s="98">
        <v>45868</v>
      </c>
      <c r="B695" s="97" t="s">
        <v>211</v>
      </c>
      <c r="C695" s="99" t="s">
        <v>6</v>
      </c>
      <c r="D695" s="99" t="s">
        <v>579</v>
      </c>
      <c r="E695" s="611">
        <v>-3836.54</v>
      </c>
      <c r="F695" s="105" t="s">
        <v>8</v>
      </c>
      <c r="G695" s="105" t="s">
        <v>189</v>
      </c>
    </row>
    <row r="696" spans="1:7" s="319" customFormat="1" ht="13.8" x14ac:dyDescent="0.3">
      <c r="A696" s="98">
        <v>45868</v>
      </c>
      <c r="B696" s="97" t="s">
        <v>211</v>
      </c>
      <c r="C696" s="99" t="s">
        <v>6</v>
      </c>
      <c r="D696" s="99" t="s">
        <v>583</v>
      </c>
      <c r="E696" s="611">
        <v>-3200</v>
      </c>
      <c r="F696" s="105" t="s">
        <v>8</v>
      </c>
      <c r="G696" s="105" t="s">
        <v>189</v>
      </c>
    </row>
    <row r="697" spans="1:7" s="319" customFormat="1" ht="13.8" x14ac:dyDescent="0.3">
      <c r="A697" s="98">
        <v>45868</v>
      </c>
      <c r="B697" s="97" t="s">
        <v>211</v>
      </c>
      <c r="C697" s="99" t="s">
        <v>6</v>
      </c>
      <c r="D697" s="99" t="s">
        <v>580</v>
      </c>
      <c r="E697" s="612">
        <v>-2000</v>
      </c>
      <c r="F697" s="105" t="s">
        <v>8</v>
      </c>
      <c r="G697" s="105" t="s">
        <v>189</v>
      </c>
    </row>
    <row r="698" spans="1:7" s="319" customFormat="1" ht="13.8" x14ac:dyDescent="0.3">
      <c r="A698" s="98">
        <v>45868</v>
      </c>
      <c r="B698" s="97" t="s">
        <v>211</v>
      </c>
      <c r="C698" s="99" t="s">
        <v>17</v>
      </c>
      <c r="D698" s="99" t="s">
        <v>590</v>
      </c>
      <c r="E698" s="615">
        <v>-2872.37</v>
      </c>
      <c r="F698" s="105" t="s">
        <v>8</v>
      </c>
      <c r="G698" s="105" t="s">
        <v>189</v>
      </c>
    </row>
    <row r="699" spans="1:7" s="319" customFormat="1" ht="13.8" x14ac:dyDescent="0.3">
      <c r="A699" s="98">
        <v>45868</v>
      </c>
      <c r="B699" s="97" t="s">
        <v>211</v>
      </c>
      <c r="C699" s="99" t="s">
        <v>6</v>
      </c>
      <c r="D699" s="99" t="s">
        <v>584</v>
      </c>
      <c r="E699" s="612">
        <v>-2500</v>
      </c>
      <c r="F699" s="105" t="s">
        <v>8</v>
      </c>
      <c r="G699" s="105" t="s">
        <v>189</v>
      </c>
    </row>
    <row r="700" spans="1:7" s="319" customFormat="1" ht="13.8" x14ac:dyDescent="0.3">
      <c r="A700" s="98">
        <v>45868</v>
      </c>
      <c r="B700" s="97" t="s">
        <v>211</v>
      </c>
      <c r="C700" s="99" t="s">
        <v>33</v>
      </c>
      <c r="D700" s="99" t="s">
        <v>588</v>
      </c>
      <c r="E700" s="611">
        <v>-1000</v>
      </c>
      <c r="F700" s="105" t="s">
        <v>8</v>
      </c>
      <c r="G700" s="105" t="s">
        <v>189</v>
      </c>
    </row>
    <row r="701" spans="1:7" s="614" customFormat="1" x14ac:dyDescent="0.3">
      <c r="A701" s="106">
        <v>45868</v>
      </c>
      <c r="B701" s="8" t="s">
        <v>211</v>
      </c>
      <c r="C701" s="107" t="s">
        <v>17</v>
      </c>
      <c r="D701" s="107" t="s">
        <v>943</v>
      </c>
      <c r="E701" s="613">
        <v>-10.64</v>
      </c>
      <c r="F701" s="108" t="s">
        <v>8</v>
      </c>
      <c r="G701" s="108" t="s">
        <v>189</v>
      </c>
    </row>
    <row r="702" spans="1:7" s="319" customFormat="1" x14ac:dyDescent="0.3">
      <c r="A702" s="98">
        <v>45868</v>
      </c>
      <c r="B702" s="97" t="s">
        <v>211</v>
      </c>
      <c r="C702" s="107" t="s">
        <v>17</v>
      </c>
      <c r="D702" s="107" t="s">
        <v>938</v>
      </c>
      <c r="E702" s="613">
        <v>-880</v>
      </c>
      <c r="F702" s="105" t="s">
        <v>8</v>
      </c>
      <c r="G702" s="105" t="s">
        <v>189</v>
      </c>
    </row>
    <row r="703" spans="1:7" s="319" customFormat="1" ht="13.8" x14ac:dyDescent="0.3">
      <c r="A703" s="98">
        <v>45868</v>
      </c>
      <c r="B703" s="97" t="s">
        <v>211</v>
      </c>
      <c r="C703" s="109" t="s">
        <v>17</v>
      </c>
      <c r="D703" s="99" t="s">
        <v>589</v>
      </c>
      <c r="E703" s="612">
        <v>-1400</v>
      </c>
      <c r="F703" s="105" t="s">
        <v>8</v>
      </c>
      <c r="G703" s="105" t="s">
        <v>189</v>
      </c>
    </row>
    <row r="704" spans="1:7" x14ac:dyDescent="0.3">
      <c r="E704" s="442">
        <f>SUM(E676:E703)</f>
        <v>-49227.369997000002</v>
      </c>
    </row>
    <row r="711" spans="1:7" x14ac:dyDescent="0.3">
      <c r="A711" s="914" t="s">
        <v>1065</v>
      </c>
      <c r="B711" s="914"/>
      <c r="C711" s="914"/>
      <c r="D711" s="914"/>
      <c r="E711" s="914"/>
      <c r="F711" s="914"/>
      <c r="G711" s="914"/>
    </row>
    <row r="712" spans="1:7" ht="41.4" customHeight="1" x14ac:dyDescent="0.3">
      <c r="A712" s="914"/>
      <c r="B712" s="914"/>
      <c r="C712" s="914"/>
      <c r="D712" s="914"/>
      <c r="E712" s="914"/>
      <c r="F712" s="914"/>
      <c r="G712" s="914"/>
    </row>
    <row r="713" spans="1:7" x14ac:dyDescent="0.3">
      <c r="A713" s="275" t="s">
        <v>0</v>
      </c>
      <c r="B713" s="275" t="s">
        <v>210</v>
      </c>
      <c r="C713" s="200" t="s">
        <v>1</v>
      </c>
      <c r="D713" s="124" t="s">
        <v>2</v>
      </c>
      <c r="E713" s="129" t="s">
        <v>3</v>
      </c>
      <c r="F713" s="137" t="s">
        <v>4</v>
      </c>
      <c r="G713" s="311" t="s">
        <v>5</v>
      </c>
    </row>
    <row r="714" spans="1:7" x14ac:dyDescent="0.3">
      <c r="A714" s="98">
        <v>45869</v>
      </c>
      <c r="B714" s="97" t="s">
        <v>211</v>
      </c>
      <c r="C714" s="99" t="s">
        <v>31</v>
      </c>
      <c r="D714" s="99" t="s">
        <v>578</v>
      </c>
      <c r="E714" s="611">
        <v>-630</v>
      </c>
      <c r="F714" s="137" t="s">
        <v>8</v>
      </c>
      <c r="G714" s="611" t="s">
        <v>51</v>
      </c>
    </row>
    <row r="715" spans="1:7" x14ac:dyDescent="0.3">
      <c r="A715" s="98">
        <v>45869</v>
      </c>
      <c r="B715" s="97" t="s">
        <v>211</v>
      </c>
      <c r="C715" s="107" t="s">
        <v>31</v>
      </c>
      <c r="D715" s="107" t="s">
        <v>1012</v>
      </c>
      <c r="E715" s="4">
        <v>-2198.9</v>
      </c>
      <c r="F715" s="5" t="s">
        <v>8</v>
      </c>
      <c r="G715" s="108" t="s">
        <v>155</v>
      </c>
    </row>
    <row r="716" spans="1:7" x14ac:dyDescent="0.3">
      <c r="A716" s="98">
        <v>45869</v>
      </c>
      <c r="B716" s="97" t="s">
        <v>211</v>
      </c>
      <c r="C716" s="107" t="s">
        <v>31</v>
      </c>
      <c r="D716" s="107" t="s">
        <v>946</v>
      </c>
      <c r="E716" s="4">
        <v>-2926.15</v>
      </c>
      <c r="F716" s="5" t="s">
        <v>8</v>
      </c>
      <c r="G716" s="108" t="s">
        <v>155</v>
      </c>
    </row>
    <row r="717" spans="1:7" x14ac:dyDescent="0.3">
      <c r="A717" s="98">
        <v>45869</v>
      </c>
      <c r="B717" s="97" t="s">
        <v>211</v>
      </c>
      <c r="C717" s="107" t="s">
        <v>6</v>
      </c>
      <c r="D717" s="107" t="s">
        <v>947</v>
      </c>
      <c r="E717" s="4">
        <v>-2484.92</v>
      </c>
      <c r="F717" s="5" t="s">
        <v>8</v>
      </c>
      <c r="G717" s="108" t="s">
        <v>155</v>
      </c>
    </row>
    <row r="718" spans="1:7" x14ac:dyDescent="0.3">
      <c r="A718" s="98">
        <v>45869</v>
      </c>
      <c r="B718" s="97" t="s">
        <v>211</v>
      </c>
      <c r="C718" s="107" t="s">
        <v>44</v>
      </c>
      <c r="D718" s="107" t="s">
        <v>948</v>
      </c>
      <c r="E718" s="4">
        <v>-3034.93</v>
      </c>
      <c r="F718" s="5" t="s">
        <v>8</v>
      </c>
      <c r="G718" s="108" t="s">
        <v>155</v>
      </c>
    </row>
    <row r="719" spans="1:7" x14ac:dyDescent="0.3">
      <c r="A719" s="98">
        <v>45869</v>
      </c>
      <c r="B719" s="97" t="s">
        <v>211</v>
      </c>
      <c r="C719" s="107" t="s">
        <v>44</v>
      </c>
      <c r="D719" s="107" t="s">
        <v>949</v>
      </c>
      <c r="E719" s="4">
        <v>-2902.63</v>
      </c>
      <c r="F719" s="5" t="s">
        <v>8</v>
      </c>
      <c r="G719" s="108" t="s">
        <v>155</v>
      </c>
    </row>
    <row r="720" spans="1:7" x14ac:dyDescent="0.3">
      <c r="A720" s="98">
        <v>45869</v>
      </c>
      <c r="B720" s="97" t="s">
        <v>211</v>
      </c>
      <c r="C720" s="107" t="s">
        <v>25</v>
      </c>
      <c r="D720" s="107" t="s">
        <v>950</v>
      </c>
      <c r="E720" s="4">
        <v>-3185.1</v>
      </c>
      <c r="F720" s="5" t="s">
        <v>8</v>
      </c>
      <c r="G720" s="108" t="s">
        <v>155</v>
      </c>
    </row>
    <row r="721" spans="1:7" x14ac:dyDescent="0.3">
      <c r="A721" s="98">
        <v>45869</v>
      </c>
      <c r="B721" s="97" t="s">
        <v>211</v>
      </c>
      <c r="C721" s="107" t="s">
        <v>25</v>
      </c>
      <c r="D721" s="107" t="s">
        <v>951</v>
      </c>
      <c r="E721" s="4">
        <v>-2701.72</v>
      </c>
      <c r="F721" s="5" t="s">
        <v>8</v>
      </c>
      <c r="G721" s="108" t="s">
        <v>155</v>
      </c>
    </row>
    <row r="722" spans="1:7" x14ac:dyDescent="0.3">
      <c r="A722" s="98">
        <v>45869</v>
      </c>
      <c r="B722" s="97" t="s">
        <v>211</v>
      </c>
      <c r="C722" s="107" t="s">
        <v>25</v>
      </c>
      <c r="D722" s="107" t="s">
        <v>952</v>
      </c>
      <c r="E722" s="4">
        <v>-2634.1</v>
      </c>
      <c r="F722" s="5" t="s">
        <v>8</v>
      </c>
      <c r="G722" s="108" t="s">
        <v>155</v>
      </c>
    </row>
    <row r="723" spans="1:7" x14ac:dyDescent="0.3">
      <c r="A723" s="98">
        <v>45869</v>
      </c>
      <c r="B723" s="97" t="s">
        <v>211</v>
      </c>
      <c r="C723" s="107" t="s">
        <v>25</v>
      </c>
      <c r="D723" s="107" t="s">
        <v>953</v>
      </c>
      <c r="E723" s="4">
        <v>-2117.89</v>
      </c>
      <c r="F723" s="5" t="s">
        <v>8</v>
      </c>
      <c r="G723" s="108" t="s">
        <v>155</v>
      </c>
    </row>
    <row r="724" spans="1:7" x14ac:dyDescent="0.3">
      <c r="A724" s="98">
        <v>45869</v>
      </c>
      <c r="B724" s="97" t="s">
        <v>211</v>
      </c>
      <c r="C724" s="107" t="s">
        <v>33</v>
      </c>
      <c r="D724" s="107" t="s">
        <v>954</v>
      </c>
      <c r="E724" s="4">
        <v>-2703.07</v>
      </c>
      <c r="F724" s="5" t="s">
        <v>8</v>
      </c>
      <c r="G724" s="108" t="s">
        <v>155</v>
      </c>
    </row>
    <row r="725" spans="1:7" x14ac:dyDescent="0.3">
      <c r="A725" s="98">
        <v>45869</v>
      </c>
      <c r="B725" s="97" t="s">
        <v>211</v>
      </c>
      <c r="C725" s="107" t="s">
        <v>106</v>
      </c>
      <c r="D725" s="107" t="s">
        <v>955</v>
      </c>
      <c r="E725" s="4">
        <v>-2931.59</v>
      </c>
      <c r="F725" s="5" t="s">
        <v>8</v>
      </c>
      <c r="G725" s="622" t="s">
        <v>155</v>
      </c>
    </row>
    <row r="726" spans="1:7" x14ac:dyDescent="0.3">
      <c r="A726" s="98">
        <v>45869</v>
      </c>
      <c r="B726" s="97" t="s">
        <v>211</v>
      </c>
      <c r="C726" s="107" t="s">
        <v>32</v>
      </c>
      <c r="D726" s="107" t="s">
        <v>956</v>
      </c>
      <c r="E726" s="4">
        <v>-2958.07</v>
      </c>
      <c r="F726" s="5" t="s">
        <v>8</v>
      </c>
      <c r="G726" s="622" t="s">
        <v>155</v>
      </c>
    </row>
    <row r="727" spans="1:7" x14ac:dyDescent="0.3">
      <c r="A727" s="98">
        <v>45869</v>
      </c>
      <c r="B727" s="97" t="s">
        <v>211</v>
      </c>
      <c r="C727" s="107" t="s">
        <v>72</v>
      </c>
      <c r="D727" s="107" t="s">
        <v>957</v>
      </c>
      <c r="E727" s="4">
        <v>-2106.31</v>
      </c>
      <c r="F727" s="5" t="s">
        <v>8</v>
      </c>
      <c r="G727" s="622" t="s">
        <v>155</v>
      </c>
    </row>
    <row r="728" spans="1:7" x14ac:dyDescent="0.3">
      <c r="A728" s="98">
        <v>45869</v>
      </c>
      <c r="B728" s="97" t="s">
        <v>211</v>
      </c>
      <c r="C728" s="107" t="s">
        <v>17</v>
      </c>
      <c r="D728" s="107" t="s">
        <v>85</v>
      </c>
      <c r="E728" s="4">
        <v>-4725</v>
      </c>
      <c r="F728" s="5" t="s">
        <v>8</v>
      </c>
      <c r="G728" s="622" t="s">
        <v>155</v>
      </c>
    </row>
    <row r="729" spans="1:7" x14ac:dyDescent="0.3">
      <c r="A729" s="98">
        <v>45869</v>
      </c>
      <c r="B729" s="97" t="s">
        <v>211</v>
      </c>
      <c r="C729" s="107" t="s">
        <v>17</v>
      </c>
      <c r="D729" s="107" t="s">
        <v>1060</v>
      </c>
      <c r="E729" s="4">
        <v>-726.6</v>
      </c>
      <c r="F729" s="5" t="s">
        <v>8</v>
      </c>
      <c r="G729" s="108" t="s">
        <v>394</v>
      </c>
    </row>
    <row r="730" spans="1:7" x14ac:dyDescent="0.3">
      <c r="A730" s="106">
        <v>45869</v>
      </c>
      <c r="B730" s="8" t="s">
        <v>211</v>
      </c>
      <c r="C730" s="107" t="s">
        <v>25</v>
      </c>
      <c r="D730" s="107" t="s">
        <v>1059</v>
      </c>
      <c r="E730" s="4">
        <v>-141.81</v>
      </c>
      <c r="F730" s="5" t="s">
        <v>8</v>
      </c>
      <c r="G730" s="622" t="s">
        <v>76</v>
      </c>
    </row>
    <row r="731" spans="1:7" x14ac:dyDescent="0.3">
      <c r="A731" s="106">
        <v>45869</v>
      </c>
      <c r="B731" s="8" t="s">
        <v>211</v>
      </c>
      <c r="C731" s="107" t="s">
        <v>25</v>
      </c>
      <c r="D731" s="107" t="s">
        <v>1013</v>
      </c>
      <c r="E731" s="4">
        <v>-952.95</v>
      </c>
      <c r="F731" s="5" t="s">
        <v>8</v>
      </c>
      <c r="G731" s="622" t="s">
        <v>76</v>
      </c>
    </row>
    <row r="732" spans="1:7" x14ac:dyDescent="0.3">
      <c r="A732" s="106">
        <v>45869</v>
      </c>
      <c r="B732" s="8" t="s">
        <v>211</v>
      </c>
      <c r="C732" s="107" t="s">
        <v>32</v>
      </c>
      <c r="D732" s="107" t="s">
        <v>1014</v>
      </c>
      <c r="E732" s="4">
        <v>-1987.42</v>
      </c>
      <c r="F732" s="5" t="s">
        <v>8</v>
      </c>
      <c r="G732" s="108" t="s">
        <v>76</v>
      </c>
    </row>
    <row r="733" spans="1:7" x14ac:dyDescent="0.3">
      <c r="A733" s="106">
        <v>45869</v>
      </c>
      <c r="B733" s="8" t="s">
        <v>211</v>
      </c>
      <c r="C733" s="107" t="s">
        <v>17</v>
      </c>
      <c r="D733" s="107" t="s">
        <v>944</v>
      </c>
      <c r="E733" s="4">
        <v>-1500</v>
      </c>
      <c r="F733" s="5" t="s">
        <v>8</v>
      </c>
      <c r="G733" s="108" t="s">
        <v>189</v>
      </c>
    </row>
    <row r="734" spans="1:7" x14ac:dyDescent="0.3">
      <c r="A734" s="106">
        <v>45869</v>
      </c>
      <c r="B734" s="8" t="s">
        <v>211</v>
      </c>
      <c r="C734" s="107" t="s">
        <v>6</v>
      </c>
      <c r="D734" s="107" t="s">
        <v>832</v>
      </c>
      <c r="E734" s="4">
        <v>-2000</v>
      </c>
      <c r="F734" s="5" t="s">
        <v>8</v>
      </c>
      <c r="G734" s="108" t="s">
        <v>189</v>
      </c>
    </row>
    <row r="735" spans="1:7" x14ac:dyDescent="0.3">
      <c r="A735" s="98">
        <v>45869</v>
      </c>
      <c r="B735" s="97" t="s">
        <v>211</v>
      </c>
      <c r="C735" s="107" t="s">
        <v>44</v>
      </c>
      <c r="D735" s="107" t="s">
        <v>592</v>
      </c>
      <c r="E735" s="4">
        <v>-875.98</v>
      </c>
      <c r="F735" s="5" t="s">
        <v>8</v>
      </c>
      <c r="G735" s="311" t="s">
        <v>207</v>
      </c>
    </row>
    <row r="736" spans="1:7" x14ac:dyDescent="0.3">
      <c r="A736" s="98">
        <v>45869</v>
      </c>
      <c r="B736" s="97" t="s">
        <v>211</v>
      </c>
      <c r="C736" s="272" t="s">
        <v>17</v>
      </c>
      <c r="D736" s="272" t="s">
        <v>143</v>
      </c>
      <c r="E736" s="577">
        <v>-12331.74</v>
      </c>
      <c r="F736" s="110" t="s">
        <v>8</v>
      </c>
      <c r="G736" s="311" t="s">
        <v>59</v>
      </c>
    </row>
    <row r="737" spans="1:7" x14ac:dyDescent="0.3">
      <c r="A737" s="98">
        <v>45869</v>
      </c>
      <c r="B737" s="97" t="s">
        <v>211</v>
      </c>
      <c r="C737" s="272" t="s">
        <v>6</v>
      </c>
      <c r="D737" s="272" t="s">
        <v>147</v>
      </c>
      <c r="E737" s="126">
        <v>-32356.7</v>
      </c>
      <c r="F737" s="110" t="s">
        <v>8</v>
      </c>
      <c r="G737" s="623" t="s">
        <v>127</v>
      </c>
    </row>
    <row r="738" spans="1:7" x14ac:dyDescent="0.3">
      <c r="A738" s="98">
        <v>45869</v>
      </c>
      <c r="B738" s="97" t="s">
        <v>211</v>
      </c>
      <c r="C738" s="272" t="s">
        <v>6</v>
      </c>
      <c r="D738" s="272" t="s">
        <v>1023</v>
      </c>
      <c r="E738" s="100">
        <v>-6924.55</v>
      </c>
      <c r="F738" s="110" t="s">
        <v>8</v>
      </c>
      <c r="G738" s="129" t="s">
        <v>99</v>
      </c>
    </row>
    <row r="739" spans="1:7" x14ac:dyDescent="0.3">
      <c r="A739" s="98">
        <v>45869</v>
      </c>
      <c r="B739" s="97" t="s">
        <v>211</v>
      </c>
      <c r="C739" s="272" t="s">
        <v>17</v>
      </c>
      <c r="D739" s="99" t="s">
        <v>1057</v>
      </c>
      <c r="E739" s="577">
        <v>-6479.07</v>
      </c>
      <c r="F739" s="110" t="s">
        <v>8</v>
      </c>
      <c r="G739" s="623" t="s">
        <v>127</v>
      </c>
    </row>
    <row r="740" spans="1:7" x14ac:dyDescent="0.3">
      <c r="A740" s="98">
        <v>45869</v>
      </c>
      <c r="B740" s="97" t="s">
        <v>211</v>
      </c>
      <c r="C740" s="272" t="s">
        <v>44</v>
      </c>
      <c r="D740" s="99" t="s">
        <v>883</v>
      </c>
      <c r="E740" s="577">
        <v>-547.91999999999996</v>
      </c>
      <c r="F740" s="110" t="s">
        <v>8</v>
      </c>
      <c r="G740" s="623" t="s">
        <v>127</v>
      </c>
    </row>
    <row r="741" spans="1:7" x14ac:dyDescent="0.3">
      <c r="A741" s="98">
        <v>45869</v>
      </c>
      <c r="B741" s="8" t="s">
        <v>211</v>
      </c>
      <c r="C741" s="558" t="s">
        <v>44</v>
      </c>
      <c r="D741" s="99" t="s">
        <v>1053</v>
      </c>
      <c r="E741" s="126">
        <v>-896.2</v>
      </c>
      <c r="F741" s="110" t="s">
        <v>8</v>
      </c>
      <c r="G741" s="623" t="s">
        <v>127</v>
      </c>
    </row>
    <row r="742" spans="1:7" x14ac:dyDescent="0.3">
      <c r="A742" s="98">
        <v>45869</v>
      </c>
      <c r="B742" s="8" t="s">
        <v>211</v>
      </c>
      <c r="C742" s="558" t="s">
        <v>44</v>
      </c>
      <c r="D742" s="99" t="s">
        <v>1054</v>
      </c>
      <c r="E742" s="126">
        <v>-4167.3599999999997</v>
      </c>
      <c r="F742" s="110" t="s">
        <v>8</v>
      </c>
      <c r="G742" s="623" t="s">
        <v>127</v>
      </c>
    </row>
    <row r="743" spans="1:7" x14ac:dyDescent="0.3">
      <c r="A743" s="98">
        <v>45869</v>
      </c>
      <c r="B743" s="97" t="s">
        <v>211</v>
      </c>
      <c r="C743" s="107" t="s">
        <v>6</v>
      </c>
      <c r="D743" s="99" t="s">
        <v>1055</v>
      </c>
      <c r="E743" s="126">
        <v>-1584.61</v>
      </c>
      <c r="F743" s="110" t="s">
        <v>8</v>
      </c>
      <c r="G743" s="623" t="s">
        <v>127</v>
      </c>
    </row>
    <row r="744" spans="1:7" x14ac:dyDescent="0.3">
      <c r="A744" s="98">
        <v>45869</v>
      </c>
      <c r="B744" s="97" t="s">
        <v>211</v>
      </c>
      <c r="C744" s="200" t="s">
        <v>13</v>
      </c>
      <c r="D744" s="99" t="s">
        <v>1056</v>
      </c>
      <c r="E744" s="126">
        <v>-744.15</v>
      </c>
      <c r="F744" s="110" t="s">
        <v>8</v>
      </c>
      <c r="G744" s="623" t="s">
        <v>127</v>
      </c>
    </row>
    <row r="745" spans="1:7" x14ac:dyDescent="0.3">
      <c r="A745" s="98">
        <v>45869</v>
      </c>
      <c r="B745" s="97" t="s">
        <v>211</v>
      </c>
      <c r="C745" s="107" t="s">
        <v>31</v>
      </c>
      <c r="D745" s="99" t="s">
        <v>1052</v>
      </c>
      <c r="E745" s="611">
        <v>-527.71</v>
      </c>
      <c r="F745" s="110" t="s">
        <v>8</v>
      </c>
      <c r="G745" s="311" t="s">
        <v>127</v>
      </c>
    </row>
    <row r="746" spans="1:7" x14ac:dyDescent="0.3">
      <c r="A746" s="98">
        <v>45869</v>
      </c>
      <c r="B746" s="97" t="s">
        <v>211</v>
      </c>
      <c r="C746" s="99" t="s">
        <v>25</v>
      </c>
      <c r="D746" s="99" t="s">
        <v>896</v>
      </c>
      <c r="E746" s="611">
        <v>-511.22</v>
      </c>
      <c r="F746" s="110" t="s">
        <v>8</v>
      </c>
      <c r="G746" s="311" t="s">
        <v>127</v>
      </c>
    </row>
    <row r="747" spans="1:7" x14ac:dyDescent="0.3">
      <c r="A747" s="98">
        <v>45869</v>
      </c>
      <c r="B747" s="97" t="s">
        <v>211</v>
      </c>
      <c r="C747" s="124" t="s">
        <v>17</v>
      </c>
      <c r="D747" s="99" t="s">
        <v>1058</v>
      </c>
      <c r="E747" s="611">
        <v>-4331.1099999999997</v>
      </c>
      <c r="F747" s="110" t="s">
        <v>8</v>
      </c>
      <c r="G747" s="311" t="s">
        <v>127</v>
      </c>
    </row>
    <row r="748" spans="1:7" x14ac:dyDescent="0.3">
      <c r="A748" s="98">
        <v>45869</v>
      </c>
      <c r="B748" s="97" t="s">
        <v>211</v>
      </c>
      <c r="C748" s="124" t="s">
        <v>401</v>
      </c>
      <c r="D748" s="99" t="s">
        <v>897</v>
      </c>
      <c r="E748" s="611">
        <v>-521.20000000000005</v>
      </c>
      <c r="F748" s="110" t="s">
        <v>8</v>
      </c>
      <c r="G748" s="311" t="s">
        <v>127</v>
      </c>
    </row>
    <row r="749" spans="1:7" x14ac:dyDescent="0.3">
      <c r="A749" s="98">
        <v>45869</v>
      </c>
      <c r="B749" s="97" t="s">
        <v>211</v>
      </c>
      <c r="C749" s="124" t="s">
        <v>33</v>
      </c>
      <c r="D749" s="99" t="s">
        <v>898</v>
      </c>
      <c r="E749" s="611">
        <v>-525.48</v>
      </c>
      <c r="F749" s="110" t="s">
        <v>8</v>
      </c>
      <c r="G749" s="311" t="s">
        <v>127</v>
      </c>
    </row>
    <row r="750" spans="1:7" x14ac:dyDescent="0.3">
      <c r="A750" s="106">
        <v>45869</v>
      </c>
      <c r="B750" s="8" t="s">
        <v>211</v>
      </c>
      <c r="C750" s="107" t="s">
        <v>17</v>
      </c>
      <c r="D750" s="99" t="s">
        <v>1001</v>
      </c>
      <c r="E750" s="611">
        <v>-260</v>
      </c>
      <c r="F750" s="5" t="s">
        <v>8</v>
      </c>
      <c r="G750" s="108" t="s">
        <v>83</v>
      </c>
    </row>
    <row r="751" spans="1:7" x14ac:dyDescent="0.3">
      <c r="A751" s="106">
        <v>45869</v>
      </c>
      <c r="B751" s="8" t="s">
        <v>211</v>
      </c>
      <c r="C751" s="107" t="s">
        <v>17</v>
      </c>
      <c r="D751" s="99" t="s">
        <v>1002</v>
      </c>
      <c r="E751" s="611">
        <v>-250</v>
      </c>
      <c r="F751" s="5" t="s">
        <v>8</v>
      </c>
      <c r="G751" s="108" t="s">
        <v>83</v>
      </c>
    </row>
    <row r="752" spans="1:7" x14ac:dyDescent="0.3">
      <c r="A752" s="106">
        <v>45869</v>
      </c>
      <c r="B752" s="8" t="s">
        <v>211</v>
      </c>
      <c r="C752" s="107" t="s">
        <v>17</v>
      </c>
      <c r="D752" s="99" t="s">
        <v>1003</v>
      </c>
      <c r="E752" s="611">
        <v>-180</v>
      </c>
      <c r="F752" s="5" t="s">
        <v>8</v>
      </c>
      <c r="G752" s="108" t="s">
        <v>83</v>
      </c>
    </row>
    <row r="753" spans="1:7" x14ac:dyDescent="0.3">
      <c r="A753" s="106">
        <v>45869</v>
      </c>
      <c r="B753" s="8" t="s">
        <v>211</v>
      </c>
      <c r="C753" s="107" t="s">
        <v>17</v>
      </c>
      <c r="D753" s="99" t="s">
        <v>1004</v>
      </c>
      <c r="E753" s="611">
        <v>-240</v>
      </c>
      <c r="F753" s="5" t="s">
        <v>8</v>
      </c>
      <c r="G753" s="108" t="s">
        <v>83</v>
      </c>
    </row>
    <row r="754" spans="1:7" x14ac:dyDescent="0.3">
      <c r="A754" s="106">
        <v>45869</v>
      </c>
      <c r="B754" s="8" t="s">
        <v>211</v>
      </c>
      <c r="C754" s="107" t="s">
        <v>17</v>
      </c>
      <c r="D754" s="99" t="s">
        <v>1005</v>
      </c>
      <c r="E754" s="611">
        <v>-180</v>
      </c>
      <c r="F754" s="5" t="s">
        <v>8</v>
      </c>
      <c r="G754" s="108" t="s">
        <v>83</v>
      </c>
    </row>
    <row r="755" spans="1:7" x14ac:dyDescent="0.3">
      <c r="A755" s="106">
        <v>45869</v>
      </c>
      <c r="B755" s="8" t="s">
        <v>211</v>
      </c>
      <c r="C755" s="107" t="s">
        <v>17</v>
      </c>
      <c r="D755" s="99" t="s">
        <v>1006</v>
      </c>
      <c r="E755" s="100">
        <v>-316.8</v>
      </c>
      <c r="F755" s="5" t="s">
        <v>8</v>
      </c>
      <c r="G755" s="108" t="s">
        <v>83</v>
      </c>
    </row>
    <row r="756" spans="1:7" x14ac:dyDescent="0.3">
      <c r="A756" s="106">
        <v>45869</v>
      </c>
      <c r="B756" s="8" t="s">
        <v>211</v>
      </c>
      <c r="C756" s="107" t="s">
        <v>17</v>
      </c>
      <c r="D756" s="99" t="s">
        <v>1007</v>
      </c>
      <c r="E756" s="611">
        <v>-264</v>
      </c>
      <c r="F756" s="5" t="s">
        <v>8</v>
      </c>
      <c r="G756" s="108" t="s">
        <v>83</v>
      </c>
    </row>
    <row r="757" spans="1:7" x14ac:dyDescent="0.3">
      <c r="A757" s="106">
        <v>45869</v>
      </c>
      <c r="B757" s="8" t="s">
        <v>211</v>
      </c>
      <c r="C757" s="107" t="s">
        <v>17</v>
      </c>
      <c r="D757" s="99" t="s">
        <v>1008</v>
      </c>
      <c r="E757" s="611">
        <v>-180</v>
      </c>
      <c r="F757" s="5" t="s">
        <v>8</v>
      </c>
      <c r="G757" s="108" t="s">
        <v>83</v>
      </c>
    </row>
    <row r="758" spans="1:7" x14ac:dyDescent="0.3">
      <c r="A758" s="106">
        <v>45869</v>
      </c>
      <c r="B758" s="8" t="s">
        <v>211</v>
      </c>
      <c r="C758" s="107" t="s">
        <v>17</v>
      </c>
      <c r="D758" s="99" t="s">
        <v>1009</v>
      </c>
      <c r="E758" s="611">
        <v>-190</v>
      </c>
      <c r="F758" s="5" t="s">
        <v>8</v>
      </c>
      <c r="G758" s="108" t="s">
        <v>83</v>
      </c>
    </row>
    <row r="759" spans="1:7" x14ac:dyDescent="0.3">
      <c r="A759" s="106">
        <v>45869</v>
      </c>
      <c r="B759" s="8" t="s">
        <v>211</v>
      </c>
      <c r="C759" s="107" t="s">
        <v>17</v>
      </c>
      <c r="D759" s="99" t="s">
        <v>1010</v>
      </c>
      <c r="E759" s="611">
        <v>-250</v>
      </c>
      <c r="F759" s="5" t="s">
        <v>8</v>
      </c>
      <c r="G759" s="108" t="s">
        <v>83</v>
      </c>
    </row>
    <row r="760" spans="1:7" x14ac:dyDescent="0.3">
      <c r="A760" s="106">
        <v>45869</v>
      </c>
      <c r="B760" s="8" t="s">
        <v>211</v>
      </c>
      <c r="C760" s="107" t="s">
        <v>17</v>
      </c>
      <c r="D760" s="99" t="s">
        <v>1011</v>
      </c>
      <c r="E760" s="100">
        <v>-152.32</v>
      </c>
      <c r="F760" s="5" t="s">
        <v>8</v>
      </c>
      <c r="G760" s="108" t="s">
        <v>83</v>
      </c>
    </row>
    <row r="761" spans="1:7" x14ac:dyDescent="0.3">
      <c r="A761" s="106">
        <v>45869</v>
      </c>
      <c r="B761" s="8" t="s">
        <v>211</v>
      </c>
      <c r="C761" s="107" t="s">
        <v>6</v>
      </c>
      <c r="D761" s="99" t="s">
        <v>525</v>
      </c>
      <c r="E761" s="100">
        <v>-310.5</v>
      </c>
      <c r="F761" s="110" t="s">
        <v>8</v>
      </c>
      <c r="G761" s="108" t="s">
        <v>83</v>
      </c>
    </row>
    <row r="762" spans="1:7" x14ac:dyDescent="0.3">
      <c r="A762" s="106">
        <v>45869</v>
      </c>
      <c r="B762" s="8" t="s">
        <v>211</v>
      </c>
      <c r="C762" s="107" t="s">
        <v>25</v>
      </c>
      <c r="D762" s="99" t="s">
        <v>1015</v>
      </c>
      <c r="E762" s="100">
        <v>-210</v>
      </c>
      <c r="F762" s="110" t="s">
        <v>8</v>
      </c>
      <c r="G762" s="108" t="s">
        <v>83</v>
      </c>
    </row>
    <row r="763" spans="1:7" x14ac:dyDescent="0.3">
      <c r="A763" s="106">
        <v>45869</v>
      </c>
      <c r="B763" s="8" t="s">
        <v>211</v>
      </c>
      <c r="C763" s="107" t="s">
        <v>25</v>
      </c>
      <c r="D763" s="99" t="s">
        <v>1016</v>
      </c>
      <c r="E763" s="100">
        <v>-110</v>
      </c>
      <c r="F763" s="110" t="s">
        <v>8</v>
      </c>
      <c r="G763" s="108" t="s">
        <v>83</v>
      </c>
    </row>
    <row r="764" spans="1:7" x14ac:dyDescent="0.3">
      <c r="A764" s="106">
        <v>45869</v>
      </c>
      <c r="B764" s="8" t="s">
        <v>211</v>
      </c>
      <c r="C764" s="107" t="s">
        <v>25</v>
      </c>
      <c r="D764" s="99" t="s">
        <v>1017</v>
      </c>
      <c r="E764" s="100">
        <v>-319</v>
      </c>
      <c r="F764" s="110" t="s">
        <v>8</v>
      </c>
      <c r="G764" s="108" t="s">
        <v>83</v>
      </c>
    </row>
    <row r="765" spans="1:7" x14ac:dyDescent="0.3">
      <c r="A765" s="106">
        <v>45869</v>
      </c>
      <c r="B765" s="8" t="s">
        <v>211</v>
      </c>
      <c r="C765" s="155" t="s">
        <v>25</v>
      </c>
      <c r="D765" s="99" t="s">
        <v>1018</v>
      </c>
      <c r="E765" s="100">
        <v>-219.2</v>
      </c>
      <c r="F765" s="110" t="s">
        <v>8</v>
      </c>
      <c r="G765" s="108" t="s">
        <v>83</v>
      </c>
    </row>
    <row r="766" spans="1:7" x14ac:dyDescent="0.3">
      <c r="A766" s="106">
        <v>45869</v>
      </c>
      <c r="B766" s="8" t="s">
        <v>211</v>
      </c>
      <c r="C766" s="155" t="s">
        <v>17</v>
      </c>
      <c r="D766" s="99" t="s">
        <v>1019</v>
      </c>
      <c r="E766" s="100">
        <v>-575.4</v>
      </c>
      <c r="F766" s="110" t="s">
        <v>8</v>
      </c>
      <c r="G766" s="108" t="s">
        <v>83</v>
      </c>
    </row>
    <row r="767" spans="1:7" x14ac:dyDescent="0.3">
      <c r="A767" s="106">
        <v>45869</v>
      </c>
      <c r="B767" s="8" t="s">
        <v>211</v>
      </c>
      <c r="C767" s="155" t="s">
        <v>17</v>
      </c>
      <c r="D767" s="99" t="s">
        <v>1020</v>
      </c>
      <c r="E767" s="100">
        <v>-100</v>
      </c>
      <c r="F767" s="110" t="s">
        <v>8</v>
      </c>
      <c r="G767" s="108" t="s">
        <v>83</v>
      </c>
    </row>
    <row r="768" spans="1:7" x14ac:dyDescent="0.3">
      <c r="A768" s="106">
        <v>45869</v>
      </c>
      <c r="B768" s="8" t="s">
        <v>211</v>
      </c>
      <c r="C768" s="155" t="s">
        <v>17</v>
      </c>
      <c r="D768" s="99" t="s">
        <v>1021</v>
      </c>
      <c r="E768" s="100">
        <v>-275</v>
      </c>
      <c r="F768" s="110" t="s">
        <v>8</v>
      </c>
      <c r="G768" s="108" t="s">
        <v>83</v>
      </c>
    </row>
    <row r="769" spans="1:7" x14ac:dyDescent="0.3">
      <c r="A769" s="106">
        <v>45869</v>
      </c>
      <c r="B769" s="8" t="s">
        <v>211</v>
      </c>
      <c r="C769" s="155" t="s">
        <v>17</v>
      </c>
      <c r="D769" s="99" t="s">
        <v>1022</v>
      </c>
      <c r="E769" s="100">
        <v>-110</v>
      </c>
      <c r="F769" s="110" t="s">
        <v>8</v>
      </c>
      <c r="G769" s="108" t="s">
        <v>83</v>
      </c>
    </row>
    <row r="770" spans="1:7" x14ac:dyDescent="0.3">
      <c r="A770" s="106">
        <v>45869</v>
      </c>
      <c r="B770" s="8" t="s">
        <v>211</v>
      </c>
      <c r="C770" s="107" t="s">
        <v>25</v>
      </c>
      <c r="D770" s="99" t="s">
        <v>1033</v>
      </c>
      <c r="E770" s="100">
        <v>-304</v>
      </c>
      <c r="F770" s="110" t="s">
        <v>8</v>
      </c>
      <c r="G770" s="108" t="s">
        <v>83</v>
      </c>
    </row>
    <row r="771" spans="1:7" x14ac:dyDescent="0.3">
      <c r="A771" s="106">
        <v>45869</v>
      </c>
      <c r="B771" s="8" t="s">
        <v>211</v>
      </c>
      <c r="C771" s="107" t="s">
        <v>25</v>
      </c>
      <c r="D771" s="107" t="s">
        <v>873</v>
      </c>
      <c r="E771" s="4">
        <v>-192</v>
      </c>
      <c r="F771" s="110" t="s">
        <v>8</v>
      </c>
      <c r="G771" s="108" t="s">
        <v>83</v>
      </c>
    </row>
    <row r="772" spans="1:7" x14ac:dyDescent="0.3">
      <c r="A772" s="106">
        <v>45869</v>
      </c>
      <c r="B772" s="8" t="s">
        <v>211</v>
      </c>
      <c r="C772" s="107" t="s">
        <v>25</v>
      </c>
      <c r="D772" s="107" t="s">
        <v>429</v>
      </c>
      <c r="E772" s="4">
        <v>-150.4</v>
      </c>
      <c r="F772" s="110" t="s">
        <v>8</v>
      </c>
      <c r="G772" s="108" t="s">
        <v>83</v>
      </c>
    </row>
    <row r="773" spans="1:7" x14ac:dyDescent="0.3">
      <c r="A773" s="106">
        <v>45869</v>
      </c>
      <c r="B773" s="8" t="s">
        <v>211</v>
      </c>
      <c r="C773" s="107" t="s">
        <v>72</v>
      </c>
      <c r="D773" s="107" t="s">
        <v>526</v>
      </c>
      <c r="E773" s="4">
        <v>-110</v>
      </c>
      <c r="F773" s="110" t="s">
        <v>8</v>
      </c>
      <c r="G773" s="108" t="s">
        <v>83</v>
      </c>
    </row>
    <row r="774" spans="1:7" x14ac:dyDescent="0.3">
      <c r="A774" s="106">
        <v>45869</v>
      </c>
      <c r="B774" s="8" t="s">
        <v>211</v>
      </c>
      <c r="C774" s="107" t="s">
        <v>72</v>
      </c>
      <c r="D774" s="107" t="s">
        <v>87</v>
      </c>
      <c r="E774" s="4">
        <v>-231</v>
      </c>
      <c r="F774" s="110" t="s">
        <v>8</v>
      </c>
      <c r="G774" s="108" t="s">
        <v>83</v>
      </c>
    </row>
    <row r="775" spans="1:7" x14ac:dyDescent="0.3">
      <c r="A775" s="106">
        <v>45869</v>
      </c>
      <c r="B775" s="8" t="s">
        <v>211</v>
      </c>
      <c r="C775" s="155" t="s">
        <v>17</v>
      </c>
      <c r="D775" s="107" t="s">
        <v>811</v>
      </c>
      <c r="E775" s="4">
        <v>-236.8</v>
      </c>
      <c r="F775" s="5" t="s">
        <v>8</v>
      </c>
      <c r="G775" s="108" t="s">
        <v>83</v>
      </c>
    </row>
    <row r="776" spans="1:7" x14ac:dyDescent="0.3">
      <c r="A776" s="106">
        <v>45869</v>
      </c>
      <c r="B776" s="8" t="s">
        <v>211</v>
      </c>
      <c r="C776" s="155" t="s">
        <v>17</v>
      </c>
      <c r="D776" s="107" t="s">
        <v>1061</v>
      </c>
      <c r="E776" s="4">
        <v>-196.8</v>
      </c>
      <c r="F776" s="5" t="s">
        <v>8</v>
      </c>
      <c r="G776" s="108" t="s">
        <v>83</v>
      </c>
    </row>
    <row r="777" spans="1:7" x14ac:dyDescent="0.3">
      <c r="A777" s="106">
        <v>45869</v>
      </c>
      <c r="B777" s="8" t="s">
        <v>211</v>
      </c>
      <c r="C777" s="624" t="s">
        <v>25</v>
      </c>
      <c r="D777" s="107" t="s">
        <v>386</v>
      </c>
      <c r="E777" s="4">
        <v>-203.7</v>
      </c>
      <c r="F777" s="5" t="s">
        <v>8</v>
      </c>
      <c r="G777" s="108" t="s">
        <v>83</v>
      </c>
    </row>
    <row r="778" spans="1:7" x14ac:dyDescent="0.3">
      <c r="A778" s="500">
        <v>45869</v>
      </c>
      <c r="B778" s="8" t="s">
        <v>211</v>
      </c>
      <c r="C778" s="107" t="s">
        <v>72</v>
      </c>
      <c r="D778" s="272" t="s">
        <v>1064</v>
      </c>
      <c r="E778" s="625">
        <v>-5000</v>
      </c>
      <c r="F778" s="110" t="s">
        <v>8</v>
      </c>
      <c r="G778" s="105" t="s">
        <v>156</v>
      </c>
    </row>
    <row r="779" spans="1:7" x14ac:dyDescent="0.3">
      <c r="A779" s="106">
        <v>45869</v>
      </c>
      <c r="B779" s="275" t="s">
        <v>211</v>
      </c>
      <c r="C779" s="109" t="s">
        <v>72</v>
      </c>
      <c r="D779" s="272" t="s">
        <v>909</v>
      </c>
      <c r="E779" s="625">
        <v>-826.19</v>
      </c>
      <c r="F779" s="110" t="s">
        <v>8</v>
      </c>
      <c r="G779" s="105" t="s">
        <v>74</v>
      </c>
    </row>
    <row r="780" spans="1:7" x14ac:dyDescent="0.3">
      <c r="E780" s="442">
        <f>SUM(E714:E779)</f>
        <v>-133017.26999999996</v>
      </c>
    </row>
    <row r="786" spans="1:7" x14ac:dyDescent="0.3">
      <c r="A786" s="914" t="s">
        <v>1080</v>
      </c>
      <c r="B786" s="914"/>
      <c r="C786" s="914"/>
      <c r="D786" s="914"/>
      <c r="E786" s="914"/>
      <c r="F786" s="914"/>
      <c r="G786" s="914"/>
    </row>
    <row r="787" spans="1:7" ht="48.6" customHeight="1" x14ac:dyDescent="0.3">
      <c r="A787" s="914"/>
      <c r="B787" s="914"/>
      <c r="C787" s="914"/>
      <c r="D787" s="914"/>
      <c r="E787" s="914"/>
      <c r="F787" s="914"/>
      <c r="G787" s="914"/>
    </row>
    <row r="788" spans="1:7" x14ac:dyDescent="0.3">
      <c r="A788" s="275" t="s">
        <v>0</v>
      </c>
      <c r="B788" s="275" t="s">
        <v>210</v>
      </c>
      <c r="C788" s="200" t="s">
        <v>1</v>
      </c>
      <c r="D788" s="124" t="s">
        <v>2</v>
      </c>
      <c r="E788" s="129" t="s">
        <v>3</v>
      </c>
      <c r="F788" s="137" t="s">
        <v>4</v>
      </c>
      <c r="G788" s="311" t="s">
        <v>5</v>
      </c>
    </row>
    <row r="789" spans="1:7" s="103" customFormat="1" ht="26.4" x14ac:dyDescent="0.3">
      <c r="A789" s="106">
        <v>45870</v>
      </c>
      <c r="B789" s="8" t="s">
        <v>212</v>
      </c>
      <c r="C789" s="107" t="s">
        <v>25</v>
      </c>
      <c r="D789" s="107" t="s">
        <v>1081</v>
      </c>
      <c r="E789" s="4">
        <v>-111.89</v>
      </c>
      <c r="F789" s="5" t="s">
        <v>8</v>
      </c>
      <c r="G789" s="108" t="s">
        <v>945</v>
      </c>
    </row>
    <row r="790" spans="1:7" s="103" customFormat="1" ht="24.6" x14ac:dyDescent="0.3">
      <c r="A790" s="106">
        <v>45870</v>
      </c>
      <c r="B790" s="8" t="s">
        <v>212</v>
      </c>
      <c r="C790" s="107" t="s">
        <v>25</v>
      </c>
      <c r="D790" s="107" t="s">
        <v>1082</v>
      </c>
      <c r="E790" s="4">
        <v>-214.13</v>
      </c>
      <c r="F790" s="110" t="s">
        <v>8</v>
      </c>
      <c r="G790" s="108" t="s">
        <v>945</v>
      </c>
    </row>
    <row r="791" spans="1:7" s="103" customFormat="1" x14ac:dyDescent="0.3">
      <c r="A791" s="98">
        <v>45870</v>
      </c>
      <c r="B791" s="97" t="s">
        <v>212</v>
      </c>
      <c r="C791" s="272" t="s">
        <v>17</v>
      </c>
      <c r="D791" s="99" t="s">
        <v>1079</v>
      </c>
      <c r="E791" s="577">
        <v>-100</v>
      </c>
      <c r="F791" s="110" t="s">
        <v>8</v>
      </c>
      <c r="G791" s="129" t="s">
        <v>1078</v>
      </c>
    </row>
    <row r="792" spans="1:7" s="103" customFormat="1" x14ac:dyDescent="0.3">
      <c r="A792" s="275">
        <v>45870</v>
      </c>
      <c r="B792" s="275" t="s">
        <v>212</v>
      </c>
      <c r="C792" s="488" t="s">
        <v>6</v>
      </c>
      <c r="D792" s="272" t="s">
        <v>7</v>
      </c>
      <c r="E792" s="273">
        <v>-282.38</v>
      </c>
      <c r="F792" s="110" t="s">
        <v>8</v>
      </c>
      <c r="G792" s="137" t="s">
        <v>9</v>
      </c>
    </row>
    <row r="793" spans="1:7" s="103" customFormat="1" x14ac:dyDescent="0.3">
      <c r="A793" s="275">
        <v>45870</v>
      </c>
      <c r="B793" s="275" t="s">
        <v>212</v>
      </c>
      <c r="C793" s="488" t="s">
        <v>6</v>
      </c>
      <c r="D793" s="272" t="s">
        <v>10</v>
      </c>
      <c r="E793" s="273">
        <v>-254.71</v>
      </c>
      <c r="F793" s="110" t="s">
        <v>8</v>
      </c>
      <c r="G793" s="137" t="s">
        <v>9</v>
      </c>
    </row>
    <row r="794" spans="1:7" s="103" customFormat="1" x14ac:dyDescent="0.3">
      <c r="A794" s="275">
        <v>45870</v>
      </c>
      <c r="B794" s="275" t="s">
        <v>212</v>
      </c>
      <c r="C794" s="488" t="s">
        <v>6</v>
      </c>
      <c r="D794" s="272" t="s">
        <v>11</v>
      </c>
      <c r="E794" s="273">
        <v>-123.23</v>
      </c>
      <c r="F794" s="110" t="s">
        <v>8</v>
      </c>
      <c r="G794" s="137" t="s">
        <v>9</v>
      </c>
    </row>
    <row r="795" spans="1:7" s="103" customFormat="1" x14ac:dyDescent="0.3">
      <c r="A795" s="275">
        <v>45870</v>
      </c>
      <c r="B795" s="275" t="s">
        <v>212</v>
      </c>
      <c r="C795" s="272" t="s">
        <v>6</v>
      </c>
      <c r="D795" s="272" t="s">
        <v>12</v>
      </c>
      <c r="E795" s="629">
        <v>-177.95</v>
      </c>
      <c r="F795" s="110" t="s">
        <v>8</v>
      </c>
      <c r="G795" s="137" t="s">
        <v>9</v>
      </c>
    </row>
    <row r="796" spans="1:7" s="103" customFormat="1" x14ac:dyDescent="0.3">
      <c r="A796" s="275">
        <v>45870</v>
      </c>
      <c r="B796" s="275" t="s">
        <v>212</v>
      </c>
      <c r="C796" s="272" t="s">
        <v>17</v>
      </c>
      <c r="D796" s="272" t="s">
        <v>18</v>
      </c>
      <c r="E796" s="630">
        <v>-17235</v>
      </c>
      <c r="F796" s="110" t="s">
        <v>8</v>
      </c>
      <c r="G796" s="137" t="s">
        <v>19</v>
      </c>
    </row>
    <row r="797" spans="1:7" s="103" customFormat="1" x14ac:dyDescent="0.3">
      <c r="A797" s="275">
        <v>45870</v>
      </c>
      <c r="B797" s="275" t="s">
        <v>212</v>
      </c>
      <c r="C797" s="99" t="s">
        <v>44</v>
      </c>
      <c r="D797" s="99" t="s">
        <v>1074</v>
      </c>
      <c r="E797" s="595">
        <v>-10505.32</v>
      </c>
      <c r="F797" s="110" t="s">
        <v>8</v>
      </c>
      <c r="G797" s="105" t="s">
        <v>233</v>
      </c>
    </row>
    <row r="798" spans="1:7" s="103" customFormat="1" x14ac:dyDescent="0.3">
      <c r="A798" s="631">
        <v>45870</v>
      </c>
      <c r="B798" s="631" t="s">
        <v>212</v>
      </c>
      <c r="C798" s="107" t="s">
        <v>72</v>
      </c>
      <c r="D798" s="107" t="s">
        <v>1076</v>
      </c>
      <c r="E798" s="565">
        <v>-312.38</v>
      </c>
      <c r="F798" s="5" t="s">
        <v>8</v>
      </c>
      <c r="G798" s="632" t="s">
        <v>74</v>
      </c>
    </row>
    <row r="799" spans="1:7" s="103" customFormat="1" x14ac:dyDescent="0.3">
      <c r="A799" s="631">
        <v>45870</v>
      </c>
      <c r="B799" s="631" t="s">
        <v>212</v>
      </c>
      <c r="C799" s="107" t="s">
        <v>25</v>
      </c>
      <c r="D799" s="107" t="s">
        <v>774</v>
      </c>
      <c r="E799" s="111">
        <v>-233.26</v>
      </c>
      <c r="F799" s="5" t="s">
        <v>8</v>
      </c>
      <c r="G799" s="108" t="s">
        <v>74</v>
      </c>
    </row>
    <row r="800" spans="1:7" s="103" customFormat="1" x14ac:dyDescent="0.3">
      <c r="A800" s="275">
        <v>45870</v>
      </c>
      <c r="B800" s="275" t="s">
        <v>212</v>
      </c>
      <c r="C800" s="99" t="s">
        <v>25</v>
      </c>
      <c r="D800" s="99" t="s">
        <v>1077</v>
      </c>
      <c r="E800" s="595">
        <v>-2668.69</v>
      </c>
      <c r="F800" s="110" t="s">
        <v>8</v>
      </c>
      <c r="G800" s="105" t="s">
        <v>74</v>
      </c>
    </row>
    <row r="801" spans="1:7" s="103" customFormat="1" x14ac:dyDescent="0.3">
      <c r="A801" s="275">
        <v>45870</v>
      </c>
      <c r="B801" s="275" t="s">
        <v>212</v>
      </c>
      <c r="C801" s="99" t="s">
        <v>72</v>
      </c>
      <c r="D801" s="99" t="s">
        <v>1075</v>
      </c>
      <c r="E801" s="100">
        <v>-1117.53</v>
      </c>
      <c r="F801" s="110" t="s">
        <v>8</v>
      </c>
      <c r="G801" s="105" t="s">
        <v>233</v>
      </c>
    </row>
    <row r="802" spans="1:7" s="103" customFormat="1" x14ac:dyDescent="0.3">
      <c r="A802" s="275">
        <v>45870</v>
      </c>
      <c r="B802" s="275" t="s">
        <v>212</v>
      </c>
      <c r="C802" s="107" t="s">
        <v>17</v>
      </c>
      <c r="D802" s="107" t="s">
        <v>1073</v>
      </c>
      <c r="E802" s="4">
        <v>-68.709999999999994</v>
      </c>
      <c r="F802" s="5" t="s">
        <v>8</v>
      </c>
      <c r="G802" s="105" t="s">
        <v>233</v>
      </c>
    </row>
    <row r="803" spans="1:7" s="103" customFormat="1" x14ac:dyDescent="0.3">
      <c r="A803" s="275">
        <v>45870</v>
      </c>
      <c r="B803" s="631" t="s">
        <v>212</v>
      </c>
      <c r="C803" s="107" t="s">
        <v>33</v>
      </c>
      <c r="D803" s="107" t="s">
        <v>1024</v>
      </c>
      <c r="E803" s="4">
        <v>-2056.35</v>
      </c>
      <c r="F803" s="5" t="s">
        <v>8</v>
      </c>
      <c r="G803" s="108" t="s">
        <v>76</v>
      </c>
    </row>
    <row r="804" spans="1:7" s="103" customFormat="1" x14ac:dyDescent="0.3">
      <c r="A804" s="275">
        <v>45870</v>
      </c>
      <c r="B804" s="631" t="s">
        <v>212</v>
      </c>
      <c r="C804" s="107" t="s">
        <v>33</v>
      </c>
      <c r="D804" s="107" t="s">
        <v>1025</v>
      </c>
      <c r="E804" s="4">
        <v>-139.66</v>
      </c>
      <c r="F804" s="5" t="s">
        <v>8</v>
      </c>
      <c r="G804" s="108" t="s">
        <v>76</v>
      </c>
    </row>
    <row r="805" spans="1:7" s="103" customFormat="1" x14ac:dyDescent="0.3">
      <c r="A805" s="275">
        <v>45870</v>
      </c>
      <c r="B805" s="631" t="s">
        <v>212</v>
      </c>
      <c r="C805" s="107" t="s">
        <v>32</v>
      </c>
      <c r="D805" s="107" t="s">
        <v>1027</v>
      </c>
      <c r="E805" s="4">
        <v>-313.87</v>
      </c>
      <c r="F805" s="5" t="s">
        <v>8</v>
      </c>
      <c r="G805" s="108" t="s">
        <v>76</v>
      </c>
    </row>
    <row r="806" spans="1:7" s="103" customFormat="1" x14ac:dyDescent="0.3">
      <c r="A806" s="275">
        <v>45870</v>
      </c>
      <c r="B806" s="631" t="s">
        <v>212</v>
      </c>
      <c r="C806" s="107" t="s">
        <v>17</v>
      </c>
      <c r="D806" s="107" t="s">
        <v>1026</v>
      </c>
      <c r="E806" s="4">
        <v>-810.39</v>
      </c>
      <c r="F806" s="5" t="s">
        <v>8</v>
      </c>
      <c r="G806" s="108" t="s">
        <v>76</v>
      </c>
    </row>
    <row r="807" spans="1:7" s="103" customFormat="1" x14ac:dyDescent="0.3">
      <c r="A807" s="275">
        <v>45870</v>
      </c>
      <c r="B807" s="631" t="s">
        <v>212</v>
      </c>
      <c r="C807" s="107" t="s">
        <v>25</v>
      </c>
      <c r="D807" s="107" t="s">
        <v>825</v>
      </c>
      <c r="E807" s="4">
        <v>-82.6</v>
      </c>
      <c r="F807" s="5" t="s">
        <v>8</v>
      </c>
      <c r="G807" s="108" t="s">
        <v>83</v>
      </c>
    </row>
    <row r="808" spans="1:7" s="103" customFormat="1" x14ac:dyDescent="0.3">
      <c r="A808" s="275">
        <v>45870</v>
      </c>
      <c r="B808" s="631" t="s">
        <v>212</v>
      </c>
      <c r="C808" s="107" t="s">
        <v>25</v>
      </c>
      <c r="D808" s="107" t="s">
        <v>380</v>
      </c>
      <c r="E808" s="4">
        <v>-184.5</v>
      </c>
      <c r="F808" s="5" t="s">
        <v>8</v>
      </c>
      <c r="G808" s="108" t="s">
        <v>83</v>
      </c>
    </row>
    <row r="809" spans="1:7" s="103" customFormat="1" x14ac:dyDescent="0.3">
      <c r="A809" s="275">
        <v>45870</v>
      </c>
      <c r="B809" s="631" t="s">
        <v>212</v>
      </c>
      <c r="C809" s="107" t="s">
        <v>25</v>
      </c>
      <c r="D809" s="107" t="s">
        <v>1066</v>
      </c>
      <c r="E809" s="4">
        <v>-430.5</v>
      </c>
      <c r="F809" s="5" t="s">
        <v>8</v>
      </c>
      <c r="G809" s="108" t="s">
        <v>83</v>
      </c>
    </row>
    <row r="810" spans="1:7" s="103" customFormat="1" x14ac:dyDescent="0.3">
      <c r="A810" s="275">
        <v>45870</v>
      </c>
      <c r="B810" s="631" t="s">
        <v>212</v>
      </c>
      <c r="C810" s="107" t="s">
        <v>25</v>
      </c>
      <c r="D810" s="107" t="s">
        <v>876</v>
      </c>
      <c r="E810" s="4">
        <v>-307.5</v>
      </c>
      <c r="F810" s="5" t="s">
        <v>8</v>
      </c>
      <c r="G810" s="108" t="s">
        <v>83</v>
      </c>
    </row>
    <row r="811" spans="1:7" s="103" customFormat="1" x14ac:dyDescent="0.3">
      <c r="A811" s="275">
        <v>45870</v>
      </c>
      <c r="B811" s="631" t="s">
        <v>212</v>
      </c>
      <c r="C811" s="107" t="s">
        <v>25</v>
      </c>
      <c r="D811" s="107" t="s">
        <v>874</v>
      </c>
      <c r="E811" s="4">
        <v>-349.5</v>
      </c>
      <c r="F811" s="5" t="s">
        <v>8</v>
      </c>
      <c r="G811" s="108" t="s">
        <v>83</v>
      </c>
    </row>
    <row r="812" spans="1:7" s="103" customFormat="1" x14ac:dyDescent="0.3">
      <c r="A812" s="275">
        <v>45870</v>
      </c>
      <c r="B812" s="631" t="s">
        <v>212</v>
      </c>
      <c r="C812" s="107" t="s">
        <v>25</v>
      </c>
      <c r="D812" s="107" t="s">
        <v>1067</v>
      </c>
      <c r="E812" s="4">
        <v>-267</v>
      </c>
      <c r="F812" s="5" t="s">
        <v>8</v>
      </c>
      <c r="G812" s="108" t="s">
        <v>83</v>
      </c>
    </row>
    <row r="813" spans="1:7" s="103" customFormat="1" x14ac:dyDescent="0.3">
      <c r="A813" s="275">
        <v>45870</v>
      </c>
      <c r="B813" s="631" t="s">
        <v>212</v>
      </c>
      <c r="C813" s="107" t="s">
        <v>25</v>
      </c>
      <c r="D813" s="107" t="s">
        <v>814</v>
      </c>
      <c r="E813" s="4">
        <v>-184.5</v>
      </c>
      <c r="F813" s="5" t="s">
        <v>8</v>
      </c>
      <c r="G813" s="108" t="s">
        <v>83</v>
      </c>
    </row>
    <row r="814" spans="1:7" s="103" customFormat="1" x14ac:dyDescent="0.3">
      <c r="A814" s="275">
        <v>45870</v>
      </c>
      <c r="B814" s="631" t="s">
        <v>212</v>
      </c>
      <c r="C814" s="107" t="s">
        <v>17</v>
      </c>
      <c r="D814" s="107" t="s">
        <v>492</v>
      </c>
      <c r="E814" s="4">
        <v>-82.6</v>
      </c>
      <c r="F814" s="5" t="s">
        <v>8</v>
      </c>
      <c r="G814" s="108" t="s">
        <v>83</v>
      </c>
    </row>
    <row r="815" spans="1:7" s="103" customFormat="1" x14ac:dyDescent="0.3">
      <c r="A815" s="275">
        <v>45870</v>
      </c>
      <c r="B815" s="631" t="s">
        <v>212</v>
      </c>
      <c r="C815" s="107" t="s">
        <v>17</v>
      </c>
      <c r="D815" s="107" t="s">
        <v>1068</v>
      </c>
      <c r="E815" s="4">
        <v>-86.1</v>
      </c>
      <c r="F815" s="5" t="s">
        <v>8</v>
      </c>
      <c r="G815" s="108" t="s">
        <v>83</v>
      </c>
    </row>
    <row r="816" spans="1:7" s="103" customFormat="1" x14ac:dyDescent="0.3">
      <c r="A816" s="275">
        <v>45870</v>
      </c>
      <c r="B816" s="631" t="s">
        <v>212</v>
      </c>
      <c r="C816" s="107" t="s">
        <v>17</v>
      </c>
      <c r="D816" s="107" t="s">
        <v>1069</v>
      </c>
      <c r="E816" s="4">
        <v>-86.1</v>
      </c>
      <c r="F816" s="5" t="s">
        <v>8</v>
      </c>
      <c r="G816" s="108" t="s">
        <v>83</v>
      </c>
    </row>
    <row r="817" spans="1:7" s="103" customFormat="1" x14ac:dyDescent="0.3">
      <c r="A817" s="275">
        <v>45870</v>
      </c>
      <c r="B817" s="631" t="s">
        <v>212</v>
      </c>
      <c r="C817" s="107" t="s">
        <v>17</v>
      </c>
      <c r="D817" s="107" t="s">
        <v>1070</v>
      </c>
      <c r="E817" s="4">
        <v>-80</v>
      </c>
      <c r="F817" s="5" t="s">
        <v>8</v>
      </c>
      <c r="G817" s="108" t="s">
        <v>83</v>
      </c>
    </row>
    <row r="818" spans="1:7" s="103" customFormat="1" x14ac:dyDescent="0.3">
      <c r="A818" s="275">
        <v>45870</v>
      </c>
      <c r="B818" s="631" t="s">
        <v>212</v>
      </c>
      <c r="C818" s="107" t="s">
        <v>17</v>
      </c>
      <c r="D818" s="107" t="s">
        <v>1071</v>
      </c>
      <c r="E818" s="4">
        <v>-77</v>
      </c>
      <c r="F818" s="5" t="s">
        <v>8</v>
      </c>
      <c r="G818" s="108" t="s">
        <v>83</v>
      </c>
    </row>
    <row r="819" spans="1:7" s="103" customFormat="1" x14ac:dyDescent="0.3">
      <c r="A819" s="275">
        <v>45870</v>
      </c>
      <c r="B819" s="631" t="s">
        <v>212</v>
      </c>
      <c r="C819" s="107" t="s">
        <v>17</v>
      </c>
      <c r="D819" s="107" t="s">
        <v>1072</v>
      </c>
      <c r="E819" s="4">
        <v>-86.1</v>
      </c>
      <c r="F819" s="5" t="s">
        <v>8</v>
      </c>
      <c r="G819" s="108" t="s">
        <v>83</v>
      </c>
    </row>
    <row r="820" spans="1:7" s="103" customFormat="1" x14ac:dyDescent="0.3">
      <c r="A820" s="275">
        <v>45870</v>
      </c>
      <c r="B820" s="275" t="s">
        <v>212</v>
      </c>
      <c r="C820" s="107" t="s">
        <v>44</v>
      </c>
      <c r="D820" s="107" t="s">
        <v>595</v>
      </c>
      <c r="E820" s="4">
        <v>-3968.99</v>
      </c>
      <c r="F820" s="108" t="s">
        <v>8</v>
      </c>
      <c r="G820" s="105" t="s">
        <v>189</v>
      </c>
    </row>
    <row r="821" spans="1:7" s="103" customFormat="1" x14ac:dyDescent="0.3">
      <c r="A821" s="98">
        <v>45870</v>
      </c>
      <c r="B821" s="275" t="s">
        <v>212</v>
      </c>
      <c r="C821" s="109" t="s">
        <v>17</v>
      </c>
      <c r="D821" s="99" t="s">
        <v>596</v>
      </c>
      <c r="E821" s="100">
        <v>-1848.63</v>
      </c>
      <c r="F821" s="105" t="s">
        <v>8</v>
      </c>
      <c r="G821" s="105" t="s">
        <v>189</v>
      </c>
    </row>
    <row r="822" spans="1:7" s="103" customFormat="1" x14ac:dyDescent="0.3">
      <c r="D822" s="633"/>
      <c r="E822" s="503">
        <f>SUM(E789:E821)</f>
        <v>-44847.069999999992</v>
      </c>
      <c r="F822" s="633"/>
    </row>
    <row r="825" spans="1:7" x14ac:dyDescent="0.3">
      <c r="A825" s="914" t="s">
        <v>1106</v>
      </c>
      <c r="B825" s="914"/>
      <c r="C825" s="914"/>
      <c r="D825" s="914"/>
      <c r="E825" s="914"/>
      <c r="F825" s="914"/>
      <c r="G825" s="914"/>
    </row>
    <row r="826" spans="1:7" ht="34.200000000000003" customHeight="1" x14ac:dyDescent="0.3">
      <c r="A826" s="914"/>
      <c r="B826" s="914"/>
      <c r="C826" s="914"/>
      <c r="D826" s="914"/>
      <c r="E826" s="914"/>
      <c r="F826" s="914"/>
      <c r="G826" s="914"/>
    </row>
    <row r="827" spans="1:7" x14ac:dyDescent="0.3">
      <c r="A827" s="631" t="s">
        <v>0</v>
      </c>
      <c r="B827" s="275" t="s">
        <v>210</v>
      </c>
      <c r="C827" s="200" t="s">
        <v>1</v>
      </c>
      <c r="D827" s="124" t="s">
        <v>2</v>
      </c>
      <c r="E827" s="129" t="s">
        <v>3</v>
      </c>
      <c r="F827" s="137" t="s">
        <v>4</v>
      </c>
      <c r="G827" s="311" t="s">
        <v>5</v>
      </c>
    </row>
    <row r="828" spans="1:7" s="103" customFormat="1" x14ac:dyDescent="0.3">
      <c r="A828" s="275">
        <v>45873</v>
      </c>
      <c r="B828" s="275" t="s">
        <v>212</v>
      </c>
      <c r="C828" s="488" t="s">
        <v>6</v>
      </c>
      <c r="D828" s="272" t="s">
        <v>23</v>
      </c>
      <c r="E828" s="273">
        <v>-3809.98</v>
      </c>
      <c r="F828" s="110" t="s">
        <v>8</v>
      </c>
      <c r="G828" s="137" t="s">
        <v>24</v>
      </c>
    </row>
    <row r="829" spans="1:7" s="103" customFormat="1" x14ac:dyDescent="0.3">
      <c r="A829" s="275">
        <v>45873</v>
      </c>
      <c r="B829" s="275" t="s">
        <v>212</v>
      </c>
      <c r="C829" s="99" t="s">
        <v>44</v>
      </c>
      <c r="D829" s="99" t="s">
        <v>232</v>
      </c>
      <c r="E829" s="100">
        <v>-270</v>
      </c>
      <c r="F829" s="110" t="s">
        <v>8</v>
      </c>
      <c r="G829" s="105" t="s">
        <v>233</v>
      </c>
    </row>
    <row r="830" spans="1:7" s="103" customFormat="1" x14ac:dyDescent="0.3">
      <c r="A830" s="275">
        <v>45873</v>
      </c>
      <c r="B830" s="275" t="s">
        <v>212</v>
      </c>
      <c r="C830" s="107" t="s">
        <v>72</v>
      </c>
      <c r="D830" s="107" t="s">
        <v>1103</v>
      </c>
      <c r="E830" s="4">
        <v>-800.37</v>
      </c>
      <c r="F830" s="5" t="s">
        <v>8</v>
      </c>
      <c r="G830" s="108" t="s">
        <v>233</v>
      </c>
    </row>
    <row r="831" spans="1:7" s="103" customFormat="1" x14ac:dyDescent="0.3">
      <c r="A831" s="275">
        <v>45873</v>
      </c>
      <c r="B831" s="275" t="s">
        <v>212</v>
      </c>
      <c r="C831" s="107" t="s">
        <v>72</v>
      </c>
      <c r="D831" s="107" t="s">
        <v>1104</v>
      </c>
      <c r="E831" s="4">
        <v>-1292.55</v>
      </c>
      <c r="F831" s="5" t="s">
        <v>8</v>
      </c>
      <c r="G831" s="108" t="s">
        <v>233</v>
      </c>
    </row>
    <row r="832" spans="1:7" s="103" customFormat="1" x14ac:dyDescent="0.3">
      <c r="A832" s="275">
        <v>45873</v>
      </c>
      <c r="B832" s="275" t="s">
        <v>212</v>
      </c>
      <c r="C832" s="107" t="s">
        <v>25</v>
      </c>
      <c r="D832" s="107" t="s">
        <v>1083</v>
      </c>
      <c r="E832" s="4">
        <v>-151.19999999999999</v>
      </c>
      <c r="F832" s="5" t="s">
        <v>8</v>
      </c>
      <c r="G832" s="108" t="s">
        <v>83</v>
      </c>
    </row>
    <row r="833" spans="1:7" s="103" customFormat="1" x14ac:dyDescent="0.3">
      <c r="A833" s="275">
        <v>45873</v>
      </c>
      <c r="B833" s="275" t="s">
        <v>212</v>
      </c>
      <c r="C833" s="107" t="s">
        <v>25</v>
      </c>
      <c r="D833" s="107" t="s">
        <v>1084</v>
      </c>
      <c r="E833" s="4">
        <v>-179.2</v>
      </c>
      <c r="F833" s="5" t="s">
        <v>8</v>
      </c>
      <c r="G833" s="108" t="s">
        <v>83</v>
      </c>
    </row>
    <row r="834" spans="1:7" s="103" customFormat="1" x14ac:dyDescent="0.3">
      <c r="A834" s="275">
        <v>45873</v>
      </c>
      <c r="B834" s="275" t="s">
        <v>212</v>
      </c>
      <c r="C834" s="107" t="s">
        <v>25</v>
      </c>
      <c r="D834" s="107" t="s">
        <v>1085</v>
      </c>
      <c r="E834" s="4">
        <v>-192</v>
      </c>
      <c r="F834" s="5" t="s">
        <v>8</v>
      </c>
      <c r="G834" s="108" t="s">
        <v>83</v>
      </c>
    </row>
    <row r="835" spans="1:7" s="103" customFormat="1" x14ac:dyDescent="0.3">
      <c r="A835" s="275">
        <v>45873</v>
      </c>
      <c r="B835" s="275" t="s">
        <v>212</v>
      </c>
      <c r="C835" s="107" t="s">
        <v>106</v>
      </c>
      <c r="D835" s="107" t="s">
        <v>1086</v>
      </c>
      <c r="E835" s="4">
        <v>-80</v>
      </c>
      <c r="F835" s="5" t="s">
        <v>8</v>
      </c>
      <c r="G835" s="108" t="s">
        <v>83</v>
      </c>
    </row>
    <row r="836" spans="1:7" s="103" customFormat="1" x14ac:dyDescent="0.3">
      <c r="A836" s="275">
        <v>45873</v>
      </c>
      <c r="B836" s="275" t="s">
        <v>212</v>
      </c>
      <c r="C836" s="272" t="s">
        <v>31</v>
      </c>
      <c r="D836" s="272" t="s">
        <v>1105</v>
      </c>
      <c r="E836" s="273">
        <v>-1.42</v>
      </c>
      <c r="F836" s="110" t="s">
        <v>8</v>
      </c>
      <c r="G836" s="137" t="s">
        <v>22</v>
      </c>
    </row>
    <row r="837" spans="1:7" x14ac:dyDescent="0.3">
      <c r="E837" s="442">
        <f>SUM(E828:E836)</f>
        <v>-6776.72</v>
      </c>
    </row>
    <row r="840" spans="1:7" x14ac:dyDescent="0.3">
      <c r="A840" s="914" t="s">
        <v>1110</v>
      </c>
      <c r="B840" s="914"/>
      <c r="C840" s="914"/>
      <c r="D840" s="914"/>
      <c r="E840" s="914"/>
      <c r="F840" s="914"/>
      <c r="G840" s="914"/>
    </row>
    <row r="841" spans="1:7" ht="39" customHeight="1" x14ac:dyDescent="0.3">
      <c r="A841" s="914"/>
      <c r="B841" s="914"/>
      <c r="C841" s="914"/>
      <c r="D841" s="914"/>
      <c r="E841" s="914"/>
      <c r="F841" s="914"/>
      <c r="G841" s="914"/>
    </row>
    <row r="842" spans="1:7" x14ac:dyDescent="0.3">
      <c r="A842" s="631" t="s">
        <v>0</v>
      </c>
      <c r="B842" s="275" t="s">
        <v>210</v>
      </c>
      <c r="C842" s="200" t="s">
        <v>1</v>
      </c>
      <c r="D842" s="124" t="s">
        <v>2</v>
      </c>
      <c r="E842" s="129" t="s">
        <v>3</v>
      </c>
      <c r="F842" s="137" t="s">
        <v>4</v>
      </c>
      <c r="G842" s="311" t="s">
        <v>5</v>
      </c>
    </row>
    <row r="843" spans="1:7" s="103" customFormat="1" x14ac:dyDescent="0.3">
      <c r="A843" s="275">
        <v>45874</v>
      </c>
      <c r="B843" s="275" t="s">
        <v>212</v>
      </c>
      <c r="C843" s="272" t="s">
        <v>30</v>
      </c>
      <c r="D843" s="272" t="s">
        <v>1118</v>
      </c>
      <c r="E843" s="273">
        <v>-134.97999999999999</v>
      </c>
      <c r="F843" s="110" t="s">
        <v>8</v>
      </c>
      <c r="G843" s="137" t="s">
        <v>29</v>
      </c>
    </row>
    <row r="844" spans="1:7" s="103" customFormat="1" x14ac:dyDescent="0.3">
      <c r="A844" s="275">
        <v>45874</v>
      </c>
      <c r="B844" s="275" t="s">
        <v>212</v>
      </c>
      <c r="C844" s="272" t="s">
        <v>33</v>
      </c>
      <c r="D844" s="272" t="s">
        <v>1118</v>
      </c>
      <c r="E844" s="273">
        <v>-389</v>
      </c>
      <c r="F844" s="110" t="s">
        <v>8</v>
      </c>
      <c r="G844" s="137" t="s">
        <v>29</v>
      </c>
    </row>
    <row r="845" spans="1:7" s="103" customFormat="1" x14ac:dyDescent="0.3">
      <c r="A845" s="275">
        <v>45874</v>
      </c>
      <c r="B845" s="275" t="s">
        <v>212</v>
      </c>
      <c r="C845" s="272" t="s">
        <v>34</v>
      </c>
      <c r="D845" s="272" t="s">
        <v>1118</v>
      </c>
      <c r="E845" s="273">
        <v>-159</v>
      </c>
      <c r="F845" s="110" t="s">
        <v>8</v>
      </c>
      <c r="G845" s="137" t="s">
        <v>29</v>
      </c>
    </row>
    <row r="846" spans="1:7" s="103" customFormat="1" x14ac:dyDescent="0.3">
      <c r="A846" s="275">
        <v>45874</v>
      </c>
      <c r="B846" s="8" t="s">
        <v>212</v>
      </c>
      <c r="C846" s="99" t="s">
        <v>17</v>
      </c>
      <c r="D846" s="99" t="s">
        <v>1117</v>
      </c>
      <c r="E846" s="4">
        <v>-110.34</v>
      </c>
      <c r="F846" s="5" t="s">
        <v>8</v>
      </c>
      <c r="G846" s="634" t="s">
        <v>233</v>
      </c>
    </row>
    <row r="847" spans="1:7" s="103" customFormat="1" x14ac:dyDescent="0.3">
      <c r="A847" s="275">
        <v>45874</v>
      </c>
      <c r="B847" s="8" t="s">
        <v>212</v>
      </c>
      <c r="C847" s="107" t="s">
        <v>44</v>
      </c>
      <c r="D847" s="107" t="s">
        <v>1116</v>
      </c>
      <c r="E847" s="4">
        <v>-215.21</v>
      </c>
      <c r="F847" s="5" t="s">
        <v>8</v>
      </c>
      <c r="G847" s="108" t="s">
        <v>37</v>
      </c>
    </row>
    <row r="848" spans="1:7" s="103" customFormat="1" x14ac:dyDescent="0.3">
      <c r="A848" s="275">
        <v>45874</v>
      </c>
      <c r="B848" s="8" t="s">
        <v>212</v>
      </c>
      <c r="C848" s="107" t="s">
        <v>106</v>
      </c>
      <c r="D848" s="107" t="s">
        <v>1116</v>
      </c>
      <c r="E848" s="4">
        <v>-376.91</v>
      </c>
      <c r="F848" s="5" t="s">
        <v>8</v>
      </c>
      <c r="G848" s="108" t="s">
        <v>37</v>
      </c>
    </row>
    <row r="849" spans="1:7" s="103" customFormat="1" x14ac:dyDescent="0.3">
      <c r="A849" s="275">
        <v>45874</v>
      </c>
      <c r="B849" s="8" t="s">
        <v>212</v>
      </c>
      <c r="C849" s="107" t="s">
        <v>17</v>
      </c>
      <c r="D849" s="107" t="s">
        <v>1116</v>
      </c>
      <c r="E849" s="4">
        <v>-360.09</v>
      </c>
      <c r="F849" s="5" t="s">
        <v>8</v>
      </c>
      <c r="G849" s="108" t="s">
        <v>37</v>
      </c>
    </row>
    <row r="850" spans="1:7" s="103" customFormat="1" x14ac:dyDescent="0.3">
      <c r="A850" s="631">
        <v>45874</v>
      </c>
      <c r="B850" s="631" t="s">
        <v>212</v>
      </c>
      <c r="C850" s="107" t="s">
        <v>31</v>
      </c>
      <c r="D850" s="107" t="s">
        <v>1087</v>
      </c>
      <c r="E850" s="4">
        <v>-141.6</v>
      </c>
      <c r="F850" s="5" t="s">
        <v>8</v>
      </c>
      <c r="G850" s="634" t="s">
        <v>83</v>
      </c>
    </row>
    <row r="851" spans="1:7" s="103" customFormat="1" x14ac:dyDescent="0.3">
      <c r="A851" s="631">
        <v>45874</v>
      </c>
      <c r="B851" s="631" t="s">
        <v>212</v>
      </c>
      <c r="C851" s="107" t="s">
        <v>25</v>
      </c>
      <c r="D851" s="107" t="s">
        <v>1115</v>
      </c>
      <c r="E851" s="4">
        <v>-188.8</v>
      </c>
      <c r="F851" s="5" t="s">
        <v>8</v>
      </c>
      <c r="G851" s="634" t="s">
        <v>83</v>
      </c>
    </row>
    <row r="852" spans="1:7" s="103" customFormat="1" x14ac:dyDescent="0.3">
      <c r="A852" s="631">
        <v>45874</v>
      </c>
      <c r="B852" s="631" t="s">
        <v>212</v>
      </c>
      <c r="C852" s="107" t="s">
        <v>17</v>
      </c>
      <c r="D852" s="107" t="s">
        <v>1089</v>
      </c>
      <c r="E852" s="4">
        <v>-200</v>
      </c>
      <c r="F852" s="5" t="s">
        <v>8</v>
      </c>
      <c r="G852" s="634" t="s">
        <v>83</v>
      </c>
    </row>
    <row r="853" spans="1:7" s="103" customFormat="1" x14ac:dyDescent="0.3">
      <c r="A853" s="631">
        <v>45874</v>
      </c>
      <c r="B853" s="631" t="s">
        <v>212</v>
      </c>
      <c r="C853" s="107" t="s">
        <v>17</v>
      </c>
      <c r="D853" s="107" t="s">
        <v>1090</v>
      </c>
      <c r="E853" s="4">
        <v>-342</v>
      </c>
      <c r="F853" s="5" t="s">
        <v>8</v>
      </c>
      <c r="G853" s="634" t="s">
        <v>83</v>
      </c>
    </row>
    <row r="854" spans="1:7" s="103" customFormat="1" x14ac:dyDescent="0.3">
      <c r="A854" s="631">
        <v>45874</v>
      </c>
      <c r="B854" s="631" t="s">
        <v>212</v>
      </c>
      <c r="C854" s="107" t="s">
        <v>17</v>
      </c>
      <c r="D854" s="107" t="s">
        <v>1091</v>
      </c>
      <c r="E854" s="4">
        <v>-186</v>
      </c>
      <c r="F854" s="5" t="s">
        <v>8</v>
      </c>
      <c r="G854" s="634" t="s">
        <v>83</v>
      </c>
    </row>
    <row r="855" spans="1:7" s="103" customFormat="1" x14ac:dyDescent="0.3">
      <c r="A855" s="631">
        <v>45874</v>
      </c>
      <c r="B855" s="631" t="s">
        <v>212</v>
      </c>
      <c r="C855" s="107" t="s">
        <v>17</v>
      </c>
      <c r="D855" s="107" t="s">
        <v>1092</v>
      </c>
      <c r="E855" s="4">
        <v>-200</v>
      </c>
      <c r="F855" s="5" t="s">
        <v>8</v>
      </c>
      <c r="G855" s="634" t="s">
        <v>83</v>
      </c>
    </row>
    <row r="856" spans="1:7" s="103" customFormat="1" x14ac:dyDescent="0.3">
      <c r="A856" s="631">
        <v>45874</v>
      </c>
      <c r="B856" s="631" t="s">
        <v>212</v>
      </c>
      <c r="C856" s="107" t="s">
        <v>17</v>
      </c>
      <c r="D856" s="107" t="s">
        <v>1093</v>
      </c>
      <c r="E856" s="4">
        <v>-200</v>
      </c>
      <c r="F856" s="5" t="s">
        <v>8</v>
      </c>
      <c r="G856" s="634" t="s">
        <v>83</v>
      </c>
    </row>
    <row r="857" spans="1:7" s="614" customFormat="1" ht="15.6" customHeight="1" x14ac:dyDescent="0.3">
      <c r="A857" s="631">
        <v>45874</v>
      </c>
      <c r="B857" s="631" t="s">
        <v>212</v>
      </c>
      <c r="C857" s="272" t="s">
        <v>30</v>
      </c>
      <c r="D857" s="107" t="s">
        <v>1114</v>
      </c>
      <c r="E857" s="4">
        <v>-20</v>
      </c>
      <c r="F857" s="5" t="s">
        <v>8</v>
      </c>
      <c r="G857" s="634" t="s">
        <v>83</v>
      </c>
    </row>
    <row r="858" spans="1:7" s="614" customFormat="1" x14ac:dyDescent="0.3">
      <c r="A858" s="631">
        <v>45874</v>
      </c>
      <c r="B858" s="631" t="s">
        <v>212</v>
      </c>
      <c r="C858" s="272" t="s">
        <v>30</v>
      </c>
      <c r="D858" s="107" t="s">
        <v>1113</v>
      </c>
      <c r="E858" s="4">
        <v>-20</v>
      </c>
      <c r="F858" s="5" t="s">
        <v>8</v>
      </c>
      <c r="G858" s="634" t="s">
        <v>83</v>
      </c>
    </row>
    <row r="859" spans="1:7" s="614" customFormat="1" x14ac:dyDescent="0.3">
      <c r="A859" s="631">
        <v>45874</v>
      </c>
      <c r="B859" s="631" t="s">
        <v>212</v>
      </c>
      <c r="C859" s="272" t="s">
        <v>30</v>
      </c>
      <c r="D859" s="107" t="s">
        <v>1112</v>
      </c>
      <c r="E859" s="4">
        <v>-6.5</v>
      </c>
      <c r="F859" s="5" t="s">
        <v>8</v>
      </c>
      <c r="G859" s="634" t="s">
        <v>83</v>
      </c>
    </row>
    <row r="860" spans="1:7" s="614" customFormat="1" x14ac:dyDescent="0.3">
      <c r="A860" s="631">
        <v>45874</v>
      </c>
      <c r="B860" s="631" t="s">
        <v>212</v>
      </c>
      <c r="C860" s="272" t="s">
        <v>30</v>
      </c>
      <c r="D860" s="107" t="s">
        <v>1111</v>
      </c>
      <c r="E860" s="4">
        <v>-120.4</v>
      </c>
      <c r="F860" s="5" t="s">
        <v>8</v>
      </c>
      <c r="G860" s="634" t="s">
        <v>83</v>
      </c>
    </row>
    <row r="861" spans="1:7" s="103" customFormat="1" ht="15" customHeight="1" x14ac:dyDescent="0.3">
      <c r="A861" s="631">
        <v>45874</v>
      </c>
      <c r="B861" s="631" t="s">
        <v>212</v>
      </c>
      <c r="C861" s="107" t="s">
        <v>17</v>
      </c>
      <c r="D861" s="107" t="s">
        <v>1109</v>
      </c>
      <c r="E861" s="4">
        <v>-1500</v>
      </c>
      <c r="F861" s="5" t="s">
        <v>8</v>
      </c>
      <c r="G861" s="634" t="s">
        <v>15</v>
      </c>
    </row>
    <row r="862" spans="1:7" s="103" customFormat="1" x14ac:dyDescent="0.3">
      <c r="A862" s="631">
        <v>45874</v>
      </c>
      <c r="B862" s="631" t="s">
        <v>212</v>
      </c>
      <c r="C862" s="107" t="s">
        <v>17</v>
      </c>
      <c r="D862" s="107" t="s">
        <v>1108</v>
      </c>
      <c r="E862" s="4">
        <v>-12500</v>
      </c>
      <c r="F862" s="5" t="s">
        <v>8</v>
      </c>
      <c r="G862" s="634" t="s">
        <v>41</v>
      </c>
    </row>
    <row r="863" spans="1:7" x14ac:dyDescent="0.3">
      <c r="E863" s="442">
        <f>SUM(E843:E862)</f>
        <v>-17370.830000000002</v>
      </c>
    </row>
    <row r="866" spans="1:7" x14ac:dyDescent="0.3">
      <c r="A866" s="914" t="s">
        <v>1123</v>
      </c>
      <c r="B866" s="914"/>
      <c r="C866" s="914"/>
      <c r="D866" s="914"/>
      <c r="E866" s="914"/>
      <c r="F866" s="914"/>
      <c r="G866" s="914"/>
    </row>
    <row r="867" spans="1:7" ht="33" customHeight="1" x14ac:dyDescent="0.3">
      <c r="A867" s="914"/>
      <c r="B867" s="914"/>
      <c r="C867" s="914"/>
      <c r="D867" s="914"/>
      <c r="E867" s="914"/>
      <c r="F867" s="914"/>
      <c r="G867" s="914"/>
    </row>
    <row r="868" spans="1:7" x14ac:dyDescent="0.3">
      <c r="A868" s="631" t="s">
        <v>0</v>
      </c>
      <c r="B868" s="275" t="s">
        <v>210</v>
      </c>
      <c r="C868" s="200" t="s">
        <v>1</v>
      </c>
      <c r="D868" s="124" t="s">
        <v>2</v>
      </c>
      <c r="E868" s="129" t="s">
        <v>3</v>
      </c>
      <c r="F868" s="137" t="s">
        <v>4</v>
      </c>
      <c r="G868" s="311" t="s">
        <v>5</v>
      </c>
    </row>
    <row r="869" spans="1:7" x14ac:dyDescent="0.3">
      <c r="A869" s="275">
        <v>45875</v>
      </c>
      <c r="B869" s="275" t="s">
        <v>212</v>
      </c>
      <c r="C869" s="99" t="s">
        <v>72</v>
      </c>
      <c r="D869" s="99" t="s">
        <v>965</v>
      </c>
      <c r="E869" s="100">
        <v>-1800.31</v>
      </c>
      <c r="F869" s="110" t="s">
        <v>8</v>
      </c>
      <c r="G869" s="105" t="s">
        <v>233</v>
      </c>
    </row>
    <row r="870" spans="1:7" x14ac:dyDescent="0.3">
      <c r="A870" s="106">
        <v>45875</v>
      </c>
      <c r="B870" s="8" t="s">
        <v>212</v>
      </c>
      <c r="C870" s="107" t="s">
        <v>33</v>
      </c>
      <c r="D870" s="107" t="s">
        <v>1095</v>
      </c>
      <c r="E870" s="4">
        <v>-323</v>
      </c>
      <c r="F870" s="110" t="s">
        <v>8</v>
      </c>
      <c r="G870" s="108" t="s">
        <v>83</v>
      </c>
    </row>
    <row r="871" spans="1:7" x14ac:dyDescent="0.3">
      <c r="A871" s="275">
        <v>45875</v>
      </c>
      <c r="B871" s="275" t="s">
        <v>212</v>
      </c>
      <c r="C871" s="272" t="s">
        <v>6</v>
      </c>
      <c r="D871" s="272" t="s">
        <v>1125</v>
      </c>
      <c r="E871" s="126">
        <v>-471317.52</v>
      </c>
      <c r="F871" s="110" t="s">
        <v>8</v>
      </c>
      <c r="G871" s="137" t="s">
        <v>41</v>
      </c>
    </row>
    <row r="872" spans="1:7" x14ac:dyDescent="0.3">
      <c r="A872" s="275">
        <v>45875</v>
      </c>
      <c r="B872" s="275" t="s">
        <v>212</v>
      </c>
      <c r="C872" s="272" t="s">
        <v>6</v>
      </c>
      <c r="D872" s="272" t="s">
        <v>1124</v>
      </c>
      <c r="E872" s="273">
        <v>-500</v>
      </c>
      <c r="F872" s="110" t="s">
        <v>8</v>
      </c>
      <c r="G872" s="137" t="s">
        <v>41</v>
      </c>
    </row>
    <row r="873" spans="1:7" x14ac:dyDescent="0.3">
      <c r="A873" s="631">
        <v>45875</v>
      </c>
      <c r="B873" s="631" t="s">
        <v>212</v>
      </c>
      <c r="C873" s="107" t="s">
        <v>31</v>
      </c>
      <c r="D873" s="107" t="s">
        <v>1096</v>
      </c>
      <c r="E873" s="4">
        <v>-444.35</v>
      </c>
      <c r="F873" s="110" t="s">
        <v>8</v>
      </c>
      <c r="G873" s="108" t="s">
        <v>76</v>
      </c>
    </row>
    <row r="874" spans="1:7" x14ac:dyDescent="0.3">
      <c r="A874" s="275">
        <v>45875</v>
      </c>
      <c r="B874" s="275" t="s">
        <v>212</v>
      </c>
      <c r="C874" s="272" t="s">
        <v>6</v>
      </c>
      <c r="D874" s="272" t="s">
        <v>1126</v>
      </c>
      <c r="E874" s="4">
        <v>-1900.72</v>
      </c>
      <c r="F874" s="110" t="s">
        <v>8</v>
      </c>
      <c r="G874" s="137" t="s">
        <v>41</v>
      </c>
    </row>
    <row r="875" spans="1:7" x14ac:dyDescent="0.3">
      <c r="A875" s="631">
        <v>45875</v>
      </c>
      <c r="B875" s="631" t="s">
        <v>212</v>
      </c>
      <c r="C875" s="107" t="s">
        <v>31</v>
      </c>
      <c r="D875" s="107" t="s">
        <v>1121</v>
      </c>
      <c r="E875" s="4">
        <v>-99.77</v>
      </c>
      <c r="F875" s="5" t="s">
        <v>8</v>
      </c>
      <c r="G875" s="108" t="s">
        <v>51</v>
      </c>
    </row>
    <row r="876" spans="1:7" x14ac:dyDescent="0.3">
      <c r="E876" s="442">
        <f>SUM(E869:E875)</f>
        <v>-476385.67</v>
      </c>
    </row>
    <row r="879" spans="1:7" x14ac:dyDescent="0.3">
      <c r="A879" s="918" t="s">
        <v>1147</v>
      </c>
      <c r="B879" s="918"/>
      <c r="C879" s="918"/>
      <c r="D879" s="918"/>
      <c r="E879" s="918"/>
      <c r="F879" s="918"/>
      <c r="G879" s="918"/>
    </row>
    <row r="880" spans="1:7" ht="24.6" customHeight="1" x14ac:dyDescent="0.3">
      <c r="A880" s="918"/>
      <c r="B880" s="918"/>
      <c r="C880" s="918"/>
      <c r="D880" s="918"/>
      <c r="E880" s="918"/>
      <c r="F880" s="918"/>
      <c r="G880" s="918"/>
    </row>
    <row r="881" spans="1:7" x14ac:dyDescent="0.3">
      <c r="A881" s="631" t="s">
        <v>0</v>
      </c>
      <c r="B881" s="275" t="s">
        <v>210</v>
      </c>
      <c r="C881" s="200" t="s">
        <v>1</v>
      </c>
      <c r="D881" s="124" t="s">
        <v>2</v>
      </c>
      <c r="E881" s="129" t="s">
        <v>3</v>
      </c>
      <c r="F881" s="137" t="s">
        <v>4</v>
      </c>
      <c r="G881" s="311" t="s">
        <v>5</v>
      </c>
    </row>
    <row r="882" spans="1:7" x14ac:dyDescent="0.3">
      <c r="A882" s="275">
        <v>45876</v>
      </c>
      <c r="B882" s="275" t="s">
        <v>212</v>
      </c>
      <c r="C882" s="272" t="s">
        <v>31</v>
      </c>
      <c r="D882" s="272" t="s">
        <v>1122</v>
      </c>
      <c r="E882" s="273">
        <v>-1.42</v>
      </c>
      <c r="F882" s="110" t="s">
        <v>8</v>
      </c>
      <c r="G882" s="137" t="s">
        <v>22</v>
      </c>
    </row>
    <row r="883" spans="1:7" x14ac:dyDescent="0.3">
      <c r="A883" s="275">
        <v>45876</v>
      </c>
      <c r="B883" s="275" t="s">
        <v>212</v>
      </c>
      <c r="C883" s="107" t="s">
        <v>30</v>
      </c>
      <c r="D883" s="107" t="s">
        <v>1139</v>
      </c>
      <c r="E883" s="4">
        <v>-1200</v>
      </c>
      <c r="F883" s="110" t="s">
        <v>8</v>
      </c>
      <c r="G883" s="137" t="s">
        <v>27</v>
      </c>
    </row>
    <row r="884" spans="1:7" x14ac:dyDescent="0.3">
      <c r="A884" s="275">
        <v>45876</v>
      </c>
      <c r="B884" s="275" t="s">
        <v>212</v>
      </c>
      <c r="C884" s="107" t="s">
        <v>30</v>
      </c>
      <c r="D884" s="107" t="s">
        <v>1140</v>
      </c>
      <c r="E884" s="4">
        <v>-1000</v>
      </c>
      <c r="F884" s="110" t="s">
        <v>8</v>
      </c>
      <c r="G884" s="137" t="s">
        <v>27</v>
      </c>
    </row>
    <row r="885" spans="1:7" x14ac:dyDescent="0.3">
      <c r="A885" s="275">
        <v>45876</v>
      </c>
      <c r="B885" s="275" t="s">
        <v>212</v>
      </c>
      <c r="C885" s="107" t="s">
        <v>30</v>
      </c>
      <c r="D885" s="107" t="s">
        <v>1141</v>
      </c>
      <c r="E885" s="4">
        <v>-1700</v>
      </c>
      <c r="F885" s="110" t="s">
        <v>8</v>
      </c>
      <c r="G885" s="137" t="s">
        <v>27</v>
      </c>
    </row>
    <row r="886" spans="1:7" x14ac:dyDescent="0.3">
      <c r="A886" s="275">
        <v>45876</v>
      </c>
      <c r="B886" s="275" t="s">
        <v>212</v>
      </c>
      <c r="C886" s="107" t="s">
        <v>30</v>
      </c>
      <c r="D886" s="107" t="s">
        <v>1142</v>
      </c>
      <c r="E886" s="4">
        <v>-1053</v>
      </c>
      <c r="F886" s="110" t="s">
        <v>8</v>
      </c>
      <c r="G886" s="137" t="s">
        <v>27</v>
      </c>
    </row>
    <row r="887" spans="1:7" x14ac:dyDescent="0.3">
      <c r="A887" s="275">
        <v>45876</v>
      </c>
      <c r="B887" s="275" t="s">
        <v>212</v>
      </c>
      <c r="C887" s="107" t="s">
        <v>30</v>
      </c>
      <c r="D887" s="107" t="s">
        <v>1143</v>
      </c>
      <c r="E887" s="4">
        <v>-900</v>
      </c>
      <c r="F887" s="110" t="s">
        <v>8</v>
      </c>
      <c r="G887" s="137" t="s">
        <v>27</v>
      </c>
    </row>
    <row r="888" spans="1:7" x14ac:dyDescent="0.3">
      <c r="A888" s="275">
        <v>45876</v>
      </c>
      <c r="B888" s="275" t="s">
        <v>212</v>
      </c>
      <c r="C888" s="107" t="s">
        <v>30</v>
      </c>
      <c r="D888" s="107" t="s">
        <v>1144</v>
      </c>
      <c r="E888" s="4">
        <v>-900</v>
      </c>
      <c r="F888" s="110" t="s">
        <v>8</v>
      </c>
      <c r="G888" s="137" t="s">
        <v>27</v>
      </c>
    </row>
    <row r="889" spans="1:7" x14ac:dyDescent="0.3">
      <c r="A889" s="275">
        <v>45876</v>
      </c>
      <c r="B889" s="275" t="s">
        <v>212</v>
      </c>
      <c r="C889" s="109" t="s">
        <v>31</v>
      </c>
      <c r="D889" s="99" t="s">
        <v>38</v>
      </c>
      <c r="E889" s="273">
        <v>-700.05</v>
      </c>
      <c r="F889" s="110" t="s">
        <v>8</v>
      </c>
      <c r="G889" s="105" t="s">
        <v>39</v>
      </c>
    </row>
    <row r="890" spans="1:7" x14ac:dyDescent="0.3">
      <c r="A890" s="275">
        <v>45876</v>
      </c>
      <c r="B890" s="275" t="s">
        <v>212</v>
      </c>
      <c r="C890" s="109" t="s">
        <v>13</v>
      </c>
      <c r="D890" s="272" t="s">
        <v>893</v>
      </c>
      <c r="E890" s="273">
        <v>-5600</v>
      </c>
      <c r="F890" s="110" t="s">
        <v>8</v>
      </c>
      <c r="G890" s="137" t="s">
        <v>27</v>
      </c>
    </row>
    <row r="891" spans="1:7" x14ac:dyDescent="0.3">
      <c r="A891" s="98">
        <v>45876</v>
      </c>
      <c r="B891" s="275" t="s">
        <v>212</v>
      </c>
      <c r="C891" s="146" t="s">
        <v>17</v>
      </c>
      <c r="D891" s="99" t="s">
        <v>1138</v>
      </c>
      <c r="E891" s="100">
        <v>-1000</v>
      </c>
      <c r="F891" s="105" t="s">
        <v>8</v>
      </c>
      <c r="G891" s="105" t="s">
        <v>142</v>
      </c>
    </row>
    <row r="892" spans="1:7" x14ac:dyDescent="0.3">
      <c r="A892" s="98">
        <v>45876</v>
      </c>
      <c r="B892" s="275" t="s">
        <v>212</v>
      </c>
      <c r="C892" s="107" t="s">
        <v>31</v>
      </c>
      <c r="D892" s="107" t="s">
        <v>1131</v>
      </c>
      <c r="E892" s="4">
        <v>-84</v>
      </c>
      <c r="F892" s="110" t="s">
        <v>8</v>
      </c>
      <c r="G892" s="108" t="s">
        <v>83</v>
      </c>
    </row>
    <row r="893" spans="1:7" x14ac:dyDescent="0.3">
      <c r="A893" s="98">
        <v>45876</v>
      </c>
      <c r="B893" s="275" t="s">
        <v>212</v>
      </c>
      <c r="C893" s="107" t="s">
        <v>25</v>
      </c>
      <c r="D893" s="107" t="s">
        <v>1132</v>
      </c>
      <c r="E893" s="4">
        <v>-288</v>
      </c>
      <c r="F893" s="110" t="s">
        <v>8</v>
      </c>
      <c r="G893" s="108" t="s">
        <v>83</v>
      </c>
    </row>
    <row r="894" spans="1:7" x14ac:dyDescent="0.3">
      <c r="A894" s="98">
        <v>45876</v>
      </c>
      <c r="B894" s="275" t="s">
        <v>212</v>
      </c>
      <c r="C894" s="107" t="s">
        <v>25</v>
      </c>
      <c r="D894" s="107" t="s">
        <v>1133</v>
      </c>
      <c r="E894" s="4">
        <v>-224.2</v>
      </c>
      <c r="F894" s="110" t="s">
        <v>8</v>
      </c>
      <c r="G894" s="108" t="s">
        <v>83</v>
      </c>
    </row>
    <row r="895" spans="1:7" x14ac:dyDescent="0.3">
      <c r="A895" s="98">
        <v>45876</v>
      </c>
      <c r="B895" s="275" t="s">
        <v>212</v>
      </c>
      <c r="C895" s="107" t="s">
        <v>25</v>
      </c>
      <c r="D895" s="107" t="s">
        <v>1134</v>
      </c>
      <c r="E895" s="4">
        <v>-200</v>
      </c>
      <c r="F895" s="110" t="s">
        <v>8</v>
      </c>
      <c r="G895" s="108" t="s">
        <v>83</v>
      </c>
    </row>
    <row r="896" spans="1:7" x14ac:dyDescent="0.3">
      <c r="A896" s="98">
        <v>45876</v>
      </c>
      <c r="B896" s="275" t="s">
        <v>212</v>
      </c>
      <c r="C896" s="107" t="s">
        <v>25</v>
      </c>
      <c r="D896" s="107" t="s">
        <v>1135</v>
      </c>
      <c r="E896" s="4">
        <v>-472</v>
      </c>
      <c r="F896" s="110" t="s">
        <v>8</v>
      </c>
      <c r="G896" s="108" t="s">
        <v>83</v>
      </c>
    </row>
    <row r="897" spans="1:7" x14ac:dyDescent="0.3">
      <c r="A897" s="98">
        <v>45876</v>
      </c>
      <c r="B897" s="275" t="s">
        <v>212</v>
      </c>
      <c r="C897" s="107" t="s">
        <v>25</v>
      </c>
      <c r="D897" s="107" t="s">
        <v>1136</v>
      </c>
      <c r="E897" s="4">
        <v>-177</v>
      </c>
      <c r="F897" s="110" t="s">
        <v>8</v>
      </c>
      <c r="G897" s="108" t="s">
        <v>83</v>
      </c>
    </row>
    <row r="898" spans="1:7" x14ac:dyDescent="0.3">
      <c r="A898" s="98">
        <v>45876</v>
      </c>
      <c r="B898" s="275" t="s">
        <v>212</v>
      </c>
      <c r="C898" s="107" t="s">
        <v>17</v>
      </c>
      <c r="D898" s="107" t="s">
        <v>1145</v>
      </c>
      <c r="E898" s="4">
        <v>-70</v>
      </c>
      <c r="F898" s="110" t="s">
        <v>8</v>
      </c>
      <c r="G898" s="108" t="s">
        <v>83</v>
      </c>
    </row>
    <row r="899" spans="1:7" x14ac:dyDescent="0.3">
      <c r="A899" s="98">
        <v>45876</v>
      </c>
      <c r="B899" s="275" t="s">
        <v>212</v>
      </c>
      <c r="C899" s="107" t="s">
        <v>25</v>
      </c>
      <c r="D899" s="107" t="s">
        <v>1137</v>
      </c>
      <c r="E899" s="4">
        <v>-252</v>
      </c>
      <c r="F899" s="110" t="s">
        <v>8</v>
      </c>
      <c r="G899" s="108" t="s">
        <v>83</v>
      </c>
    </row>
    <row r="900" spans="1:7" x14ac:dyDescent="0.3">
      <c r="A900" s="98">
        <v>45876</v>
      </c>
      <c r="B900" s="275" t="s">
        <v>212</v>
      </c>
      <c r="C900" s="107" t="s">
        <v>17</v>
      </c>
      <c r="D900" s="107" t="s">
        <v>1146</v>
      </c>
      <c r="E900" s="4">
        <v>-708.24</v>
      </c>
      <c r="F900" s="105" t="s">
        <v>8</v>
      </c>
      <c r="G900" s="108" t="s">
        <v>394</v>
      </c>
    </row>
    <row r="901" spans="1:7" x14ac:dyDescent="0.3">
      <c r="A901" s="98">
        <v>45876</v>
      </c>
      <c r="B901" s="275" t="s">
        <v>212</v>
      </c>
      <c r="C901" s="553" t="s">
        <v>6</v>
      </c>
      <c r="D901" s="107" t="s">
        <v>598</v>
      </c>
      <c r="E901" s="4">
        <v>-1000</v>
      </c>
      <c r="F901" s="105" t="s">
        <v>8</v>
      </c>
      <c r="G901" s="105" t="s">
        <v>189</v>
      </c>
    </row>
    <row r="902" spans="1:7" x14ac:dyDescent="0.3">
      <c r="E902" s="442">
        <f>SUM(E882:E901)</f>
        <v>-17529.910000000003</v>
      </c>
    </row>
    <row r="905" spans="1:7" x14ac:dyDescent="0.3">
      <c r="A905" s="918" t="s">
        <v>1160</v>
      </c>
      <c r="B905" s="918"/>
      <c r="C905" s="918"/>
      <c r="D905" s="918"/>
      <c r="E905" s="918"/>
      <c r="F905" s="918"/>
      <c r="G905" s="918"/>
    </row>
    <row r="906" spans="1:7" ht="34.200000000000003" customHeight="1" x14ac:dyDescent="0.3">
      <c r="A906" s="918"/>
      <c r="B906" s="918"/>
      <c r="C906" s="918"/>
      <c r="D906" s="918"/>
      <c r="E906" s="918"/>
      <c r="F906" s="918"/>
      <c r="G906" s="918"/>
    </row>
    <row r="907" spans="1:7" x14ac:dyDescent="0.3">
      <c r="A907" s="631" t="s">
        <v>0</v>
      </c>
      <c r="B907" s="275" t="s">
        <v>210</v>
      </c>
      <c r="C907" s="200" t="s">
        <v>1</v>
      </c>
      <c r="D907" s="124" t="s">
        <v>2</v>
      </c>
      <c r="E907" s="129" t="s">
        <v>3</v>
      </c>
      <c r="F907" s="137" t="s">
        <v>4</v>
      </c>
      <c r="G907" s="311" t="s">
        <v>5</v>
      </c>
    </row>
    <row r="908" spans="1:7" s="103" customFormat="1" x14ac:dyDescent="0.3">
      <c r="A908" s="106">
        <v>45877</v>
      </c>
      <c r="B908" s="631" t="s">
        <v>212</v>
      </c>
      <c r="C908" s="107" t="s">
        <v>44</v>
      </c>
      <c r="D908" s="107" t="s">
        <v>1155</v>
      </c>
      <c r="E908" s="4">
        <v>-10505.35</v>
      </c>
      <c r="F908" s="108" t="s">
        <v>8</v>
      </c>
      <c r="G908" s="108" t="s">
        <v>233</v>
      </c>
    </row>
    <row r="909" spans="1:7" s="103" customFormat="1" x14ac:dyDescent="0.3">
      <c r="A909" s="106">
        <v>45877</v>
      </c>
      <c r="B909" s="631" t="s">
        <v>212</v>
      </c>
      <c r="C909" s="107" t="s">
        <v>72</v>
      </c>
      <c r="D909" s="107" t="s">
        <v>1156</v>
      </c>
      <c r="E909" s="4">
        <v>-1117.52</v>
      </c>
      <c r="F909" s="108" t="s">
        <v>8</v>
      </c>
      <c r="G909" s="108" t="s">
        <v>233</v>
      </c>
    </row>
    <row r="910" spans="1:7" s="103" customFormat="1" x14ac:dyDescent="0.3">
      <c r="A910" s="631">
        <v>45877</v>
      </c>
      <c r="B910" s="631" t="s">
        <v>212</v>
      </c>
      <c r="C910" s="558" t="s">
        <v>17</v>
      </c>
      <c r="D910" s="558" t="s">
        <v>1159</v>
      </c>
      <c r="E910" s="556">
        <v>-17235</v>
      </c>
      <c r="F910" s="5" t="s">
        <v>8</v>
      </c>
      <c r="G910" s="634" t="s">
        <v>19</v>
      </c>
    </row>
    <row r="911" spans="1:7" s="103" customFormat="1" x14ac:dyDescent="0.3">
      <c r="A911" s="631">
        <v>45877</v>
      </c>
      <c r="B911" s="631" t="s">
        <v>212</v>
      </c>
      <c r="C911" s="107" t="s">
        <v>17</v>
      </c>
      <c r="D911" s="107" t="s">
        <v>490</v>
      </c>
      <c r="E911" s="4">
        <v>-155.27000000000001</v>
      </c>
      <c r="F911" s="5" t="s">
        <v>8</v>
      </c>
      <c r="G911" s="108" t="s">
        <v>76</v>
      </c>
    </row>
    <row r="912" spans="1:7" s="103" customFormat="1" x14ac:dyDescent="0.3">
      <c r="A912" s="631">
        <v>45877</v>
      </c>
      <c r="B912" s="631" t="s">
        <v>212</v>
      </c>
      <c r="C912" s="107" t="s">
        <v>106</v>
      </c>
      <c r="D912" s="107" t="s">
        <v>1097</v>
      </c>
      <c r="E912" s="4">
        <v>-166.39</v>
      </c>
      <c r="F912" s="5" t="s">
        <v>8</v>
      </c>
      <c r="G912" s="108" t="s">
        <v>76</v>
      </c>
    </row>
    <row r="913" spans="1:7" s="103" customFormat="1" x14ac:dyDescent="0.3">
      <c r="A913" s="631">
        <v>45877</v>
      </c>
      <c r="B913" s="631" t="s">
        <v>212</v>
      </c>
      <c r="C913" s="107" t="s">
        <v>44</v>
      </c>
      <c r="D913" s="107" t="s">
        <v>1152</v>
      </c>
      <c r="E913" s="4">
        <v>-90</v>
      </c>
      <c r="F913" s="5" t="s">
        <v>8</v>
      </c>
      <c r="G913" s="108" t="s">
        <v>83</v>
      </c>
    </row>
    <row r="914" spans="1:7" s="103" customFormat="1" x14ac:dyDescent="0.3">
      <c r="A914" s="631">
        <v>45877</v>
      </c>
      <c r="B914" s="631" t="s">
        <v>212</v>
      </c>
      <c r="C914" s="107" t="s">
        <v>25</v>
      </c>
      <c r="D914" s="107" t="s">
        <v>386</v>
      </c>
      <c r="E914" s="4">
        <v>-291</v>
      </c>
      <c r="F914" s="5" t="s">
        <v>8</v>
      </c>
      <c r="G914" s="108" t="s">
        <v>83</v>
      </c>
    </row>
    <row r="915" spans="1:7" s="103" customFormat="1" x14ac:dyDescent="0.3">
      <c r="A915" s="631">
        <v>45877</v>
      </c>
      <c r="B915" s="631" t="s">
        <v>212</v>
      </c>
      <c r="C915" s="107" t="s">
        <v>25</v>
      </c>
      <c r="D915" s="107" t="s">
        <v>1153</v>
      </c>
      <c r="E915" s="4">
        <v>-177</v>
      </c>
      <c r="F915" s="5" t="s">
        <v>8</v>
      </c>
      <c r="G915" s="108" t="s">
        <v>83</v>
      </c>
    </row>
    <row r="916" spans="1:7" s="103" customFormat="1" x14ac:dyDescent="0.3">
      <c r="A916" s="631">
        <v>45877</v>
      </c>
      <c r="B916" s="631" t="s">
        <v>212</v>
      </c>
      <c r="C916" s="107" t="s">
        <v>106</v>
      </c>
      <c r="D916" s="107" t="s">
        <v>1154</v>
      </c>
      <c r="E916" s="4">
        <v>-90</v>
      </c>
      <c r="F916" s="5" t="s">
        <v>8</v>
      </c>
      <c r="G916" s="108" t="s">
        <v>83</v>
      </c>
    </row>
    <row r="917" spans="1:7" s="103" customFormat="1" x14ac:dyDescent="0.3">
      <c r="A917" s="631">
        <v>45877</v>
      </c>
      <c r="B917" s="631" t="s">
        <v>212</v>
      </c>
      <c r="C917" s="107" t="s">
        <v>17</v>
      </c>
      <c r="D917" s="107" t="s">
        <v>1069</v>
      </c>
      <c r="E917" s="4">
        <v>-123</v>
      </c>
      <c r="F917" s="5" t="s">
        <v>8</v>
      </c>
      <c r="G917" s="108" t="s">
        <v>83</v>
      </c>
    </row>
    <row r="918" spans="1:7" s="103" customFormat="1" x14ac:dyDescent="0.3">
      <c r="A918" s="631">
        <v>45877</v>
      </c>
      <c r="B918" s="631" t="s">
        <v>212</v>
      </c>
      <c r="C918" s="107" t="s">
        <v>17</v>
      </c>
      <c r="D918" s="107" t="s">
        <v>492</v>
      </c>
      <c r="E918" s="4">
        <v>-224.2</v>
      </c>
      <c r="F918" s="5" t="s">
        <v>8</v>
      </c>
      <c r="G918" s="108" t="s">
        <v>83</v>
      </c>
    </row>
    <row r="919" spans="1:7" s="103" customFormat="1" x14ac:dyDescent="0.3">
      <c r="A919" s="631">
        <v>45877</v>
      </c>
      <c r="B919" s="631" t="s">
        <v>212</v>
      </c>
      <c r="C919" s="107" t="s">
        <v>17</v>
      </c>
      <c r="D919" s="107" t="s">
        <v>1070</v>
      </c>
      <c r="E919" s="4">
        <v>-100</v>
      </c>
      <c r="F919" s="5" t="s">
        <v>8</v>
      </c>
      <c r="G919" s="108" t="s">
        <v>83</v>
      </c>
    </row>
    <row r="920" spans="1:7" s="103" customFormat="1" x14ac:dyDescent="0.3">
      <c r="A920" s="631">
        <v>45877</v>
      </c>
      <c r="B920" s="631" t="s">
        <v>212</v>
      </c>
      <c r="C920" s="107" t="s">
        <v>17</v>
      </c>
      <c r="D920" s="107" t="s">
        <v>1068</v>
      </c>
      <c r="E920" s="4">
        <v>-123</v>
      </c>
      <c r="F920" s="5" t="s">
        <v>8</v>
      </c>
      <c r="G920" s="108" t="s">
        <v>83</v>
      </c>
    </row>
    <row r="921" spans="1:7" s="103" customFormat="1" x14ac:dyDescent="0.3">
      <c r="A921" s="631">
        <v>45877</v>
      </c>
      <c r="B921" s="631" t="s">
        <v>212</v>
      </c>
      <c r="C921" s="107" t="s">
        <v>17</v>
      </c>
      <c r="D921" s="107" t="s">
        <v>469</v>
      </c>
      <c r="E921" s="4">
        <v>-486</v>
      </c>
      <c r="F921" s="5" t="s">
        <v>8</v>
      </c>
      <c r="G921" s="108" t="s">
        <v>83</v>
      </c>
    </row>
    <row r="922" spans="1:7" s="103" customFormat="1" x14ac:dyDescent="0.3">
      <c r="A922" s="631">
        <v>45877</v>
      </c>
      <c r="B922" s="631" t="s">
        <v>212</v>
      </c>
      <c r="C922" s="107" t="s">
        <v>25</v>
      </c>
      <c r="D922" s="107" t="s">
        <v>638</v>
      </c>
      <c r="E922" s="4">
        <v>-5600</v>
      </c>
      <c r="F922" s="108" t="s">
        <v>8</v>
      </c>
      <c r="G922" s="108" t="s">
        <v>189</v>
      </c>
    </row>
    <row r="923" spans="1:7" s="103" customFormat="1" x14ac:dyDescent="0.3">
      <c r="A923" s="106">
        <v>45877</v>
      </c>
      <c r="B923" s="631" t="s">
        <v>212</v>
      </c>
      <c r="C923" s="553" t="s">
        <v>31</v>
      </c>
      <c r="D923" s="107" t="s">
        <v>644</v>
      </c>
      <c r="E923" s="4">
        <v>-1000</v>
      </c>
      <c r="F923" s="108" t="s">
        <v>8</v>
      </c>
      <c r="G923" s="108" t="s">
        <v>189</v>
      </c>
    </row>
    <row r="924" spans="1:7" s="103" customFormat="1" x14ac:dyDescent="0.3">
      <c r="A924" s="106">
        <v>45877</v>
      </c>
      <c r="B924" s="631" t="s">
        <v>212</v>
      </c>
      <c r="C924" s="553" t="s">
        <v>106</v>
      </c>
      <c r="D924" s="107" t="s">
        <v>639</v>
      </c>
      <c r="E924" s="4">
        <v>-2000</v>
      </c>
      <c r="F924" s="108" t="s">
        <v>8</v>
      </c>
      <c r="G924" s="108" t="s">
        <v>189</v>
      </c>
    </row>
    <row r="925" spans="1:7" s="103" customFormat="1" x14ac:dyDescent="0.3">
      <c r="A925" s="631">
        <v>45877</v>
      </c>
      <c r="B925" s="631" t="s">
        <v>212</v>
      </c>
      <c r="C925" s="107" t="s">
        <v>72</v>
      </c>
      <c r="D925" s="107" t="s">
        <v>1151</v>
      </c>
      <c r="E925" s="4">
        <v>-100</v>
      </c>
      <c r="F925" s="5" t="s">
        <v>8</v>
      </c>
      <c r="G925" s="108" t="s">
        <v>1150</v>
      </c>
    </row>
    <row r="926" spans="1:7" s="103" customFormat="1" x14ac:dyDescent="0.3">
      <c r="A926" s="631">
        <v>45877</v>
      </c>
      <c r="B926" s="631" t="s">
        <v>212</v>
      </c>
      <c r="C926" s="107" t="s">
        <v>72</v>
      </c>
      <c r="D926" s="107" t="s">
        <v>1157</v>
      </c>
      <c r="E926" s="4">
        <v>-1500</v>
      </c>
      <c r="F926" s="108" t="s">
        <v>8</v>
      </c>
      <c r="G926" s="108" t="s">
        <v>59</v>
      </c>
    </row>
    <row r="927" spans="1:7" s="103" customFormat="1" x14ac:dyDescent="0.3">
      <c r="A927" s="106">
        <v>45877</v>
      </c>
      <c r="B927" s="631" t="s">
        <v>212</v>
      </c>
      <c r="C927" s="553" t="s">
        <v>106</v>
      </c>
      <c r="D927" s="107" t="s">
        <v>1158</v>
      </c>
      <c r="E927" s="4">
        <v>-20.76</v>
      </c>
      <c r="F927" s="108" t="s">
        <v>8</v>
      </c>
      <c r="G927" s="108" t="s">
        <v>19</v>
      </c>
    </row>
    <row r="928" spans="1:7" x14ac:dyDescent="0.3">
      <c r="E928" s="442">
        <f>SUM(E908:E927)</f>
        <v>-41104.490000000005</v>
      </c>
    </row>
    <row r="935" spans="1:7" x14ac:dyDescent="0.3">
      <c r="A935" s="918" t="s">
        <v>1206</v>
      </c>
      <c r="B935" s="918"/>
      <c r="C935" s="918"/>
      <c r="D935" s="918"/>
      <c r="E935" s="918"/>
      <c r="F935" s="918"/>
      <c r="G935" s="918"/>
    </row>
    <row r="936" spans="1:7" ht="42.6" customHeight="1" x14ac:dyDescent="0.3">
      <c r="A936" s="918"/>
      <c r="B936" s="918"/>
      <c r="C936" s="918"/>
      <c r="D936" s="918"/>
      <c r="E936" s="918"/>
      <c r="F936" s="918"/>
      <c r="G936" s="918"/>
    </row>
    <row r="937" spans="1:7" s="32" customFormat="1" x14ac:dyDescent="0.3">
      <c r="A937" s="631" t="s">
        <v>0</v>
      </c>
      <c r="B937" s="275" t="s">
        <v>210</v>
      </c>
      <c r="C937" s="200" t="s">
        <v>1</v>
      </c>
      <c r="D937" s="124" t="s">
        <v>2</v>
      </c>
      <c r="E937" s="129" t="s">
        <v>3</v>
      </c>
      <c r="F937" s="137" t="s">
        <v>4</v>
      </c>
      <c r="G937" s="311" t="s">
        <v>5</v>
      </c>
    </row>
    <row r="938" spans="1:7" s="32" customFormat="1" x14ac:dyDescent="0.3">
      <c r="A938" s="631">
        <v>45881</v>
      </c>
      <c r="B938" s="275" t="s">
        <v>212</v>
      </c>
      <c r="C938" s="272" t="s">
        <v>31</v>
      </c>
      <c r="D938" s="272" t="s">
        <v>1205</v>
      </c>
      <c r="E938" s="629">
        <v>-1000</v>
      </c>
      <c r="F938" s="110" t="s">
        <v>8</v>
      </c>
      <c r="G938" s="137" t="s">
        <v>59</v>
      </c>
    </row>
    <row r="939" spans="1:7" s="32" customFormat="1" x14ac:dyDescent="0.3">
      <c r="A939" s="631">
        <v>45881</v>
      </c>
      <c r="B939" s="275" t="s">
        <v>212</v>
      </c>
      <c r="C939" s="272" t="s">
        <v>31</v>
      </c>
      <c r="D939" s="272" t="s">
        <v>1204</v>
      </c>
      <c r="E939" s="629">
        <v>-1000</v>
      </c>
      <c r="F939" s="110" t="s">
        <v>8</v>
      </c>
      <c r="G939" s="137" t="s">
        <v>59</v>
      </c>
    </row>
    <row r="940" spans="1:7" s="32" customFormat="1" x14ac:dyDescent="0.3">
      <c r="A940" s="631">
        <v>45881</v>
      </c>
      <c r="B940" s="631" t="s">
        <v>212</v>
      </c>
      <c r="C940" s="107" t="s">
        <v>31</v>
      </c>
      <c r="D940" s="107" t="s">
        <v>1179</v>
      </c>
      <c r="E940" s="111">
        <v>-266</v>
      </c>
      <c r="F940" s="110" t="s">
        <v>8</v>
      </c>
      <c r="G940" s="108" t="s">
        <v>83</v>
      </c>
    </row>
    <row r="941" spans="1:7" s="32" customFormat="1" x14ac:dyDescent="0.3">
      <c r="A941" s="631">
        <v>45881</v>
      </c>
      <c r="B941" s="631" t="s">
        <v>212</v>
      </c>
      <c r="C941" s="107" t="s">
        <v>44</v>
      </c>
      <c r="D941" s="107" t="s">
        <v>1180</v>
      </c>
      <c r="E941" s="111">
        <v>-140</v>
      </c>
      <c r="F941" s="110" t="s">
        <v>8</v>
      </c>
      <c r="G941" s="108" t="s">
        <v>83</v>
      </c>
    </row>
    <row r="942" spans="1:7" s="32" customFormat="1" x14ac:dyDescent="0.3">
      <c r="A942" s="631">
        <v>45881</v>
      </c>
      <c r="B942" s="631" t="s">
        <v>212</v>
      </c>
      <c r="C942" s="107" t="s">
        <v>17</v>
      </c>
      <c r="D942" s="107" t="s">
        <v>1181</v>
      </c>
      <c r="E942" s="565">
        <v>-114.48</v>
      </c>
      <c r="F942" s="110" t="s">
        <v>8</v>
      </c>
      <c r="G942" s="108" t="s">
        <v>76</v>
      </c>
    </row>
    <row r="943" spans="1:7" s="32" customFormat="1" x14ac:dyDescent="0.3">
      <c r="A943" s="98">
        <v>45881</v>
      </c>
      <c r="B943" s="275" t="s">
        <v>212</v>
      </c>
      <c r="C943" s="109" t="s">
        <v>44</v>
      </c>
      <c r="D943" s="99" t="s">
        <v>1178</v>
      </c>
      <c r="E943" s="100">
        <v>-1035.44</v>
      </c>
      <c r="F943" s="137" t="s">
        <v>8</v>
      </c>
      <c r="G943" s="105" t="s">
        <v>207</v>
      </c>
    </row>
    <row r="944" spans="1:7" s="32" customFormat="1" x14ac:dyDescent="0.3">
      <c r="D944" s="421"/>
      <c r="E944" s="643">
        <f>SUM(E938:E943)</f>
        <v>-3555.92</v>
      </c>
      <c r="F944" s="421"/>
    </row>
    <row r="950" spans="1:7" x14ac:dyDescent="0.3">
      <c r="A950" s="918" t="s">
        <v>1207</v>
      </c>
      <c r="B950" s="918"/>
      <c r="C950" s="918"/>
      <c r="D950" s="918"/>
      <c r="E950" s="918"/>
      <c r="F950" s="918"/>
      <c r="G950" s="918"/>
    </row>
    <row r="951" spans="1:7" ht="38.4" customHeight="1" x14ac:dyDescent="0.3">
      <c r="A951" s="918"/>
      <c r="B951" s="918"/>
      <c r="C951" s="918"/>
      <c r="D951" s="918"/>
      <c r="E951" s="918"/>
      <c r="F951" s="918"/>
      <c r="G951" s="918"/>
    </row>
    <row r="952" spans="1:7" x14ac:dyDescent="0.3">
      <c r="A952" s="631" t="s">
        <v>0</v>
      </c>
      <c r="B952" s="275" t="s">
        <v>210</v>
      </c>
      <c r="C952" s="200" t="s">
        <v>1</v>
      </c>
      <c r="D952" s="124" t="s">
        <v>2</v>
      </c>
      <c r="E952" s="129" t="s">
        <v>3</v>
      </c>
      <c r="F952" s="137" t="s">
        <v>4</v>
      </c>
      <c r="G952" s="311" t="s">
        <v>5</v>
      </c>
    </row>
    <row r="953" spans="1:7" x14ac:dyDescent="0.3">
      <c r="A953" s="106">
        <v>45880</v>
      </c>
      <c r="B953" s="631" t="s">
        <v>212</v>
      </c>
      <c r="C953" s="553" t="s">
        <v>32</v>
      </c>
      <c r="D953" s="107" t="s">
        <v>1170</v>
      </c>
      <c r="E953" s="4">
        <v>-394.62</v>
      </c>
      <c r="F953" s="5" t="s">
        <v>8</v>
      </c>
      <c r="G953" s="108" t="s">
        <v>49</v>
      </c>
    </row>
    <row r="954" spans="1:7" x14ac:dyDescent="0.3">
      <c r="A954" s="106">
        <v>45880</v>
      </c>
      <c r="B954" s="631" t="s">
        <v>212</v>
      </c>
      <c r="C954" s="107" t="s">
        <v>31</v>
      </c>
      <c r="D954" s="107" t="s">
        <v>1098</v>
      </c>
      <c r="E954" s="4">
        <v>-494.62</v>
      </c>
      <c r="F954" s="5" t="s">
        <v>8</v>
      </c>
      <c r="G954" s="634" t="s">
        <v>51</v>
      </c>
    </row>
    <row r="955" spans="1:7" x14ac:dyDescent="0.3">
      <c r="A955" s="106">
        <v>45880</v>
      </c>
      <c r="B955" s="631" t="s">
        <v>212</v>
      </c>
      <c r="C955" s="107" t="s">
        <v>6</v>
      </c>
      <c r="D955" s="107" t="s">
        <v>1098</v>
      </c>
      <c r="E955" s="4">
        <v>-883.25</v>
      </c>
      <c r="F955" s="5" t="s">
        <v>8</v>
      </c>
      <c r="G955" s="634" t="s">
        <v>51</v>
      </c>
    </row>
    <row r="956" spans="1:7" x14ac:dyDescent="0.3">
      <c r="A956" s="106">
        <v>45880</v>
      </c>
      <c r="B956" s="631" t="s">
        <v>212</v>
      </c>
      <c r="C956" s="107" t="s">
        <v>44</v>
      </c>
      <c r="D956" s="107" t="s">
        <v>1098</v>
      </c>
      <c r="E956" s="4">
        <v>-847.92</v>
      </c>
      <c r="F956" s="5" t="s">
        <v>8</v>
      </c>
      <c r="G956" s="634" t="s">
        <v>51</v>
      </c>
    </row>
    <row r="957" spans="1:7" x14ac:dyDescent="0.3">
      <c r="A957" s="106">
        <v>45880</v>
      </c>
      <c r="B957" s="631" t="s">
        <v>212</v>
      </c>
      <c r="C957" s="107" t="s">
        <v>25</v>
      </c>
      <c r="D957" s="107" t="s">
        <v>1098</v>
      </c>
      <c r="E957" s="4">
        <v>-1872.49</v>
      </c>
      <c r="F957" s="5" t="s">
        <v>8</v>
      </c>
      <c r="G957" s="634" t="s">
        <v>51</v>
      </c>
    </row>
    <row r="958" spans="1:7" x14ac:dyDescent="0.3">
      <c r="A958" s="106">
        <v>45880</v>
      </c>
      <c r="B958" s="631" t="s">
        <v>212</v>
      </c>
      <c r="C958" s="107" t="s">
        <v>33</v>
      </c>
      <c r="D958" s="107" t="s">
        <v>1098</v>
      </c>
      <c r="E958" s="4">
        <v>-600.61</v>
      </c>
      <c r="F958" s="5" t="s">
        <v>8</v>
      </c>
      <c r="G958" s="634" t="s">
        <v>51</v>
      </c>
    </row>
    <row r="959" spans="1:7" x14ac:dyDescent="0.3">
      <c r="A959" s="106">
        <v>45880</v>
      </c>
      <c r="B959" s="631" t="s">
        <v>212</v>
      </c>
      <c r="C959" s="107" t="s">
        <v>106</v>
      </c>
      <c r="D959" s="107" t="s">
        <v>1098</v>
      </c>
      <c r="E959" s="4">
        <v>-671.27</v>
      </c>
      <c r="F959" s="5" t="s">
        <v>8</v>
      </c>
      <c r="G959" s="634" t="s">
        <v>51</v>
      </c>
    </row>
    <row r="960" spans="1:7" x14ac:dyDescent="0.3">
      <c r="A960" s="106">
        <v>45880</v>
      </c>
      <c r="B960" s="631" t="s">
        <v>212</v>
      </c>
      <c r="C960" s="107" t="s">
        <v>32</v>
      </c>
      <c r="D960" s="107" t="s">
        <v>1098</v>
      </c>
      <c r="E960" s="4">
        <v>-1236.55</v>
      </c>
      <c r="F960" s="5" t="s">
        <v>8</v>
      </c>
      <c r="G960" s="634" t="s">
        <v>51</v>
      </c>
    </row>
    <row r="961" spans="1:7" x14ac:dyDescent="0.3">
      <c r="A961" s="106">
        <v>45880</v>
      </c>
      <c r="B961" s="631" t="s">
        <v>212</v>
      </c>
      <c r="C961" s="107" t="s">
        <v>72</v>
      </c>
      <c r="D961" s="107" t="s">
        <v>1098</v>
      </c>
      <c r="E961" s="4">
        <v>-812.59</v>
      </c>
      <c r="F961" s="5" t="s">
        <v>8</v>
      </c>
      <c r="G961" s="634" t="s">
        <v>51</v>
      </c>
    </row>
    <row r="962" spans="1:7" x14ac:dyDescent="0.3">
      <c r="A962" s="106">
        <v>45880</v>
      </c>
      <c r="B962" s="631" t="s">
        <v>212</v>
      </c>
      <c r="C962" s="107" t="s">
        <v>17</v>
      </c>
      <c r="D962" s="107" t="s">
        <v>1098</v>
      </c>
      <c r="E962" s="4">
        <v>-1059.9000000000001</v>
      </c>
      <c r="F962" s="5" t="s">
        <v>8</v>
      </c>
      <c r="G962" s="634" t="s">
        <v>51</v>
      </c>
    </row>
    <row r="963" spans="1:7" x14ac:dyDescent="0.3">
      <c r="A963" s="631">
        <v>45880</v>
      </c>
      <c r="B963" s="631" t="s">
        <v>212</v>
      </c>
      <c r="C963" s="558" t="s">
        <v>6</v>
      </c>
      <c r="D963" s="558" t="s">
        <v>52</v>
      </c>
      <c r="E963" s="4">
        <v>-325.11</v>
      </c>
      <c r="F963" s="5" t="s">
        <v>8</v>
      </c>
      <c r="G963" s="634" t="s">
        <v>53</v>
      </c>
    </row>
    <row r="964" spans="1:7" x14ac:dyDescent="0.3">
      <c r="A964" s="631">
        <v>45880</v>
      </c>
      <c r="B964" s="631" t="s">
        <v>212</v>
      </c>
      <c r="C964" s="558" t="s">
        <v>17</v>
      </c>
      <c r="D964" s="558" t="s">
        <v>1176</v>
      </c>
      <c r="E964" s="641">
        <v>-10500</v>
      </c>
      <c r="F964" s="5" t="s">
        <v>8</v>
      </c>
      <c r="G964" s="634" t="s">
        <v>57</v>
      </c>
    </row>
    <row r="965" spans="1:7" x14ac:dyDescent="0.3">
      <c r="A965" s="631">
        <v>45880</v>
      </c>
      <c r="B965" s="631" t="s">
        <v>212</v>
      </c>
      <c r="C965" s="558" t="s">
        <v>31</v>
      </c>
      <c r="D965" s="558" t="s">
        <v>1177</v>
      </c>
      <c r="E965" s="641">
        <v>-1000</v>
      </c>
      <c r="F965" s="5" t="s">
        <v>8</v>
      </c>
      <c r="G965" s="634" t="s">
        <v>59</v>
      </c>
    </row>
    <row r="966" spans="1:7" x14ac:dyDescent="0.3">
      <c r="A966" s="631">
        <v>45880</v>
      </c>
      <c r="B966" s="631" t="s">
        <v>212</v>
      </c>
      <c r="C966" s="558" t="s">
        <v>31</v>
      </c>
      <c r="D966" s="558" t="s">
        <v>60</v>
      </c>
      <c r="E966" s="641">
        <v>-9000</v>
      </c>
      <c r="F966" s="5" t="s">
        <v>8</v>
      </c>
      <c r="G966" s="634" t="s">
        <v>59</v>
      </c>
    </row>
    <row r="967" spans="1:7" x14ac:dyDescent="0.3">
      <c r="A967" s="631">
        <v>45880</v>
      </c>
      <c r="B967" s="631" t="s">
        <v>212</v>
      </c>
      <c r="C967" s="558" t="s">
        <v>44</v>
      </c>
      <c r="D967" s="558" t="s">
        <v>61</v>
      </c>
      <c r="E967" s="641">
        <v>-9146.82</v>
      </c>
      <c r="F967" s="634" t="s">
        <v>8</v>
      </c>
      <c r="G967" s="634" t="s">
        <v>62</v>
      </c>
    </row>
    <row r="968" spans="1:7" x14ac:dyDescent="0.3">
      <c r="A968" s="631">
        <v>45880</v>
      </c>
      <c r="B968" s="631" t="s">
        <v>212</v>
      </c>
      <c r="C968" s="558" t="s">
        <v>6</v>
      </c>
      <c r="D968" s="558" t="s">
        <v>1172</v>
      </c>
      <c r="E968" s="4">
        <v>-4812.22</v>
      </c>
      <c r="F968" s="5" t="s">
        <v>8</v>
      </c>
      <c r="G968" s="634" t="s">
        <v>64</v>
      </c>
    </row>
    <row r="969" spans="1:7" x14ac:dyDescent="0.3">
      <c r="A969" s="631">
        <v>45880</v>
      </c>
      <c r="B969" s="631" t="s">
        <v>212</v>
      </c>
      <c r="C969" s="642" t="s">
        <v>65</v>
      </c>
      <c r="D969" s="558" t="s">
        <v>509</v>
      </c>
      <c r="E969" s="641">
        <v>-441.64</v>
      </c>
      <c r="F969" s="5" t="s">
        <v>8</v>
      </c>
      <c r="G969" s="634" t="s">
        <v>39</v>
      </c>
    </row>
    <row r="970" spans="1:7" x14ac:dyDescent="0.3">
      <c r="A970" s="631">
        <v>45880</v>
      </c>
      <c r="B970" s="631" t="s">
        <v>212</v>
      </c>
      <c r="C970" s="642" t="s">
        <v>67</v>
      </c>
      <c r="D970" s="558" t="s">
        <v>68</v>
      </c>
      <c r="E970" s="4">
        <v>-250.27</v>
      </c>
      <c r="F970" s="5" t="s">
        <v>8</v>
      </c>
      <c r="G970" s="634" t="s">
        <v>69</v>
      </c>
    </row>
    <row r="971" spans="1:7" x14ac:dyDescent="0.3">
      <c r="A971" s="631">
        <v>45880</v>
      </c>
      <c r="B971" s="631" t="s">
        <v>212</v>
      </c>
      <c r="C971" s="107" t="s">
        <v>17</v>
      </c>
      <c r="D971" s="107" t="s">
        <v>1171</v>
      </c>
      <c r="E971" s="4">
        <v>-61.41</v>
      </c>
      <c r="F971" s="5" t="s">
        <v>8</v>
      </c>
      <c r="G971" s="108" t="s">
        <v>233</v>
      </c>
    </row>
    <row r="972" spans="1:7" x14ac:dyDescent="0.3">
      <c r="A972" s="631">
        <v>45880</v>
      </c>
      <c r="B972" s="631" t="s">
        <v>212</v>
      </c>
      <c r="C972" s="107" t="s">
        <v>44</v>
      </c>
      <c r="D972" s="107" t="s">
        <v>1173</v>
      </c>
      <c r="E972" s="4">
        <v>-1538</v>
      </c>
      <c r="F972" s="5" t="s">
        <v>8</v>
      </c>
      <c r="G972" s="108" t="s">
        <v>233</v>
      </c>
    </row>
    <row r="973" spans="1:7" x14ac:dyDescent="0.3">
      <c r="A973" s="631">
        <v>45880</v>
      </c>
      <c r="B973" s="631" t="s">
        <v>212</v>
      </c>
      <c r="C973" s="107" t="s">
        <v>72</v>
      </c>
      <c r="D973" s="107" t="s">
        <v>1175</v>
      </c>
      <c r="E973" s="4">
        <v>-1168.2</v>
      </c>
      <c r="F973" s="5" t="s">
        <v>8</v>
      </c>
      <c r="G973" s="108" t="s">
        <v>233</v>
      </c>
    </row>
    <row r="974" spans="1:7" x14ac:dyDescent="0.3">
      <c r="A974" s="631">
        <v>45880</v>
      </c>
      <c r="B974" s="631" t="s">
        <v>212</v>
      </c>
      <c r="C974" s="107" t="s">
        <v>6</v>
      </c>
      <c r="D974" s="107" t="s">
        <v>1099</v>
      </c>
      <c r="E974" s="4">
        <v>-2500</v>
      </c>
      <c r="F974" s="5" t="s">
        <v>8</v>
      </c>
      <c r="G974" s="108" t="s">
        <v>189</v>
      </c>
    </row>
    <row r="975" spans="1:7" x14ac:dyDescent="0.3">
      <c r="A975" s="631">
        <v>45880</v>
      </c>
      <c r="B975" s="631" t="s">
        <v>212</v>
      </c>
      <c r="C975" s="107" t="s">
        <v>17</v>
      </c>
      <c r="D975" s="107" t="s">
        <v>1100</v>
      </c>
      <c r="E975" s="4">
        <v>-2500</v>
      </c>
      <c r="F975" s="5" t="s">
        <v>8</v>
      </c>
      <c r="G975" s="108" t="s">
        <v>189</v>
      </c>
    </row>
    <row r="976" spans="1:7" x14ac:dyDescent="0.3">
      <c r="A976" s="631">
        <v>45880</v>
      </c>
      <c r="B976" s="631" t="s">
        <v>212</v>
      </c>
      <c r="C976" s="107" t="s">
        <v>44</v>
      </c>
      <c r="D976" s="107" t="s">
        <v>1174</v>
      </c>
      <c r="E976" s="4">
        <v>-46.64</v>
      </c>
      <c r="F976" s="5" t="s">
        <v>8</v>
      </c>
      <c r="G976" s="108" t="s">
        <v>207</v>
      </c>
    </row>
    <row r="977" spans="1:7" x14ac:dyDescent="0.3">
      <c r="A977" s="631">
        <v>45880</v>
      </c>
      <c r="B977" s="631" t="s">
        <v>212</v>
      </c>
      <c r="C977" s="107" t="s">
        <v>17</v>
      </c>
      <c r="D977" s="107" t="s">
        <v>1161</v>
      </c>
      <c r="E977" s="4">
        <v>-184.5</v>
      </c>
      <c r="F977" s="5" t="s">
        <v>8</v>
      </c>
      <c r="G977" s="108" t="s">
        <v>83</v>
      </c>
    </row>
    <row r="978" spans="1:7" x14ac:dyDescent="0.3">
      <c r="A978" s="631">
        <v>45880</v>
      </c>
      <c r="B978" s="631" t="s">
        <v>212</v>
      </c>
      <c r="C978" s="107" t="s">
        <v>17</v>
      </c>
      <c r="D978" s="107" t="s">
        <v>1162</v>
      </c>
      <c r="E978" s="4">
        <v>-313</v>
      </c>
      <c r="F978" s="5" t="s">
        <v>8</v>
      </c>
      <c r="G978" s="108" t="s">
        <v>83</v>
      </c>
    </row>
    <row r="979" spans="1:7" x14ac:dyDescent="0.3">
      <c r="A979" s="631">
        <v>45880</v>
      </c>
      <c r="B979" s="631" t="s">
        <v>212</v>
      </c>
      <c r="C979" s="107" t="s">
        <v>17</v>
      </c>
      <c r="D979" s="107" t="s">
        <v>1163</v>
      </c>
      <c r="E979" s="4">
        <v>-74</v>
      </c>
      <c r="F979" s="5" t="s">
        <v>8</v>
      </c>
      <c r="G979" s="108" t="s">
        <v>83</v>
      </c>
    </row>
    <row r="980" spans="1:7" x14ac:dyDescent="0.3">
      <c r="A980" s="631">
        <v>45880</v>
      </c>
      <c r="B980" s="631" t="s">
        <v>212</v>
      </c>
      <c r="C980" s="107" t="s">
        <v>17</v>
      </c>
      <c r="D980" s="107" t="s">
        <v>1164</v>
      </c>
      <c r="E980" s="4">
        <v>-190</v>
      </c>
      <c r="F980" s="5" t="s">
        <v>8</v>
      </c>
      <c r="G980" s="108" t="s">
        <v>83</v>
      </c>
    </row>
    <row r="981" spans="1:7" x14ac:dyDescent="0.3">
      <c r="A981" s="631">
        <v>45880</v>
      </c>
      <c r="B981" s="631" t="s">
        <v>212</v>
      </c>
      <c r="C981" s="107" t="s">
        <v>31</v>
      </c>
      <c r="D981" s="107" t="s">
        <v>1165</v>
      </c>
      <c r="E981" s="4">
        <v>-90</v>
      </c>
      <c r="F981" s="5" t="s">
        <v>8</v>
      </c>
      <c r="G981" s="108" t="s">
        <v>51</v>
      </c>
    </row>
    <row r="982" spans="1:7" x14ac:dyDescent="0.3">
      <c r="A982" s="631">
        <v>45880</v>
      </c>
      <c r="B982" s="631" t="s">
        <v>212</v>
      </c>
      <c r="C982" s="107" t="s">
        <v>25</v>
      </c>
      <c r="D982" s="107" t="s">
        <v>1166</v>
      </c>
      <c r="E982" s="4">
        <v>-341.24</v>
      </c>
      <c r="F982" s="5" t="s">
        <v>8</v>
      </c>
      <c r="G982" s="108" t="s">
        <v>389</v>
      </c>
    </row>
    <row r="983" spans="1:7" x14ac:dyDescent="0.3">
      <c r="A983" s="631">
        <v>45880</v>
      </c>
      <c r="B983" s="631" t="s">
        <v>212</v>
      </c>
      <c r="C983" s="107" t="s">
        <v>33</v>
      </c>
      <c r="D983" s="107" t="s">
        <v>1167</v>
      </c>
      <c r="E983" s="4">
        <v>-195.38</v>
      </c>
      <c r="F983" s="5" t="s">
        <v>8</v>
      </c>
      <c r="G983" s="108" t="s">
        <v>389</v>
      </c>
    </row>
    <row r="984" spans="1:7" x14ac:dyDescent="0.3">
      <c r="A984" s="631">
        <v>45880</v>
      </c>
      <c r="B984" s="631" t="s">
        <v>212</v>
      </c>
      <c r="C984" s="107" t="s">
        <v>72</v>
      </c>
      <c r="D984" s="107" t="s">
        <v>1168</v>
      </c>
      <c r="E984" s="4">
        <v>-489.49</v>
      </c>
      <c r="F984" s="5" t="s">
        <v>8</v>
      </c>
      <c r="G984" s="108" t="s">
        <v>1169</v>
      </c>
    </row>
    <row r="985" spans="1:7" x14ac:dyDescent="0.3">
      <c r="A985" s="631">
        <v>45880</v>
      </c>
      <c r="B985" s="631" t="s">
        <v>212</v>
      </c>
      <c r="C985" s="107" t="s">
        <v>17</v>
      </c>
      <c r="D985" s="107" t="s">
        <v>490</v>
      </c>
      <c r="E985" s="4">
        <v>-89.28</v>
      </c>
      <c r="F985" s="5" t="s">
        <v>8</v>
      </c>
      <c r="G985" s="108" t="s">
        <v>76</v>
      </c>
    </row>
    <row r="986" spans="1:7" x14ac:dyDescent="0.3">
      <c r="A986" s="631">
        <v>45880</v>
      </c>
      <c r="B986" s="631" t="s">
        <v>212</v>
      </c>
      <c r="C986" s="558" t="s">
        <v>13</v>
      </c>
      <c r="D986" s="107" t="s">
        <v>892</v>
      </c>
      <c r="E986" s="4">
        <v>-30918.3</v>
      </c>
      <c r="F986" s="5" t="s">
        <v>8</v>
      </c>
      <c r="G986" s="108" t="s">
        <v>27</v>
      </c>
    </row>
    <row r="987" spans="1:7" x14ac:dyDescent="0.3">
      <c r="E987" s="442">
        <f>SUM(E953:E986)</f>
        <v>-85049.319999999992</v>
      </c>
    </row>
    <row r="991" spans="1:7" x14ac:dyDescent="0.3">
      <c r="A991" s="918" t="s">
        <v>1223</v>
      </c>
      <c r="B991" s="918"/>
      <c r="C991" s="918"/>
      <c r="D991" s="918"/>
      <c r="E991" s="918"/>
      <c r="F991" s="918"/>
      <c r="G991" s="918"/>
    </row>
    <row r="992" spans="1:7" ht="42.6" customHeight="1" x14ac:dyDescent="0.3">
      <c r="A992" s="918"/>
      <c r="B992" s="918"/>
      <c r="C992" s="918"/>
      <c r="D992" s="918"/>
      <c r="E992" s="918"/>
      <c r="F992" s="918"/>
      <c r="G992" s="918"/>
    </row>
    <row r="993" spans="1:7" x14ac:dyDescent="0.3">
      <c r="A993" s="631" t="s">
        <v>0</v>
      </c>
      <c r="B993" s="275" t="s">
        <v>1209</v>
      </c>
      <c r="C993" s="200" t="s">
        <v>1</v>
      </c>
      <c r="D993" s="124" t="s">
        <v>2</v>
      </c>
      <c r="E993" s="129" t="s">
        <v>3</v>
      </c>
      <c r="F993" s="137" t="s">
        <v>4</v>
      </c>
      <c r="G993" s="311" t="s">
        <v>5</v>
      </c>
    </row>
    <row r="994" spans="1:7" s="103" customFormat="1" x14ac:dyDescent="0.3">
      <c r="A994" s="275">
        <v>45882</v>
      </c>
      <c r="B994" s="275" t="s">
        <v>212</v>
      </c>
      <c r="C994" s="99" t="s">
        <v>72</v>
      </c>
      <c r="D994" s="99" t="s">
        <v>1213</v>
      </c>
      <c r="E994" s="100">
        <v>-115</v>
      </c>
      <c r="F994" s="110" t="s">
        <v>8</v>
      </c>
      <c r="G994" s="105" t="s">
        <v>207</v>
      </c>
    </row>
    <row r="995" spans="1:7" s="103" customFormat="1" x14ac:dyDescent="0.3">
      <c r="A995" s="631">
        <v>45882</v>
      </c>
      <c r="B995" s="631" t="s">
        <v>212</v>
      </c>
      <c r="C995" s="107" t="s">
        <v>25</v>
      </c>
      <c r="D995" s="107" t="s">
        <v>382</v>
      </c>
      <c r="E995" s="4">
        <v>-1094.46</v>
      </c>
      <c r="F995" s="5" t="s">
        <v>8</v>
      </c>
      <c r="G995" s="108" t="s">
        <v>76</v>
      </c>
    </row>
    <row r="996" spans="1:7" s="103" customFormat="1" x14ac:dyDescent="0.3">
      <c r="A996" s="631">
        <v>45882</v>
      </c>
      <c r="B996" s="631" t="s">
        <v>212</v>
      </c>
      <c r="C996" s="107" t="s">
        <v>32</v>
      </c>
      <c r="D996" s="107" t="s">
        <v>1182</v>
      </c>
      <c r="E996" s="4">
        <v>-1645.12</v>
      </c>
      <c r="F996" s="5" t="s">
        <v>8</v>
      </c>
      <c r="G996" s="108" t="s">
        <v>76</v>
      </c>
    </row>
    <row r="997" spans="1:7" s="103" customFormat="1" x14ac:dyDescent="0.3">
      <c r="A997" s="631">
        <v>45882</v>
      </c>
      <c r="B997" s="631" t="s">
        <v>212</v>
      </c>
      <c r="C997" s="107" t="s">
        <v>31</v>
      </c>
      <c r="D997" s="107" t="s">
        <v>1101</v>
      </c>
      <c r="E997" s="4">
        <v>-5416.21</v>
      </c>
      <c r="F997" s="5" t="s">
        <v>8</v>
      </c>
      <c r="G997" s="108" t="s">
        <v>76</v>
      </c>
    </row>
    <row r="998" spans="1:7" s="103" customFormat="1" x14ac:dyDescent="0.3">
      <c r="A998" s="98">
        <v>45882</v>
      </c>
      <c r="B998" s="275" t="s">
        <v>212</v>
      </c>
      <c r="C998" s="109" t="s">
        <v>44</v>
      </c>
      <c r="D998" s="99" t="s">
        <v>1222</v>
      </c>
      <c r="E998" s="100">
        <v>-286.75</v>
      </c>
      <c r="F998" s="137" t="s">
        <v>8</v>
      </c>
      <c r="G998" s="554" t="s">
        <v>142</v>
      </c>
    </row>
    <row r="999" spans="1:7" x14ac:dyDescent="0.3">
      <c r="E999" s="442">
        <f>SUM(E994:E998)</f>
        <v>-8557.5400000000009</v>
      </c>
    </row>
    <row r="1007" spans="1:7" x14ac:dyDescent="0.3">
      <c r="A1007" s="918" t="s">
        <v>1223</v>
      </c>
      <c r="B1007" s="918"/>
      <c r="C1007" s="918"/>
      <c r="D1007" s="918"/>
      <c r="E1007" s="918"/>
      <c r="F1007" s="918"/>
      <c r="G1007" s="918"/>
    </row>
    <row r="1008" spans="1:7" ht="40.200000000000003" customHeight="1" x14ac:dyDescent="0.3">
      <c r="A1008" s="918"/>
      <c r="B1008" s="918"/>
      <c r="C1008" s="918"/>
      <c r="D1008" s="918"/>
      <c r="E1008" s="918"/>
      <c r="F1008" s="918"/>
      <c r="G1008" s="918"/>
    </row>
    <row r="1009" spans="1:8" x14ac:dyDescent="0.3">
      <c r="A1009" s="631" t="s">
        <v>0</v>
      </c>
      <c r="B1009" s="275" t="s">
        <v>1209</v>
      </c>
      <c r="C1009" s="200" t="s">
        <v>1</v>
      </c>
      <c r="D1009" s="124" t="s">
        <v>2</v>
      </c>
      <c r="E1009" s="129" t="s">
        <v>3</v>
      </c>
      <c r="F1009" s="137" t="s">
        <v>4</v>
      </c>
      <c r="G1009" s="311" t="s">
        <v>5</v>
      </c>
    </row>
    <row r="1010" spans="1:8" s="103" customFormat="1" x14ac:dyDescent="0.3">
      <c r="A1010" s="631">
        <v>45883</v>
      </c>
      <c r="B1010" s="631" t="s">
        <v>212</v>
      </c>
      <c r="C1010" s="107" t="s">
        <v>25</v>
      </c>
      <c r="D1010" s="107" t="s">
        <v>1232</v>
      </c>
      <c r="E1010" s="4">
        <v>-252</v>
      </c>
      <c r="F1010" s="108" t="s">
        <v>8</v>
      </c>
      <c r="G1010" s="108" t="s">
        <v>83</v>
      </c>
    </row>
    <row r="1011" spans="1:8" s="103" customFormat="1" x14ac:dyDescent="0.3">
      <c r="A1011" s="631">
        <v>45883</v>
      </c>
      <c r="B1011" s="631" t="s">
        <v>212</v>
      </c>
      <c r="C1011" s="107" t="s">
        <v>25</v>
      </c>
      <c r="D1011" s="107" t="s">
        <v>1184</v>
      </c>
      <c r="E1011" s="4">
        <v>-177</v>
      </c>
      <c r="F1011" s="108" t="s">
        <v>8</v>
      </c>
      <c r="G1011" s="108" t="s">
        <v>83</v>
      </c>
    </row>
    <row r="1012" spans="1:8" s="103" customFormat="1" x14ac:dyDescent="0.3">
      <c r="A1012" s="631">
        <v>45883</v>
      </c>
      <c r="B1012" s="631" t="s">
        <v>212</v>
      </c>
      <c r="C1012" s="107" t="s">
        <v>25</v>
      </c>
      <c r="D1012" s="107" t="s">
        <v>1233</v>
      </c>
      <c r="E1012" s="4">
        <v>-44.87</v>
      </c>
      <c r="F1012" s="108" t="s">
        <v>8</v>
      </c>
      <c r="G1012" s="108" t="s">
        <v>871</v>
      </c>
    </row>
    <row r="1013" spans="1:8" s="103" customFormat="1" x14ac:dyDescent="0.3">
      <c r="A1013" s="631">
        <v>45883</v>
      </c>
      <c r="B1013" s="631" t="s">
        <v>212</v>
      </c>
      <c r="C1013" s="107" t="s">
        <v>31</v>
      </c>
      <c r="D1013" s="107" t="s">
        <v>1101</v>
      </c>
      <c r="E1013" s="4">
        <v>-1118.22</v>
      </c>
      <c r="F1013" s="108" t="s">
        <v>8</v>
      </c>
      <c r="G1013" s="108" t="s">
        <v>76</v>
      </c>
    </row>
    <row r="1014" spans="1:8" s="103" customFormat="1" x14ac:dyDescent="0.3">
      <c r="A1014" s="631">
        <v>45883</v>
      </c>
      <c r="B1014" s="631" t="s">
        <v>212</v>
      </c>
      <c r="C1014" s="107" t="s">
        <v>25</v>
      </c>
      <c r="D1014" s="107" t="s">
        <v>1185</v>
      </c>
      <c r="E1014" s="4">
        <v>-179.46</v>
      </c>
      <c r="F1014" s="108" t="s">
        <v>8</v>
      </c>
      <c r="G1014" s="108" t="s">
        <v>76</v>
      </c>
    </row>
    <row r="1015" spans="1:8" s="640" customFormat="1" ht="12.6" customHeight="1" x14ac:dyDescent="0.3">
      <c r="A1015" s="631">
        <v>45883</v>
      </c>
      <c r="B1015" s="631" t="s">
        <v>212</v>
      </c>
      <c r="C1015" s="107" t="s">
        <v>25</v>
      </c>
      <c r="D1015" s="107" t="s">
        <v>1231</v>
      </c>
      <c r="E1015" s="4">
        <v>-1500</v>
      </c>
      <c r="F1015" s="108" t="s">
        <v>8</v>
      </c>
      <c r="G1015" s="108" t="s">
        <v>15</v>
      </c>
      <c r="H1015" s="5"/>
    </row>
    <row r="1016" spans="1:8" x14ac:dyDescent="0.3">
      <c r="E1016" s="442">
        <f>SUM(E1010:E1015)</f>
        <v>-3271.55</v>
      </c>
    </row>
    <row r="1019" spans="1:8" x14ac:dyDescent="0.3">
      <c r="A1019" s="918" t="s">
        <v>1243</v>
      </c>
      <c r="B1019" s="918"/>
      <c r="C1019" s="918"/>
      <c r="D1019" s="918"/>
      <c r="E1019" s="918"/>
      <c r="F1019" s="918"/>
      <c r="G1019" s="918"/>
    </row>
    <row r="1020" spans="1:8" ht="34.799999999999997" customHeight="1" x14ac:dyDescent="0.3">
      <c r="A1020" s="918"/>
      <c r="B1020" s="918"/>
      <c r="C1020" s="918"/>
      <c r="D1020" s="918"/>
      <c r="E1020" s="918"/>
      <c r="F1020" s="918"/>
      <c r="G1020" s="918"/>
    </row>
    <row r="1021" spans="1:8" x14ac:dyDescent="0.3">
      <c r="A1021" s="631" t="s">
        <v>0</v>
      </c>
      <c r="B1021" s="275" t="s">
        <v>1209</v>
      </c>
      <c r="C1021" s="200" t="s">
        <v>1</v>
      </c>
      <c r="D1021" s="124" t="s">
        <v>2</v>
      </c>
      <c r="E1021" s="129" t="s">
        <v>3</v>
      </c>
      <c r="F1021" s="137" t="s">
        <v>4</v>
      </c>
      <c r="G1021" s="311" t="s">
        <v>5</v>
      </c>
    </row>
    <row r="1022" spans="1:8" x14ac:dyDescent="0.3">
      <c r="A1022" s="532">
        <v>45884</v>
      </c>
      <c r="B1022" s="532" t="s">
        <v>212</v>
      </c>
      <c r="C1022" s="189" t="s">
        <v>44</v>
      </c>
      <c r="D1022" s="124" t="s">
        <v>1244</v>
      </c>
      <c r="E1022" s="666">
        <v>-2161</v>
      </c>
      <c r="F1022" s="137" t="s">
        <v>8</v>
      </c>
      <c r="G1022" s="311" t="s">
        <v>46</v>
      </c>
    </row>
    <row r="1023" spans="1:8" s="71" customFormat="1" x14ac:dyDescent="0.3">
      <c r="A1023" s="532">
        <v>45884</v>
      </c>
      <c r="B1023" s="532" t="s">
        <v>212</v>
      </c>
      <c r="C1023" s="474" t="s">
        <v>6</v>
      </c>
      <c r="D1023" s="537" t="s">
        <v>545</v>
      </c>
      <c r="E1023" s="648">
        <v>-79740.91</v>
      </c>
      <c r="F1023" s="476" t="s">
        <v>8</v>
      </c>
      <c r="G1023" s="476" t="s">
        <v>41</v>
      </c>
    </row>
    <row r="1024" spans="1:8" s="71" customFormat="1" x14ac:dyDescent="0.3">
      <c r="A1024" s="532">
        <v>45884</v>
      </c>
      <c r="B1024" s="532" t="s">
        <v>212</v>
      </c>
      <c r="C1024" s="189" t="s">
        <v>44</v>
      </c>
      <c r="D1024" s="189" t="s">
        <v>1236</v>
      </c>
      <c r="E1024" s="649">
        <v>-363.81</v>
      </c>
      <c r="F1024" s="476" t="s">
        <v>8</v>
      </c>
      <c r="G1024" s="476" t="s">
        <v>41</v>
      </c>
    </row>
    <row r="1025" spans="1:7" s="71" customFormat="1" x14ac:dyDescent="0.3">
      <c r="A1025" s="650">
        <v>45884</v>
      </c>
      <c r="B1025" s="650" t="s">
        <v>212</v>
      </c>
      <c r="C1025" s="637" t="s">
        <v>17</v>
      </c>
      <c r="D1025" s="189" t="s">
        <v>1187</v>
      </c>
      <c r="E1025" s="545">
        <v>-20700</v>
      </c>
      <c r="F1025" s="198" t="s">
        <v>8</v>
      </c>
      <c r="G1025" s="651" t="s">
        <v>79</v>
      </c>
    </row>
    <row r="1026" spans="1:7" s="71" customFormat="1" x14ac:dyDescent="0.3">
      <c r="A1026" s="652">
        <v>45884</v>
      </c>
      <c r="B1026" s="652" t="s">
        <v>212</v>
      </c>
      <c r="C1026" s="637" t="s">
        <v>17</v>
      </c>
      <c r="D1026" s="189" t="s">
        <v>1188</v>
      </c>
      <c r="E1026" s="653">
        <v>-900</v>
      </c>
      <c r="F1026" s="654" t="s">
        <v>8</v>
      </c>
      <c r="G1026" s="655" t="s">
        <v>79</v>
      </c>
    </row>
    <row r="1027" spans="1:7" s="71" customFormat="1" x14ac:dyDescent="0.3">
      <c r="A1027" s="650">
        <v>45884</v>
      </c>
      <c r="B1027" s="650" t="s">
        <v>212</v>
      </c>
      <c r="C1027" s="637" t="s">
        <v>17</v>
      </c>
      <c r="D1027" s="189" t="s">
        <v>1189</v>
      </c>
      <c r="E1027" s="545">
        <v>-14400</v>
      </c>
      <c r="F1027" s="198" t="s">
        <v>8</v>
      </c>
      <c r="G1027" s="651" t="s">
        <v>79</v>
      </c>
    </row>
    <row r="1028" spans="1:7" s="71" customFormat="1" x14ac:dyDescent="0.3">
      <c r="A1028" s="650">
        <v>45884</v>
      </c>
      <c r="B1028" s="650" t="s">
        <v>212</v>
      </c>
      <c r="C1028" s="637" t="s">
        <v>17</v>
      </c>
      <c r="D1028" s="189" t="s">
        <v>1190</v>
      </c>
      <c r="E1028" s="545">
        <v>-3912</v>
      </c>
      <c r="F1028" s="198" t="s">
        <v>8</v>
      </c>
      <c r="G1028" s="651" t="s">
        <v>79</v>
      </c>
    </row>
    <row r="1029" spans="1:7" s="71" customFormat="1" x14ac:dyDescent="0.3">
      <c r="A1029" s="650">
        <v>45884</v>
      </c>
      <c r="B1029" s="650" t="s">
        <v>212</v>
      </c>
      <c r="C1029" s="189" t="s">
        <v>6</v>
      </c>
      <c r="D1029" s="189" t="s">
        <v>525</v>
      </c>
      <c r="E1029" s="190">
        <v>-310.5</v>
      </c>
      <c r="F1029" s="198" t="s">
        <v>8</v>
      </c>
      <c r="G1029" s="191" t="s">
        <v>83</v>
      </c>
    </row>
    <row r="1030" spans="1:7" s="71" customFormat="1" x14ac:dyDescent="0.3">
      <c r="A1030" s="650">
        <v>45884</v>
      </c>
      <c r="B1030" s="650" t="s">
        <v>212</v>
      </c>
      <c r="C1030" s="189" t="s">
        <v>25</v>
      </c>
      <c r="D1030" s="189" t="s">
        <v>454</v>
      </c>
      <c r="E1030" s="190">
        <v>-70.8</v>
      </c>
      <c r="F1030" s="198" t="s">
        <v>8</v>
      </c>
      <c r="G1030" s="191" t="s">
        <v>83</v>
      </c>
    </row>
    <row r="1031" spans="1:7" s="71" customFormat="1" x14ac:dyDescent="0.3">
      <c r="A1031" s="650">
        <v>45884</v>
      </c>
      <c r="B1031" s="650" t="s">
        <v>212</v>
      </c>
      <c r="C1031" s="189" t="s">
        <v>25</v>
      </c>
      <c r="D1031" s="189" t="s">
        <v>392</v>
      </c>
      <c r="E1031" s="190">
        <v>-219.2</v>
      </c>
      <c r="F1031" s="198" t="s">
        <v>8</v>
      </c>
      <c r="G1031" s="191" t="s">
        <v>83</v>
      </c>
    </row>
    <row r="1032" spans="1:7" s="71" customFormat="1" x14ac:dyDescent="0.3">
      <c r="A1032" s="650">
        <v>45884</v>
      </c>
      <c r="B1032" s="650" t="s">
        <v>212</v>
      </c>
      <c r="C1032" s="189" t="s">
        <v>25</v>
      </c>
      <c r="D1032" s="189" t="s">
        <v>826</v>
      </c>
      <c r="E1032" s="190">
        <v>-100</v>
      </c>
      <c r="F1032" s="198" t="s">
        <v>8</v>
      </c>
      <c r="G1032" s="191" t="s">
        <v>83</v>
      </c>
    </row>
    <row r="1033" spans="1:7" s="71" customFormat="1" x14ac:dyDescent="0.3">
      <c r="A1033" s="650">
        <v>45884</v>
      </c>
      <c r="B1033" s="650" t="s">
        <v>212</v>
      </c>
      <c r="C1033" s="189" t="s">
        <v>106</v>
      </c>
      <c r="D1033" s="189" t="s">
        <v>502</v>
      </c>
      <c r="E1033" s="190">
        <v>-445</v>
      </c>
      <c r="F1033" s="198" t="s">
        <v>8</v>
      </c>
      <c r="G1033" s="191" t="s">
        <v>83</v>
      </c>
    </row>
    <row r="1034" spans="1:7" s="71" customFormat="1" x14ac:dyDescent="0.3">
      <c r="A1034" s="650">
        <v>45884</v>
      </c>
      <c r="B1034" s="650" t="s">
        <v>212</v>
      </c>
      <c r="C1034" s="189" t="s">
        <v>106</v>
      </c>
      <c r="D1034" s="189" t="s">
        <v>875</v>
      </c>
      <c r="E1034" s="190">
        <v>-110</v>
      </c>
      <c r="F1034" s="198" t="s">
        <v>8</v>
      </c>
      <c r="G1034" s="191" t="s">
        <v>83</v>
      </c>
    </row>
    <row r="1035" spans="1:7" s="71" customFormat="1" x14ac:dyDescent="0.3">
      <c r="A1035" s="650">
        <v>45884</v>
      </c>
      <c r="B1035" s="650" t="s">
        <v>212</v>
      </c>
      <c r="C1035" s="189" t="s">
        <v>72</v>
      </c>
      <c r="D1035" s="189" t="s">
        <v>526</v>
      </c>
      <c r="E1035" s="190">
        <v>-100</v>
      </c>
      <c r="F1035" s="198" t="s">
        <v>8</v>
      </c>
      <c r="G1035" s="191" t="s">
        <v>83</v>
      </c>
    </row>
    <row r="1036" spans="1:7" s="71" customFormat="1" x14ac:dyDescent="0.3">
      <c r="A1036" s="650">
        <v>45884</v>
      </c>
      <c r="B1036" s="650" t="s">
        <v>212</v>
      </c>
      <c r="C1036" s="189" t="s">
        <v>72</v>
      </c>
      <c r="D1036" s="189" t="s">
        <v>87</v>
      </c>
      <c r="E1036" s="190">
        <v>-226.8</v>
      </c>
      <c r="F1036" s="198" t="s">
        <v>8</v>
      </c>
      <c r="G1036" s="191" t="s">
        <v>83</v>
      </c>
    </row>
    <row r="1037" spans="1:7" s="71" customFormat="1" x14ac:dyDescent="0.3">
      <c r="A1037" s="650">
        <v>45884</v>
      </c>
      <c r="B1037" s="650" t="s">
        <v>212</v>
      </c>
      <c r="C1037" s="189" t="s">
        <v>17</v>
      </c>
      <c r="D1037" s="189" t="s">
        <v>529</v>
      </c>
      <c r="E1037" s="190">
        <v>-275</v>
      </c>
      <c r="F1037" s="198" t="s">
        <v>8</v>
      </c>
      <c r="G1037" s="191" t="s">
        <v>83</v>
      </c>
    </row>
    <row r="1038" spans="1:7" s="71" customFormat="1" x14ac:dyDescent="0.3">
      <c r="A1038" s="650">
        <v>45884</v>
      </c>
      <c r="B1038" s="650" t="s">
        <v>212</v>
      </c>
      <c r="C1038" s="189" t="s">
        <v>17</v>
      </c>
      <c r="D1038" s="189" t="s">
        <v>519</v>
      </c>
      <c r="E1038" s="190">
        <v>-100</v>
      </c>
      <c r="F1038" s="198" t="s">
        <v>8</v>
      </c>
      <c r="G1038" s="191" t="s">
        <v>83</v>
      </c>
    </row>
    <row r="1039" spans="1:7" s="71" customFormat="1" x14ac:dyDescent="0.3">
      <c r="A1039" s="650">
        <v>45884</v>
      </c>
      <c r="B1039" s="650" t="s">
        <v>212</v>
      </c>
      <c r="C1039" s="189" t="s">
        <v>17</v>
      </c>
      <c r="D1039" s="189" t="s">
        <v>85</v>
      </c>
      <c r="E1039" s="190">
        <v>-300</v>
      </c>
      <c r="F1039" s="198" t="s">
        <v>8</v>
      </c>
      <c r="G1039" s="191" t="s">
        <v>83</v>
      </c>
    </row>
    <row r="1040" spans="1:7" s="71" customFormat="1" x14ac:dyDescent="0.3">
      <c r="A1040" s="650">
        <v>45884</v>
      </c>
      <c r="B1040" s="650" t="s">
        <v>212</v>
      </c>
      <c r="C1040" s="189" t="s">
        <v>17</v>
      </c>
      <c r="D1040" s="189" t="s">
        <v>527</v>
      </c>
      <c r="E1040" s="190">
        <v>-249.9</v>
      </c>
      <c r="F1040" s="198" t="s">
        <v>8</v>
      </c>
      <c r="G1040" s="191" t="s">
        <v>83</v>
      </c>
    </row>
    <row r="1041" spans="1:7" s="71" customFormat="1" x14ac:dyDescent="0.3">
      <c r="A1041" s="650">
        <v>45884</v>
      </c>
      <c r="B1041" s="650" t="s">
        <v>212</v>
      </c>
      <c r="C1041" s="189" t="s">
        <v>17</v>
      </c>
      <c r="D1041" s="189" t="s">
        <v>26</v>
      </c>
      <c r="E1041" s="190">
        <v>-90</v>
      </c>
      <c r="F1041" s="198" t="s">
        <v>8</v>
      </c>
      <c r="G1041" s="191" t="s">
        <v>83</v>
      </c>
    </row>
    <row r="1042" spans="1:7" s="71" customFormat="1" x14ac:dyDescent="0.3">
      <c r="A1042" s="650">
        <v>45884</v>
      </c>
      <c r="B1042" s="650" t="s">
        <v>212</v>
      </c>
      <c r="C1042" s="189" t="s">
        <v>17</v>
      </c>
      <c r="D1042" s="189" t="s">
        <v>1191</v>
      </c>
      <c r="E1042" s="190">
        <v>-210</v>
      </c>
      <c r="F1042" s="198" t="s">
        <v>8</v>
      </c>
      <c r="G1042" s="191" t="s">
        <v>83</v>
      </c>
    </row>
    <row r="1043" spans="1:7" s="71" customFormat="1" x14ac:dyDescent="0.3">
      <c r="A1043" s="532">
        <v>45884</v>
      </c>
      <c r="B1043" s="532" t="s">
        <v>212</v>
      </c>
      <c r="C1043" s="474" t="s">
        <v>17</v>
      </c>
      <c r="D1043" s="537" t="s">
        <v>84</v>
      </c>
      <c r="E1043" s="656">
        <v>-20565.28</v>
      </c>
      <c r="F1043" s="93" t="s">
        <v>8</v>
      </c>
      <c r="G1043" s="476" t="s">
        <v>59</v>
      </c>
    </row>
    <row r="1044" spans="1:7" s="71" customFormat="1" x14ac:dyDescent="0.3">
      <c r="A1044" s="532">
        <v>45884</v>
      </c>
      <c r="B1044" s="532" t="s">
        <v>212</v>
      </c>
      <c r="C1044" s="474" t="s">
        <v>6</v>
      </c>
      <c r="D1044" s="537" t="s">
        <v>1237</v>
      </c>
      <c r="E1044" s="656">
        <v>-5629.06</v>
      </c>
      <c r="F1044" s="476" t="s">
        <v>8</v>
      </c>
      <c r="G1044" s="476" t="s">
        <v>64</v>
      </c>
    </row>
    <row r="1045" spans="1:7" s="71" customFormat="1" x14ac:dyDescent="0.3">
      <c r="A1045" s="532">
        <v>45884</v>
      </c>
      <c r="B1045" s="532" t="s">
        <v>212</v>
      </c>
      <c r="C1045" s="537" t="s">
        <v>6</v>
      </c>
      <c r="D1045" s="537" t="s">
        <v>600</v>
      </c>
      <c r="E1045" s="656">
        <v>-2012.45</v>
      </c>
      <c r="F1045" s="93" t="s">
        <v>8</v>
      </c>
      <c r="G1045" s="657" t="s">
        <v>46</v>
      </c>
    </row>
    <row r="1046" spans="1:7" s="71" customFormat="1" x14ac:dyDescent="0.3">
      <c r="A1046" s="532">
        <v>45884</v>
      </c>
      <c r="B1046" s="532" t="s">
        <v>212</v>
      </c>
      <c r="C1046" s="474" t="s">
        <v>6</v>
      </c>
      <c r="D1046" s="537" t="s">
        <v>94</v>
      </c>
      <c r="E1046" s="656">
        <v>-177.05</v>
      </c>
      <c r="F1046" s="93" t="s">
        <v>8</v>
      </c>
      <c r="G1046" s="476" t="s">
        <v>29</v>
      </c>
    </row>
    <row r="1047" spans="1:7" s="71" customFormat="1" x14ac:dyDescent="0.3">
      <c r="A1047" s="532">
        <v>45884</v>
      </c>
      <c r="B1047" s="532" t="s">
        <v>212</v>
      </c>
      <c r="C1047" s="474" t="s">
        <v>13</v>
      </c>
      <c r="D1047" s="537" t="s">
        <v>94</v>
      </c>
      <c r="E1047" s="656">
        <v>-177.05</v>
      </c>
      <c r="F1047" s="93" t="s">
        <v>8</v>
      </c>
      <c r="G1047" s="476" t="s">
        <v>29</v>
      </c>
    </row>
    <row r="1048" spans="1:7" s="71" customFormat="1" x14ac:dyDescent="0.3">
      <c r="A1048" s="532">
        <v>45884</v>
      </c>
      <c r="B1048" s="532" t="s">
        <v>212</v>
      </c>
      <c r="C1048" s="474" t="s">
        <v>433</v>
      </c>
      <c r="D1048" s="537" t="s">
        <v>94</v>
      </c>
      <c r="E1048" s="656">
        <v>-177.05</v>
      </c>
      <c r="F1048" s="93" t="s">
        <v>8</v>
      </c>
      <c r="G1048" s="476" t="s">
        <v>29</v>
      </c>
    </row>
    <row r="1049" spans="1:7" s="71" customFormat="1" x14ac:dyDescent="0.3">
      <c r="A1049" s="532">
        <v>45884</v>
      </c>
      <c r="B1049" s="532" t="s">
        <v>212</v>
      </c>
      <c r="C1049" s="474" t="s">
        <v>31</v>
      </c>
      <c r="D1049" s="537" t="s">
        <v>94</v>
      </c>
      <c r="E1049" s="656">
        <v>-177.05</v>
      </c>
      <c r="F1049" s="93" t="s">
        <v>8</v>
      </c>
      <c r="G1049" s="476" t="s">
        <v>29</v>
      </c>
    </row>
    <row r="1050" spans="1:7" s="71" customFormat="1" x14ac:dyDescent="0.3">
      <c r="A1050" s="532">
        <v>45884</v>
      </c>
      <c r="B1050" s="532" t="s">
        <v>212</v>
      </c>
      <c r="C1050" s="474" t="s">
        <v>65</v>
      </c>
      <c r="D1050" s="537" t="s">
        <v>94</v>
      </c>
      <c r="E1050" s="656">
        <v>-177.05</v>
      </c>
      <c r="F1050" s="93" t="s">
        <v>8</v>
      </c>
      <c r="G1050" s="476" t="s">
        <v>29</v>
      </c>
    </row>
    <row r="1051" spans="1:7" s="71" customFormat="1" x14ac:dyDescent="0.3">
      <c r="A1051" s="532">
        <v>45884</v>
      </c>
      <c r="B1051" s="532" t="s">
        <v>212</v>
      </c>
      <c r="C1051" s="658" t="s">
        <v>17</v>
      </c>
      <c r="D1051" s="537" t="s">
        <v>94</v>
      </c>
      <c r="E1051" s="656">
        <v>-177.05</v>
      </c>
      <c r="F1051" s="93" t="s">
        <v>8</v>
      </c>
      <c r="G1051" s="476" t="s">
        <v>29</v>
      </c>
    </row>
    <row r="1052" spans="1:7" s="71" customFormat="1" x14ac:dyDescent="0.3">
      <c r="A1052" s="532">
        <v>45884</v>
      </c>
      <c r="B1052" s="532" t="s">
        <v>212</v>
      </c>
      <c r="C1052" s="658" t="s">
        <v>685</v>
      </c>
      <c r="D1052" s="537" t="s">
        <v>94</v>
      </c>
      <c r="E1052" s="656">
        <v>-177.05</v>
      </c>
      <c r="F1052" s="93" t="s">
        <v>8</v>
      </c>
      <c r="G1052" s="476" t="s">
        <v>29</v>
      </c>
    </row>
    <row r="1053" spans="1:7" s="71" customFormat="1" x14ac:dyDescent="0.3">
      <c r="A1053" s="532">
        <v>45884</v>
      </c>
      <c r="B1053" s="532" t="s">
        <v>212</v>
      </c>
      <c r="C1053" s="658" t="s">
        <v>30</v>
      </c>
      <c r="D1053" s="537" t="s">
        <v>94</v>
      </c>
      <c r="E1053" s="656">
        <v>-177.05</v>
      </c>
      <c r="F1053" s="93" t="s">
        <v>8</v>
      </c>
      <c r="G1053" s="476" t="s">
        <v>29</v>
      </c>
    </row>
    <row r="1054" spans="1:7" s="71" customFormat="1" x14ac:dyDescent="0.3">
      <c r="A1054" s="532">
        <v>45884</v>
      </c>
      <c r="B1054" s="532" t="s">
        <v>212</v>
      </c>
      <c r="C1054" s="658" t="s">
        <v>95</v>
      </c>
      <c r="D1054" s="537" t="s">
        <v>94</v>
      </c>
      <c r="E1054" s="656">
        <v>-177.05</v>
      </c>
      <c r="F1054" s="93" t="s">
        <v>8</v>
      </c>
      <c r="G1054" s="476" t="s">
        <v>29</v>
      </c>
    </row>
    <row r="1055" spans="1:7" s="71" customFormat="1" x14ac:dyDescent="0.3">
      <c r="A1055" s="532">
        <v>45884</v>
      </c>
      <c r="B1055" s="532" t="s">
        <v>212</v>
      </c>
      <c r="C1055" s="658" t="s">
        <v>33</v>
      </c>
      <c r="D1055" s="537" t="s">
        <v>94</v>
      </c>
      <c r="E1055" s="656">
        <v>-177.05</v>
      </c>
      <c r="F1055" s="93" t="s">
        <v>8</v>
      </c>
      <c r="G1055" s="476" t="s">
        <v>29</v>
      </c>
    </row>
    <row r="1056" spans="1:7" s="71" customFormat="1" x14ac:dyDescent="0.3">
      <c r="A1056" s="532">
        <v>45884</v>
      </c>
      <c r="B1056" s="532" t="s">
        <v>212</v>
      </c>
      <c r="C1056" s="658" t="s">
        <v>96</v>
      </c>
      <c r="D1056" s="537" t="s">
        <v>94</v>
      </c>
      <c r="E1056" s="656">
        <v>-177.05</v>
      </c>
      <c r="F1056" s="93" t="s">
        <v>8</v>
      </c>
      <c r="G1056" s="476" t="s">
        <v>29</v>
      </c>
    </row>
    <row r="1057" spans="1:7" s="71" customFormat="1" x14ac:dyDescent="0.3">
      <c r="A1057" s="532">
        <v>45884</v>
      </c>
      <c r="B1057" s="532" t="s">
        <v>212</v>
      </c>
      <c r="C1057" s="658" t="s">
        <v>32</v>
      </c>
      <c r="D1057" s="537" t="s">
        <v>94</v>
      </c>
      <c r="E1057" s="656">
        <v>-177.05</v>
      </c>
      <c r="F1057" s="93" t="s">
        <v>8</v>
      </c>
      <c r="G1057" s="476" t="s">
        <v>29</v>
      </c>
    </row>
    <row r="1058" spans="1:7" s="71" customFormat="1" x14ac:dyDescent="0.3">
      <c r="A1058" s="532">
        <v>45884</v>
      </c>
      <c r="B1058" s="532" t="s">
        <v>212</v>
      </c>
      <c r="C1058" s="658" t="s">
        <v>34</v>
      </c>
      <c r="D1058" s="537" t="s">
        <v>94</v>
      </c>
      <c r="E1058" s="656">
        <v>-177.05</v>
      </c>
      <c r="F1058" s="93" t="s">
        <v>8</v>
      </c>
      <c r="G1058" s="476" t="s">
        <v>29</v>
      </c>
    </row>
    <row r="1059" spans="1:7" s="71" customFormat="1" x14ac:dyDescent="0.3">
      <c r="A1059" s="532">
        <v>45884</v>
      </c>
      <c r="B1059" s="532" t="s">
        <v>212</v>
      </c>
      <c r="C1059" s="474" t="s">
        <v>17</v>
      </c>
      <c r="D1059" s="537" t="s">
        <v>1186</v>
      </c>
      <c r="E1059" s="659">
        <v>-7131.5</v>
      </c>
      <c r="F1059" s="93" t="s">
        <v>8</v>
      </c>
      <c r="G1059" s="476" t="s">
        <v>99</v>
      </c>
    </row>
    <row r="1060" spans="1:7" s="71" customFormat="1" x14ac:dyDescent="0.3">
      <c r="A1060" s="532">
        <v>45884</v>
      </c>
      <c r="B1060" s="532" t="s">
        <v>212</v>
      </c>
      <c r="C1060" s="660" t="s">
        <v>110</v>
      </c>
      <c r="D1060" s="537" t="s">
        <v>105</v>
      </c>
      <c r="E1060" s="656">
        <v>-350</v>
      </c>
      <c r="F1060" s="476" t="s">
        <v>8</v>
      </c>
      <c r="G1060" s="476" t="s">
        <v>69</v>
      </c>
    </row>
    <row r="1061" spans="1:7" s="71" customFormat="1" x14ac:dyDescent="0.3">
      <c r="A1061" s="532">
        <v>45884</v>
      </c>
      <c r="B1061" s="532" t="s">
        <v>212</v>
      </c>
      <c r="C1061" s="474" t="s">
        <v>17</v>
      </c>
      <c r="D1061" s="537" t="s">
        <v>18</v>
      </c>
      <c r="E1061" s="475">
        <v>-17235</v>
      </c>
      <c r="F1061" s="93" t="s">
        <v>8</v>
      </c>
      <c r="G1061" s="476" t="s">
        <v>19</v>
      </c>
    </row>
    <row r="1062" spans="1:7" s="71" customFormat="1" x14ac:dyDescent="0.3">
      <c r="A1062" s="661">
        <v>45884</v>
      </c>
      <c r="B1062" s="661" t="s">
        <v>212</v>
      </c>
      <c r="C1062" s="662" t="s">
        <v>17</v>
      </c>
      <c r="D1062" s="189" t="s">
        <v>811</v>
      </c>
      <c r="E1062" s="190">
        <v>-1091.77</v>
      </c>
      <c r="F1062" s="198" t="s">
        <v>8</v>
      </c>
      <c r="G1062" s="191" t="s">
        <v>76</v>
      </c>
    </row>
    <row r="1063" spans="1:7" s="71" customFormat="1" x14ac:dyDescent="0.3">
      <c r="A1063" s="532">
        <v>45884</v>
      </c>
      <c r="B1063" s="532" t="s">
        <v>212</v>
      </c>
      <c r="C1063" s="662" t="s">
        <v>44</v>
      </c>
      <c r="D1063" s="189" t="s">
        <v>1239</v>
      </c>
      <c r="E1063" s="545">
        <v>-700</v>
      </c>
      <c r="F1063" s="198" t="s">
        <v>8</v>
      </c>
      <c r="G1063" s="191" t="s">
        <v>1238</v>
      </c>
    </row>
    <row r="1064" spans="1:7" s="71" customFormat="1" x14ac:dyDescent="0.3">
      <c r="A1064" s="532">
        <v>45884</v>
      </c>
      <c r="B1064" s="532" t="s">
        <v>212</v>
      </c>
      <c r="C1064" s="637" t="s">
        <v>72</v>
      </c>
      <c r="D1064" s="189" t="s">
        <v>1212</v>
      </c>
      <c r="E1064" s="545">
        <v>-860</v>
      </c>
      <c r="F1064" s="93" t="s">
        <v>8</v>
      </c>
      <c r="G1064" s="191" t="s">
        <v>27</v>
      </c>
    </row>
    <row r="1065" spans="1:7" s="71" customFormat="1" x14ac:dyDescent="0.3">
      <c r="A1065" s="532">
        <v>45884</v>
      </c>
      <c r="B1065" s="532" t="s">
        <v>212</v>
      </c>
      <c r="C1065" s="637" t="s">
        <v>72</v>
      </c>
      <c r="D1065" s="189" t="s">
        <v>1211</v>
      </c>
      <c r="E1065" s="190">
        <v>-1648.48</v>
      </c>
      <c r="F1065" s="93" t="s">
        <v>8</v>
      </c>
      <c r="G1065" s="191" t="s">
        <v>27</v>
      </c>
    </row>
    <row r="1066" spans="1:7" s="71" customFormat="1" x14ac:dyDescent="0.3">
      <c r="A1066" s="650">
        <v>45884</v>
      </c>
      <c r="B1066" s="650" t="s">
        <v>212</v>
      </c>
      <c r="C1066" s="637" t="s">
        <v>6</v>
      </c>
      <c r="D1066" s="189" t="s">
        <v>1240</v>
      </c>
      <c r="E1066" s="190">
        <v>-163.12</v>
      </c>
      <c r="F1066" s="93" t="s">
        <v>8</v>
      </c>
      <c r="G1066" s="191" t="s">
        <v>189</v>
      </c>
    </row>
    <row r="1067" spans="1:7" s="71" customFormat="1" x14ac:dyDescent="0.3">
      <c r="A1067" s="650">
        <v>45884</v>
      </c>
      <c r="B1067" s="650" t="s">
        <v>212</v>
      </c>
      <c r="C1067" s="637" t="s">
        <v>6</v>
      </c>
      <c r="D1067" s="189" t="s">
        <v>1242</v>
      </c>
      <c r="E1067" s="190">
        <v>-177.04</v>
      </c>
      <c r="F1067" s="93" t="s">
        <v>8</v>
      </c>
      <c r="G1067" s="191" t="s">
        <v>1241</v>
      </c>
    </row>
    <row r="1068" spans="1:7" s="71" customFormat="1" x14ac:dyDescent="0.3">
      <c r="A1068" s="532">
        <v>45884</v>
      </c>
      <c r="B1068" s="532" t="s">
        <v>212</v>
      </c>
      <c r="C1068" s="663" t="s">
        <v>6</v>
      </c>
      <c r="D1068" s="905" t="s">
        <v>605</v>
      </c>
      <c r="E1068" s="92">
        <v>-3500</v>
      </c>
      <c r="F1068" s="94" t="s">
        <v>8</v>
      </c>
      <c r="G1068" s="94" t="s">
        <v>189</v>
      </c>
    </row>
    <row r="1069" spans="1:7" s="71" customFormat="1" x14ac:dyDescent="0.3">
      <c r="A1069" s="90">
        <v>45884</v>
      </c>
      <c r="B1069" s="532" t="s">
        <v>212</v>
      </c>
      <c r="C1069" s="658" t="s">
        <v>31</v>
      </c>
      <c r="D1069" s="91" t="s">
        <v>606</v>
      </c>
      <c r="E1069" s="92">
        <v>-1000</v>
      </c>
      <c r="F1069" s="94" t="s">
        <v>8</v>
      </c>
      <c r="G1069" s="94" t="s">
        <v>189</v>
      </c>
    </row>
    <row r="1070" spans="1:7" s="71" customFormat="1" x14ac:dyDescent="0.3">
      <c r="A1070" s="90">
        <v>45884</v>
      </c>
      <c r="B1070" s="532" t="s">
        <v>212</v>
      </c>
      <c r="C1070" s="658" t="s">
        <v>6</v>
      </c>
      <c r="D1070" s="91" t="s">
        <v>607</v>
      </c>
      <c r="E1070" s="92">
        <v>-10000</v>
      </c>
      <c r="F1070" s="94" t="s">
        <v>8</v>
      </c>
      <c r="G1070" s="94" t="s">
        <v>189</v>
      </c>
    </row>
    <row r="1071" spans="1:7" s="71" customFormat="1" x14ac:dyDescent="0.3">
      <c r="A1071" s="90">
        <v>45884</v>
      </c>
      <c r="B1071" s="532" t="s">
        <v>212</v>
      </c>
      <c r="C1071" s="637" t="s">
        <v>106</v>
      </c>
      <c r="D1071" s="189" t="s">
        <v>838</v>
      </c>
      <c r="E1071" s="190">
        <v>-2000</v>
      </c>
      <c r="F1071" s="94" t="s">
        <v>8</v>
      </c>
      <c r="G1071" s="94" t="s">
        <v>189</v>
      </c>
    </row>
    <row r="1072" spans="1:7" x14ac:dyDescent="0.3">
      <c r="E1072" s="442">
        <f>SUM(E1022:E1071)</f>
        <v>-201350.26999999987</v>
      </c>
    </row>
    <row r="1078" spans="1:7" x14ac:dyDescent="0.3">
      <c r="A1078" s="918" t="s">
        <v>1272</v>
      </c>
      <c r="B1078" s="918"/>
      <c r="C1078" s="918"/>
      <c r="D1078" s="918"/>
      <c r="E1078" s="918"/>
      <c r="F1078" s="918"/>
      <c r="G1078" s="918"/>
    </row>
    <row r="1079" spans="1:7" ht="40.200000000000003" customHeight="1" x14ac:dyDescent="0.3">
      <c r="A1079" s="918"/>
      <c r="B1079" s="918"/>
      <c r="C1079" s="918"/>
      <c r="D1079" s="918"/>
      <c r="E1079" s="918"/>
      <c r="F1079" s="918"/>
      <c r="G1079" s="918"/>
    </row>
    <row r="1080" spans="1:7" x14ac:dyDescent="0.3">
      <c r="A1080" s="631" t="s">
        <v>0</v>
      </c>
      <c r="B1080" s="275" t="s">
        <v>1209</v>
      </c>
      <c r="C1080" s="200" t="s">
        <v>1</v>
      </c>
      <c r="D1080" s="124" t="s">
        <v>2</v>
      </c>
      <c r="E1080" s="129" t="s">
        <v>3</v>
      </c>
      <c r="F1080" s="137" t="s">
        <v>4</v>
      </c>
      <c r="G1080" s="311" t="s">
        <v>5</v>
      </c>
    </row>
    <row r="1081" spans="1:7" s="103" customFormat="1" x14ac:dyDescent="0.3">
      <c r="A1081" s="671">
        <v>45887</v>
      </c>
      <c r="B1081" s="672" t="s">
        <v>212</v>
      </c>
      <c r="C1081" s="673" t="s">
        <v>25</v>
      </c>
      <c r="D1081" s="151" t="s">
        <v>392</v>
      </c>
      <c r="E1081" s="152">
        <v>-435.96</v>
      </c>
      <c r="F1081" s="153" t="s">
        <v>8</v>
      </c>
      <c r="G1081" s="487" t="s">
        <v>19</v>
      </c>
    </row>
    <row r="1082" spans="1:7" s="103" customFormat="1" x14ac:dyDescent="0.3">
      <c r="A1082" s="631">
        <v>45887</v>
      </c>
      <c r="B1082" s="674" t="s">
        <v>212</v>
      </c>
      <c r="C1082" s="107" t="s">
        <v>17</v>
      </c>
      <c r="D1082" s="107" t="s">
        <v>1191</v>
      </c>
      <c r="E1082" s="4">
        <v>-435.96</v>
      </c>
      <c r="F1082" s="110" t="s">
        <v>8</v>
      </c>
      <c r="G1082" s="137" t="s">
        <v>19</v>
      </c>
    </row>
    <row r="1083" spans="1:7" s="103" customFormat="1" x14ac:dyDescent="0.3">
      <c r="A1083" s="631">
        <v>45887</v>
      </c>
      <c r="B1083" s="674" t="s">
        <v>212</v>
      </c>
      <c r="C1083" s="107" t="s">
        <v>17</v>
      </c>
      <c r="D1083" s="107" t="s">
        <v>1269</v>
      </c>
      <c r="E1083" s="4">
        <v>-24329.72</v>
      </c>
      <c r="F1083" s="110" t="s">
        <v>8</v>
      </c>
      <c r="G1083" s="137" t="s">
        <v>19</v>
      </c>
    </row>
    <row r="1084" spans="1:7" s="103" customFormat="1" x14ac:dyDescent="0.3">
      <c r="A1084" s="631">
        <v>45887</v>
      </c>
      <c r="B1084" s="674" t="s">
        <v>212</v>
      </c>
      <c r="C1084" s="107" t="s">
        <v>17</v>
      </c>
      <c r="D1084" s="107" t="s">
        <v>384</v>
      </c>
      <c r="E1084" s="4">
        <v>-61582.28</v>
      </c>
      <c r="F1084" s="110" t="s">
        <v>8</v>
      </c>
      <c r="G1084" s="137" t="s">
        <v>19</v>
      </c>
    </row>
    <row r="1085" spans="1:7" s="103" customFormat="1" x14ac:dyDescent="0.3">
      <c r="A1085" s="631">
        <v>45887</v>
      </c>
      <c r="B1085" s="674" t="s">
        <v>212</v>
      </c>
      <c r="C1085" s="107" t="s">
        <v>17</v>
      </c>
      <c r="D1085" s="107" t="s">
        <v>85</v>
      </c>
      <c r="E1085" s="4">
        <v>-435.96</v>
      </c>
      <c r="F1085" s="110" t="s">
        <v>8</v>
      </c>
      <c r="G1085" s="137" t="s">
        <v>19</v>
      </c>
    </row>
    <row r="1086" spans="1:7" s="103" customFormat="1" x14ac:dyDescent="0.3">
      <c r="A1086" s="631">
        <v>45887</v>
      </c>
      <c r="B1086" s="674" t="s">
        <v>212</v>
      </c>
      <c r="C1086" s="155" t="s">
        <v>17</v>
      </c>
      <c r="D1086" s="107" t="s">
        <v>522</v>
      </c>
      <c r="E1086" s="4">
        <v>-415.2</v>
      </c>
      <c r="F1086" s="110" t="s">
        <v>8</v>
      </c>
      <c r="G1086" s="137" t="s">
        <v>19</v>
      </c>
    </row>
    <row r="1087" spans="1:7" s="103" customFormat="1" x14ac:dyDescent="0.3">
      <c r="A1087" s="631">
        <v>45887</v>
      </c>
      <c r="B1087" s="674" t="s">
        <v>212</v>
      </c>
      <c r="C1087" s="155" t="s">
        <v>17</v>
      </c>
      <c r="D1087" s="107" t="s">
        <v>519</v>
      </c>
      <c r="E1087" s="4">
        <v>-435.96</v>
      </c>
      <c r="F1087" s="5" t="s">
        <v>8</v>
      </c>
      <c r="G1087" s="137" t="s">
        <v>19</v>
      </c>
    </row>
    <row r="1088" spans="1:7" s="103" customFormat="1" x14ac:dyDescent="0.3">
      <c r="A1088" s="675">
        <v>45887</v>
      </c>
      <c r="B1088" s="676" t="s">
        <v>212</v>
      </c>
      <c r="C1088" s="677" t="s">
        <v>17</v>
      </c>
      <c r="D1088" s="906" t="s">
        <v>26</v>
      </c>
      <c r="E1088" s="678">
        <v>-394.44</v>
      </c>
      <c r="F1088" s="679" t="s">
        <v>8</v>
      </c>
      <c r="G1088" s="472" t="s">
        <v>19</v>
      </c>
    </row>
    <row r="1089" spans="1:7" s="103" customFormat="1" x14ac:dyDescent="0.3">
      <c r="A1089" s="275">
        <v>45887</v>
      </c>
      <c r="B1089" s="275" t="s">
        <v>212</v>
      </c>
      <c r="C1089" s="610" t="s">
        <v>17</v>
      </c>
      <c r="D1089" s="99" t="s">
        <v>85</v>
      </c>
      <c r="E1089" s="273">
        <v>-144.86000000000001</v>
      </c>
      <c r="F1089" s="137" t="s">
        <v>8</v>
      </c>
      <c r="G1089" s="137" t="s">
        <v>86</v>
      </c>
    </row>
    <row r="1090" spans="1:7" s="103" customFormat="1" x14ac:dyDescent="0.3">
      <c r="A1090" s="275">
        <v>45887</v>
      </c>
      <c r="B1090" s="275" t="s">
        <v>212</v>
      </c>
      <c r="C1090" s="136" t="s">
        <v>65</v>
      </c>
      <c r="D1090" s="272" t="s">
        <v>97</v>
      </c>
      <c r="E1090" s="273">
        <v>-768.72</v>
      </c>
      <c r="F1090" s="137" t="s">
        <v>8</v>
      </c>
      <c r="G1090" s="137" t="s">
        <v>39</v>
      </c>
    </row>
    <row r="1091" spans="1:7" s="103" customFormat="1" x14ac:dyDescent="0.3">
      <c r="A1091" s="275">
        <v>45887</v>
      </c>
      <c r="B1091" s="275" t="s">
        <v>212</v>
      </c>
      <c r="C1091" s="136" t="s">
        <v>32</v>
      </c>
      <c r="D1091" s="272" t="s">
        <v>105</v>
      </c>
      <c r="E1091" s="273">
        <v>-261.68</v>
      </c>
      <c r="F1091" s="137" t="s">
        <v>8</v>
      </c>
      <c r="G1091" s="137" t="s">
        <v>69</v>
      </c>
    </row>
    <row r="1092" spans="1:7" s="103" customFormat="1" x14ac:dyDescent="0.3">
      <c r="A1092" s="275">
        <v>45887</v>
      </c>
      <c r="B1092" s="275" t="s">
        <v>212</v>
      </c>
      <c r="C1092" s="136" t="s">
        <v>106</v>
      </c>
      <c r="D1092" s="272" t="s">
        <v>105</v>
      </c>
      <c r="E1092" s="273">
        <v>-300</v>
      </c>
      <c r="F1092" s="137" t="s">
        <v>8</v>
      </c>
      <c r="G1092" s="137" t="s">
        <v>69</v>
      </c>
    </row>
    <row r="1093" spans="1:7" s="103" customFormat="1" x14ac:dyDescent="0.3">
      <c r="A1093" s="275">
        <v>45887</v>
      </c>
      <c r="B1093" s="275" t="s">
        <v>212</v>
      </c>
      <c r="C1093" s="136" t="s">
        <v>35</v>
      </c>
      <c r="D1093" s="272" t="s">
        <v>105</v>
      </c>
      <c r="E1093" s="273">
        <v>-300</v>
      </c>
      <c r="F1093" s="137" t="s">
        <v>8</v>
      </c>
      <c r="G1093" s="137" t="s">
        <v>69</v>
      </c>
    </row>
    <row r="1094" spans="1:7" s="103" customFormat="1" x14ac:dyDescent="0.3">
      <c r="A1094" s="275">
        <v>45887</v>
      </c>
      <c r="B1094" s="275" t="s">
        <v>212</v>
      </c>
      <c r="C1094" s="136" t="s">
        <v>107</v>
      </c>
      <c r="D1094" s="272" t="s">
        <v>105</v>
      </c>
      <c r="E1094" s="273">
        <v>-300</v>
      </c>
      <c r="F1094" s="137" t="s">
        <v>8</v>
      </c>
      <c r="G1094" s="137" t="s">
        <v>69</v>
      </c>
    </row>
    <row r="1095" spans="1:7" s="103" customFormat="1" x14ac:dyDescent="0.3">
      <c r="A1095" s="275">
        <v>45887</v>
      </c>
      <c r="B1095" s="275" t="s">
        <v>212</v>
      </c>
      <c r="C1095" s="136" t="s">
        <v>108</v>
      </c>
      <c r="D1095" s="272" t="s">
        <v>105</v>
      </c>
      <c r="E1095" s="273">
        <v>-294.32</v>
      </c>
      <c r="F1095" s="137" t="s">
        <v>8</v>
      </c>
      <c r="G1095" s="137" t="s">
        <v>69</v>
      </c>
    </row>
    <row r="1096" spans="1:7" s="103" customFormat="1" x14ac:dyDescent="0.3">
      <c r="A1096" s="275">
        <v>45887</v>
      </c>
      <c r="B1096" s="275" t="s">
        <v>212</v>
      </c>
      <c r="C1096" s="136" t="s">
        <v>72</v>
      </c>
      <c r="D1096" s="272" t="s">
        <v>105</v>
      </c>
      <c r="E1096" s="273">
        <v>-300</v>
      </c>
      <c r="F1096" s="137" t="s">
        <v>8</v>
      </c>
      <c r="G1096" s="137" t="s">
        <v>69</v>
      </c>
    </row>
    <row r="1097" spans="1:7" s="103" customFormat="1" x14ac:dyDescent="0.3">
      <c r="A1097" s="275">
        <v>45887</v>
      </c>
      <c r="B1097" s="275" t="s">
        <v>212</v>
      </c>
      <c r="C1097" s="136" t="s">
        <v>109</v>
      </c>
      <c r="D1097" s="272" t="s">
        <v>105</v>
      </c>
      <c r="E1097" s="273">
        <v>-300</v>
      </c>
      <c r="F1097" s="137" t="s">
        <v>8</v>
      </c>
      <c r="G1097" s="137" t="s">
        <v>69</v>
      </c>
    </row>
    <row r="1098" spans="1:7" s="103" customFormat="1" x14ac:dyDescent="0.3">
      <c r="A1098" s="275">
        <v>45887</v>
      </c>
      <c r="B1098" s="275" t="s">
        <v>212</v>
      </c>
      <c r="C1098" s="136" t="s">
        <v>111</v>
      </c>
      <c r="D1098" s="272" t="s">
        <v>105</v>
      </c>
      <c r="E1098" s="273">
        <v>-373.51</v>
      </c>
      <c r="F1098" s="137" t="s">
        <v>8</v>
      </c>
      <c r="G1098" s="137" t="s">
        <v>69</v>
      </c>
    </row>
    <row r="1099" spans="1:7" s="103" customFormat="1" x14ac:dyDescent="0.3">
      <c r="A1099" s="275">
        <v>45887</v>
      </c>
      <c r="B1099" s="275" t="s">
        <v>212</v>
      </c>
      <c r="C1099" s="99" t="s">
        <v>106</v>
      </c>
      <c r="D1099" s="107" t="s">
        <v>609</v>
      </c>
      <c r="E1099" s="4">
        <v>-3224.16</v>
      </c>
      <c r="F1099" s="5" t="s">
        <v>8</v>
      </c>
      <c r="G1099" s="105" t="s">
        <v>76</v>
      </c>
    </row>
    <row r="1100" spans="1:7" s="103" customFormat="1" x14ac:dyDescent="0.3">
      <c r="A1100" s="631">
        <v>45887</v>
      </c>
      <c r="B1100" s="631" t="s">
        <v>212</v>
      </c>
      <c r="C1100" s="155" t="s">
        <v>17</v>
      </c>
      <c r="D1100" s="107" t="s">
        <v>811</v>
      </c>
      <c r="E1100" s="4">
        <v>-110.45</v>
      </c>
      <c r="F1100" s="5" t="s">
        <v>8</v>
      </c>
      <c r="G1100" s="108" t="s">
        <v>76</v>
      </c>
    </row>
    <row r="1101" spans="1:7" s="103" customFormat="1" x14ac:dyDescent="0.3">
      <c r="A1101" s="631">
        <v>45887</v>
      </c>
      <c r="B1101" s="631" t="s">
        <v>212</v>
      </c>
      <c r="C1101" s="155" t="s">
        <v>17</v>
      </c>
      <c r="D1101" s="107" t="s">
        <v>1271</v>
      </c>
      <c r="E1101" s="4">
        <v>-318</v>
      </c>
      <c r="F1101" s="634" t="s">
        <v>8</v>
      </c>
      <c r="G1101" s="108" t="s">
        <v>142</v>
      </c>
    </row>
    <row r="1102" spans="1:7" s="103" customFormat="1" x14ac:dyDescent="0.3">
      <c r="A1102" s="631">
        <v>45887</v>
      </c>
      <c r="B1102" s="631" t="s">
        <v>212</v>
      </c>
      <c r="C1102" s="624" t="s">
        <v>106</v>
      </c>
      <c r="D1102" s="107" t="s">
        <v>1227</v>
      </c>
      <c r="E1102" s="4">
        <v>-100</v>
      </c>
      <c r="F1102" s="634" t="s">
        <v>8</v>
      </c>
      <c r="G1102" s="108" t="s">
        <v>83</v>
      </c>
    </row>
    <row r="1103" spans="1:7" s="103" customFormat="1" x14ac:dyDescent="0.3">
      <c r="A1103" s="631">
        <v>45887</v>
      </c>
      <c r="B1103" s="631" t="s">
        <v>212</v>
      </c>
      <c r="C1103" s="155" t="s">
        <v>25</v>
      </c>
      <c r="D1103" s="107" t="s">
        <v>1102</v>
      </c>
      <c r="E1103" s="4">
        <v>-184.5</v>
      </c>
      <c r="F1103" s="137" t="s">
        <v>8</v>
      </c>
      <c r="G1103" s="108" t="s">
        <v>83</v>
      </c>
    </row>
    <row r="1104" spans="1:7" s="103" customFormat="1" x14ac:dyDescent="0.3">
      <c r="A1104" s="631">
        <v>45887</v>
      </c>
      <c r="B1104" s="631" t="s">
        <v>212</v>
      </c>
      <c r="C1104" s="99" t="s">
        <v>31</v>
      </c>
      <c r="D1104" s="99" t="s">
        <v>1270</v>
      </c>
      <c r="E1104" s="100">
        <v>-303.24</v>
      </c>
      <c r="F1104" s="634" t="s">
        <v>8</v>
      </c>
      <c r="G1104" s="105" t="s">
        <v>51</v>
      </c>
    </row>
    <row r="1105" spans="1:7" s="103" customFormat="1" x14ac:dyDescent="0.3">
      <c r="A1105" s="631">
        <v>45887</v>
      </c>
      <c r="B1105" s="631" t="s">
        <v>212</v>
      </c>
      <c r="C1105" s="99" t="s">
        <v>6</v>
      </c>
      <c r="D1105" s="99" t="s">
        <v>1270</v>
      </c>
      <c r="E1105" s="100">
        <v>-383.04</v>
      </c>
      <c r="F1105" s="634" t="s">
        <v>8</v>
      </c>
      <c r="G1105" s="105" t="s">
        <v>51</v>
      </c>
    </row>
    <row r="1106" spans="1:7" s="103" customFormat="1" x14ac:dyDescent="0.3">
      <c r="A1106" s="631">
        <v>45887</v>
      </c>
      <c r="B1106" s="631" t="s">
        <v>212</v>
      </c>
      <c r="C1106" s="99" t="s">
        <v>44</v>
      </c>
      <c r="D1106" s="99" t="s">
        <v>1270</v>
      </c>
      <c r="E1106" s="100">
        <v>-383.04</v>
      </c>
      <c r="F1106" s="634" t="s">
        <v>8</v>
      </c>
      <c r="G1106" s="105" t="s">
        <v>51</v>
      </c>
    </row>
    <row r="1107" spans="1:7" s="103" customFormat="1" x14ac:dyDescent="0.3">
      <c r="A1107" s="631">
        <v>45887</v>
      </c>
      <c r="B1107" s="631" t="s">
        <v>212</v>
      </c>
      <c r="C1107" s="99" t="s">
        <v>25</v>
      </c>
      <c r="D1107" s="99" t="s">
        <v>1270</v>
      </c>
      <c r="E1107" s="100">
        <v>-941.64</v>
      </c>
      <c r="F1107" s="634" t="s">
        <v>8</v>
      </c>
      <c r="G1107" s="105" t="s">
        <v>51</v>
      </c>
    </row>
    <row r="1108" spans="1:7" s="103" customFormat="1" x14ac:dyDescent="0.3">
      <c r="A1108" s="631">
        <v>45887</v>
      </c>
      <c r="B1108" s="631" t="s">
        <v>212</v>
      </c>
      <c r="C1108" s="99" t="s">
        <v>33</v>
      </c>
      <c r="D1108" s="99" t="s">
        <v>1270</v>
      </c>
      <c r="E1108" s="100">
        <v>-271.32</v>
      </c>
      <c r="F1108" s="634" t="s">
        <v>8</v>
      </c>
      <c r="G1108" s="105" t="s">
        <v>51</v>
      </c>
    </row>
    <row r="1109" spans="1:7" s="103" customFormat="1" x14ac:dyDescent="0.3">
      <c r="A1109" s="631">
        <v>45887</v>
      </c>
      <c r="B1109" s="631" t="s">
        <v>212</v>
      </c>
      <c r="C1109" s="99" t="s">
        <v>106</v>
      </c>
      <c r="D1109" s="99" t="s">
        <v>1270</v>
      </c>
      <c r="E1109" s="100">
        <v>-287.27999999999997</v>
      </c>
      <c r="F1109" s="634" t="s">
        <v>8</v>
      </c>
      <c r="G1109" s="105" t="s">
        <v>51</v>
      </c>
    </row>
    <row r="1110" spans="1:7" s="103" customFormat="1" x14ac:dyDescent="0.3">
      <c r="A1110" s="631">
        <v>45887</v>
      </c>
      <c r="B1110" s="631" t="s">
        <v>212</v>
      </c>
      <c r="C1110" s="99" t="s">
        <v>32</v>
      </c>
      <c r="D1110" s="99" t="s">
        <v>1270</v>
      </c>
      <c r="E1110" s="100">
        <v>-590.52</v>
      </c>
      <c r="F1110" s="634" t="s">
        <v>8</v>
      </c>
      <c r="G1110" s="105" t="s">
        <v>51</v>
      </c>
    </row>
    <row r="1111" spans="1:7" s="103" customFormat="1" x14ac:dyDescent="0.3">
      <c r="A1111" s="631">
        <v>45887</v>
      </c>
      <c r="B1111" s="631" t="s">
        <v>212</v>
      </c>
      <c r="C1111" s="99" t="s">
        <v>72</v>
      </c>
      <c r="D1111" s="99" t="s">
        <v>1270</v>
      </c>
      <c r="E1111" s="100">
        <v>-351.12</v>
      </c>
      <c r="F1111" s="634" t="s">
        <v>8</v>
      </c>
      <c r="G1111" s="105" t="s">
        <v>51</v>
      </c>
    </row>
    <row r="1112" spans="1:7" s="103" customFormat="1" x14ac:dyDescent="0.3">
      <c r="A1112" s="631">
        <v>45887</v>
      </c>
      <c r="B1112" s="631" t="s">
        <v>212</v>
      </c>
      <c r="C1112" s="99" t="s">
        <v>17</v>
      </c>
      <c r="D1112" s="99" t="s">
        <v>1270</v>
      </c>
      <c r="E1112" s="100">
        <v>-207.48</v>
      </c>
      <c r="F1112" s="634" t="s">
        <v>8</v>
      </c>
      <c r="G1112" s="105" t="s">
        <v>51</v>
      </c>
    </row>
    <row r="1113" spans="1:7" s="103" customFormat="1" x14ac:dyDescent="0.3">
      <c r="A1113" s="631">
        <v>45887</v>
      </c>
      <c r="B1113" s="631" t="s">
        <v>212</v>
      </c>
      <c r="C1113" s="99" t="s">
        <v>17</v>
      </c>
      <c r="D1113" s="99" t="s">
        <v>1274</v>
      </c>
      <c r="E1113" s="100">
        <v>-733.76</v>
      </c>
      <c r="F1113" s="634" t="s">
        <v>8</v>
      </c>
      <c r="G1113" s="105" t="s">
        <v>1273</v>
      </c>
    </row>
    <row r="1114" spans="1:7" x14ac:dyDescent="0.3">
      <c r="E1114" s="442">
        <f>SUM(E1081:E1113)</f>
        <v>-100198.12</v>
      </c>
    </row>
    <row r="1118" spans="1:7" x14ac:dyDescent="0.3">
      <c r="A1118" s="918" t="s">
        <v>1309</v>
      </c>
      <c r="B1118" s="918"/>
      <c r="C1118" s="918"/>
      <c r="D1118" s="918"/>
      <c r="E1118" s="918"/>
      <c r="F1118" s="918"/>
      <c r="G1118" s="918"/>
    </row>
    <row r="1119" spans="1:7" ht="51.6" customHeight="1" x14ac:dyDescent="0.3">
      <c r="A1119" s="918"/>
      <c r="B1119" s="918"/>
      <c r="C1119" s="918"/>
      <c r="D1119" s="918"/>
      <c r="E1119" s="918"/>
      <c r="F1119" s="918"/>
      <c r="G1119" s="918"/>
    </row>
    <row r="1120" spans="1:7" x14ac:dyDescent="0.3">
      <c r="A1120" s="275" t="s">
        <v>0</v>
      </c>
      <c r="B1120" s="275" t="s">
        <v>1209</v>
      </c>
      <c r="C1120" s="200" t="s">
        <v>1</v>
      </c>
      <c r="D1120" s="124" t="s">
        <v>2</v>
      </c>
      <c r="E1120" s="129" t="s">
        <v>3</v>
      </c>
      <c r="F1120" s="137" t="s">
        <v>4</v>
      </c>
      <c r="G1120" s="311" t="s">
        <v>5</v>
      </c>
    </row>
    <row r="1121" spans="1:7" s="103" customFormat="1" x14ac:dyDescent="0.3">
      <c r="A1121" s="275">
        <v>45888</v>
      </c>
      <c r="B1121" s="275" t="s">
        <v>212</v>
      </c>
      <c r="C1121" s="109" t="s">
        <v>44</v>
      </c>
      <c r="D1121" s="99" t="s">
        <v>1228</v>
      </c>
      <c r="E1121" s="100">
        <v>-5872.92</v>
      </c>
      <c r="F1121" s="110" t="s">
        <v>8</v>
      </c>
      <c r="G1121" s="105" t="s">
        <v>46</v>
      </c>
    </row>
    <row r="1122" spans="1:7" s="103" customFormat="1" x14ac:dyDescent="0.3">
      <c r="A1122" s="275">
        <v>45888</v>
      </c>
      <c r="B1122" s="275" t="s">
        <v>212</v>
      </c>
      <c r="C1122" s="99" t="s">
        <v>72</v>
      </c>
      <c r="D1122" s="99" t="s">
        <v>1217</v>
      </c>
      <c r="E1122" s="100">
        <v>-3209.14</v>
      </c>
      <c r="F1122" s="105" t="s">
        <v>8</v>
      </c>
      <c r="G1122" s="105" t="s">
        <v>233</v>
      </c>
    </row>
    <row r="1123" spans="1:7" s="103" customFormat="1" x14ac:dyDescent="0.3">
      <c r="A1123" s="275">
        <v>45888</v>
      </c>
      <c r="B1123" s="275" t="s">
        <v>212</v>
      </c>
      <c r="C1123" s="200" t="s">
        <v>13</v>
      </c>
      <c r="D1123" s="272" t="s">
        <v>602</v>
      </c>
      <c r="E1123" s="273">
        <v>-1375</v>
      </c>
      <c r="F1123" s="137" t="s">
        <v>8</v>
      </c>
      <c r="G1123" s="137" t="s">
        <v>41</v>
      </c>
    </row>
    <row r="1124" spans="1:7" s="103" customFormat="1" x14ac:dyDescent="0.3">
      <c r="A1124" s="275">
        <v>45888</v>
      </c>
      <c r="B1124" s="275" t="s">
        <v>212</v>
      </c>
      <c r="C1124" s="136" t="s">
        <v>89</v>
      </c>
      <c r="D1124" s="272" t="s">
        <v>601</v>
      </c>
      <c r="E1124" s="273">
        <v>-2281.6999999999998</v>
      </c>
      <c r="F1124" s="137" t="s">
        <v>8</v>
      </c>
      <c r="G1124" s="137" t="s">
        <v>41</v>
      </c>
    </row>
    <row r="1125" spans="1:7" s="103" customFormat="1" x14ac:dyDescent="0.3">
      <c r="A1125" s="275">
        <v>45888</v>
      </c>
      <c r="B1125" s="275" t="s">
        <v>212</v>
      </c>
      <c r="C1125" s="200" t="s">
        <v>17</v>
      </c>
      <c r="D1125" s="272" t="s">
        <v>1224</v>
      </c>
      <c r="E1125" s="273">
        <v>-10108.51</v>
      </c>
      <c r="F1125" s="110" t="s">
        <v>8</v>
      </c>
      <c r="G1125" s="137" t="s">
        <v>93</v>
      </c>
    </row>
    <row r="1126" spans="1:7" s="103" customFormat="1" x14ac:dyDescent="0.3">
      <c r="A1126" s="275">
        <v>45888</v>
      </c>
      <c r="B1126" s="275" t="s">
        <v>212</v>
      </c>
      <c r="C1126" s="610" t="s">
        <v>31</v>
      </c>
      <c r="D1126" s="124" t="s">
        <v>1225</v>
      </c>
      <c r="E1126" s="273">
        <v>-2225.21</v>
      </c>
      <c r="F1126" s="110" t="s">
        <v>8</v>
      </c>
      <c r="G1126" s="137" t="s">
        <v>93</v>
      </c>
    </row>
    <row r="1127" spans="1:7" s="103" customFormat="1" x14ac:dyDescent="0.3">
      <c r="A1127" s="275">
        <v>45888</v>
      </c>
      <c r="B1127" s="275" t="s">
        <v>212</v>
      </c>
      <c r="C1127" s="136" t="s">
        <v>25</v>
      </c>
      <c r="D1127" s="124" t="s">
        <v>1225</v>
      </c>
      <c r="E1127" s="273">
        <v>-1248.99</v>
      </c>
      <c r="F1127" s="110" t="s">
        <v>8</v>
      </c>
      <c r="G1127" s="137" t="s">
        <v>93</v>
      </c>
    </row>
    <row r="1128" spans="1:7" s="103" customFormat="1" x14ac:dyDescent="0.3">
      <c r="A1128" s="275">
        <v>45888</v>
      </c>
      <c r="B1128" s="275" t="s">
        <v>212</v>
      </c>
      <c r="C1128" s="200" t="s">
        <v>44</v>
      </c>
      <c r="D1128" s="272" t="s">
        <v>94</v>
      </c>
      <c r="E1128" s="273">
        <v>-177.05</v>
      </c>
      <c r="F1128" s="110" t="s">
        <v>8</v>
      </c>
      <c r="G1128" s="137" t="s">
        <v>29</v>
      </c>
    </row>
    <row r="1129" spans="1:7" s="103" customFormat="1" x14ac:dyDescent="0.3">
      <c r="A1129" s="275">
        <v>45888</v>
      </c>
      <c r="B1129" s="97" t="s">
        <v>212</v>
      </c>
      <c r="C1129" s="109" t="s">
        <v>25</v>
      </c>
      <c r="D1129" s="99" t="s">
        <v>886</v>
      </c>
      <c r="E1129" s="100">
        <v>-75</v>
      </c>
      <c r="F1129" s="105" t="s">
        <v>8</v>
      </c>
      <c r="G1129" s="105" t="s">
        <v>101</v>
      </c>
    </row>
    <row r="1130" spans="1:7" s="103" customFormat="1" x14ac:dyDescent="0.3">
      <c r="A1130" s="275">
        <v>45888</v>
      </c>
      <c r="B1130" s="97" t="s">
        <v>212</v>
      </c>
      <c r="C1130" s="99" t="s">
        <v>17</v>
      </c>
      <c r="D1130" s="99" t="s">
        <v>1303</v>
      </c>
      <c r="E1130" s="100">
        <v>-57.81</v>
      </c>
      <c r="F1130" s="110" t="s">
        <v>8</v>
      </c>
      <c r="G1130" s="105" t="s">
        <v>233</v>
      </c>
    </row>
    <row r="1131" spans="1:7" s="103" customFormat="1" x14ac:dyDescent="0.3">
      <c r="A1131" s="275">
        <v>45888</v>
      </c>
      <c r="B1131" s="275" t="s">
        <v>212</v>
      </c>
      <c r="C1131" s="272" t="s">
        <v>6</v>
      </c>
      <c r="D1131" s="272" t="s">
        <v>100</v>
      </c>
      <c r="E1131" s="273">
        <v>-138.56</v>
      </c>
      <c r="F1131" s="110" t="s">
        <v>8</v>
      </c>
      <c r="G1131" s="137" t="s">
        <v>101</v>
      </c>
    </row>
    <row r="1132" spans="1:7" s="103" customFormat="1" x14ac:dyDescent="0.3">
      <c r="A1132" s="275">
        <v>45888</v>
      </c>
      <c r="B1132" s="275" t="s">
        <v>212</v>
      </c>
      <c r="C1132" s="272" t="s">
        <v>6</v>
      </c>
      <c r="D1132" s="272" t="s">
        <v>102</v>
      </c>
      <c r="E1132" s="273">
        <v>-138.56</v>
      </c>
      <c r="F1132" s="110" t="s">
        <v>8</v>
      </c>
      <c r="G1132" s="137" t="s">
        <v>101</v>
      </c>
    </row>
    <row r="1133" spans="1:7" s="103" customFormat="1" x14ac:dyDescent="0.3">
      <c r="A1133" s="275">
        <v>45888</v>
      </c>
      <c r="B1133" s="275" t="s">
        <v>212</v>
      </c>
      <c r="C1133" s="272" t="s">
        <v>6</v>
      </c>
      <c r="D1133" s="272" t="s">
        <v>103</v>
      </c>
      <c r="E1133" s="273">
        <v>-138.56</v>
      </c>
      <c r="F1133" s="110" t="s">
        <v>8</v>
      </c>
      <c r="G1133" s="137" t="s">
        <v>101</v>
      </c>
    </row>
    <row r="1134" spans="1:7" s="103" customFormat="1" x14ac:dyDescent="0.3">
      <c r="A1134" s="275">
        <v>45888</v>
      </c>
      <c r="B1134" s="275" t="s">
        <v>212</v>
      </c>
      <c r="C1134" s="272" t="s">
        <v>6</v>
      </c>
      <c r="D1134" s="272" t="s">
        <v>104</v>
      </c>
      <c r="E1134" s="273">
        <v>-138.56</v>
      </c>
      <c r="F1134" s="110" t="s">
        <v>8</v>
      </c>
      <c r="G1134" s="137" t="s">
        <v>101</v>
      </c>
    </row>
    <row r="1135" spans="1:7" s="103" customFormat="1" x14ac:dyDescent="0.3">
      <c r="A1135" s="275">
        <v>45888</v>
      </c>
      <c r="B1135" s="275" t="s">
        <v>212</v>
      </c>
      <c r="C1135" s="99" t="s">
        <v>106</v>
      </c>
      <c r="D1135" s="99" t="s">
        <v>610</v>
      </c>
      <c r="E1135" s="100">
        <v>-4187</v>
      </c>
      <c r="F1135" s="110" t="s">
        <v>8</v>
      </c>
      <c r="G1135" s="105" t="s">
        <v>76</v>
      </c>
    </row>
    <row r="1136" spans="1:7" s="103" customFormat="1" x14ac:dyDescent="0.3">
      <c r="A1136" s="275">
        <v>45888</v>
      </c>
      <c r="B1136" s="275" t="s">
        <v>212</v>
      </c>
      <c r="C1136" s="717" t="s">
        <v>72</v>
      </c>
      <c r="D1136" s="99" t="s">
        <v>1218</v>
      </c>
      <c r="E1136" s="718">
        <v>-809.46</v>
      </c>
      <c r="F1136" s="110" t="s">
        <v>8</v>
      </c>
      <c r="G1136" s="719" t="s">
        <v>233</v>
      </c>
    </row>
    <row r="1137" spans="1:7" s="103" customFormat="1" x14ac:dyDescent="0.3">
      <c r="A1137" s="275">
        <v>45888</v>
      </c>
      <c r="B1137" s="275" t="s">
        <v>212</v>
      </c>
      <c r="C1137" s="107" t="s">
        <v>31</v>
      </c>
      <c r="D1137" s="107" t="s">
        <v>1294</v>
      </c>
      <c r="E1137" s="4">
        <v>-522.91999999999996</v>
      </c>
      <c r="F1137" s="110" t="s">
        <v>8</v>
      </c>
      <c r="G1137" s="105" t="s">
        <v>51</v>
      </c>
    </row>
    <row r="1138" spans="1:7" s="103" customFormat="1" x14ac:dyDescent="0.3">
      <c r="A1138" s="275">
        <v>45888</v>
      </c>
      <c r="B1138" s="275" t="s">
        <v>212</v>
      </c>
      <c r="C1138" s="107" t="s">
        <v>6</v>
      </c>
      <c r="D1138" s="107" t="s">
        <v>1294</v>
      </c>
      <c r="E1138" s="4">
        <v>-840.87</v>
      </c>
      <c r="F1138" s="110" t="s">
        <v>8</v>
      </c>
      <c r="G1138" s="105" t="s">
        <v>51</v>
      </c>
    </row>
    <row r="1139" spans="1:7" s="103" customFormat="1" x14ac:dyDescent="0.3">
      <c r="A1139" s="275">
        <v>45888</v>
      </c>
      <c r="B1139" s="275" t="s">
        <v>212</v>
      </c>
      <c r="C1139" s="107" t="s">
        <v>44</v>
      </c>
      <c r="D1139" s="107" t="s">
        <v>1294</v>
      </c>
      <c r="E1139" s="4">
        <v>-863.94</v>
      </c>
      <c r="F1139" s="110" t="s">
        <v>8</v>
      </c>
      <c r="G1139" s="105" t="s">
        <v>51</v>
      </c>
    </row>
    <row r="1140" spans="1:7" s="103" customFormat="1" x14ac:dyDescent="0.3">
      <c r="A1140" s="275">
        <v>45888</v>
      </c>
      <c r="B1140" s="275" t="s">
        <v>212</v>
      </c>
      <c r="C1140" s="107" t="s">
        <v>25</v>
      </c>
      <c r="D1140" s="107" t="s">
        <v>1294</v>
      </c>
      <c r="E1140" s="4">
        <v>-2843.19</v>
      </c>
      <c r="F1140" s="110" t="s">
        <v>8</v>
      </c>
      <c r="G1140" s="105" t="s">
        <v>51</v>
      </c>
    </row>
    <row r="1141" spans="1:7" s="103" customFormat="1" x14ac:dyDescent="0.3">
      <c r="A1141" s="275">
        <v>45888</v>
      </c>
      <c r="B1141" s="275" t="s">
        <v>212</v>
      </c>
      <c r="C1141" s="107" t="s">
        <v>33</v>
      </c>
      <c r="D1141" s="107" t="s">
        <v>1294</v>
      </c>
      <c r="E1141" s="4">
        <v>-875.77</v>
      </c>
      <c r="F1141" s="110" t="s">
        <v>8</v>
      </c>
      <c r="G1141" s="105" t="s">
        <v>51</v>
      </c>
    </row>
    <row r="1142" spans="1:7" s="103" customFormat="1" x14ac:dyDescent="0.3">
      <c r="A1142" s="275">
        <v>45888</v>
      </c>
      <c r="B1142" s="275" t="s">
        <v>212</v>
      </c>
      <c r="C1142" s="107" t="s">
        <v>106</v>
      </c>
      <c r="D1142" s="107" t="s">
        <v>1294</v>
      </c>
      <c r="E1142" s="4">
        <v>-648.41999999999996</v>
      </c>
      <c r="F1142" s="110" t="s">
        <v>8</v>
      </c>
      <c r="G1142" s="105" t="s">
        <v>51</v>
      </c>
    </row>
    <row r="1143" spans="1:7" s="103" customFormat="1" x14ac:dyDescent="0.3">
      <c r="A1143" s="275">
        <v>45888</v>
      </c>
      <c r="B1143" s="275" t="s">
        <v>212</v>
      </c>
      <c r="C1143" s="107" t="s">
        <v>32</v>
      </c>
      <c r="D1143" s="107" t="s">
        <v>1294</v>
      </c>
      <c r="E1143" s="4">
        <v>-2362.3000000000002</v>
      </c>
      <c r="F1143" s="110" t="s">
        <v>8</v>
      </c>
      <c r="G1143" s="105" t="s">
        <v>51</v>
      </c>
    </row>
    <row r="1144" spans="1:7" s="103" customFormat="1" x14ac:dyDescent="0.3">
      <c r="A1144" s="275">
        <v>45888</v>
      </c>
      <c r="B1144" s="275" t="s">
        <v>212</v>
      </c>
      <c r="C1144" s="107" t="s">
        <v>72</v>
      </c>
      <c r="D1144" s="107" t="s">
        <v>1294</v>
      </c>
      <c r="E1144" s="4">
        <v>-852.9</v>
      </c>
      <c r="F1144" s="110" t="s">
        <v>8</v>
      </c>
      <c r="G1144" s="105" t="s">
        <v>51</v>
      </c>
    </row>
    <row r="1145" spans="1:7" s="103" customFormat="1" x14ac:dyDescent="0.3">
      <c r="A1145" s="275">
        <v>45888</v>
      </c>
      <c r="B1145" s="275" t="s">
        <v>212</v>
      </c>
      <c r="C1145" s="107" t="s">
        <v>17</v>
      </c>
      <c r="D1145" s="107" t="s">
        <v>1294</v>
      </c>
      <c r="E1145" s="4">
        <v>-721.22</v>
      </c>
      <c r="F1145" s="110" t="s">
        <v>8</v>
      </c>
      <c r="G1145" s="105" t="s">
        <v>51</v>
      </c>
    </row>
    <row r="1146" spans="1:7" s="103" customFormat="1" x14ac:dyDescent="0.3">
      <c r="A1146" s="275">
        <v>45888</v>
      </c>
      <c r="B1146" s="275" t="s">
        <v>212</v>
      </c>
      <c r="C1146" s="109" t="s">
        <v>13</v>
      </c>
      <c r="D1146" s="272" t="s">
        <v>608</v>
      </c>
      <c r="E1146" s="629">
        <v>-5072.57</v>
      </c>
      <c r="F1146" s="110" t="s">
        <v>8</v>
      </c>
      <c r="G1146" s="105" t="s">
        <v>46</v>
      </c>
    </row>
    <row r="1147" spans="1:7" s="103" customFormat="1" x14ac:dyDescent="0.3">
      <c r="A1147" s="275">
        <v>45888</v>
      </c>
      <c r="B1147" s="275" t="s">
        <v>212</v>
      </c>
      <c r="C1147" s="161" t="s">
        <v>72</v>
      </c>
      <c r="D1147" s="99" t="s">
        <v>1305</v>
      </c>
      <c r="E1147" s="100">
        <v>-368.7</v>
      </c>
      <c r="F1147" s="110" t="s">
        <v>8</v>
      </c>
      <c r="G1147" s="105" t="s">
        <v>233</v>
      </c>
    </row>
    <row r="1148" spans="1:7" s="103" customFormat="1" x14ac:dyDescent="0.3">
      <c r="A1148" s="275">
        <v>45888</v>
      </c>
      <c r="B1148" s="275" t="s">
        <v>212</v>
      </c>
      <c r="C1148" s="161" t="s">
        <v>44</v>
      </c>
      <c r="D1148" s="99" t="s">
        <v>1293</v>
      </c>
      <c r="E1148" s="100">
        <v>-1382.3</v>
      </c>
      <c r="F1148" s="110" t="s">
        <v>8</v>
      </c>
      <c r="G1148" s="105" t="s">
        <v>233</v>
      </c>
    </row>
    <row r="1149" spans="1:7" s="103" customFormat="1" x14ac:dyDescent="0.3">
      <c r="A1149" s="275">
        <v>45888</v>
      </c>
      <c r="B1149" s="275" t="s">
        <v>212</v>
      </c>
      <c r="C1149" s="99" t="s">
        <v>17</v>
      </c>
      <c r="D1149" s="99" t="s">
        <v>1308</v>
      </c>
      <c r="E1149" s="595">
        <v>-3625.95</v>
      </c>
      <c r="F1149" s="137" t="s">
        <v>8</v>
      </c>
      <c r="G1149" s="105" t="s">
        <v>59</v>
      </c>
    </row>
    <row r="1150" spans="1:7" s="103" customFormat="1" x14ac:dyDescent="0.3">
      <c r="A1150" s="275">
        <v>45888</v>
      </c>
      <c r="B1150" s="275" t="s">
        <v>212</v>
      </c>
      <c r="C1150" s="99" t="s">
        <v>17</v>
      </c>
      <c r="D1150" s="99" t="s">
        <v>1290</v>
      </c>
      <c r="E1150" s="595">
        <v>-283.60000000000002</v>
      </c>
      <c r="F1150" s="137" t="s">
        <v>8</v>
      </c>
      <c r="G1150" s="105" t="s">
        <v>153</v>
      </c>
    </row>
    <row r="1151" spans="1:7" s="103" customFormat="1" x14ac:dyDescent="0.3">
      <c r="A1151" s="98">
        <v>45888</v>
      </c>
      <c r="B1151" s="275" t="s">
        <v>212</v>
      </c>
      <c r="C1151" s="109" t="s">
        <v>31</v>
      </c>
      <c r="D1151" s="99" t="s">
        <v>1299</v>
      </c>
      <c r="E1151" s="595">
        <v>-2324.85</v>
      </c>
      <c r="F1151" s="137" t="s">
        <v>8</v>
      </c>
      <c r="G1151" s="105" t="s">
        <v>86</v>
      </c>
    </row>
    <row r="1152" spans="1:7" s="103" customFormat="1" x14ac:dyDescent="0.3">
      <c r="A1152" s="98">
        <v>45888</v>
      </c>
      <c r="B1152" s="275" t="s">
        <v>212</v>
      </c>
      <c r="C1152" s="109" t="s">
        <v>6</v>
      </c>
      <c r="D1152" s="99" t="s">
        <v>1295</v>
      </c>
      <c r="E1152" s="595">
        <v>-2944.81</v>
      </c>
      <c r="F1152" s="137" t="s">
        <v>8</v>
      </c>
      <c r="G1152" s="105" t="s">
        <v>86</v>
      </c>
    </row>
    <row r="1153" spans="1:7" s="103" customFormat="1" x14ac:dyDescent="0.3">
      <c r="A1153" s="98">
        <v>45888</v>
      </c>
      <c r="B1153" s="275" t="s">
        <v>212</v>
      </c>
      <c r="C1153" s="109" t="s">
        <v>44</v>
      </c>
      <c r="D1153" s="99" t="s">
        <v>1297</v>
      </c>
      <c r="E1153" s="100">
        <v>-2867.31</v>
      </c>
      <c r="F1153" s="137" t="s">
        <v>8</v>
      </c>
      <c r="G1153" s="105" t="s">
        <v>86</v>
      </c>
    </row>
    <row r="1154" spans="1:7" s="103" customFormat="1" x14ac:dyDescent="0.3">
      <c r="A1154" s="98">
        <v>45888</v>
      </c>
      <c r="B1154" s="275" t="s">
        <v>212</v>
      </c>
      <c r="C1154" s="109" t="s">
        <v>44</v>
      </c>
      <c r="D1154" s="99" t="s">
        <v>1296</v>
      </c>
      <c r="E1154" s="100">
        <v>-852.44</v>
      </c>
      <c r="F1154" s="137" t="s">
        <v>8</v>
      </c>
      <c r="G1154" s="105" t="s">
        <v>86</v>
      </c>
    </row>
    <row r="1155" spans="1:7" s="103" customFormat="1" x14ac:dyDescent="0.3">
      <c r="A1155" s="98">
        <v>45888</v>
      </c>
      <c r="B1155" s="275" t="s">
        <v>212</v>
      </c>
      <c r="C1155" s="109" t="s">
        <v>25</v>
      </c>
      <c r="D1155" s="99" t="s">
        <v>1298</v>
      </c>
      <c r="E1155" s="100">
        <v>-2789.82</v>
      </c>
      <c r="F1155" s="137" t="s">
        <v>8</v>
      </c>
      <c r="G1155" s="105" t="s">
        <v>86</v>
      </c>
    </row>
    <row r="1156" spans="1:7" s="103" customFormat="1" x14ac:dyDescent="0.3">
      <c r="A1156" s="98">
        <v>45888</v>
      </c>
      <c r="B1156" s="275" t="s">
        <v>212</v>
      </c>
      <c r="C1156" s="109" t="s">
        <v>33</v>
      </c>
      <c r="D1156" s="99" t="s">
        <v>1301</v>
      </c>
      <c r="E1156" s="100">
        <v>-852.44</v>
      </c>
      <c r="F1156" s="137" t="s">
        <v>8</v>
      </c>
      <c r="G1156" s="105" t="s">
        <v>86</v>
      </c>
    </row>
    <row r="1157" spans="1:7" s="103" customFormat="1" x14ac:dyDescent="0.3">
      <c r="A1157" s="98">
        <v>45888</v>
      </c>
      <c r="B1157" s="275" t="s">
        <v>212</v>
      </c>
      <c r="C1157" s="109" t="s">
        <v>106</v>
      </c>
      <c r="D1157" s="99" t="s">
        <v>1300</v>
      </c>
      <c r="E1157" s="100">
        <v>-619.96</v>
      </c>
      <c r="F1157" s="137" t="s">
        <v>8</v>
      </c>
      <c r="G1157" s="105" t="s">
        <v>86</v>
      </c>
    </row>
    <row r="1158" spans="1:7" s="103" customFormat="1" x14ac:dyDescent="0.3">
      <c r="A1158" s="98">
        <v>45888</v>
      </c>
      <c r="B1158" s="275" t="s">
        <v>212</v>
      </c>
      <c r="C1158" s="109" t="s">
        <v>32</v>
      </c>
      <c r="D1158" s="99" t="s">
        <v>1306</v>
      </c>
      <c r="E1158" s="100">
        <v>-154.99</v>
      </c>
      <c r="F1158" s="137" t="s">
        <v>8</v>
      </c>
      <c r="G1158" s="105" t="s">
        <v>86</v>
      </c>
    </row>
    <row r="1159" spans="1:7" s="103" customFormat="1" x14ac:dyDescent="0.3">
      <c r="A1159" s="98">
        <v>45888</v>
      </c>
      <c r="B1159" s="275" t="s">
        <v>212</v>
      </c>
      <c r="C1159" s="109" t="s">
        <v>72</v>
      </c>
      <c r="D1159" s="99" t="s">
        <v>1302</v>
      </c>
      <c r="E1159" s="100">
        <v>-852.44</v>
      </c>
      <c r="F1159" s="137" t="s">
        <v>8</v>
      </c>
      <c r="G1159" s="105" t="s">
        <v>86</v>
      </c>
    </row>
    <row r="1160" spans="1:7" s="103" customFormat="1" x14ac:dyDescent="0.3">
      <c r="A1160" s="98">
        <v>45888</v>
      </c>
      <c r="B1160" s="720" t="s">
        <v>212</v>
      </c>
      <c r="C1160" s="721" t="s">
        <v>17</v>
      </c>
      <c r="D1160" s="99" t="s">
        <v>1310</v>
      </c>
      <c r="E1160" s="100">
        <v>-77.489999999999995</v>
      </c>
      <c r="F1160" s="137" t="s">
        <v>8</v>
      </c>
      <c r="G1160" s="105" t="s">
        <v>86</v>
      </c>
    </row>
    <row r="1161" spans="1:7" s="103" customFormat="1" ht="27.6" x14ac:dyDescent="0.3">
      <c r="A1161" s="98">
        <v>45888</v>
      </c>
      <c r="B1161" s="720" t="s">
        <v>212</v>
      </c>
      <c r="C1161" s="721" t="s">
        <v>17</v>
      </c>
      <c r="D1161" s="146" t="s">
        <v>1307</v>
      </c>
      <c r="E1161" s="100">
        <v>-36835.56</v>
      </c>
      <c r="F1161" s="137" t="s">
        <v>8</v>
      </c>
      <c r="G1161" s="105" t="s">
        <v>46</v>
      </c>
    </row>
    <row r="1162" spans="1:7" x14ac:dyDescent="0.3">
      <c r="E1162" s="722">
        <f>SUM(E1121:E1161)</f>
        <v>-104618.79000000001</v>
      </c>
    </row>
    <row r="1171" spans="1:7" x14ac:dyDescent="0.3">
      <c r="A1171" s="918" t="s">
        <v>1309</v>
      </c>
      <c r="B1171" s="918"/>
      <c r="C1171" s="918"/>
      <c r="D1171" s="918"/>
      <c r="E1171" s="918"/>
      <c r="F1171" s="918"/>
      <c r="G1171" s="918"/>
    </row>
    <row r="1172" spans="1:7" ht="38.4" customHeight="1" x14ac:dyDescent="0.3">
      <c r="A1172" s="918"/>
      <c r="B1172" s="918"/>
      <c r="C1172" s="918"/>
      <c r="D1172" s="918"/>
      <c r="E1172" s="918"/>
      <c r="F1172" s="918"/>
      <c r="G1172" s="918"/>
    </row>
    <row r="1173" spans="1:7" x14ac:dyDescent="0.3">
      <c r="A1173" s="275" t="s">
        <v>0</v>
      </c>
      <c r="B1173" s="275" t="s">
        <v>1209</v>
      </c>
      <c r="C1173" s="200" t="s">
        <v>1</v>
      </c>
      <c r="D1173" s="124" t="s">
        <v>2</v>
      </c>
      <c r="E1173" s="129" t="s">
        <v>3</v>
      </c>
      <c r="F1173" s="137" t="s">
        <v>4</v>
      </c>
      <c r="G1173" s="311" t="s">
        <v>5</v>
      </c>
    </row>
    <row r="1174" spans="1:7" s="103" customFormat="1" x14ac:dyDescent="0.3">
      <c r="A1174" s="275">
        <v>45889</v>
      </c>
      <c r="B1174" s="275" t="s">
        <v>212</v>
      </c>
      <c r="C1174" s="735" t="s">
        <v>17</v>
      </c>
      <c r="D1174" s="272" t="s">
        <v>1279</v>
      </c>
      <c r="E1174" s="273">
        <v>-5460</v>
      </c>
      <c r="F1174" s="110" t="s">
        <v>8</v>
      </c>
      <c r="G1174" s="137" t="s">
        <v>53</v>
      </c>
    </row>
    <row r="1175" spans="1:7" s="103" customFormat="1" x14ac:dyDescent="0.3">
      <c r="A1175" s="275">
        <v>45889</v>
      </c>
      <c r="B1175" s="275" t="s">
        <v>212</v>
      </c>
      <c r="C1175" s="99" t="s">
        <v>31</v>
      </c>
      <c r="D1175" s="99" t="s">
        <v>1313</v>
      </c>
      <c r="E1175" s="100">
        <v>-1689.3</v>
      </c>
      <c r="F1175" s="110" t="s">
        <v>8</v>
      </c>
      <c r="G1175" s="137" t="s">
        <v>122</v>
      </c>
    </row>
    <row r="1176" spans="1:7" s="103" customFormat="1" x14ac:dyDescent="0.3">
      <c r="A1176" s="275">
        <v>45889</v>
      </c>
      <c r="B1176" s="275" t="s">
        <v>212</v>
      </c>
      <c r="C1176" s="99" t="s">
        <v>6</v>
      </c>
      <c r="D1176" s="99" t="s">
        <v>1313</v>
      </c>
      <c r="E1176" s="100">
        <v>-1689.3</v>
      </c>
      <c r="F1176" s="110" t="s">
        <v>8</v>
      </c>
      <c r="G1176" s="137" t="s">
        <v>122</v>
      </c>
    </row>
    <row r="1177" spans="1:7" s="103" customFormat="1" x14ac:dyDescent="0.3">
      <c r="A1177" s="275">
        <v>45889</v>
      </c>
      <c r="B1177" s="275" t="s">
        <v>212</v>
      </c>
      <c r="C1177" s="99" t="s">
        <v>44</v>
      </c>
      <c r="D1177" s="99" t="s">
        <v>1313</v>
      </c>
      <c r="E1177" s="100">
        <v>-1689.3</v>
      </c>
      <c r="F1177" s="110" t="s">
        <v>8</v>
      </c>
      <c r="G1177" s="137" t="s">
        <v>122</v>
      </c>
    </row>
    <row r="1178" spans="1:7" s="103" customFormat="1" x14ac:dyDescent="0.3">
      <c r="A1178" s="275">
        <v>45889</v>
      </c>
      <c r="B1178" s="275" t="s">
        <v>212</v>
      </c>
      <c r="C1178" s="99" t="s">
        <v>25</v>
      </c>
      <c r="D1178" s="99" t="s">
        <v>1313</v>
      </c>
      <c r="E1178" s="100">
        <v>-1689.3</v>
      </c>
      <c r="F1178" s="110" t="s">
        <v>8</v>
      </c>
      <c r="G1178" s="137" t="s">
        <v>122</v>
      </c>
    </row>
    <row r="1179" spans="1:7" s="103" customFormat="1" x14ac:dyDescent="0.3">
      <c r="A1179" s="275">
        <v>45889</v>
      </c>
      <c r="B1179" s="275" t="s">
        <v>212</v>
      </c>
      <c r="C1179" s="99" t="s">
        <v>33</v>
      </c>
      <c r="D1179" s="99" t="s">
        <v>1313</v>
      </c>
      <c r="E1179" s="100">
        <v>-1689.3</v>
      </c>
      <c r="F1179" s="110" t="s">
        <v>8</v>
      </c>
      <c r="G1179" s="137" t="s">
        <v>122</v>
      </c>
    </row>
    <row r="1180" spans="1:7" s="103" customFormat="1" x14ac:dyDescent="0.3">
      <c r="A1180" s="275">
        <v>45889</v>
      </c>
      <c r="B1180" s="275" t="s">
        <v>212</v>
      </c>
      <c r="C1180" s="99" t="s">
        <v>106</v>
      </c>
      <c r="D1180" s="99" t="s">
        <v>1313</v>
      </c>
      <c r="E1180" s="100">
        <v>-1689.3</v>
      </c>
      <c r="F1180" s="110" t="s">
        <v>8</v>
      </c>
      <c r="G1180" s="137" t="s">
        <v>122</v>
      </c>
    </row>
    <row r="1181" spans="1:7" s="103" customFormat="1" x14ac:dyDescent="0.3">
      <c r="A1181" s="275">
        <v>45889</v>
      </c>
      <c r="B1181" s="275" t="s">
        <v>212</v>
      </c>
      <c r="C1181" s="99" t="s">
        <v>32</v>
      </c>
      <c r="D1181" s="99" t="s">
        <v>1313</v>
      </c>
      <c r="E1181" s="100">
        <v>-1689.3</v>
      </c>
      <c r="F1181" s="110" t="s">
        <v>8</v>
      </c>
      <c r="G1181" s="137" t="s">
        <v>122</v>
      </c>
    </row>
    <row r="1182" spans="1:7" s="103" customFormat="1" x14ac:dyDescent="0.3">
      <c r="A1182" s="275">
        <v>45889</v>
      </c>
      <c r="B1182" s="275" t="s">
        <v>212</v>
      </c>
      <c r="C1182" s="99" t="s">
        <v>72</v>
      </c>
      <c r="D1182" s="99" t="s">
        <v>1313</v>
      </c>
      <c r="E1182" s="100">
        <v>-1689.3</v>
      </c>
      <c r="F1182" s="110" t="s">
        <v>8</v>
      </c>
      <c r="G1182" s="137" t="s">
        <v>122</v>
      </c>
    </row>
    <row r="1183" spans="1:7" s="103" customFormat="1" x14ac:dyDescent="0.3">
      <c r="A1183" s="275">
        <v>45889</v>
      </c>
      <c r="B1183" s="275" t="s">
        <v>212</v>
      </c>
      <c r="C1183" s="99" t="s">
        <v>17</v>
      </c>
      <c r="D1183" s="99" t="s">
        <v>1313</v>
      </c>
      <c r="E1183" s="100">
        <v>-2346.25</v>
      </c>
      <c r="F1183" s="110" t="s">
        <v>8</v>
      </c>
      <c r="G1183" s="137" t="s">
        <v>122</v>
      </c>
    </row>
    <row r="1184" spans="1:7" s="103" customFormat="1" x14ac:dyDescent="0.3">
      <c r="A1184" s="275">
        <v>45889</v>
      </c>
      <c r="B1184" s="275" t="s">
        <v>212</v>
      </c>
      <c r="C1184" s="735" t="s">
        <v>17</v>
      </c>
      <c r="D1184" s="272" t="s">
        <v>124</v>
      </c>
      <c r="E1184" s="571">
        <v>-1046.6400000000001</v>
      </c>
      <c r="F1184" s="110" t="s">
        <v>8</v>
      </c>
      <c r="G1184" s="137" t="s">
        <v>69</v>
      </c>
    </row>
    <row r="1185" spans="1:7" s="103" customFormat="1" x14ac:dyDescent="0.3">
      <c r="A1185" s="275">
        <v>45889</v>
      </c>
      <c r="B1185" s="275" t="s">
        <v>212</v>
      </c>
      <c r="C1185" s="272" t="s">
        <v>6</v>
      </c>
      <c r="D1185" s="272" t="s">
        <v>125</v>
      </c>
      <c r="E1185" s="273">
        <v>-39.799999999999997</v>
      </c>
      <c r="F1185" s="110" t="s">
        <v>8</v>
      </c>
      <c r="G1185" s="137" t="s">
        <v>69</v>
      </c>
    </row>
    <row r="1186" spans="1:7" s="103" customFormat="1" x14ac:dyDescent="0.3">
      <c r="A1186" s="275">
        <v>45889</v>
      </c>
      <c r="B1186" s="275" t="s">
        <v>212</v>
      </c>
      <c r="C1186" s="272" t="s">
        <v>44</v>
      </c>
      <c r="D1186" s="272" t="s">
        <v>1283</v>
      </c>
      <c r="E1186" s="273">
        <v>-4544.8500000000004</v>
      </c>
      <c r="F1186" s="110" t="s">
        <v>8</v>
      </c>
      <c r="G1186" s="736" t="s">
        <v>127</v>
      </c>
    </row>
    <row r="1187" spans="1:7" s="103" customFormat="1" x14ac:dyDescent="0.3">
      <c r="A1187" s="275">
        <v>45889</v>
      </c>
      <c r="B1187" s="275" t="s">
        <v>212</v>
      </c>
      <c r="C1187" s="109" t="s">
        <v>25</v>
      </c>
      <c r="D1187" s="272" t="s">
        <v>1282</v>
      </c>
      <c r="E1187" s="273">
        <v>-1122.06</v>
      </c>
      <c r="F1187" s="110" t="s">
        <v>8</v>
      </c>
      <c r="G1187" s="736" t="s">
        <v>127</v>
      </c>
    </row>
    <row r="1188" spans="1:7" s="103" customFormat="1" x14ac:dyDescent="0.3">
      <c r="A1188" s="275">
        <v>45889</v>
      </c>
      <c r="B1188" s="275" t="s">
        <v>212</v>
      </c>
      <c r="C1188" s="272" t="s">
        <v>1281</v>
      </c>
      <c r="D1188" s="272" t="s">
        <v>1284</v>
      </c>
      <c r="E1188" s="273">
        <v>-1375.8</v>
      </c>
      <c r="F1188" s="110" t="s">
        <v>8</v>
      </c>
      <c r="G1188" s="736" t="s">
        <v>127</v>
      </c>
    </row>
    <row r="1189" spans="1:7" s="103" customFormat="1" x14ac:dyDescent="0.3">
      <c r="A1189" s="275">
        <v>45889</v>
      </c>
      <c r="B1189" s="275" t="s">
        <v>212</v>
      </c>
      <c r="C1189" s="272" t="s">
        <v>32</v>
      </c>
      <c r="D1189" s="272" t="s">
        <v>1285</v>
      </c>
      <c r="E1189" s="273">
        <v>-1418.32</v>
      </c>
      <c r="F1189" s="110" t="s">
        <v>8</v>
      </c>
      <c r="G1189" s="736" t="s">
        <v>127</v>
      </c>
    </row>
    <row r="1190" spans="1:7" s="103" customFormat="1" x14ac:dyDescent="0.3">
      <c r="A1190" s="275">
        <v>45889</v>
      </c>
      <c r="B1190" s="275" t="s">
        <v>212</v>
      </c>
      <c r="C1190" s="272" t="s">
        <v>33</v>
      </c>
      <c r="D1190" s="272" t="s">
        <v>1286</v>
      </c>
      <c r="E1190" s="273">
        <v>-4591.54</v>
      </c>
      <c r="F1190" s="110" t="s">
        <v>8</v>
      </c>
      <c r="G1190" s="736" t="s">
        <v>127</v>
      </c>
    </row>
    <row r="1191" spans="1:7" s="103" customFormat="1" x14ac:dyDescent="0.3">
      <c r="A1191" s="275">
        <v>45889</v>
      </c>
      <c r="B1191" s="275" t="s">
        <v>212</v>
      </c>
      <c r="C1191" s="272" t="s">
        <v>34</v>
      </c>
      <c r="D1191" s="272" t="s">
        <v>1287</v>
      </c>
      <c r="E1191" s="273">
        <v>-4774.17</v>
      </c>
      <c r="F1191" s="110" t="s">
        <v>8</v>
      </c>
      <c r="G1191" s="736" t="s">
        <v>127</v>
      </c>
    </row>
    <row r="1192" spans="1:7" s="103" customFormat="1" x14ac:dyDescent="0.3">
      <c r="A1192" s="275">
        <v>45889</v>
      </c>
      <c r="B1192" s="275" t="s">
        <v>212</v>
      </c>
      <c r="C1192" s="272" t="s">
        <v>30</v>
      </c>
      <c r="D1192" s="272" t="s">
        <v>1288</v>
      </c>
      <c r="E1192" s="273">
        <v>-1309.9000000000001</v>
      </c>
      <c r="F1192" s="110" t="s">
        <v>8</v>
      </c>
      <c r="G1192" s="736" t="s">
        <v>127</v>
      </c>
    </row>
    <row r="1193" spans="1:7" s="103" customFormat="1" x14ac:dyDescent="0.3">
      <c r="A1193" s="275">
        <v>45889</v>
      </c>
      <c r="B1193" s="275" t="s">
        <v>212</v>
      </c>
      <c r="C1193" s="109" t="s">
        <v>17</v>
      </c>
      <c r="D1193" s="99" t="s">
        <v>1312</v>
      </c>
      <c r="E1193" s="273">
        <v>-29.5</v>
      </c>
      <c r="F1193" s="110" t="s">
        <v>8</v>
      </c>
      <c r="G1193" s="736" t="s">
        <v>127</v>
      </c>
    </row>
    <row r="1194" spans="1:7" s="103" customFormat="1" x14ac:dyDescent="0.3">
      <c r="A1194" s="275">
        <v>45889</v>
      </c>
      <c r="B1194" s="275" t="s">
        <v>212</v>
      </c>
      <c r="C1194" s="109" t="s">
        <v>17</v>
      </c>
      <c r="D1194" s="99" t="s">
        <v>1280</v>
      </c>
      <c r="E1194" s="273">
        <v>-14264.18</v>
      </c>
      <c r="F1194" s="110" t="s">
        <v>8</v>
      </c>
      <c r="G1194" s="736" t="s">
        <v>127</v>
      </c>
    </row>
    <row r="1195" spans="1:7" s="103" customFormat="1" x14ac:dyDescent="0.3">
      <c r="A1195" s="275">
        <v>45889</v>
      </c>
      <c r="B1195" s="275" t="s">
        <v>212</v>
      </c>
      <c r="C1195" s="99" t="s">
        <v>31</v>
      </c>
      <c r="D1195" s="99" t="s">
        <v>1262</v>
      </c>
      <c r="E1195" s="100">
        <v>-12296.18</v>
      </c>
      <c r="F1195" s="144" t="s">
        <v>8</v>
      </c>
      <c r="G1195" s="736" t="s">
        <v>127</v>
      </c>
    </row>
    <row r="1196" spans="1:7" s="103" customFormat="1" x14ac:dyDescent="0.3">
      <c r="A1196" s="275">
        <v>45889</v>
      </c>
      <c r="B1196" s="275" t="s">
        <v>212</v>
      </c>
      <c r="C1196" s="99" t="s">
        <v>6</v>
      </c>
      <c r="D1196" s="99" t="s">
        <v>787</v>
      </c>
      <c r="E1196" s="100">
        <v>-4941.3100000000004</v>
      </c>
      <c r="F1196" s="144" t="s">
        <v>8</v>
      </c>
      <c r="G1196" s="736" t="s">
        <v>127</v>
      </c>
    </row>
    <row r="1197" spans="1:7" s="103" customFormat="1" x14ac:dyDescent="0.3">
      <c r="A1197" s="275">
        <v>45889</v>
      </c>
      <c r="B1197" s="275" t="s">
        <v>212</v>
      </c>
      <c r="C1197" s="99" t="s">
        <v>44</v>
      </c>
      <c r="D1197" s="99" t="s">
        <v>788</v>
      </c>
      <c r="E1197" s="100">
        <v>-5133.79</v>
      </c>
      <c r="F1197" s="144" t="s">
        <v>8</v>
      </c>
      <c r="G1197" s="736" t="s">
        <v>127</v>
      </c>
    </row>
    <row r="1198" spans="1:7" s="103" customFormat="1" x14ac:dyDescent="0.3">
      <c r="A1198" s="275">
        <v>45889</v>
      </c>
      <c r="B1198" s="275" t="s">
        <v>212</v>
      </c>
      <c r="C1198" s="99" t="s">
        <v>25</v>
      </c>
      <c r="D1198" s="99" t="s">
        <v>1257</v>
      </c>
      <c r="E1198" s="100">
        <v>-9118.24</v>
      </c>
      <c r="F1198" s="144" t="s">
        <v>8</v>
      </c>
      <c r="G1198" s="736" t="s">
        <v>127</v>
      </c>
    </row>
    <row r="1199" spans="1:7" s="103" customFormat="1" x14ac:dyDescent="0.3">
      <c r="A1199" s="275">
        <v>45889</v>
      </c>
      <c r="B1199" s="275" t="s">
        <v>212</v>
      </c>
      <c r="C1199" s="99" t="s">
        <v>33</v>
      </c>
      <c r="D1199" s="99" t="s">
        <v>1258</v>
      </c>
      <c r="E1199" s="100">
        <v>-5275.51</v>
      </c>
      <c r="F1199" s="144" t="s">
        <v>8</v>
      </c>
      <c r="G1199" s="736" t="s">
        <v>127</v>
      </c>
    </row>
    <row r="1200" spans="1:7" s="103" customFormat="1" x14ac:dyDescent="0.3">
      <c r="A1200" s="275">
        <v>45889</v>
      </c>
      <c r="B1200" s="275" t="s">
        <v>212</v>
      </c>
      <c r="C1200" s="99" t="s">
        <v>106</v>
      </c>
      <c r="D1200" s="99" t="s">
        <v>1259</v>
      </c>
      <c r="E1200" s="571">
        <v>-2899.38</v>
      </c>
      <c r="F1200" s="144" t="s">
        <v>8</v>
      </c>
      <c r="G1200" s="736" t="s">
        <v>127</v>
      </c>
    </row>
    <row r="1201" spans="1:7" s="103" customFormat="1" x14ac:dyDescent="0.3">
      <c r="A1201" s="275">
        <v>45889</v>
      </c>
      <c r="B1201" s="275" t="s">
        <v>212</v>
      </c>
      <c r="C1201" s="99" t="s">
        <v>32</v>
      </c>
      <c r="D1201" s="99" t="s">
        <v>1260</v>
      </c>
      <c r="E1201" s="100">
        <v>-8629.2099999999991</v>
      </c>
      <c r="F1201" s="144" t="s">
        <v>8</v>
      </c>
      <c r="G1201" s="736" t="s">
        <v>127</v>
      </c>
    </row>
    <row r="1202" spans="1:7" s="103" customFormat="1" x14ac:dyDescent="0.3">
      <c r="A1202" s="275">
        <v>45889</v>
      </c>
      <c r="B1202" s="275" t="s">
        <v>212</v>
      </c>
      <c r="C1202" s="99" t="s">
        <v>72</v>
      </c>
      <c r="D1202" s="99" t="s">
        <v>1261</v>
      </c>
      <c r="E1202" s="100">
        <v>-3577.26</v>
      </c>
      <c r="F1202" s="144" t="s">
        <v>8</v>
      </c>
      <c r="G1202" s="736" t="s">
        <v>127</v>
      </c>
    </row>
    <row r="1203" spans="1:7" s="103" customFormat="1" x14ac:dyDescent="0.3">
      <c r="A1203" s="275">
        <v>45889</v>
      </c>
      <c r="B1203" s="275" t="s">
        <v>212</v>
      </c>
      <c r="C1203" s="142" t="s">
        <v>17</v>
      </c>
      <c r="D1203" s="142" t="s">
        <v>794</v>
      </c>
      <c r="E1203" s="143">
        <v>-3017.28</v>
      </c>
      <c r="F1203" s="144" t="s">
        <v>8</v>
      </c>
      <c r="G1203" s="736" t="s">
        <v>127</v>
      </c>
    </row>
    <row r="1204" spans="1:7" s="103" customFormat="1" x14ac:dyDescent="0.3">
      <c r="A1204" s="275">
        <v>45889</v>
      </c>
      <c r="B1204" s="275" t="s">
        <v>212</v>
      </c>
      <c r="C1204" s="99" t="s">
        <v>31</v>
      </c>
      <c r="D1204" s="99" t="s">
        <v>1250</v>
      </c>
      <c r="E1204" s="100">
        <v>-9496.35</v>
      </c>
      <c r="F1204" s="144" t="s">
        <v>8</v>
      </c>
      <c r="G1204" s="736" t="s">
        <v>127</v>
      </c>
    </row>
    <row r="1205" spans="1:7" s="103" customFormat="1" x14ac:dyDescent="0.3">
      <c r="A1205" s="275">
        <v>45889</v>
      </c>
      <c r="B1205" s="275" t="s">
        <v>212</v>
      </c>
      <c r="C1205" s="99" t="s">
        <v>6</v>
      </c>
      <c r="D1205" s="99" t="s">
        <v>796</v>
      </c>
      <c r="E1205" s="100">
        <v>-10971.43</v>
      </c>
      <c r="F1205" s="144" t="s">
        <v>8</v>
      </c>
      <c r="G1205" s="736" t="s">
        <v>127</v>
      </c>
    </row>
    <row r="1206" spans="1:7" s="103" customFormat="1" x14ac:dyDescent="0.3">
      <c r="A1206" s="275">
        <v>45889</v>
      </c>
      <c r="B1206" s="275" t="s">
        <v>212</v>
      </c>
      <c r="C1206" s="99" t="s">
        <v>44</v>
      </c>
      <c r="D1206" s="99" t="s">
        <v>1251</v>
      </c>
      <c r="E1206" s="100">
        <v>-3579.94</v>
      </c>
      <c r="F1206" s="144" t="s">
        <v>8</v>
      </c>
      <c r="G1206" s="736" t="s">
        <v>127</v>
      </c>
    </row>
    <row r="1207" spans="1:7" s="103" customFormat="1" x14ac:dyDescent="0.3">
      <c r="A1207" s="275">
        <v>45889</v>
      </c>
      <c r="B1207" s="275" t="s">
        <v>212</v>
      </c>
      <c r="C1207" s="99" t="s">
        <v>25</v>
      </c>
      <c r="D1207" s="99" t="s">
        <v>1252</v>
      </c>
      <c r="E1207" s="100">
        <v>-6549.14</v>
      </c>
      <c r="F1207" s="144" t="s">
        <v>8</v>
      </c>
      <c r="G1207" s="736" t="s">
        <v>127</v>
      </c>
    </row>
    <row r="1208" spans="1:7" s="103" customFormat="1" x14ac:dyDescent="0.3">
      <c r="A1208" s="275">
        <v>45889</v>
      </c>
      <c r="B1208" s="275" t="s">
        <v>212</v>
      </c>
      <c r="C1208" s="99" t="s">
        <v>33</v>
      </c>
      <c r="D1208" s="99" t="s">
        <v>1253</v>
      </c>
      <c r="E1208" s="100">
        <v>-2091.98</v>
      </c>
      <c r="F1208" s="144" t="s">
        <v>8</v>
      </c>
      <c r="G1208" s="736" t="s">
        <v>127</v>
      </c>
    </row>
    <row r="1209" spans="1:7" s="103" customFormat="1" x14ac:dyDescent="0.3">
      <c r="A1209" s="275">
        <v>45889</v>
      </c>
      <c r="B1209" s="275" t="s">
        <v>212</v>
      </c>
      <c r="C1209" s="99" t="s">
        <v>106</v>
      </c>
      <c r="D1209" s="99" t="s">
        <v>1254</v>
      </c>
      <c r="E1209" s="100">
        <v>-24.94</v>
      </c>
      <c r="F1209" s="144" t="s">
        <v>8</v>
      </c>
      <c r="G1209" s="736" t="s">
        <v>127</v>
      </c>
    </row>
    <row r="1210" spans="1:7" s="103" customFormat="1" x14ac:dyDescent="0.3">
      <c r="A1210" s="275">
        <v>45889</v>
      </c>
      <c r="B1210" s="275" t="s">
        <v>212</v>
      </c>
      <c r="C1210" s="99" t="s">
        <v>32</v>
      </c>
      <c r="D1210" s="99" t="s">
        <v>800</v>
      </c>
      <c r="E1210" s="571">
        <v>-7620.64</v>
      </c>
      <c r="F1210" s="144" t="s">
        <v>8</v>
      </c>
      <c r="G1210" s="736" t="s">
        <v>127</v>
      </c>
    </row>
    <row r="1211" spans="1:7" s="103" customFormat="1" x14ac:dyDescent="0.3">
      <c r="A1211" s="275">
        <v>45889</v>
      </c>
      <c r="B1211" s="275" t="s">
        <v>212</v>
      </c>
      <c r="C1211" s="99" t="s">
        <v>72</v>
      </c>
      <c r="D1211" s="99" t="s">
        <v>1255</v>
      </c>
      <c r="E1211" s="100">
        <v>-1818.31</v>
      </c>
      <c r="F1211" s="144" t="s">
        <v>8</v>
      </c>
      <c r="G1211" s="736" t="s">
        <v>127</v>
      </c>
    </row>
    <row r="1212" spans="1:7" s="103" customFormat="1" x14ac:dyDescent="0.3">
      <c r="A1212" s="275">
        <v>45889</v>
      </c>
      <c r="B1212" s="275" t="s">
        <v>212</v>
      </c>
      <c r="C1212" s="99" t="s">
        <v>17</v>
      </c>
      <c r="D1212" s="99" t="s">
        <v>1256</v>
      </c>
      <c r="E1212" s="100">
        <v>-13894.59</v>
      </c>
      <c r="F1212" s="144" t="s">
        <v>8</v>
      </c>
      <c r="G1212" s="736" t="s">
        <v>127</v>
      </c>
    </row>
    <row r="1213" spans="1:7" s="103" customFormat="1" x14ac:dyDescent="0.3">
      <c r="A1213" s="275">
        <v>45889</v>
      </c>
      <c r="B1213" s="275" t="s">
        <v>212</v>
      </c>
      <c r="C1213" s="272" t="s">
        <v>6</v>
      </c>
      <c r="D1213" s="272" t="s">
        <v>891</v>
      </c>
      <c r="E1213" s="273">
        <v>-62065.88</v>
      </c>
      <c r="F1213" s="110" t="s">
        <v>8</v>
      </c>
      <c r="G1213" s="137" t="s">
        <v>27</v>
      </c>
    </row>
    <row r="1214" spans="1:7" s="103" customFormat="1" x14ac:dyDescent="0.3">
      <c r="A1214" s="275">
        <v>45889</v>
      </c>
      <c r="B1214" s="275" t="s">
        <v>212</v>
      </c>
      <c r="C1214" s="99" t="s">
        <v>6</v>
      </c>
      <c r="D1214" s="99" t="s">
        <v>734</v>
      </c>
      <c r="E1214" s="100">
        <v>-11383.86</v>
      </c>
      <c r="F1214" s="110" t="s">
        <v>8</v>
      </c>
      <c r="G1214" s="105" t="s">
        <v>83</v>
      </c>
    </row>
    <row r="1215" spans="1:7" s="103" customFormat="1" x14ac:dyDescent="0.3">
      <c r="A1215" s="275">
        <v>45889</v>
      </c>
      <c r="B1215" s="275" t="s">
        <v>212</v>
      </c>
      <c r="C1215" s="99" t="s">
        <v>44</v>
      </c>
      <c r="D1215" s="99" t="s">
        <v>734</v>
      </c>
      <c r="E1215" s="100">
        <v>-1904.57</v>
      </c>
      <c r="F1215" s="110" t="s">
        <v>8</v>
      </c>
      <c r="G1215" s="105" t="s">
        <v>83</v>
      </c>
    </row>
    <row r="1216" spans="1:7" s="103" customFormat="1" x14ac:dyDescent="0.3">
      <c r="A1216" s="275">
        <v>45889</v>
      </c>
      <c r="B1216" s="275" t="s">
        <v>212</v>
      </c>
      <c r="C1216" s="99" t="s">
        <v>33</v>
      </c>
      <c r="D1216" s="99" t="s">
        <v>734</v>
      </c>
      <c r="E1216" s="100">
        <v>-620.04999999999995</v>
      </c>
      <c r="F1216" s="110" t="s">
        <v>8</v>
      </c>
      <c r="G1216" s="105" t="s">
        <v>83</v>
      </c>
    </row>
    <row r="1217" spans="1:7" s="103" customFormat="1" x14ac:dyDescent="0.3">
      <c r="A1217" s="275">
        <v>45889</v>
      </c>
      <c r="B1217" s="275" t="s">
        <v>212</v>
      </c>
      <c r="C1217" s="99" t="s">
        <v>106</v>
      </c>
      <c r="D1217" s="99" t="s">
        <v>734</v>
      </c>
      <c r="E1217" s="100">
        <v>-993.74</v>
      </c>
      <c r="F1217" s="110" t="s">
        <v>8</v>
      </c>
      <c r="G1217" s="105" t="s">
        <v>83</v>
      </c>
    </row>
    <row r="1218" spans="1:7" s="103" customFormat="1" x14ac:dyDescent="0.3">
      <c r="A1218" s="275">
        <v>45889</v>
      </c>
      <c r="B1218" s="275" t="s">
        <v>212</v>
      </c>
      <c r="C1218" s="99" t="s">
        <v>32</v>
      </c>
      <c r="D1218" s="99" t="s">
        <v>734</v>
      </c>
      <c r="E1218" s="100">
        <v>-2385.4499999999998</v>
      </c>
      <c r="F1218" s="110" t="s">
        <v>8</v>
      </c>
      <c r="G1218" s="105" t="s">
        <v>83</v>
      </c>
    </row>
    <row r="1219" spans="1:7" s="103" customFormat="1" x14ac:dyDescent="0.3">
      <c r="A1219" s="275">
        <v>45889</v>
      </c>
      <c r="B1219" s="275" t="s">
        <v>212</v>
      </c>
      <c r="C1219" s="99" t="s">
        <v>72</v>
      </c>
      <c r="D1219" s="99" t="s">
        <v>734</v>
      </c>
      <c r="E1219" s="100">
        <v>-1548.2</v>
      </c>
      <c r="F1219" s="110" t="s">
        <v>8</v>
      </c>
      <c r="G1219" s="105" t="s">
        <v>83</v>
      </c>
    </row>
    <row r="1220" spans="1:7" s="103" customFormat="1" x14ac:dyDescent="0.3">
      <c r="A1220" s="275">
        <v>45889</v>
      </c>
      <c r="B1220" s="275" t="s">
        <v>212</v>
      </c>
      <c r="C1220" s="99" t="s">
        <v>17</v>
      </c>
      <c r="D1220" s="99" t="s">
        <v>734</v>
      </c>
      <c r="E1220" s="100">
        <v>-23731.68</v>
      </c>
      <c r="F1220" s="110" t="s">
        <v>8</v>
      </c>
      <c r="G1220" s="105" t="s">
        <v>83</v>
      </c>
    </row>
    <row r="1221" spans="1:7" s="103" customFormat="1" x14ac:dyDescent="0.3">
      <c r="A1221" s="275">
        <v>45889</v>
      </c>
      <c r="B1221" s="275" t="s">
        <v>212</v>
      </c>
      <c r="C1221" s="272" t="s">
        <v>25</v>
      </c>
      <c r="D1221" s="272" t="s">
        <v>887</v>
      </c>
      <c r="E1221" s="273">
        <v>-2982.25</v>
      </c>
      <c r="F1221" s="110" t="s">
        <v>8</v>
      </c>
      <c r="G1221" s="311" t="s">
        <v>156</v>
      </c>
    </row>
    <row r="1222" spans="1:7" s="103" customFormat="1" x14ac:dyDescent="0.3">
      <c r="A1222" s="275">
        <v>45889</v>
      </c>
      <c r="B1222" s="275" t="s">
        <v>212</v>
      </c>
      <c r="C1222" s="99" t="s">
        <v>31</v>
      </c>
      <c r="D1222" s="99" t="s">
        <v>1193</v>
      </c>
      <c r="E1222" s="100">
        <v>-1240</v>
      </c>
      <c r="F1222" s="110" t="s">
        <v>8</v>
      </c>
      <c r="G1222" s="105" t="s">
        <v>189</v>
      </c>
    </row>
    <row r="1223" spans="1:7" s="103" customFormat="1" x14ac:dyDescent="0.3">
      <c r="A1223" s="135">
        <v>45889</v>
      </c>
      <c r="B1223" s="97" t="s">
        <v>212</v>
      </c>
      <c r="C1223" s="99" t="s">
        <v>17</v>
      </c>
      <c r="D1223" s="99" t="s">
        <v>839</v>
      </c>
      <c r="E1223" s="100">
        <v>-268.92</v>
      </c>
      <c r="F1223" s="110" t="s">
        <v>8</v>
      </c>
      <c r="G1223" s="105" t="s">
        <v>189</v>
      </c>
    </row>
    <row r="1224" spans="1:7" s="103" customFormat="1" x14ac:dyDescent="0.3">
      <c r="A1224" s="135">
        <v>45889</v>
      </c>
      <c r="B1224" s="97" t="s">
        <v>212</v>
      </c>
      <c r="C1224" s="99" t="s">
        <v>31</v>
      </c>
      <c r="D1224" s="99" t="s">
        <v>881</v>
      </c>
      <c r="E1224" s="100">
        <v>-8.51</v>
      </c>
      <c r="F1224" s="110" t="s">
        <v>8</v>
      </c>
      <c r="G1224" s="105" t="s">
        <v>76</v>
      </c>
    </row>
    <row r="1225" spans="1:7" s="103" customFormat="1" x14ac:dyDescent="0.3">
      <c r="A1225" s="135">
        <v>45889</v>
      </c>
      <c r="B1225" s="97" t="s">
        <v>212</v>
      </c>
      <c r="C1225" s="99" t="s">
        <v>72</v>
      </c>
      <c r="D1225" s="99" t="s">
        <v>1229</v>
      </c>
      <c r="E1225" s="100">
        <v>-2013.06</v>
      </c>
      <c r="F1225" s="110" t="s">
        <v>8</v>
      </c>
      <c r="G1225" s="105" t="s">
        <v>76</v>
      </c>
    </row>
    <row r="1226" spans="1:7" s="103" customFormat="1" x14ac:dyDescent="0.3">
      <c r="A1226" s="275">
        <v>45889</v>
      </c>
      <c r="B1226" s="275" t="s">
        <v>212</v>
      </c>
      <c r="C1226" s="99" t="s">
        <v>17</v>
      </c>
      <c r="D1226" s="99" t="s">
        <v>1192</v>
      </c>
      <c r="E1226" s="100">
        <v>-2500</v>
      </c>
      <c r="F1226" s="110" t="s">
        <v>8</v>
      </c>
      <c r="G1226" s="105" t="s">
        <v>389</v>
      </c>
    </row>
    <row r="1227" spans="1:7" s="103" customFormat="1" x14ac:dyDescent="0.3">
      <c r="A1227" s="275">
        <v>45889</v>
      </c>
      <c r="B1227" s="275" t="s">
        <v>212</v>
      </c>
      <c r="C1227" s="99" t="s">
        <v>25</v>
      </c>
      <c r="D1227" s="99" t="s">
        <v>1247</v>
      </c>
      <c r="E1227" s="100">
        <v>-60</v>
      </c>
      <c r="F1227" s="110" t="s">
        <v>8</v>
      </c>
      <c r="G1227" s="105" t="s">
        <v>83</v>
      </c>
    </row>
    <row r="1228" spans="1:7" s="103" customFormat="1" x14ac:dyDescent="0.3">
      <c r="A1228" s="275">
        <v>45889</v>
      </c>
      <c r="B1228" s="275" t="s">
        <v>212</v>
      </c>
      <c r="C1228" s="99" t="s">
        <v>25</v>
      </c>
      <c r="D1228" s="99" t="s">
        <v>1248</v>
      </c>
      <c r="E1228" s="100">
        <v>-123</v>
      </c>
      <c r="F1228" s="110" t="s">
        <v>8</v>
      </c>
      <c r="G1228" s="105" t="s">
        <v>83</v>
      </c>
    </row>
    <row r="1229" spans="1:7" s="103" customFormat="1" x14ac:dyDescent="0.3">
      <c r="A1229" s="275">
        <v>45889</v>
      </c>
      <c r="B1229" s="275" t="s">
        <v>212</v>
      </c>
      <c r="C1229" s="99" t="s">
        <v>32</v>
      </c>
      <c r="D1229" s="99" t="s">
        <v>1249</v>
      </c>
      <c r="E1229" s="100">
        <v>-186.4</v>
      </c>
      <c r="F1229" s="110" t="s">
        <v>8</v>
      </c>
      <c r="G1229" s="105" t="s">
        <v>83</v>
      </c>
    </row>
    <row r="1230" spans="1:7" s="103" customFormat="1" x14ac:dyDescent="0.3">
      <c r="A1230" s="275">
        <v>45889</v>
      </c>
      <c r="B1230" s="275" t="s">
        <v>212</v>
      </c>
      <c r="C1230" s="99" t="s">
        <v>32</v>
      </c>
      <c r="D1230" s="99" t="s">
        <v>1263</v>
      </c>
      <c r="E1230" s="100">
        <v>-166.08</v>
      </c>
      <c r="F1230" s="110" t="s">
        <v>8</v>
      </c>
      <c r="G1230" s="105" t="s">
        <v>394</v>
      </c>
    </row>
    <row r="1231" spans="1:7" s="103" customFormat="1" x14ac:dyDescent="0.3">
      <c r="A1231" s="275">
        <v>45889</v>
      </c>
      <c r="B1231" s="275" t="s">
        <v>212</v>
      </c>
      <c r="C1231" s="99" t="s">
        <v>72</v>
      </c>
      <c r="D1231" s="99" t="s">
        <v>1219</v>
      </c>
      <c r="E1231" s="100">
        <v>-1514.4698490000001</v>
      </c>
      <c r="F1231" s="110" t="s">
        <v>8</v>
      </c>
      <c r="G1231" s="105" t="s">
        <v>83</v>
      </c>
    </row>
    <row r="1232" spans="1:7" s="103" customFormat="1" x14ac:dyDescent="0.3">
      <c r="A1232" s="98">
        <v>45889</v>
      </c>
      <c r="B1232" s="275" t="s">
        <v>212</v>
      </c>
      <c r="C1232" s="99" t="s">
        <v>31</v>
      </c>
      <c r="D1232" s="99" t="s">
        <v>201</v>
      </c>
      <c r="E1232" s="100">
        <v>-1239.92</v>
      </c>
      <c r="F1232" s="137" t="s">
        <v>8</v>
      </c>
      <c r="G1232" s="105" t="s">
        <v>86</v>
      </c>
    </row>
    <row r="1233" spans="1:7" s="103" customFormat="1" x14ac:dyDescent="0.3">
      <c r="A1233" s="98">
        <v>45889</v>
      </c>
      <c r="B1233" s="275" t="s">
        <v>212</v>
      </c>
      <c r="C1233" s="99" t="s">
        <v>6</v>
      </c>
      <c r="D1233" s="99" t="s">
        <v>201</v>
      </c>
      <c r="E1233" s="100">
        <v>-1627.4</v>
      </c>
      <c r="F1233" s="137" t="s">
        <v>8</v>
      </c>
      <c r="G1233" s="105" t="s">
        <v>86</v>
      </c>
    </row>
    <row r="1234" spans="1:7" s="103" customFormat="1" x14ac:dyDescent="0.3">
      <c r="A1234" s="98">
        <v>45889</v>
      </c>
      <c r="B1234" s="275" t="s">
        <v>212</v>
      </c>
      <c r="C1234" s="99" t="s">
        <v>44</v>
      </c>
      <c r="D1234" s="146" t="s">
        <v>201</v>
      </c>
      <c r="E1234" s="100">
        <v>-1162.43</v>
      </c>
      <c r="F1234" s="137" t="s">
        <v>8</v>
      </c>
      <c r="G1234" s="105" t="s">
        <v>86</v>
      </c>
    </row>
    <row r="1235" spans="1:7" s="103" customFormat="1" x14ac:dyDescent="0.3">
      <c r="A1235" s="98">
        <v>45889</v>
      </c>
      <c r="B1235" s="275" t="s">
        <v>212</v>
      </c>
      <c r="C1235" s="99" t="s">
        <v>44</v>
      </c>
      <c r="D1235" s="146" t="s">
        <v>201</v>
      </c>
      <c r="E1235" s="100">
        <v>-3099.8</v>
      </c>
      <c r="F1235" s="137" t="s">
        <v>8</v>
      </c>
      <c r="G1235" s="105" t="s">
        <v>86</v>
      </c>
    </row>
    <row r="1236" spans="1:7" s="103" customFormat="1" x14ac:dyDescent="0.3">
      <c r="A1236" s="98">
        <v>45889</v>
      </c>
      <c r="B1236" s="275" t="s">
        <v>212</v>
      </c>
      <c r="C1236" s="99" t="s">
        <v>25</v>
      </c>
      <c r="D1236" s="99" t="s">
        <v>201</v>
      </c>
      <c r="E1236" s="100">
        <v>-3564.77</v>
      </c>
      <c r="F1236" s="137" t="s">
        <v>8</v>
      </c>
      <c r="G1236" s="105" t="s">
        <v>86</v>
      </c>
    </row>
    <row r="1237" spans="1:7" s="103" customFormat="1" x14ac:dyDescent="0.3">
      <c r="A1237" s="98">
        <v>45889</v>
      </c>
      <c r="B1237" s="275" t="s">
        <v>212</v>
      </c>
      <c r="C1237" s="99" t="s">
        <v>33</v>
      </c>
      <c r="D1237" s="99" t="s">
        <v>201</v>
      </c>
      <c r="E1237" s="100">
        <v>-929.94</v>
      </c>
      <c r="F1237" s="137" t="s">
        <v>8</v>
      </c>
      <c r="G1237" s="105" t="s">
        <v>86</v>
      </c>
    </row>
    <row r="1238" spans="1:7" s="103" customFormat="1" x14ac:dyDescent="0.3">
      <c r="A1238" s="98">
        <v>45889</v>
      </c>
      <c r="B1238" s="275" t="s">
        <v>212</v>
      </c>
      <c r="C1238" s="99" t="s">
        <v>106</v>
      </c>
      <c r="D1238" s="99" t="s">
        <v>201</v>
      </c>
      <c r="E1238" s="100">
        <v>-697.46</v>
      </c>
      <c r="F1238" s="137" t="s">
        <v>8</v>
      </c>
      <c r="G1238" s="105" t="s">
        <v>86</v>
      </c>
    </row>
    <row r="1239" spans="1:7" s="103" customFormat="1" x14ac:dyDescent="0.3">
      <c r="A1239" s="98">
        <v>45889</v>
      </c>
      <c r="B1239" s="275" t="s">
        <v>212</v>
      </c>
      <c r="C1239" s="99" t="s">
        <v>32</v>
      </c>
      <c r="D1239" s="99" t="s">
        <v>201</v>
      </c>
      <c r="E1239" s="100">
        <v>-2479.84</v>
      </c>
      <c r="F1239" s="137" t="s">
        <v>8</v>
      </c>
      <c r="G1239" s="105" t="s">
        <v>86</v>
      </c>
    </row>
    <row r="1240" spans="1:7" s="103" customFormat="1" x14ac:dyDescent="0.3">
      <c r="A1240" s="98">
        <v>45889</v>
      </c>
      <c r="B1240" s="275" t="s">
        <v>212</v>
      </c>
      <c r="C1240" s="99" t="s">
        <v>72</v>
      </c>
      <c r="D1240" s="99" t="s">
        <v>201</v>
      </c>
      <c r="E1240" s="100">
        <v>-1394.91</v>
      </c>
      <c r="F1240" s="137" t="s">
        <v>8</v>
      </c>
      <c r="G1240" s="105" t="s">
        <v>86</v>
      </c>
    </row>
    <row r="1241" spans="1:7" s="103" customFormat="1" x14ac:dyDescent="0.3">
      <c r="A1241" s="98">
        <v>45889</v>
      </c>
      <c r="B1241" s="275" t="s">
        <v>212</v>
      </c>
      <c r="C1241" s="99" t="s">
        <v>17</v>
      </c>
      <c r="D1241" s="99" t="s">
        <v>201</v>
      </c>
      <c r="E1241" s="100">
        <v>-619.96</v>
      </c>
      <c r="F1241" s="137" t="s">
        <v>8</v>
      </c>
      <c r="G1241" s="105" t="s">
        <v>86</v>
      </c>
    </row>
    <row r="1242" spans="1:7" s="103" customFormat="1" x14ac:dyDescent="0.3">
      <c r="A1242" s="275">
        <v>45889</v>
      </c>
      <c r="B1242" s="275" t="s">
        <v>212</v>
      </c>
      <c r="C1242" s="99" t="s">
        <v>72</v>
      </c>
      <c r="D1242" s="99" t="s">
        <v>1216</v>
      </c>
      <c r="E1242" s="100">
        <v>-1514.4698490000001</v>
      </c>
      <c r="F1242" s="110" t="s">
        <v>8</v>
      </c>
      <c r="G1242" s="105" t="s">
        <v>233</v>
      </c>
    </row>
    <row r="1243" spans="1:7" s="103" customFormat="1" x14ac:dyDescent="0.3">
      <c r="A1243" s="275">
        <v>45889</v>
      </c>
      <c r="B1243" s="275" t="s">
        <v>212</v>
      </c>
      <c r="C1243" s="99" t="s">
        <v>25</v>
      </c>
      <c r="D1243" s="99" t="s">
        <v>1314</v>
      </c>
      <c r="E1243" s="100">
        <v>-62</v>
      </c>
      <c r="F1243" s="137" t="s">
        <v>8</v>
      </c>
      <c r="G1243" s="105" t="s">
        <v>19</v>
      </c>
    </row>
    <row r="1244" spans="1:7" s="103" customFormat="1" x14ac:dyDescent="0.3">
      <c r="A1244" s="275">
        <v>45889</v>
      </c>
      <c r="B1244" s="275" t="s">
        <v>212</v>
      </c>
      <c r="C1244" s="99" t="s">
        <v>25</v>
      </c>
      <c r="D1244" s="99" t="s">
        <v>1316</v>
      </c>
      <c r="E1244" s="100">
        <v>-26</v>
      </c>
      <c r="F1244" s="137" t="s">
        <v>8</v>
      </c>
      <c r="G1244" s="105" t="s">
        <v>19</v>
      </c>
    </row>
    <row r="1245" spans="1:7" s="103" customFormat="1" x14ac:dyDescent="0.3">
      <c r="A1245" s="275">
        <v>45889</v>
      </c>
      <c r="B1245" s="275" t="s">
        <v>212</v>
      </c>
      <c r="C1245" s="99" t="s">
        <v>25</v>
      </c>
      <c r="D1245" s="99" t="s">
        <v>1315</v>
      </c>
      <c r="E1245" s="100">
        <v>-50</v>
      </c>
      <c r="F1245" s="137" t="s">
        <v>8</v>
      </c>
      <c r="G1245" s="105" t="s">
        <v>19</v>
      </c>
    </row>
    <row r="1246" spans="1:7" x14ac:dyDescent="0.3">
      <c r="E1246" s="442">
        <f>SUM(E1174:E1245)</f>
        <v>-300937.90969800012</v>
      </c>
    </row>
    <row r="1251" spans="1:7" x14ac:dyDescent="0.3">
      <c r="A1251" s="918" t="s">
        <v>1343</v>
      </c>
      <c r="B1251" s="918"/>
      <c r="C1251" s="918"/>
      <c r="D1251" s="918"/>
      <c r="E1251" s="918"/>
      <c r="F1251" s="918"/>
      <c r="G1251" s="918"/>
    </row>
    <row r="1252" spans="1:7" ht="40.799999999999997" customHeight="1" x14ac:dyDescent="0.3">
      <c r="A1252" s="918"/>
      <c r="B1252" s="918"/>
      <c r="C1252" s="918"/>
      <c r="D1252" s="918"/>
      <c r="E1252" s="918"/>
      <c r="F1252" s="918"/>
      <c r="G1252" s="918"/>
    </row>
    <row r="1253" spans="1:7" x14ac:dyDescent="0.3">
      <c r="A1253" s="275" t="s">
        <v>0</v>
      </c>
      <c r="B1253" s="275" t="s">
        <v>1209</v>
      </c>
      <c r="C1253" s="200" t="s">
        <v>1</v>
      </c>
      <c r="D1253" s="124" t="s">
        <v>2</v>
      </c>
      <c r="E1253" s="129" t="s">
        <v>3</v>
      </c>
      <c r="F1253" s="137" t="s">
        <v>4</v>
      </c>
      <c r="G1253" s="311" t="s">
        <v>5</v>
      </c>
    </row>
    <row r="1254" spans="1:7" s="103" customFormat="1" x14ac:dyDescent="0.3">
      <c r="A1254" s="275">
        <v>45891</v>
      </c>
      <c r="B1254" s="275" t="s">
        <v>212</v>
      </c>
      <c r="C1254" s="109" t="s">
        <v>72</v>
      </c>
      <c r="D1254" s="99" t="s">
        <v>1326</v>
      </c>
      <c r="E1254" s="100">
        <v>-2628.37</v>
      </c>
      <c r="F1254" s="110" t="s">
        <v>8</v>
      </c>
      <c r="G1254" s="105" t="s">
        <v>74</v>
      </c>
    </row>
    <row r="1255" spans="1:7" s="103" customFormat="1" x14ac:dyDescent="0.3">
      <c r="A1255" s="275">
        <v>45891</v>
      </c>
      <c r="B1255" s="275" t="s">
        <v>212</v>
      </c>
      <c r="C1255" s="109" t="s">
        <v>72</v>
      </c>
      <c r="D1255" s="99" t="s">
        <v>1327</v>
      </c>
      <c r="E1255" s="100">
        <v>-826.19</v>
      </c>
      <c r="F1255" s="110" t="s">
        <v>8</v>
      </c>
      <c r="G1255" s="105" t="s">
        <v>74</v>
      </c>
    </row>
    <row r="1256" spans="1:7" s="103" customFormat="1" ht="27.6" x14ac:dyDescent="0.3">
      <c r="A1256" s="275">
        <v>45891</v>
      </c>
      <c r="B1256" s="275" t="s">
        <v>212</v>
      </c>
      <c r="C1256" s="761" t="s">
        <v>72</v>
      </c>
      <c r="D1256" s="99" t="s">
        <v>1328</v>
      </c>
      <c r="E1256" s="125">
        <v>-4375.75</v>
      </c>
      <c r="F1256" s="110" t="s">
        <v>8</v>
      </c>
      <c r="G1256" s="105" t="s">
        <v>74</v>
      </c>
    </row>
    <row r="1257" spans="1:7" s="103" customFormat="1" x14ac:dyDescent="0.3">
      <c r="A1257" s="275">
        <v>45891</v>
      </c>
      <c r="B1257" s="720" t="s">
        <v>212</v>
      </c>
      <c r="C1257" s="762" t="s">
        <v>72</v>
      </c>
      <c r="D1257" s="142" t="s">
        <v>1329</v>
      </c>
      <c r="E1257" s="143">
        <v>-1504.25</v>
      </c>
      <c r="F1257" s="144" t="s">
        <v>8</v>
      </c>
      <c r="G1257" s="148" t="s">
        <v>74</v>
      </c>
    </row>
    <row r="1258" spans="1:7" s="103" customFormat="1" x14ac:dyDescent="0.3">
      <c r="A1258" s="275">
        <v>45891</v>
      </c>
      <c r="B1258" s="720" t="s">
        <v>212</v>
      </c>
      <c r="C1258" s="492" t="s">
        <v>106</v>
      </c>
      <c r="D1258" s="272" t="s">
        <v>1325</v>
      </c>
      <c r="E1258" s="125">
        <v>-581.89</v>
      </c>
      <c r="F1258" s="110" t="s">
        <v>8</v>
      </c>
      <c r="G1258" s="137" t="s">
        <v>114</v>
      </c>
    </row>
    <row r="1259" spans="1:7" s="103" customFormat="1" x14ac:dyDescent="0.3">
      <c r="A1259" s="275">
        <v>45891</v>
      </c>
      <c r="B1259" s="720" t="s">
        <v>212</v>
      </c>
      <c r="C1259" s="492" t="s">
        <v>765</v>
      </c>
      <c r="D1259" s="272" t="s">
        <v>1325</v>
      </c>
      <c r="E1259" s="125">
        <v>-429.35</v>
      </c>
      <c r="F1259" s="110" t="s">
        <v>8</v>
      </c>
      <c r="G1259" s="137" t="s">
        <v>114</v>
      </c>
    </row>
    <row r="1260" spans="1:7" s="103" customFormat="1" x14ac:dyDescent="0.3">
      <c r="A1260" s="275">
        <v>45891</v>
      </c>
      <c r="B1260" s="720" t="s">
        <v>212</v>
      </c>
      <c r="C1260" s="492" t="s">
        <v>72</v>
      </c>
      <c r="D1260" s="272" t="s">
        <v>1325</v>
      </c>
      <c r="E1260" s="125">
        <v>-463.25</v>
      </c>
      <c r="F1260" s="110" t="s">
        <v>8</v>
      </c>
      <c r="G1260" s="137" t="s">
        <v>114</v>
      </c>
    </row>
    <row r="1261" spans="1:7" s="103" customFormat="1" x14ac:dyDescent="0.3">
      <c r="A1261" s="275">
        <v>45891</v>
      </c>
      <c r="B1261" s="720" t="s">
        <v>212</v>
      </c>
      <c r="C1261" s="492" t="s">
        <v>32</v>
      </c>
      <c r="D1261" s="272" t="s">
        <v>1325</v>
      </c>
      <c r="E1261" s="125">
        <v>-463.25</v>
      </c>
      <c r="F1261" s="110" t="s">
        <v>8</v>
      </c>
      <c r="G1261" s="137" t="s">
        <v>114</v>
      </c>
    </row>
    <row r="1262" spans="1:7" s="103" customFormat="1" x14ac:dyDescent="0.3">
      <c r="A1262" s="275">
        <v>45891</v>
      </c>
      <c r="B1262" s="720" t="s">
        <v>212</v>
      </c>
      <c r="C1262" s="492" t="s">
        <v>760</v>
      </c>
      <c r="D1262" s="272" t="s">
        <v>1325</v>
      </c>
      <c r="E1262" s="125">
        <v>-202.29</v>
      </c>
      <c r="F1262" s="110" t="s">
        <v>8</v>
      </c>
      <c r="G1262" s="137" t="s">
        <v>114</v>
      </c>
    </row>
    <row r="1263" spans="1:7" s="103" customFormat="1" x14ac:dyDescent="0.3">
      <c r="A1263" s="275">
        <v>45891</v>
      </c>
      <c r="B1263" s="720" t="s">
        <v>212</v>
      </c>
      <c r="C1263" s="492" t="s">
        <v>1281</v>
      </c>
      <c r="D1263" s="272" t="s">
        <v>1325</v>
      </c>
      <c r="E1263" s="125">
        <v>-128.94</v>
      </c>
      <c r="F1263" s="110" t="s">
        <v>8</v>
      </c>
      <c r="G1263" s="137" t="s">
        <v>114</v>
      </c>
    </row>
    <row r="1264" spans="1:7" s="103" customFormat="1" x14ac:dyDescent="0.3">
      <c r="A1264" s="275">
        <v>45891</v>
      </c>
      <c r="B1264" s="720" t="s">
        <v>212</v>
      </c>
      <c r="C1264" s="492" t="s">
        <v>6</v>
      </c>
      <c r="D1264" s="272" t="s">
        <v>1325</v>
      </c>
      <c r="E1264" s="125">
        <v>-193.41</v>
      </c>
      <c r="F1264" s="110" t="s">
        <v>8</v>
      </c>
      <c r="G1264" s="137" t="s">
        <v>114</v>
      </c>
    </row>
    <row r="1265" spans="1:7" s="103" customFormat="1" x14ac:dyDescent="0.3">
      <c r="A1265" s="275">
        <v>45891</v>
      </c>
      <c r="B1265" s="720" t="s">
        <v>212</v>
      </c>
      <c r="C1265" s="492" t="s">
        <v>89</v>
      </c>
      <c r="D1265" s="272" t="s">
        <v>1325</v>
      </c>
      <c r="E1265" s="125">
        <v>-517.41</v>
      </c>
      <c r="F1265" s="110" t="s">
        <v>8</v>
      </c>
      <c r="G1265" s="137" t="s">
        <v>114</v>
      </c>
    </row>
    <row r="1266" spans="1:7" s="103" customFormat="1" x14ac:dyDescent="0.3">
      <c r="A1266" s="275">
        <v>45891</v>
      </c>
      <c r="B1266" s="720" t="s">
        <v>212</v>
      </c>
      <c r="C1266" s="492" t="s">
        <v>67</v>
      </c>
      <c r="D1266" s="272" t="s">
        <v>1325</v>
      </c>
      <c r="E1266" s="125">
        <v>-780.72</v>
      </c>
      <c r="F1266" s="110" t="s">
        <v>8</v>
      </c>
      <c r="G1266" s="137" t="s">
        <v>114</v>
      </c>
    </row>
    <row r="1267" spans="1:7" s="103" customFormat="1" x14ac:dyDescent="0.3">
      <c r="A1267" s="275">
        <v>45891</v>
      </c>
      <c r="B1267" s="275" t="s">
        <v>212</v>
      </c>
      <c r="C1267" s="272" t="s">
        <v>30</v>
      </c>
      <c r="D1267" s="272" t="s">
        <v>893</v>
      </c>
      <c r="E1267" s="273">
        <v>-5890</v>
      </c>
      <c r="F1267" s="110" t="s">
        <v>8</v>
      </c>
      <c r="G1267" s="137" t="s">
        <v>27</v>
      </c>
    </row>
    <row r="1268" spans="1:7" s="103" customFormat="1" x14ac:dyDescent="0.3">
      <c r="A1268" s="275">
        <v>45891</v>
      </c>
      <c r="B1268" s="275" t="s">
        <v>212</v>
      </c>
      <c r="C1268" s="272" t="s">
        <v>30</v>
      </c>
      <c r="D1268" s="99" t="s">
        <v>1330</v>
      </c>
      <c r="E1268" s="100">
        <v>-500</v>
      </c>
      <c r="F1268" s="110" t="s">
        <v>8</v>
      </c>
      <c r="G1268" s="137" t="s">
        <v>27</v>
      </c>
    </row>
    <row r="1269" spans="1:7" s="103" customFormat="1" x14ac:dyDescent="0.3">
      <c r="A1269" s="275">
        <v>45891</v>
      </c>
      <c r="B1269" s="275" t="s">
        <v>212</v>
      </c>
      <c r="C1269" s="272" t="s">
        <v>30</v>
      </c>
      <c r="D1269" s="99" t="s">
        <v>1331</v>
      </c>
      <c r="E1269" s="100">
        <v>-500</v>
      </c>
      <c r="F1269" s="110" t="s">
        <v>8</v>
      </c>
      <c r="G1269" s="137" t="s">
        <v>27</v>
      </c>
    </row>
    <row r="1270" spans="1:7" s="103" customFormat="1" x14ac:dyDescent="0.3">
      <c r="A1270" s="275">
        <v>45891</v>
      </c>
      <c r="B1270" s="275" t="s">
        <v>212</v>
      </c>
      <c r="C1270" s="272" t="s">
        <v>30</v>
      </c>
      <c r="D1270" s="99" t="s">
        <v>1332</v>
      </c>
      <c r="E1270" s="100">
        <v>-700</v>
      </c>
      <c r="F1270" s="110" t="s">
        <v>8</v>
      </c>
      <c r="G1270" s="137" t="s">
        <v>27</v>
      </c>
    </row>
    <row r="1271" spans="1:7" s="103" customFormat="1" x14ac:dyDescent="0.3">
      <c r="A1271" s="275">
        <v>45891</v>
      </c>
      <c r="B1271" s="275" t="s">
        <v>212</v>
      </c>
      <c r="C1271" s="272" t="s">
        <v>30</v>
      </c>
      <c r="D1271" s="99" t="s">
        <v>1333</v>
      </c>
      <c r="E1271" s="100">
        <v>-390</v>
      </c>
      <c r="F1271" s="110" t="s">
        <v>8</v>
      </c>
      <c r="G1271" s="137" t="s">
        <v>27</v>
      </c>
    </row>
    <row r="1272" spans="1:7" s="103" customFormat="1" x14ac:dyDescent="0.3">
      <c r="A1272" s="275">
        <v>45891</v>
      </c>
      <c r="B1272" s="275" t="s">
        <v>212</v>
      </c>
      <c r="C1272" s="272" t="s">
        <v>30</v>
      </c>
      <c r="D1272" s="99" t="s">
        <v>1334</v>
      </c>
      <c r="E1272" s="100">
        <v>-900</v>
      </c>
      <c r="F1272" s="110" t="s">
        <v>8</v>
      </c>
      <c r="G1272" s="137" t="s">
        <v>27</v>
      </c>
    </row>
    <row r="1273" spans="1:7" s="103" customFormat="1" x14ac:dyDescent="0.3">
      <c r="A1273" s="98">
        <v>45891</v>
      </c>
      <c r="B1273" s="275" t="s">
        <v>212</v>
      </c>
      <c r="C1273" s="109" t="s">
        <v>17</v>
      </c>
      <c r="D1273" s="272" t="s">
        <v>565</v>
      </c>
      <c r="E1273" s="126">
        <v>-1560.68</v>
      </c>
      <c r="F1273" s="110" t="s">
        <v>8</v>
      </c>
      <c r="G1273" s="137" t="s">
        <v>135</v>
      </c>
    </row>
    <row r="1274" spans="1:7" s="103" customFormat="1" x14ac:dyDescent="0.3">
      <c r="A1274" s="275">
        <v>45891</v>
      </c>
      <c r="B1274" s="275" t="s">
        <v>212</v>
      </c>
      <c r="C1274" s="99" t="s">
        <v>33</v>
      </c>
      <c r="D1274" s="99" t="s">
        <v>611</v>
      </c>
      <c r="E1274" s="100">
        <v>-5103.17</v>
      </c>
      <c r="F1274" s="110" t="s">
        <v>8</v>
      </c>
      <c r="G1274" s="105" t="s">
        <v>76</v>
      </c>
    </row>
    <row r="1275" spans="1:7" s="103" customFormat="1" x14ac:dyDescent="0.3">
      <c r="A1275" s="275">
        <v>45891</v>
      </c>
      <c r="B1275" s="275" t="s">
        <v>212</v>
      </c>
      <c r="C1275" s="146" t="s">
        <v>33</v>
      </c>
      <c r="D1275" s="99" t="s">
        <v>612</v>
      </c>
      <c r="E1275" s="100">
        <v>-5625.82</v>
      </c>
      <c r="F1275" s="110" t="s">
        <v>8</v>
      </c>
      <c r="G1275" s="105" t="s">
        <v>76</v>
      </c>
    </row>
    <row r="1276" spans="1:7" s="103" customFormat="1" x14ac:dyDescent="0.3">
      <c r="A1276" s="275">
        <v>45891</v>
      </c>
      <c r="B1276" s="275" t="s">
        <v>212</v>
      </c>
      <c r="C1276" s="99" t="s">
        <v>25</v>
      </c>
      <c r="D1276" s="99" t="s">
        <v>1264</v>
      </c>
      <c r="E1276" s="100">
        <v>-90.73</v>
      </c>
      <c r="F1276" s="110" t="s">
        <v>8</v>
      </c>
      <c r="G1276" s="105" t="s">
        <v>76</v>
      </c>
    </row>
    <row r="1277" spans="1:7" s="103" customFormat="1" x14ac:dyDescent="0.3">
      <c r="A1277" s="275">
        <v>45891</v>
      </c>
      <c r="B1277" s="275" t="s">
        <v>212</v>
      </c>
      <c r="C1277" s="99" t="s">
        <v>25</v>
      </c>
      <c r="D1277" s="99" t="s">
        <v>1264</v>
      </c>
      <c r="E1277" s="100">
        <v>-1534.14</v>
      </c>
      <c r="F1277" s="110" t="s">
        <v>8</v>
      </c>
      <c r="G1277" s="105" t="s">
        <v>76</v>
      </c>
    </row>
    <row r="1278" spans="1:7" s="103" customFormat="1" x14ac:dyDescent="0.3">
      <c r="A1278" s="720">
        <v>45891</v>
      </c>
      <c r="B1278" s="720" t="s">
        <v>212</v>
      </c>
      <c r="C1278" s="142" t="s">
        <v>25</v>
      </c>
      <c r="D1278" s="142" t="s">
        <v>1265</v>
      </c>
      <c r="E1278" s="100">
        <v>-1110.55</v>
      </c>
      <c r="F1278" s="110" t="s">
        <v>8</v>
      </c>
      <c r="G1278" s="105" t="s">
        <v>76</v>
      </c>
    </row>
    <row r="1279" spans="1:7" s="103" customFormat="1" x14ac:dyDescent="0.3">
      <c r="A1279" s="275">
        <v>45891</v>
      </c>
      <c r="B1279" s="275" t="s">
        <v>212</v>
      </c>
      <c r="C1279" s="99" t="s">
        <v>17</v>
      </c>
      <c r="D1279" s="99" t="s">
        <v>455</v>
      </c>
      <c r="E1279" s="100">
        <v>-638.36</v>
      </c>
      <c r="F1279" s="110" t="s">
        <v>8</v>
      </c>
      <c r="G1279" s="105" t="s">
        <v>76</v>
      </c>
    </row>
    <row r="1280" spans="1:7" s="103" customFormat="1" x14ac:dyDescent="0.3">
      <c r="A1280" s="275">
        <v>45891</v>
      </c>
      <c r="B1280" s="275" t="s">
        <v>212</v>
      </c>
      <c r="C1280" s="99" t="s">
        <v>17</v>
      </c>
      <c r="D1280" s="99" t="s">
        <v>1323</v>
      </c>
      <c r="E1280" s="100">
        <v>-73.13</v>
      </c>
      <c r="F1280" s="110" t="s">
        <v>8</v>
      </c>
      <c r="G1280" s="105" t="s">
        <v>76</v>
      </c>
    </row>
    <row r="1281" spans="1:7" s="103" customFormat="1" x14ac:dyDescent="0.3">
      <c r="A1281" s="567">
        <v>45891</v>
      </c>
      <c r="B1281" s="567" t="s">
        <v>212</v>
      </c>
      <c r="C1281" s="484" t="s">
        <v>17</v>
      </c>
      <c r="D1281" s="484" t="s">
        <v>18</v>
      </c>
      <c r="E1281" s="126">
        <v>-17235</v>
      </c>
      <c r="F1281" s="110" t="s">
        <v>8</v>
      </c>
      <c r="G1281" s="137" t="s">
        <v>19</v>
      </c>
    </row>
    <row r="1282" spans="1:7" s="103" customFormat="1" x14ac:dyDescent="0.3">
      <c r="A1282" s="275">
        <v>45891</v>
      </c>
      <c r="B1282" s="275" t="s">
        <v>212</v>
      </c>
      <c r="C1282" s="99" t="s">
        <v>25</v>
      </c>
      <c r="D1282" s="99" t="s">
        <v>1322</v>
      </c>
      <c r="E1282" s="100">
        <v>-100</v>
      </c>
      <c r="F1282" s="110" t="s">
        <v>8</v>
      </c>
      <c r="G1282" s="105" t="s">
        <v>83</v>
      </c>
    </row>
    <row r="1283" spans="1:7" s="103" customFormat="1" x14ac:dyDescent="0.3">
      <c r="A1283" s="275">
        <v>45891</v>
      </c>
      <c r="B1283" s="275" t="s">
        <v>212</v>
      </c>
      <c r="C1283" s="99" t="s">
        <v>17</v>
      </c>
      <c r="D1283" s="99" t="s">
        <v>384</v>
      </c>
      <c r="E1283" s="100">
        <v>-99.04</v>
      </c>
      <c r="F1283" s="110" t="s">
        <v>8</v>
      </c>
      <c r="G1283" s="105" t="s">
        <v>99</v>
      </c>
    </row>
    <row r="1284" spans="1:7" s="103" customFormat="1" x14ac:dyDescent="0.3">
      <c r="A1284" s="275">
        <v>45891</v>
      </c>
      <c r="B1284" s="275" t="s">
        <v>212</v>
      </c>
      <c r="C1284" s="99" t="s">
        <v>17</v>
      </c>
      <c r="D1284" s="99" t="s">
        <v>812</v>
      </c>
      <c r="E1284" s="100">
        <v>-307.5</v>
      </c>
      <c r="F1284" s="110" t="s">
        <v>8</v>
      </c>
      <c r="G1284" s="105" t="s">
        <v>99</v>
      </c>
    </row>
    <row r="1285" spans="1:7" s="103" customFormat="1" x14ac:dyDescent="0.3">
      <c r="A1285" s="275">
        <v>45891</v>
      </c>
      <c r="B1285" s="275" t="s">
        <v>212</v>
      </c>
      <c r="C1285" s="200" t="s">
        <v>17</v>
      </c>
      <c r="D1285" s="272" t="s">
        <v>143</v>
      </c>
      <c r="E1285" s="273">
        <v>-19960</v>
      </c>
      <c r="F1285" s="110" t="s">
        <v>8</v>
      </c>
      <c r="G1285" s="137" t="s">
        <v>59</v>
      </c>
    </row>
    <row r="1286" spans="1:7" s="103" customFormat="1" x14ac:dyDescent="0.3">
      <c r="A1286" s="631">
        <v>45891</v>
      </c>
      <c r="B1286" s="631" t="s">
        <v>212</v>
      </c>
      <c r="C1286" s="107" t="s">
        <v>25</v>
      </c>
      <c r="D1286" s="906" t="s">
        <v>1322</v>
      </c>
      <c r="E1286" s="678">
        <v>-100</v>
      </c>
      <c r="F1286" s="144" t="s">
        <v>8</v>
      </c>
      <c r="G1286" s="148" t="s">
        <v>83</v>
      </c>
    </row>
    <row r="1287" spans="1:7" s="103" customFormat="1" x14ac:dyDescent="0.3">
      <c r="A1287" s="275">
        <v>45891</v>
      </c>
      <c r="B1287" s="275" t="s">
        <v>212</v>
      </c>
      <c r="C1287" s="99" t="s">
        <v>25</v>
      </c>
      <c r="D1287" s="99" t="s">
        <v>1321</v>
      </c>
      <c r="E1287" s="100">
        <v>-135.30000000000001</v>
      </c>
      <c r="F1287" s="110" t="s">
        <v>8</v>
      </c>
      <c r="G1287" s="105" t="s">
        <v>83</v>
      </c>
    </row>
    <row r="1288" spans="1:7" s="103" customFormat="1" x14ac:dyDescent="0.3">
      <c r="A1288" s="275">
        <v>45891</v>
      </c>
      <c r="B1288" s="275" t="s">
        <v>212</v>
      </c>
      <c r="C1288" s="107" t="s">
        <v>25</v>
      </c>
      <c r="D1288" s="107" t="s">
        <v>1317</v>
      </c>
      <c r="E1288" s="4">
        <v>-325</v>
      </c>
      <c r="F1288" s="110" t="s">
        <v>8</v>
      </c>
      <c r="G1288" s="105" t="s">
        <v>83</v>
      </c>
    </row>
    <row r="1289" spans="1:7" s="103" customFormat="1" x14ac:dyDescent="0.3">
      <c r="A1289" s="275">
        <v>45891</v>
      </c>
      <c r="B1289" s="275" t="s">
        <v>212</v>
      </c>
      <c r="C1289" s="200" t="s">
        <v>17</v>
      </c>
      <c r="D1289" s="142" t="s">
        <v>1336</v>
      </c>
      <c r="E1289" s="143">
        <v>-162</v>
      </c>
      <c r="F1289" s="110" t="s">
        <v>8</v>
      </c>
      <c r="G1289" s="105" t="s">
        <v>83</v>
      </c>
    </row>
    <row r="1290" spans="1:7" s="103" customFormat="1" x14ac:dyDescent="0.3">
      <c r="A1290" s="275">
        <v>45891</v>
      </c>
      <c r="B1290" s="275" t="s">
        <v>212</v>
      </c>
      <c r="C1290" s="200" t="s">
        <v>17</v>
      </c>
      <c r="D1290" s="142" t="s">
        <v>1337</v>
      </c>
      <c r="E1290" s="143">
        <v>-162</v>
      </c>
      <c r="F1290" s="110" t="s">
        <v>8</v>
      </c>
      <c r="G1290" s="105" t="s">
        <v>83</v>
      </c>
    </row>
    <row r="1291" spans="1:7" s="103" customFormat="1" x14ac:dyDescent="0.3">
      <c r="A1291" s="275">
        <v>45891</v>
      </c>
      <c r="B1291" s="275" t="s">
        <v>212</v>
      </c>
      <c r="C1291" s="200" t="s">
        <v>17</v>
      </c>
      <c r="D1291" s="142" t="s">
        <v>1338</v>
      </c>
      <c r="E1291" s="143">
        <v>-126</v>
      </c>
      <c r="F1291" s="110" t="s">
        <v>8</v>
      </c>
      <c r="G1291" s="105" t="s">
        <v>83</v>
      </c>
    </row>
    <row r="1292" spans="1:7" s="103" customFormat="1" x14ac:dyDescent="0.3">
      <c r="A1292" s="275">
        <v>45891</v>
      </c>
      <c r="B1292" s="275" t="s">
        <v>212</v>
      </c>
      <c r="C1292" s="200" t="s">
        <v>17</v>
      </c>
      <c r="D1292" s="142" t="s">
        <v>1341</v>
      </c>
      <c r="E1292" s="143">
        <v>-145.32</v>
      </c>
      <c r="F1292" s="110" t="s">
        <v>8</v>
      </c>
      <c r="G1292" s="105" t="s">
        <v>83</v>
      </c>
    </row>
    <row r="1293" spans="1:7" s="103" customFormat="1" x14ac:dyDescent="0.3">
      <c r="A1293" s="275">
        <v>45891</v>
      </c>
      <c r="B1293" s="275" t="s">
        <v>212</v>
      </c>
      <c r="C1293" s="200" t="s">
        <v>17</v>
      </c>
      <c r="D1293" s="142" t="s">
        <v>1339</v>
      </c>
      <c r="E1293" s="143">
        <v>-145.32</v>
      </c>
      <c r="F1293" s="144" t="s">
        <v>8</v>
      </c>
      <c r="G1293" s="105" t="s">
        <v>394</v>
      </c>
    </row>
    <row r="1294" spans="1:7" s="103" customFormat="1" x14ac:dyDescent="0.3">
      <c r="A1294" s="275">
        <v>45891</v>
      </c>
      <c r="B1294" s="275" t="s">
        <v>212</v>
      </c>
      <c r="C1294" s="200" t="s">
        <v>17</v>
      </c>
      <c r="D1294" s="142" t="s">
        <v>1340</v>
      </c>
      <c r="E1294" s="143">
        <v>-145.32</v>
      </c>
      <c r="F1294" s="144" t="s">
        <v>8</v>
      </c>
      <c r="G1294" s="105" t="s">
        <v>394</v>
      </c>
    </row>
    <row r="1295" spans="1:7" s="103" customFormat="1" x14ac:dyDescent="0.3">
      <c r="A1295" s="275">
        <v>45891</v>
      </c>
      <c r="B1295" s="275" t="s">
        <v>212</v>
      </c>
      <c r="C1295" s="272" t="s">
        <v>30</v>
      </c>
      <c r="D1295" s="99" t="s">
        <v>1335</v>
      </c>
      <c r="E1295" s="100">
        <v>-824.16</v>
      </c>
      <c r="F1295" s="110" t="s">
        <v>8</v>
      </c>
      <c r="G1295" s="105" t="s">
        <v>27</v>
      </c>
    </row>
    <row r="1296" spans="1:7" s="103" customFormat="1" x14ac:dyDescent="0.3">
      <c r="A1296" s="275">
        <v>45891</v>
      </c>
      <c r="B1296" s="275" t="s">
        <v>212</v>
      </c>
      <c r="C1296" s="272" t="s">
        <v>31</v>
      </c>
      <c r="D1296" s="99" t="s">
        <v>1342</v>
      </c>
      <c r="E1296" s="100">
        <v>-900</v>
      </c>
      <c r="F1296" s="110" t="s">
        <v>8</v>
      </c>
      <c r="G1296" s="105" t="s">
        <v>41</v>
      </c>
    </row>
    <row r="1297" spans="1:7" x14ac:dyDescent="0.3">
      <c r="E1297" s="442">
        <f>SUM(E1254:E1296)</f>
        <v>-78583.61000000003</v>
      </c>
    </row>
    <row r="1305" spans="1:7" x14ac:dyDescent="0.3">
      <c r="A1305" s="918" t="s">
        <v>1349</v>
      </c>
      <c r="B1305" s="918"/>
      <c r="C1305" s="918"/>
      <c r="D1305" s="918"/>
      <c r="E1305" s="918"/>
      <c r="F1305" s="918"/>
      <c r="G1305" s="918"/>
    </row>
    <row r="1306" spans="1:7" ht="41.4" customHeight="1" x14ac:dyDescent="0.3">
      <c r="A1306" s="918"/>
      <c r="B1306" s="918"/>
      <c r="C1306" s="918"/>
      <c r="D1306" s="918"/>
      <c r="E1306" s="918"/>
      <c r="F1306" s="918"/>
      <c r="G1306" s="918"/>
    </row>
    <row r="1307" spans="1:7" x14ac:dyDescent="0.3">
      <c r="A1307" s="275" t="s">
        <v>0</v>
      </c>
      <c r="B1307" s="275" t="s">
        <v>1209</v>
      </c>
      <c r="C1307" s="200" t="s">
        <v>1</v>
      </c>
      <c r="D1307" s="124" t="s">
        <v>2</v>
      </c>
      <c r="E1307" s="129" t="s">
        <v>3</v>
      </c>
      <c r="F1307" s="137" t="s">
        <v>4</v>
      </c>
      <c r="G1307" s="311" t="s">
        <v>5</v>
      </c>
    </row>
    <row r="1308" spans="1:7" s="103" customFormat="1" x14ac:dyDescent="0.3">
      <c r="A1308" s="98">
        <v>45894</v>
      </c>
      <c r="B1308" s="97" t="s">
        <v>212</v>
      </c>
      <c r="C1308" s="200" t="s">
        <v>13</v>
      </c>
      <c r="D1308" s="272" t="s">
        <v>1351</v>
      </c>
      <c r="E1308" s="577">
        <v>-235.25</v>
      </c>
      <c r="F1308" s="110" t="s">
        <v>8</v>
      </c>
      <c r="G1308" s="137" t="s">
        <v>55</v>
      </c>
    </row>
    <row r="1309" spans="1:7" s="103" customFormat="1" x14ac:dyDescent="0.3">
      <c r="A1309" s="275">
        <v>45894</v>
      </c>
      <c r="B1309" s="275" t="s">
        <v>212</v>
      </c>
      <c r="C1309" s="272" t="s">
        <v>13</v>
      </c>
      <c r="D1309" s="272" t="s">
        <v>1350</v>
      </c>
      <c r="E1309" s="273">
        <v>-170.5</v>
      </c>
      <c r="F1309" s="110" t="s">
        <v>8</v>
      </c>
      <c r="G1309" s="137" t="s">
        <v>55</v>
      </c>
    </row>
    <row r="1310" spans="1:7" s="103" customFormat="1" x14ac:dyDescent="0.3">
      <c r="A1310" s="275">
        <v>45894</v>
      </c>
      <c r="B1310" s="275" t="s">
        <v>212</v>
      </c>
      <c r="C1310" s="771" t="s">
        <v>6</v>
      </c>
      <c r="D1310" s="99" t="s">
        <v>900</v>
      </c>
      <c r="E1310" s="273">
        <v>-1773.62</v>
      </c>
      <c r="F1310" s="144" t="s">
        <v>8</v>
      </c>
      <c r="G1310" s="736" t="s">
        <v>127</v>
      </c>
    </row>
    <row r="1311" spans="1:7" s="103" customFormat="1" x14ac:dyDescent="0.3">
      <c r="A1311" s="98">
        <v>45894</v>
      </c>
      <c r="B1311" s="275" t="s">
        <v>212</v>
      </c>
      <c r="C1311" s="272" t="s">
        <v>44</v>
      </c>
      <c r="D1311" s="272" t="s">
        <v>1195</v>
      </c>
      <c r="E1311" s="100">
        <v>-5003.51</v>
      </c>
      <c r="F1311" s="110" t="s">
        <v>8</v>
      </c>
      <c r="G1311" s="137" t="s">
        <v>64</v>
      </c>
    </row>
    <row r="1312" spans="1:7" s="103" customFormat="1" x14ac:dyDescent="0.3">
      <c r="A1312" s="98">
        <v>45894</v>
      </c>
      <c r="B1312" s="275" t="s">
        <v>212</v>
      </c>
      <c r="C1312" s="272" t="s">
        <v>17</v>
      </c>
      <c r="D1312" s="272" t="s">
        <v>137</v>
      </c>
      <c r="E1312" s="100">
        <v>-772.12</v>
      </c>
      <c r="F1312" s="110" t="s">
        <v>8</v>
      </c>
      <c r="G1312" s="137" t="s">
        <v>69</v>
      </c>
    </row>
    <row r="1313" spans="1:7" s="103" customFormat="1" x14ac:dyDescent="0.3">
      <c r="A1313" s="98">
        <v>45894</v>
      </c>
      <c r="B1313" s="275" t="s">
        <v>212</v>
      </c>
      <c r="C1313" s="272" t="s">
        <v>6</v>
      </c>
      <c r="D1313" s="272" t="s">
        <v>571</v>
      </c>
      <c r="E1313" s="126">
        <v>-154.9</v>
      </c>
      <c r="F1313" s="110" t="s">
        <v>8</v>
      </c>
      <c r="G1313" s="137" t="s">
        <v>139</v>
      </c>
    </row>
    <row r="1314" spans="1:7" s="103" customFormat="1" x14ac:dyDescent="0.3">
      <c r="A1314" s="98">
        <v>45894</v>
      </c>
      <c r="B1314" s="275" t="s">
        <v>212</v>
      </c>
      <c r="C1314" s="272" t="s">
        <v>6</v>
      </c>
      <c r="D1314" s="272" t="s">
        <v>572</v>
      </c>
      <c r="E1314" s="126">
        <v>-139.9</v>
      </c>
      <c r="F1314" s="110" t="s">
        <v>8</v>
      </c>
      <c r="G1314" s="137" t="s">
        <v>139</v>
      </c>
    </row>
    <row r="1315" spans="1:7" s="103" customFormat="1" x14ac:dyDescent="0.3">
      <c r="A1315" s="98">
        <v>45894</v>
      </c>
      <c r="B1315" s="275" t="s">
        <v>212</v>
      </c>
      <c r="C1315" s="99" t="s">
        <v>44</v>
      </c>
      <c r="D1315" s="99" t="s">
        <v>1347</v>
      </c>
      <c r="E1315" s="100">
        <v>-1380.6</v>
      </c>
      <c r="F1315" s="110" t="s">
        <v>8</v>
      </c>
      <c r="G1315" s="99" t="s">
        <v>233</v>
      </c>
    </row>
    <row r="1316" spans="1:7" s="103" customFormat="1" x14ac:dyDescent="0.3">
      <c r="A1316" s="98">
        <v>45894</v>
      </c>
      <c r="B1316" s="275" t="s">
        <v>212</v>
      </c>
      <c r="C1316" s="99" t="s">
        <v>44</v>
      </c>
      <c r="D1316" s="99" t="s">
        <v>1346</v>
      </c>
      <c r="E1316" s="100">
        <v>-2669.2</v>
      </c>
      <c r="F1316" s="110" t="s">
        <v>8</v>
      </c>
      <c r="G1316" s="99" t="s">
        <v>233</v>
      </c>
    </row>
    <row r="1317" spans="1:7" s="103" customFormat="1" x14ac:dyDescent="0.3">
      <c r="A1317" s="98">
        <v>45894</v>
      </c>
      <c r="B1317" s="275" t="s">
        <v>212</v>
      </c>
      <c r="C1317" s="99" t="s">
        <v>72</v>
      </c>
      <c r="D1317" s="99" t="s">
        <v>1348</v>
      </c>
      <c r="E1317" s="100">
        <v>-578.04</v>
      </c>
      <c r="F1317" s="110" t="s">
        <v>8</v>
      </c>
      <c r="G1317" s="99" t="s">
        <v>233</v>
      </c>
    </row>
    <row r="1318" spans="1:7" s="103" customFormat="1" x14ac:dyDescent="0.3">
      <c r="A1318" s="98">
        <v>45894</v>
      </c>
      <c r="B1318" s="275" t="s">
        <v>212</v>
      </c>
      <c r="C1318" s="272" t="s">
        <v>25</v>
      </c>
      <c r="D1318" s="272" t="s">
        <v>888</v>
      </c>
      <c r="E1318" s="273">
        <v>-1942.68</v>
      </c>
      <c r="F1318" s="110" t="s">
        <v>8</v>
      </c>
      <c r="G1318" s="311" t="s">
        <v>156</v>
      </c>
    </row>
    <row r="1319" spans="1:7" s="103" customFormat="1" x14ac:dyDescent="0.3">
      <c r="A1319" s="275">
        <v>45894</v>
      </c>
      <c r="B1319" s="275" t="s">
        <v>212</v>
      </c>
      <c r="C1319" s="200" t="s">
        <v>17</v>
      </c>
      <c r="D1319" s="272" t="s">
        <v>143</v>
      </c>
      <c r="E1319" s="273">
        <v>-19960</v>
      </c>
      <c r="F1319" s="110" t="s">
        <v>8</v>
      </c>
      <c r="G1319" s="137" t="s">
        <v>59</v>
      </c>
    </row>
    <row r="1320" spans="1:7" s="103" customFormat="1" x14ac:dyDescent="0.3">
      <c r="A1320" s="275">
        <v>45894</v>
      </c>
      <c r="B1320" s="275" t="s">
        <v>212</v>
      </c>
      <c r="C1320" s="200" t="s">
        <v>31</v>
      </c>
      <c r="D1320" s="272" t="s">
        <v>1354</v>
      </c>
      <c r="E1320" s="273">
        <v>-69</v>
      </c>
      <c r="F1320" s="110" t="s">
        <v>8</v>
      </c>
      <c r="G1320" s="487" t="s">
        <v>1353</v>
      </c>
    </row>
    <row r="1321" spans="1:7" s="319" customFormat="1" ht="13.8" x14ac:dyDescent="0.3">
      <c r="A1321" s="275">
        <v>45894</v>
      </c>
      <c r="B1321" s="275" t="s">
        <v>212</v>
      </c>
      <c r="C1321" s="99" t="s">
        <v>72</v>
      </c>
      <c r="D1321" s="124" t="s">
        <v>1355</v>
      </c>
      <c r="E1321" s="775">
        <v>-1993.55</v>
      </c>
      <c r="F1321" s="110" t="s">
        <v>8</v>
      </c>
      <c r="G1321" s="487" t="s">
        <v>1246</v>
      </c>
    </row>
    <row r="1322" spans="1:7" s="319" customFormat="1" ht="13.8" x14ac:dyDescent="0.3">
      <c r="A1322" s="275">
        <v>45894</v>
      </c>
      <c r="B1322" s="275" t="s">
        <v>212</v>
      </c>
      <c r="C1322" s="99" t="s">
        <v>72</v>
      </c>
      <c r="D1322" s="124" t="s">
        <v>1356</v>
      </c>
      <c r="E1322" s="775">
        <v>-1472.84</v>
      </c>
      <c r="F1322" s="153" t="s">
        <v>8</v>
      </c>
      <c r="G1322" s="487" t="s">
        <v>156</v>
      </c>
    </row>
    <row r="1323" spans="1:7" s="103" customFormat="1" ht="15.6" customHeight="1" x14ac:dyDescent="0.3">
      <c r="A1323" s="98">
        <v>45894</v>
      </c>
      <c r="B1323" s="275" t="s">
        <v>212</v>
      </c>
      <c r="C1323" s="99" t="s">
        <v>6</v>
      </c>
      <c r="D1323" s="99" t="s">
        <v>1196</v>
      </c>
      <c r="E1323" s="100">
        <v>-2000</v>
      </c>
      <c r="F1323" s="153" t="s">
        <v>8</v>
      </c>
      <c r="G1323" s="469" t="s">
        <v>189</v>
      </c>
    </row>
    <row r="1324" spans="1:7" s="103" customFormat="1" x14ac:dyDescent="0.3">
      <c r="A1324" s="465">
        <v>45894</v>
      </c>
      <c r="B1324" s="567" t="s">
        <v>212</v>
      </c>
      <c r="C1324" s="467" t="s">
        <v>6</v>
      </c>
      <c r="D1324" s="467" t="s">
        <v>1352</v>
      </c>
      <c r="E1324" s="468">
        <v>-2688.37</v>
      </c>
      <c r="F1324" s="153" t="s">
        <v>8</v>
      </c>
      <c r="G1324" s="469" t="s">
        <v>189</v>
      </c>
    </row>
    <row r="1325" spans="1:7" x14ac:dyDescent="0.3">
      <c r="E1325" s="442">
        <f>SUM(E1308:E1324)</f>
        <v>-43004.08</v>
      </c>
    </row>
    <row r="1330" spans="1:7" x14ac:dyDescent="0.3">
      <c r="A1330" s="918" t="s">
        <v>1395</v>
      </c>
      <c r="B1330" s="918"/>
      <c r="C1330" s="918"/>
      <c r="D1330" s="918"/>
      <c r="E1330" s="918"/>
      <c r="F1330" s="918"/>
      <c r="G1330" s="918"/>
    </row>
    <row r="1331" spans="1:7" ht="36" customHeight="1" x14ac:dyDescent="0.3">
      <c r="A1331" s="918"/>
      <c r="B1331" s="918"/>
      <c r="C1331" s="918"/>
      <c r="D1331" s="918"/>
      <c r="E1331" s="918"/>
      <c r="F1331" s="918"/>
      <c r="G1331" s="918"/>
    </row>
    <row r="1332" spans="1:7" x14ac:dyDescent="0.3">
      <c r="A1332" s="275" t="s">
        <v>0</v>
      </c>
      <c r="B1332" s="275" t="s">
        <v>1209</v>
      </c>
      <c r="C1332" s="200" t="s">
        <v>1</v>
      </c>
      <c r="D1332" s="124" t="s">
        <v>2</v>
      </c>
      <c r="E1332" s="129" t="s">
        <v>3</v>
      </c>
      <c r="F1332" s="137" t="s">
        <v>4</v>
      </c>
      <c r="G1332" s="311" t="s">
        <v>5</v>
      </c>
    </row>
    <row r="1333" spans="1:7" s="103" customFormat="1" x14ac:dyDescent="0.3">
      <c r="A1333" s="98">
        <v>45895</v>
      </c>
      <c r="B1333" s="97" t="s">
        <v>212</v>
      </c>
      <c r="C1333" s="272" t="s">
        <v>6</v>
      </c>
      <c r="D1333" s="272" t="s">
        <v>1094</v>
      </c>
      <c r="E1333" s="126">
        <v>-810.56</v>
      </c>
      <c r="F1333" s="110" t="s">
        <v>8</v>
      </c>
      <c r="G1333" s="137" t="s">
        <v>55</v>
      </c>
    </row>
    <row r="1334" spans="1:7" s="103" customFormat="1" x14ac:dyDescent="0.3">
      <c r="A1334" s="98">
        <v>45895</v>
      </c>
      <c r="B1334" s="97" t="s">
        <v>212</v>
      </c>
      <c r="C1334" s="272" t="s">
        <v>6</v>
      </c>
      <c r="D1334" s="272" t="s">
        <v>1278</v>
      </c>
      <c r="E1334" s="126">
        <v>-2014.2</v>
      </c>
      <c r="F1334" s="110" t="s">
        <v>8</v>
      </c>
      <c r="G1334" s="137" t="s">
        <v>55</v>
      </c>
    </row>
    <row r="1335" spans="1:7" s="103" customFormat="1" x14ac:dyDescent="0.3">
      <c r="A1335" s="98">
        <v>45895</v>
      </c>
      <c r="B1335" s="275" t="s">
        <v>212</v>
      </c>
      <c r="C1335" s="272" t="s">
        <v>13</v>
      </c>
      <c r="D1335" s="272" t="s">
        <v>1277</v>
      </c>
      <c r="E1335" s="273">
        <v>-1000.43</v>
      </c>
      <c r="F1335" s="110" t="s">
        <v>8</v>
      </c>
      <c r="G1335" s="137" t="s">
        <v>55</v>
      </c>
    </row>
    <row r="1336" spans="1:7" s="103" customFormat="1" x14ac:dyDescent="0.3">
      <c r="A1336" s="275">
        <v>45895</v>
      </c>
      <c r="B1336" s="275" t="s">
        <v>212</v>
      </c>
      <c r="C1336" s="99" t="s">
        <v>72</v>
      </c>
      <c r="D1336" s="99" t="s">
        <v>1221</v>
      </c>
      <c r="E1336" s="100">
        <v>-2592.66</v>
      </c>
      <c r="F1336" s="137" t="s">
        <v>8</v>
      </c>
      <c r="G1336" s="105" t="s">
        <v>233</v>
      </c>
    </row>
    <row r="1337" spans="1:7" s="103" customFormat="1" x14ac:dyDescent="0.3">
      <c r="A1337" s="275">
        <v>45895</v>
      </c>
      <c r="B1337" s="275" t="s">
        <v>212</v>
      </c>
      <c r="C1337" s="99" t="s">
        <v>72</v>
      </c>
      <c r="D1337" s="99" t="s">
        <v>1220</v>
      </c>
      <c r="E1337" s="100">
        <v>-809.45</v>
      </c>
      <c r="F1337" s="137" t="s">
        <v>8</v>
      </c>
      <c r="G1337" s="105" t="s">
        <v>233</v>
      </c>
    </row>
    <row r="1338" spans="1:7" s="103" customFormat="1" x14ac:dyDescent="0.3">
      <c r="A1338" s="275">
        <v>45895</v>
      </c>
      <c r="B1338" s="275" t="s">
        <v>212</v>
      </c>
      <c r="C1338" s="200" t="s">
        <v>17</v>
      </c>
      <c r="D1338" s="272" t="s">
        <v>143</v>
      </c>
      <c r="E1338" s="273">
        <v>-19960</v>
      </c>
      <c r="F1338" s="110" t="s">
        <v>8</v>
      </c>
      <c r="G1338" s="137" t="s">
        <v>59</v>
      </c>
    </row>
    <row r="1339" spans="1:7" s="103" customFormat="1" x14ac:dyDescent="0.3">
      <c r="A1339" s="98">
        <v>45895</v>
      </c>
      <c r="B1339" s="275" t="s">
        <v>212</v>
      </c>
      <c r="C1339" s="272" t="s">
        <v>31</v>
      </c>
      <c r="D1339" s="272" t="s">
        <v>1393</v>
      </c>
      <c r="E1339" s="273">
        <v>-6462.87</v>
      </c>
      <c r="F1339" s="110" t="s">
        <v>8</v>
      </c>
      <c r="G1339" s="105" t="s">
        <v>46</v>
      </c>
    </row>
    <row r="1340" spans="1:7" s="103" customFormat="1" x14ac:dyDescent="0.3">
      <c r="A1340" s="98">
        <v>45895</v>
      </c>
      <c r="B1340" s="275" t="s">
        <v>212</v>
      </c>
      <c r="C1340" s="272" t="s">
        <v>25</v>
      </c>
      <c r="D1340" s="272" t="s">
        <v>1394</v>
      </c>
      <c r="E1340" s="273">
        <v>-6555.83</v>
      </c>
      <c r="F1340" s="110" t="s">
        <v>8</v>
      </c>
      <c r="G1340" s="105" t="s">
        <v>46</v>
      </c>
    </row>
    <row r="1341" spans="1:7" s="103" customFormat="1" x14ac:dyDescent="0.3">
      <c r="A1341" s="98">
        <v>45895</v>
      </c>
      <c r="B1341" s="275" t="s">
        <v>212</v>
      </c>
      <c r="C1341" s="99" t="s">
        <v>25</v>
      </c>
      <c r="D1341" s="99" t="s">
        <v>386</v>
      </c>
      <c r="E1341" s="100">
        <v>-174.6</v>
      </c>
      <c r="F1341" s="110" t="s">
        <v>8</v>
      </c>
      <c r="G1341" s="105" t="s">
        <v>83</v>
      </c>
    </row>
    <row r="1342" spans="1:7" s="103" customFormat="1" x14ac:dyDescent="0.3">
      <c r="A1342" s="98">
        <v>45895</v>
      </c>
      <c r="B1342" s="275" t="s">
        <v>212</v>
      </c>
      <c r="C1342" s="99" t="s">
        <v>72</v>
      </c>
      <c r="D1342" s="99" t="s">
        <v>1358</v>
      </c>
      <c r="E1342" s="100">
        <v>-100</v>
      </c>
      <c r="F1342" s="110" t="s">
        <v>8</v>
      </c>
      <c r="G1342" s="105" t="s">
        <v>83</v>
      </c>
    </row>
    <row r="1343" spans="1:7" s="103" customFormat="1" x14ac:dyDescent="0.3">
      <c r="A1343" s="98">
        <v>45895</v>
      </c>
      <c r="B1343" s="275" t="s">
        <v>212</v>
      </c>
      <c r="C1343" s="99" t="s">
        <v>72</v>
      </c>
      <c r="D1343" s="99" t="s">
        <v>1359</v>
      </c>
      <c r="E1343" s="100">
        <v>-100</v>
      </c>
      <c r="F1343" s="110" t="s">
        <v>8</v>
      </c>
      <c r="G1343" s="105" t="s">
        <v>83</v>
      </c>
    </row>
    <row r="1344" spans="1:7" s="103" customFormat="1" x14ac:dyDescent="0.3">
      <c r="A1344" s="98">
        <v>45895</v>
      </c>
      <c r="B1344" s="275" t="s">
        <v>212</v>
      </c>
      <c r="C1344" s="99" t="s">
        <v>72</v>
      </c>
      <c r="D1344" s="99" t="s">
        <v>1360</v>
      </c>
      <c r="E1344" s="100">
        <v>-100</v>
      </c>
      <c r="F1344" s="110" t="s">
        <v>8</v>
      </c>
      <c r="G1344" s="105" t="s">
        <v>83</v>
      </c>
    </row>
    <row r="1345" spans="1:7" s="103" customFormat="1" x14ac:dyDescent="0.3">
      <c r="A1345" s="98">
        <v>45895</v>
      </c>
      <c r="B1345" s="275" t="s">
        <v>212</v>
      </c>
      <c r="C1345" s="99" t="s">
        <v>72</v>
      </c>
      <c r="D1345" s="99" t="s">
        <v>1361</v>
      </c>
      <c r="E1345" s="100">
        <v>-100</v>
      </c>
      <c r="F1345" s="110" t="s">
        <v>8</v>
      </c>
      <c r="G1345" s="105" t="s">
        <v>83</v>
      </c>
    </row>
    <row r="1346" spans="1:7" s="103" customFormat="1" x14ac:dyDescent="0.3">
      <c r="A1346" s="98">
        <v>45895</v>
      </c>
      <c r="B1346" s="275" t="s">
        <v>212</v>
      </c>
      <c r="C1346" s="99" t="s">
        <v>72</v>
      </c>
      <c r="D1346" s="99" t="s">
        <v>1362</v>
      </c>
      <c r="E1346" s="100">
        <v>-100</v>
      </c>
      <c r="F1346" s="110" t="s">
        <v>8</v>
      </c>
      <c r="G1346" s="105" t="s">
        <v>83</v>
      </c>
    </row>
    <row r="1347" spans="1:7" s="103" customFormat="1" x14ac:dyDescent="0.3">
      <c r="A1347" s="98">
        <v>45895</v>
      </c>
      <c r="B1347" s="275" t="s">
        <v>212</v>
      </c>
      <c r="C1347" s="99" t="s">
        <v>72</v>
      </c>
      <c r="D1347" s="99" t="s">
        <v>1363</v>
      </c>
      <c r="E1347" s="100">
        <v>-100</v>
      </c>
      <c r="F1347" s="110" t="s">
        <v>8</v>
      </c>
      <c r="G1347" s="105" t="s">
        <v>83</v>
      </c>
    </row>
    <row r="1348" spans="1:7" s="103" customFormat="1" x14ac:dyDescent="0.3">
      <c r="A1348" s="98">
        <v>45895</v>
      </c>
      <c r="B1348" s="275" t="s">
        <v>212</v>
      </c>
      <c r="C1348" s="99" t="s">
        <v>17</v>
      </c>
      <c r="D1348" s="99" t="s">
        <v>1069</v>
      </c>
      <c r="E1348" s="100">
        <v>-61.5</v>
      </c>
      <c r="F1348" s="110" t="s">
        <v>8</v>
      </c>
      <c r="G1348" s="105" t="s">
        <v>83</v>
      </c>
    </row>
    <row r="1349" spans="1:7" s="103" customFormat="1" x14ac:dyDescent="0.3">
      <c r="A1349" s="98">
        <v>45895</v>
      </c>
      <c r="B1349" s="275" t="s">
        <v>212</v>
      </c>
      <c r="C1349" s="99" t="s">
        <v>17</v>
      </c>
      <c r="D1349" s="99" t="s">
        <v>469</v>
      </c>
      <c r="E1349" s="100">
        <v>-162</v>
      </c>
      <c r="F1349" s="110" t="s">
        <v>8</v>
      </c>
      <c r="G1349" s="105" t="s">
        <v>83</v>
      </c>
    </row>
    <row r="1350" spans="1:7" x14ac:dyDescent="0.3">
      <c r="E1350" s="442">
        <f>SUM(E1333:E1349)</f>
        <v>-41204.1</v>
      </c>
    </row>
    <row r="1354" spans="1:7" x14ac:dyDescent="0.3">
      <c r="A1354" s="918" t="s">
        <v>1400</v>
      </c>
      <c r="B1354" s="918"/>
      <c r="C1354" s="918"/>
      <c r="D1354" s="918"/>
      <c r="E1354" s="918"/>
      <c r="F1354" s="918"/>
      <c r="G1354" s="918"/>
    </row>
    <row r="1355" spans="1:7" ht="32.4" customHeight="1" x14ac:dyDescent="0.3">
      <c r="A1355" s="918"/>
      <c r="B1355" s="918"/>
      <c r="C1355" s="918"/>
      <c r="D1355" s="918"/>
      <c r="E1355" s="918"/>
      <c r="F1355" s="918"/>
      <c r="G1355" s="918"/>
    </row>
    <row r="1356" spans="1:7" x14ac:dyDescent="0.3">
      <c r="A1356" s="275" t="s">
        <v>0</v>
      </c>
      <c r="B1356" s="275" t="s">
        <v>1209</v>
      </c>
      <c r="C1356" s="200" t="s">
        <v>1</v>
      </c>
      <c r="D1356" s="124" t="s">
        <v>2</v>
      </c>
      <c r="E1356" s="129" t="s">
        <v>3</v>
      </c>
      <c r="F1356" s="137" t="s">
        <v>4</v>
      </c>
      <c r="G1356" s="311" t="s">
        <v>5</v>
      </c>
    </row>
    <row r="1357" spans="1:7" s="103" customFormat="1" x14ac:dyDescent="0.3">
      <c r="A1357" s="275">
        <v>45896</v>
      </c>
      <c r="B1357" s="275" t="s">
        <v>212</v>
      </c>
      <c r="C1357" s="488" t="s">
        <v>6</v>
      </c>
      <c r="D1357" s="272" t="s">
        <v>1401</v>
      </c>
      <c r="E1357" s="126">
        <v>-35714.57</v>
      </c>
      <c r="F1357" s="137" t="s">
        <v>8</v>
      </c>
      <c r="G1357" s="105" t="s">
        <v>46</v>
      </c>
    </row>
    <row r="1358" spans="1:7" s="103" customFormat="1" x14ac:dyDescent="0.3">
      <c r="A1358" s="98">
        <v>45896</v>
      </c>
      <c r="B1358" s="97" t="s">
        <v>212</v>
      </c>
      <c r="C1358" s="99" t="s">
        <v>44</v>
      </c>
      <c r="D1358" s="99" t="s">
        <v>232</v>
      </c>
      <c r="E1358" s="100">
        <v>-3135.73</v>
      </c>
      <c r="F1358" s="110" t="s">
        <v>8</v>
      </c>
      <c r="G1358" s="99" t="s">
        <v>233</v>
      </c>
    </row>
    <row r="1359" spans="1:7" s="103" customFormat="1" x14ac:dyDescent="0.3">
      <c r="A1359" s="98">
        <v>45896</v>
      </c>
      <c r="B1359" s="97" t="s">
        <v>212</v>
      </c>
      <c r="C1359" s="99" t="s">
        <v>72</v>
      </c>
      <c r="D1359" s="99" t="s">
        <v>1397</v>
      </c>
      <c r="E1359" s="100">
        <v>-1270.08</v>
      </c>
      <c r="F1359" s="110" t="s">
        <v>8</v>
      </c>
      <c r="G1359" s="99" t="s">
        <v>233</v>
      </c>
    </row>
    <row r="1360" spans="1:7" s="103" customFormat="1" x14ac:dyDescent="0.3">
      <c r="A1360" s="106">
        <v>45896</v>
      </c>
      <c r="B1360" s="8" t="s">
        <v>212</v>
      </c>
      <c r="C1360" s="107" t="s">
        <v>25</v>
      </c>
      <c r="D1360" s="107" t="s">
        <v>1364</v>
      </c>
      <c r="E1360" s="4">
        <v>-295</v>
      </c>
      <c r="F1360" s="110" t="s">
        <v>8</v>
      </c>
      <c r="G1360" s="110" t="s">
        <v>8</v>
      </c>
    </row>
    <row r="1361" spans="1:7" s="103" customFormat="1" x14ac:dyDescent="0.3">
      <c r="A1361" s="106">
        <v>45896</v>
      </c>
      <c r="B1361" s="8" t="s">
        <v>212</v>
      </c>
      <c r="C1361" s="155" t="s">
        <v>106</v>
      </c>
      <c r="D1361" s="107" t="s">
        <v>368</v>
      </c>
      <c r="E1361" s="4">
        <v>-100</v>
      </c>
      <c r="F1361" s="110" t="s">
        <v>8</v>
      </c>
      <c r="G1361" s="110" t="s">
        <v>8</v>
      </c>
    </row>
    <row r="1362" spans="1:7" s="103" customFormat="1" x14ac:dyDescent="0.3">
      <c r="A1362" s="106">
        <v>45896</v>
      </c>
      <c r="B1362" s="8" t="s">
        <v>212</v>
      </c>
      <c r="C1362" s="155" t="s">
        <v>17</v>
      </c>
      <c r="D1362" s="107" t="s">
        <v>1322</v>
      </c>
      <c r="E1362" s="4">
        <v>-100</v>
      </c>
      <c r="F1362" s="110" t="s">
        <v>8</v>
      </c>
      <c r="G1362" s="110" t="s">
        <v>8</v>
      </c>
    </row>
    <row r="1363" spans="1:7" s="103" customFormat="1" x14ac:dyDescent="0.3">
      <c r="A1363" s="106">
        <v>45896</v>
      </c>
      <c r="B1363" s="8" t="s">
        <v>212</v>
      </c>
      <c r="C1363" s="155" t="s">
        <v>17</v>
      </c>
      <c r="D1363" s="107" t="s">
        <v>1365</v>
      </c>
      <c r="E1363" s="4">
        <v>-140</v>
      </c>
      <c r="F1363" s="110" t="s">
        <v>8</v>
      </c>
      <c r="G1363" s="110" t="s">
        <v>8</v>
      </c>
    </row>
    <row r="1364" spans="1:7" s="103" customFormat="1" x14ac:dyDescent="0.3">
      <c r="A1364" s="106">
        <v>45896</v>
      </c>
      <c r="B1364" s="8" t="s">
        <v>212</v>
      </c>
      <c r="C1364" s="624" t="s">
        <v>17</v>
      </c>
      <c r="D1364" s="107" t="s">
        <v>1367</v>
      </c>
      <c r="E1364" s="4">
        <v>-477.48</v>
      </c>
      <c r="F1364" s="110" t="s">
        <v>8</v>
      </c>
      <c r="G1364" s="5" t="s">
        <v>394</v>
      </c>
    </row>
    <row r="1365" spans="1:7" s="103" customFormat="1" x14ac:dyDescent="0.3">
      <c r="A1365" s="106">
        <v>45896</v>
      </c>
      <c r="B1365" s="8" t="s">
        <v>212</v>
      </c>
      <c r="C1365" s="624" t="s">
        <v>17</v>
      </c>
      <c r="D1365" s="107" t="s">
        <v>1366</v>
      </c>
      <c r="E1365" s="4">
        <v>-186.84</v>
      </c>
      <c r="F1365" s="110" t="s">
        <v>8</v>
      </c>
      <c r="G1365" s="108" t="s">
        <v>99</v>
      </c>
    </row>
    <row r="1366" spans="1:7" s="103" customFormat="1" x14ac:dyDescent="0.3">
      <c r="A1366" s="275">
        <v>45896</v>
      </c>
      <c r="B1366" s="98" t="s">
        <v>212</v>
      </c>
      <c r="C1366" s="99" t="s">
        <v>72</v>
      </c>
      <c r="D1366" s="99" t="s">
        <v>1219</v>
      </c>
      <c r="E1366" s="100">
        <v>-1514.4703030000001</v>
      </c>
      <c r="F1366" s="105" t="s">
        <v>8</v>
      </c>
      <c r="G1366" s="105" t="s">
        <v>233</v>
      </c>
    </row>
    <row r="1367" spans="1:7" x14ac:dyDescent="0.3">
      <c r="E1367" s="442">
        <f>SUM(E1357:E1366)</f>
        <v>-42934.170303000006</v>
      </c>
    </row>
    <row r="1371" spans="1:7" x14ac:dyDescent="0.3">
      <c r="A1371" s="918" t="s">
        <v>1410</v>
      </c>
      <c r="B1371" s="918"/>
      <c r="C1371" s="918"/>
      <c r="D1371" s="918"/>
      <c r="E1371" s="918"/>
      <c r="F1371" s="918"/>
      <c r="G1371" s="918"/>
    </row>
    <row r="1372" spans="1:7" ht="39.6" customHeight="1" x14ac:dyDescent="0.3">
      <c r="A1372" s="918"/>
      <c r="B1372" s="918"/>
      <c r="C1372" s="918"/>
      <c r="D1372" s="918"/>
      <c r="E1372" s="918"/>
      <c r="F1372" s="918"/>
      <c r="G1372" s="918"/>
    </row>
    <row r="1373" spans="1:7" x14ac:dyDescent="0.3">
      <c r="A1373" s="720" t="s">
        <v>0</v>
      </c>
      <c r="B1373" s="720" t="s">
        <v>1209</v>
      </c>
      <c r="C1373" s="665" t="s">
        <v>1</v>
      </c>
      <c r="D1373" s="907" t="s">
        <v>2</v>
      </c>
      <c r="E1373" s="788" t="s">
        <v>3</v>
      </c>
      <c r="F1373" s="472" t="s">
        <v>4</v>
      </c>
      <c r="G1373" s="789" t="s">
        <v>5</v>
      </c>
    </row>
    <row r="1374" spans="1:7" s="790" customFormat="1" x14ac:dyDescent="0.3">
      <c r="A1374" s="98">
        <v>45897</v>
      </c>
      <c r="B1374" s="97" t="s">
        <v>212</v>
      </c>
      <c r="C1374" s="99" t="s">
        <v>44</v>
      </c>
      <c r="D1374" s="99" t="s">
        <v>1408</v>
      </c>
      <c r="E1374" s="100">
        <v>-9520.2900000000009</v>
      </c>
      <c r="F1374" s="110" t="s">
        <v>8</v>
      </c>
      <c r="G1374" s="105" t="s">
        <v>233</v>
      </c>
    </row>
    <row r="1375" spans="1:7" s="790" customFormat="1" ht="27.6" x14ac:dyDescent="0.3">
      <c r="A1375" s="275">
        <v>45897</v>
      </c>
      <c r="B1375" s="97" t="s">
        <v>212</v>
      </c>
      <c r="C1375" s="492" t="s">
        <v>72</v>
      </c>
      <c r="D1375" s="99" t="s">
        <v>1405</v>
      </c>
      <c r="E1375" s="125">
        <v>-4875.8500000000004</v>
      </c>
      <c r="F1375" s="110" t="s">
        <v>8</v>
      </c>
      <c r="G1375" s="105" t="s">
        <v>74</v>
      </c>
    </row>
    <row r="1376" spans="1:7" s="790" customFormat="1" x14ac:dyDescent="0.3">
      <c r="A1376" s="98">
        <v>45897</v>
      </c>
      <c r="B1376" s="97" t="s">
        <v>212</v>
      </c>
      <c r="C1376" s="99" t="s">
        <v>72</v>
      </c>
      <c r="D1376" s="107" t="s">
        <v>1404</v>
      </c>
      <c r="E1376" s="4">
        <v>-100</v>
      </c>
      <c r="F1376" s="110" t="s">
        <v>8</v>
      </c>
      <c r="G1376" s="5" t="s">
        <v>394</v>
      </c>
    </row>
    <row r="1377" spans="1:7" s="790" customFormat="1" x14ac:dyDescent="0.3">
      <c r="A1377" s="98">
        <v>45897</v>
      </c>
      <c r="B1377" s="97" t="s">
        <v>212</v>
      </c>
      <c r="C1377" s="99" t="s">
        <v>72</v>
      </c>
      <c r="D1377" s="107" t="s">
        <v>1406</v>
      </c>
      <c r="E1377" s="4">
        <v>-103.8</v>
      </c>
      <c r="F1377" s="110" t="s">
        <v>8</v>
      </c>
      <c r="G1377" s="5" t="s">
        <v>394</v>
      </c>
    </row>
    <row r="1378" spans="1:7" s="790" customFormat="1" x14ac:dyDescent="0.3">
      <c r="A1378" s="98">
        <v>45897</v>
      </c>
      <c r="B1378" s="97" t="s">
        <v>212</v>
      </c>
      <c r="C1378" s="99" t="s">
        <v>72</v>
      </c>
      <c r="D1378" s="107" t="s">
        <v>1398</v>
      </c>
      <c r="E1378" s="4">
        <v>-193.9</v>
      </c>
      <c r="F1378" s="110" t="s">
        <v>8</v>
      </c>
      <c r="G1378" s="108" t="s">
        <v>1399</v>
      </c>
    </row>
    <row r="1379" spans="1:7" s="790" customFormat="1" ht="13.8" customHeight="1" x14ac:dyDescent="0.3">
      <c r="A1379" s="98">
        <v>45897</v>
      </c>
      <c r="B1379" s="97" t="s">
        <v>212</v>
      </c>
      <c r="C1379" s="99" t="s">
        <v>72</v>
      </c>
      <c r="D1379" s="107" t="s">
        <v>1407</v>
      </c>
      <c r="E1379" s="4">
        <v>-100</v>
      </c>
      <c r="F1379" s="110" t="s">
        <v>8</v>
      </c>
      <c r="G1379" s="5" t="s">
        <v>394</v>
      </c>
    </row>
    <row r="1380" spans="1:7" s="790" customFormat="1" x14ac:dyDescent="0.3">
      <c r="A1380" s="98">
        <v>45897</v>
      </c>
      <c r="B1380" s="97" t="s">
        <v>212</v>
      </c>
      <c r="C1380" s="107" t="s">
        <v>72</v>
      </c>
      <c r="D1380" s="107" t="s">
        <v>1368</v>
      </c>
      <c r="E1380" s="4">
        <v>-123.5</v>
      </c>
      <c r="F1380" s="5" t="s">
        <v>8</v>
      </c>
      <c r="G1380" s="108" t="s">
        <v>76</v>
      </c>
    </row>
    <row r="1381" spans="1:7" s="790" customFormat="1" x14ac:dyDescent="0.3">
      <c r="A1381" s="98">
        <v>45897</v>
      </c>
      <c r="B1381" s="97" t="s">
        <v>212</v>
      </c>
      <c r="C1381" s="107" t="s">
        <v>17</v>
      </c>
      <c r="D1381" s="107" t="s">
        <v>1369</v>
      </c>
      <c r="E1381" s="4">
        <v>-83.04</v>
      </c>
      <c r="F1381" s="110" t="s">
        <v>8</v>
      </c>
      <c r="G1381" s="108" t="s">
        <v>394</v>
      </c>
    </row>
    <row r="1382" spans="1:7" s="790" customFormat="1" x14ac:dyDescent="0.3">
      <c r="A1382" s="98">
        <v>45897</v>
      </c>
      <c r="B1382" s="97" t="s">
        <v>212</v>
      </c>
      <c r="C1382" s="107" t="s">
        <v>17</v>
      </c>
      <c r="D1382" s="107" t="s">
        <v>1370</v>
      </c>
      <c r="E1382" s="4">
        <v>-83.04</v>
      </c>
      <c r="F1382" s="110" t="s">
        <v>8</v>
      </c>
      <c r="G1382" s="108" t="s">
        <v>394</v>
      </c>
    </row>
    <row r="1383" spans="1:7" s="790" customFormat="1" x14ac:dyDescent="0.3">
      <c r="A1383" s="98">
        <v>45897</v>
      </c>
      <c r="B1383" s="97" t="s">
        <v>212</v>
      </c>
      <c r="C1383" s="107" t="s">
        <v>17</v>
      </c>
      <c r="D1383" s="107" t="s">
        <v>1371</v>
      </c>
      <c r="E1383" s="4">
        <v>-83.04</v>
      </c>
      <c r="F1383" s="110" t="s">
        <v>8</v>
      </c>
      <c r="G1383" s="108" t="s">
        <v>394</v>
      </c>
    </row>
    <row r="1384" spans="1:7" s="790" customFormat="1" x14ac:dyDescent="0.3">
      <c r="A1384" s="98">
        <v>45897</v>
      </c>
      <c r="B1384" s="97" t="s">
        <v>212</v>
      </c>
      <c r="C1384" s="107" t="s">
        <v>17</v>
      </c>
      <c r="D1384" s="107" t="s">
        <v>1372</v>
      </c>
      <c r="E1384" s="4">
        <v>-210</v>
      </c>
      <c r="F1384" s="110" t="s">
        <v>8</v>
      </c>
      <c r="G1384" s="108" t="s">
        <v>99</v>
      </c>
    </row>
    <row r="1385" spans="1:7" s="790" customFormat="1" x14ac:dyDescent="0.3">
      <c r="A1385" s="98">
        <v>45897</v>
      </c>
      <c r="B1385" s="97" t="s">
        <v>212</v>
      </c>
      <c r="C1385" s="107" t="s">
        <v>25</v>
      </c>
      <c r="D1385" s="107" t="s">
        <v>1373</v>
      </c>
      <c r="E1385" s="4">
        <v>-86.1</v>
      </c>
      <c r="F1385" s="110" t="s">
        <v>8</v>
      </c>
      <c r="G1385" s="108" t="s">
        <v>83</v>
      </c>
    </row>
    <row r="1386" spans="1:7" s="790" customFormat="1" x14ac:dyDescent="0.3">
      <c r="A1386" s="98">
        <v>45897</v>
      </c>
      <c r="B1386" s="97" t="s">
        <v>212</v>
      </c>
      <c r="C1386" s="107" t="s">
        <v>25</v>
      </c>
      <c r="D1386" s="107" t="s">
        <v>1374</v>
      </c>
      <c r="E1386" s="4">
        <v>-151.19999999999999</v>
      </c>
      <c r="F1386" s="110" t="s">
        <v>8</v>
      </c>
      <c r="G1386" s="108" t="s">
        <v>83</v>
      </c>
    </row>
    <row r="1387" spans="1:7" s="790" customFormat="1" x14ac:dyDescent="0.3">
      <c r="A1387" s="98">
        <v>45897</v>
      </c>
      <c r="B1387" s="97" t="s">
        <v>212</v>
      </c>
      <c r="C1387" s="107" t="s">
        <v>17</v>
      </c>
      <c r="D1387" s="107" t="s">
        <v>1375</v>
      </c>
      <c r="E1387" s="4">
        <v>-270</v>
      </c>
      <c r="F1387" s="110" t="s">
        <v>8</v>
      </c>
      <c r="G1387" s="108" t="s">
        <v>83</v>
      </c>
    </row>
    <row r="1388" spans="1:7" s="790" customFormat="1" x14ac:dyDescent="0.3">
      <c r="A1388" s="98">
        <v>45897</v>
      </c>
      <c r="B1388" s="97" t="s">
        <v>212</v>
      </c>
      <c r="C1388" s="107" t="s">
        <v>17</v>
      </c>
      <c r="D1388" s="107" t="s">
        <v>1376</v>
      </c>
      <c r="E1388" s="4">
        <v>-270</v>
      </c>
      <c r="F1388" s="110" t="s">
        <v>8</v>
      </c>
      <c r="G1388" s="108" t="s">
        <v>83</v>
      </c>
    </row>
    <row r="1389" spans="1:7" s="790" customFormat="1" x14ac:dyDescent="0.3">
      <c r="A1389" s="98">
        <v>45897</v>
      </c>
      <c r="B1389" s="97" t="s">
        <v>212</v>
      </c>
      <c r="C1389" s="107" t="s">
        <v>17</v>
      </c>
      <c r="D1389" s="107" t="s">
        <v>1377</v>
      </c>
      <c r="E1389" s="4">
        <v>-270</v>
      </c>
      <c r="F1389" s="110" t="s">
        <v>8</v>
      </c>
      <c r="G1389" s="108" t="s">
        <v>83</v>
      </c>
    </row>
    <row r="1390" spans="1:7" s="790" customFormat="1" x14ac:dyDescent="0.3">
      <c r="A1390" s="98">
        <v>45897</v>
      </c>
      <c r="B1390" s="97" t="s">
        <v>212</v>
      </c>
      <c r="C1390" s="107" t="s">
        <v>25</v>
      </c>
      <c r="D1390" s="107" t="s">
        <v>1402</v>
      </c>
      <c r="E1390" s="4">
        <v>-2000</v>
      </c>
      <c r="F1390" s="110" t="s">
        <v>8</v>
      </c>
      <c r="G1390" s="108" t="s">
        <v>59</v>
      </c>
    </row>
    <row r="1391" spans="1:7" s="790" customFormat="1" x14ac:dyDescent="0.3">
      <c r="A1391" s="98">
        <v>45897</v>
      </c>
      <c r="B1391" s="97" t="s">
        <v>212</v>
      </c>
      <c r="C1391" s="107" t="s">
        <v>25</v>
      </c>
      <c r="D1391" s="107" t="s">
        <v>1409</v>
      </c>
      <c r="E1391" s="4">
        <v>-400</v>
      </c>
      <c r="F1391" s="110" t="s">
        <v>8</v>
      </c>
      <c r="G1391" s="108" t="s">
        <v>142</v>
      </c>
    </row>
    <row r="1392" spans="1:7" x14ac:dyDescent="0.3">
      <c r="E1392" s="442">
        <f>SUM(E1374:E1391)</f>
        <v>-18923.760000000002</v>
      </c>
    </row>
    <row r="1399" spans="1:7" x14ac:dyDescent="0.3">
      <c r="A1399" s="918" t="s">
        <v>1441</v>
      </c>
      <c r="B1399" s="918"/>
      <c r="C1399" s="918"/>
      <c r="D1399" s="918"/>
      <c r="E1399" s="918"/>
      <c r="F1399" s="918"/>
      <c r="G1399" s="918"/>
    </row>
    <row r="1400" spans="1:7" ht="31.8" customHeight="1" x14ac:dyDescent="0.3">
      <c r="A1400" s="918"/>
      <c r="B1400" s="918"/>
      <c r="C1400" s="918"/>
      <c r="D1400" s="918"/>
      <c r="E1400" s="918"/>
      <c r="F1400" s="918"/>
      <c r="G1400" s="918"/>
    </row>
    <row r="1401" spans="1:7" x14ac:dyDescent="0.3">
      <c r="A1401" s="275" t="s">
        <v>0</v>
      </c>
      <c r="B1401" s="275" t="s">
        <v>1209</v>
      </c>
      <c r="C1401" s="200" t="s">
        <v>1</v>
      </c>
      <c r="D1401" s="124" t="s">
        <v>2</v>
      </c>
      <c r="E1401" s="129" t="s">
        <v>3</v>
      </c>
      <c r="F1401" s="137" t="s">
        <v>4</v>
      </c>
      <c r="G1401" s="311" t="s">
        <v>5</v>
      </c>
    </row>
    <row r="1402" spans="1:7" x14ac:dyDescent="0.3">
      <c r="A1402" s="98">
        <v>45898</v>
      </c>
      <c r="B1402" s="97" t="s">
        <v>212</v>
      </c>
      <c r="C1402" s="99" t="s">
        <v>17</v>
      </c>
      <c r="D1402" s="99" t="s">
        <v>958</v>
      </c>
      <c r="E1402" s="100">
        <v>-1500</v>
      </c>
      <c r="F1402" s="110" t="s">
        <v>8</v>
      </c>
      <c r="G1402" s="105" t="s">
        <v>189</v>
      </c>
    </row>
    <row r="1403" spans="1:7" x14ac:dyDescent="0.3">
      <c r="A1403" s="804">
        <v>45898</v>
      </c>
      <c r="B1403" s="97" t="s">
        <v>212</v>
      </c>
      <c r="C1403" s="99" t="s">
        <v>6</v>
      </c>
      <c r="D1403" s="99" t="s">
        <v>833</v>
      </c>
      <c r="E1403" s="100">
        <v>-2000</v>
      </c>
      <c r="F1403" s="110" t="s">
        <v>8</v>
      </c>
      <c r="G1403" s="105" t="s">
        <v>189</v>
      </c>
    </row>
    <row r="1404" spans="1:7" x14ac:dyDescent="0.3">
      <c r="A1404" s="804">
        <v>45898</v>
      </c>
      <c r="B1404" s="97" t="s">
        <v>212</v>
      </c>
      <c r="C1404" s="99" t="s">
        <v>17</v>
      </c>
      <c r="D1404" s="99" t="s">
        <v>939</v>
      </c>
      <c r="E1404" s="805">
        <v>-880</v>
      </c>
      <c r="F1404" s="105" t="s">
        <v>8</v>
      </c>
      <c r="G1404" s="105" t="s">
        <v>189</v>
      </c>
    </row>
    <row r="1405" spans="1:7" x14ac:dyDescent="0.3">
      <c r="A1405" s="275">
        <v>45898</v>
      </c>
      <c r="B1405" s="275" t="s">
        <v>212</v>
      </c>
      <c r="C1405" s="99" t="s">
        <v>6</v>
      </c>
      <c r="D1405" s="99" t="s">
        <v>1215</v>
      </c>
      <c r="E1405" s="806">
        <v>-2045</v>
      </c>
      <c r="F1405" s="110" t="s">
        <v>8</v>
      </c>
      <c r="G1405" s="105" t="s">
        <v>142</v>
      </c>
    </row>
    <row r="1406" spans="1:7" x14ac:dyDescent="0.3">
      <c r="A1406" s="275">
        <v>45898</v>
      </c>
      <c r="B1406" s="275" t="s">
        <v>212</v>
      </c>
      <c r="C1406" s="99" t="s">
        <v>6</v>
      </c>
      <c r="D1406" s="99" t="s">
        <v>1433</v>
      </c>
      <c r="E1406" s="595">
        <v>-3619.3394859999999</v>
      </c>
      <c r="F1406" s="110" t="s">
        <v>8</v>
      </c>
      <c r="G1406" s="105" t="s">
        <v>142</v>
      </c>
    </row>
    <row r="1407" spans="1:7" x14ac:dyDescent="0.3">
      <c r="A1407" s="275">
        <v>45898</v>
      </c>
      <c r="B1407" s="275" t="s">
        <v>212</v>
      </c>
      <c r="C1407" s="99" t="s">
        <v>6</v>
      </c>
      <c r="D1407" s="99" t="s">
        <v>1434</v>
      </c>
      <c r="E1407" s="595">
        <v>-2003.33</v>
      </c>
      <c r="F1407" s="110" t="s">
        <v>8</v>
      </c>
      <c r="G1407" s="105" t="s">
        <v>142</v>
      </c>
    </row>
    <row r="1408" spans="1:7" x14ac:dyDescent="0.3">
      <c r="A1408" s="275">
        <v>45898</v>
      </c>
      <c r="B1408" s="275" t="s">
        <v>212</v>
      </c>
      <c r="C1408" s="200" t="s">
        <v>17</v>
      </c>
      <c r="D1408" s="272" t="s">
        <v>143</v>
      </c>
      <c r="E1408" s="273">
        <v>-19960</v>
      </c>
      <c r="F1408" s="110" t="s">
        <v>8</v>
      </c>
      <c r="G1408" s="137" t="s">
        <v>59</v>
      </c>
    </row>
    <row r="1409" spans="1:7" x14ac:dyDescent="0.3">
      <c r="A1409" s="98">
        <v>45898</v>
      </c>
      <c r="B1409" s="275" t="s">
        <v>212</v>
      </c>
      <c r="C1409" s="272" t="s">
        <v>13</v>
      </c>
      <c r="D1409" s="272" t="s">
        <v>144</v>
      </c>
      <c r="E1409" s="273">
        <v>-500</v>
      </c>
      <c r="F1409" s="110" t="s">
        <v>8</v>
      </c>
      <c r="G1409" s="137" t="s">
        <v>69</v>
      </c>
    </row>
    <row r="1410" spans="1:7" x14ac:dyDescent="0.3">
      <c r="A1410" s="98">
        <v>45898</v>
      </c>
      <c r="B1410" s="275" t="s">
        <v>212</v>
      </c>
      <c r="C1410" s="109" t="s">
        <v>17</v>
      </c>
      <c r="D1410" s="99" t="s">
        <v>145</v>
      </c>
      <c r="E1410" s="273">
        <v>-2530.4299999999998</v>
      </c>
      <c r="F1410" s="110" t="s">
        <v>8</v>
      </c>
      <c r="G1410" s="137" t="s">
        <v>69</v>
      </c>
    </row>
    <row r="1411" spans="1:7" x14ac:dyDescent="0.3">
      <c r="A1411" s="98">
        <v>45898</v>
      </c>
      <c r="B1411" s="275" t="s">
        <v>212</v>
      </c>
      <c r="C1411" s="109" t="s">
        <v>17</v>
      </c>
      <c r="D1411" s="99" t="s">
        <v>145</v>
      </c>
      <c r="E1411" s="273">
        <v>-1339.5</v>
      </c>
      <c r="F1411" s="110" t="s">
        <v>8</v>
      </c>
      <c r="G1411" s="137" t="s">
        <v>69</v>
      </c>
    </row>
    <row r="1412" spans="1:7" x14ac:dyDescent="0.3">
      <c r="A1412" s="98">
        <v>45898</v>
      </c>
      <c r="B1412" s="275" t="s">
        <v>212</v>
      </c>
      <c r="C1412" s="272" t="s">
        <v>81</v>
      </c>
      <c r="D1412" s="272" t="s">
        <v>82</v>
      </c>
      <c r="E1412" s="273">
        <v>-4968.66</v>
      </c>
      <c r="F1412" s="110" t="s">
        <v>8</v>
      </c>
      <c r="G1412" s="137" t="s">
        <v>83</v>
      </c>
    </row>
    <row r="1413" spans="1:7" x14ac:dyDescent="0.3">
      <c r="A1413" s="98">
        <v>45898</v>
      </c>
      <c r="B1413" s="275" t="s">
        <v>212</v>
      </c>
      <c r="C1413" s="272" t="s">
        <v>17</v>
      </c>
      <c r="D1413" s="272" t="s">
        <v>143</v>
      </c>
      <c r="E1413" s="273">
        <v>-10997.46</v>
      </c>
      <c r="F1413" s="110" t="s">
        <v>8</v>
      </c>
      <c r="G1413" s="137" t="s">
        <v>59</v>
      </c>
    </row>
    <row r="1414" spans="1:7" x14ac:dyDescent="0.3">
      <c r="A1414" s="98">
        <v>45898</v>
      </c>
      <c r="B1414" s="275" t="s">
        <v>212</v>
      </c>
      <c r="C1414" s="272" t="s">
        <v>6</v>
      </c>
      <c r="D1414" s="272" t="s">
        <v>147</v>
      </c>
      <c r="E1414" s="273">
        <v>-29341.02</v>
      </c>
      <c r="F1414" s="110" t="s">
        <v>8</v>
      </c>
      <c r="G1414" s="736" t="s">
        <v>127</v>
      </c>
    </row>
    <row r="1415" spans="1:7" x14ac:dyDescent="0.3">
      <c r="A1415" s="106">
        <v>45898</v>
      </c>
      <c r="B1415" s="631" t="s">
        <v>212</v>
      </c>
      <c r="C1415" s="624" t="s">
        <v>17</v>
      </c>
      <c r="D1415" s="107" t="s">
        <v>1379</v>
      </c>
      <c r="E1415" s="571">
        <v>-1057.5999999999999</v>
      </c>
      <c r="F1415" s="110" t="s">
        <v>8</v>
      </c>
      <c r="G1415" s="634" t="s">
        <v>99</v>
      </c>
    </row>
    <row r="1416" spans="1:7" x14ac:dyDescent="0.3">
      <c r="A1416" s="106">
        <v>45898</v>
      </c>
      <c r="B1416" s="631" t="s">
        <v>212</v>
      </c>
      <c r="C1416" s="624" t="s">
        <v>17</v>
      </c>
      <c r="D1416" s="107" t="s">
        <v>1378</v>
      </c>
      <c r="E1416" s="100">
        <v>-7610.5</v>
      </c>
      <c r="F1416" s="110" t="s">
        <v>8</v>
      </c>
      <c r="G1416" s="634" t="s">
        <v>99</v>
      </c>
    </row>
    <row r="1417" spans="1:7" x14ac:dyDescent="0.3">
      <c r="A1417" s="98">
        <v>45898</v>
      </c>
      <c r="B1417" s="275" t="s">
        <v>212</v>
      </c>
      <c r="C1417" s="735" t="s">
        <v>17</v>
      </c>
      <c r="D1417" s="99" t="s">
        <v>149</v>
      </c>
      <c r="E1417" s="273">
        <v>-1500</v>
      </c>
      <c r="F1417" s="110" t="s">
        <v>8</v>
      </c>
      <c r="G1417" s="137" t="s">
        <v>150</v>
      </c>
    </row>
    <row r="1418" spans="1:7" x14ac:dyDescent="0.3">
      <c r="A1418" s="98">
        <v>45898</v>
      </c>
      <c r="B1418" s="275" t="s">
        <v>212</v>
      </c>
      <c r="C1418" s="272" t="s">
        <v>17</v>
      </c>
      <c r="D1418" s="99" t="s">
        <v>151</v>
      </c>
      <c r="E1418" s="273">
        <v>-100</v>
      </c>
      <c r="F1418" s="110" t="s">
        <v>8</v>
      </c>
      <c r="G1418" s="137" t="s">
        <v>150</v>
      </c>
    </row>
    <row r="1419" spans="1:7" x14ac:dyDescent="0.3">
      <c r="A1419" s="98">
        <v>45898</v>
      </c>
      <c r="B1419" s="275" t="s">
        <v>212</v>
      </c>
      <c r="C1419" s="107" t="s">
        <v>31</v>
      </c>
      <c r="D1419" s="107" t="s">
        <v>1415</v>
      </c>
      <c r="E1419" s="4">
        <v>-2210.4699999999998</v>
      </c>
      <c r="F1419" s="110" t="s">
        <v>8</v>
      </c>
      <c r="G1419" s="110" t="s">
        <v>155</v>
      </c>
    </row>
    <row r="1420" spans="1:7" x14ac:dyDescent="0.3">
      <c r="A1420" s="98">
        <v>45898</v>
      </c>
      <c r="B1420" s="275" t="s">
        <v>212</v>
      </c>
      <c r="C1420" s="107" t="s">
        <v>31</v>
      </c>
      <c r="D1420" s="107" t="s">
        <v>1416</v>
      </c>
      <c r="E1420" s="4">
        <v>-2222.06</v>
      </c>
      <c r="F1420" s="110" t="s">
        <v>8</v>
      </c>
      <c r="G1420" s="110" t="s">
        <v>155</v>
      </c>
    </row>
    <row r="1421" spans="1:7" x14ac:dyDescent="0.3">
      <c r="A1421" s="98">
        <v>45898</v>
      </c>
      <c r="B1421" s="275" t="s">
        <v>212</v>
      </c>
      <c r="C1421" s="107" t="s">
        <v>31</v>
      </c>
      <c r="D1421" s="107" t="s">
        <v>494</v>
      </c>
      <c r="E1421" s="4">
        <v>-2187.31</v>
      </c>
      <c r="F1421" s="110" t="s">
        <v>8</v>
      </c>
      <c r="G1421" s="110" t="s">
        <v>155</v>
      </c>
    </row>
    <row r="1422" spans="1:7" x14ac:dyDescent="0.3">
      <c r="A1422" s="98">
        <v>45898</v>
      </c>
      <c r="B1422" s="275" t="s">
        <v>212</v>
      </c>
      <c r="C1422" s="107" t="s">
        <v>31</v>
      </c>
      <c r="D1422" s="107" t="s">
        <v>1417</v>
      </c>
      <c r="E1422" s="4">
        <v>-2175.75</v>
      </c>
      <c r="F1422" s="110" t="s">
        <v>8</v>
      </c>
      <c r="G1422" s="110" t="s">
        <v>155</v>
      </c>
    </row>
    <row r="1423" spans="1:7" x14ac:dyDescent="0.3">
      <c r="A1423" s="98">
        <v>45898</v>
      </c>
      <c r="B1423" s="275" t="s">
        <v>212</v>
      </c>
      <c r="C1423" s="107" t="s">
        <v>6</v>
      </c>
      <c r="D1423" s="107" t="s">
        <v>1418</v>
      </c>
      <c r="E1423" s="4">
        <v>-1891.45</v>
      </c>
      <c r="F1423" s="110" t="s">
        <v>8</v>
      </c>
      <c r="G1423" s="110" t="s">
        <v>155</v>
      </c>
    </row>
    <row r="1424" spans="1:7" x14ac:dyDescent="0.3">
      <c r="A1424" s="98">
        <v>45898</v>
      </c>
      <c r="B1424" s="275" t="s">
        <v>212</v>
      </c>
      <c r="C1424" s="107" t="s">
        <v>6</v>
      </c>
      <c r="D1424" s="107" t="s">
        <v>1419</v>
      </c>
      <c r="E1424" s="4">
        <v>-2548.5700000000002</v>
      </c>
      <c r="F1424" s="110" t="s">
        <v>8</v>
      </c>
      <c r="G1424" s="110" t="s">
        <v>155</v>
      </c>
    </row>
    <row r="1425" spans="1:7" x14ac:dyDescent="0.3">
      <c r="A1425" s="98">
        <v>45898</v>
      </c>
      <c r="B1425" s="275" t="s">
        <v>212</v>
      </c>
      <c r="C1425" s="107" t="s">
        <v>6</v>
      </c>
      <c r="D1425" s="107" t="s">
        <v>1420</v>
      </c>
      <c r="E1425" s="4">
        <v>-1745.15</v>
      </c>
      <c r="F1425" s="110" t="s">
        <v>8</v>
      </c>
      <c r="G1425" s="110" t="s">
        <v>155</v>
      </c>
    </row>
    <row r="1426" spans="1:7" x14ac:dyDescent="0.3">
      <c r="A1426" s="98">
        <v>45898</v>
      </c>
      <c r="B1426" s="275" t="s">
        <v>212</v>
      </c>
      <c r="C1426" s="107" t="s">
        <v>25</v>
      </c>
      <c r="D1426" s="107" t="s">
        <v>1421</v>
      </c>
      <c r="E1426" s="4">
        <v>-2367.39</v>
      </c>
      <c r="F1426" s="110" t="s">
        <v>8</v>
      </c>
      <c r="G1426" s="110" t="s">
        <v>155</v>
      </c>
    </row>
    <row r="1427" spans="1:7" x14ac:dyDescent="0.3">
      <c r="A1427" s="98">
        <v>45898</v>
      </c>
      <c r="B1427" s="275" t="s">
        <v>212</v>
      </c>
      <c r="C1427" s="107" t="s">
        <v>25</v>
      </c>
      <c r="D1427" s="107" t="s">
        <v>1422</v>
      </c>
      <c r="E1427" s="4">
        <v>-2931.59</v>
      </c>
      <c r="F1427" s="110" t="s">
        <v>8</v>
      </c>
      <c r="G1427" s="110" t="s">
        <v>155</v>
      </c>
    </row>
    <row r="1428" spans="1:7" x14ac:dyDescent="0.3">
      <c r="A1428" s="98">
        <v>45898</v>
      </c>
      <c r="B1428" s="275" t="s">
        <v>212</v>
      </c>
      <c r="C1428" s="107" t="s">
        <v>32</v>
      </c>
      <c r="D1428" s="107" t="s">
        <v>1423</v>
      </c>
      <c r="E1428" s="4">
        <v>-2229.48</v>
      </c>
      <c r="F1428" s="110" t="s">
        <v>8</v>
      </c>
      <c r="G1428" s="110" t="s">
        <v>155</v>
      </c>
    </row>
    <row r="1429" spans="1:7" x14ac:dyDescent="0.3">
      <c r="A1429" s="98">
        <v>45898</v>
      </c>
      <c r="B1429" s="275" t="s">
        <v>212</v>
      </c>
      <c r="C1429" s="107" t="s">
        <v>32</v>
      </c>
      <c r="D1429" s="107" t="s">
        <v>1424</v>
      </c>
      <c r="E1429" s="4">
        <v>-3398.37</v>
      </c>
      <c r="F1429" s="110" t="s">
        <v>8</v>
      </c>
      <c r="G1429" s="110" t="s">
        <v>155</v>
      </c>
    </row>
    <row r="1430" spans="1:7" x14ac:dyDescent="0.3">
      <c r="A1430" s="98">
        <v>45898</v>
      </c>
      <c r="B1430" s="275" t="s">
        <v>212</v>
      </c>
      <c r="C1430" s="107" t="s">
        <v>32</v>
      </c>
      <c r="D1430" s="107" t="s">
        <v>1425</v>
      </c>
      <c r="E1430" s="4">
        <v>-2245.13</v>
      </c>
      <c r="F1430" s="110" t="s">
        <v>8</v>
      </c>
      <c r="G1430" s="110" t="s">
        <v>155</v>
      </c>
    </row>
    <row r="1431" spans="1:7" x14ac:dyDescent="0.3">
      <c r="A1431" s="98">
        <v>45898</v>
      </c>
      <c r="B1431" s="275" t="s">
        <v>212</v>
      </c>
      <c r="C1431" s="107" t="s">
        <v>32</v>
      </c>
      <c r="D1431" s="107" t="s">
        <v>1426</v>
      </c>
      <c r="E1431" s="4">
        <v>-2796.76</v>
      </c>
      <c r="F1431" s="110" t="s">
        <v>8</v>
      </c>
      <c r="G1431" s="110" t="s">
        <v>155</v>
      </c>
    </row>
    <row r="1432" spans="1:7" x14ac:dyDescent="0.3">
      <c r="A1432" s="98">
        <v>45898</v>
      </c>
      <c r="B1432" s="275" t="s">
        <v>212</v>
      </c>
      <c r="C1432" s="107" t="s">
        <v>72</v>
      </c>
      <c r="D1432" s="107" t="s">
        <v>209</v>
      </c>
      <c r="E1432" s="4">
        <v>-2592.66</v>
      </c>
      <c r="F1432" s="110" t="s">
        <v>8</v>
      </c>
      <c r="G1432" s="110" t="s">
        <v>155</v>
      </c>
    </row>
    <row r="1433" spans="1:7" x14ac:dyDescent="0.3">
      <c r="A1433" s="98">
        <v>45898</v>
      </c>
      <c r="B1433" s="275" t="s">
        <v>212</v>
      </c>
      <c r="C1433" s="107" t="s">
        <v>72</v>
      </c>
      <c r="D1433" s="107" t="s">
        <v>87</v>
      </c>
      <c r="E1433" s="4">
        <v>-2156.87</v>
      </c>
      <c r="F1433" s="110" t="s">
        <v>8</v>
      </c>
      <c r="G1433" s="110" t="s">
        <v>155</v>
      </c>
    </row>
    <row r="1434" spans="1:7" x14ac:dyDescent="0.3">
      <c r="A1434" s="98">
        <v>45898</v>
      </c>
      <c r="B1434" s="275" t="s">
        <v>212</v>
      </c>
      <c r="C1434" s="107" t="s">
        <v>32</v>
      </c>
      <c r="D1434" s="107" t="s">
        <v>1437</v>
      </c>
      <c r="E1434" s="4">
        <v>2565.6</v>
      </c>
      <c r="F1434" s="110" t="s">
        <v>8</v>
      </c>
      <c r="G1434" s="110" t="s">
        <v>155</v>
      </c>
    </row>
    <row r="1435" spans="1:7" x14ac:dyDescent="0.3">
      <c r="A1435" s="98">
        <v>45898</v>
      </c>
      <c r="B1435" s="275" t="s">
        <v>212</v>
      </c>
      <c r="C1435" s="107" t="s">
        <v>17</v>
      </c>
      <c r="D1435" s="107" t="s">
        <v>986</v>
      </c>
      <c r="E1435" s="4">
        <v>-6000</v>
      </c>
      <c r="F1435" s="110" t="s">
        <v>8</v>
      </c>
      <c r="G1435" s="110" t="s">
        <v>155</v>
      </c>
    </row>
    <row r="1436" spans="1:7" x14ac:dyDescent="0.3">
      <c r="A1436" s="98">
        <v>45898</v>
      </c>
      <c r="B1436" s="275" t="s">
        <v>212</v>
      </c>
      <c r="C1436" s="272" t="s">
        <v>17</v>
      </c>
      <c r="D1436" s="99" t="s">
        <v>901</v>
      </c>
      <c r="E1436" s="273">
        <v>-6555.73</v>
      </c>
      <c r="F1436" s="110" t="s">
        <v>8</v>
      </c>
      <c r="G1436" s="736" t="s">
        <v>127</v>
      </c>
    </row>
    <row r="1437" spans="1:7" ht="27.6" x14ac:dyDescent="0.3">
      <c r="A1437" s="98">
        <v>45898</v>
      </c>
      <c r="B1437" s="275" t="s">
        <v>212</v>
      </c>
      <c r="C1437" s="124" t="s">
        <v>17</v>
      </c>
      <c r="D1437" s="99" t="s">
        <v>1427</v>
      </c>
      <c r="E1437" s="100">
        <v>-4331.1099999999997</v>
      </c>
      <c r="F1437" s="110" t="s">
        <v>8</v>
      </c>
      <c r="G1437" s="311" t="s">
        <v>127</v>
      </c>
    </row>
    <row r="1438" spans="1:7" x14ac:dyDescent="0.3">
      <c r="A1438" s="98">
        <v>45898</v>
      </c>
      <c r="B1438" s="275" t="s">
        <v>212</v>
      </c>
      <c r="C1438" s="99" t="s">
        <v>31</v>
      </c>
      <c r="D1438" s="99" t="s">
        <v>1435</v>
      </c>
      <c r="E1438" s="807">
        <v>534.32000000000005</v>
      </c>
      <c r="F1438" s="110" t="s">
        <v>8</v>
      </c>
      <c r="G1438" s="311" t="s">
        <v>127</v>
      </c>
    </row>
    <row r="1439" spans="1:7" x14ac:dyDescent="0.3">
      <c r="A1439" s="98">
        <v>45898</v>
      </c>
      <c r="B1439" s="275" t="s">
        <v>212</v>
      </c>
      <c r="C1439" s="99" t="s">
        <v>25</v>
      </c>
      <c r="D1439" s="99" t="s">
        <v>894</v>
      </c>
      <c r="E1439" s="807">
        <v>517.63</v>
      </c>
      <c r="F1439" s="110" t="s">
        <v>8</v>
      </c>
      <c r="G1439" s="311" t="s">
        <v>127</v>
      </c>
    </row>
    <row r="1440" spans="1:7" x14ac:dyDescent="0.3">
      <c r="A1440" s="98">
        <v>45898</v>
      </c>
      <c r="B1440" s="275" t="s">
        <v>212</v>
      </c>
      <c r="C1440" s="124" t="s">
        <v>401</v>
      </c>
      <c r="D1440" s="99" t="s">
        <v>895</v>
      </c>
      <c r="E1440" s="807">
        <v>527.76</v>
      </c>
      <c r="F1440" s="110" t="s">
        <v>8</v>
      </c>
      <c r="G1440" s="311" t="s">
        <v>127</v>
      </c>
    </row>
    <row r="1441" spans="1:7" x14ac:dyDescent="0.3">
      <c r="A1441" s="98">
        <v>45898</v>
      </c>
      <c r="B1441" s="275" t="s">
        <v>212</v>
      </c>
      <c r="C1441" s="124" t="s">
        <v>33</v>
      </c>
      <c r="D1441" s="99" t="s">
        <v>409</v>
      </c>
      <c r="E1441" s="807">
        <v>532.07000000000005</v>
      </c>
      <c r="F1441" s="110" t="s">
        <v>8</v>
      </c>
      <c r="G1441" s="311" t="s">
        <v>127</v>
      </c>
    </row>
    <row r="1442" spans="1:7" x14ac:dyDescent="0.3">
      <c r="A1442" s="98">
        <v>45898</v>
      </c>
      <c r="B1442" s="275" t="s">
        <v>212</v>
      </c>
      <c r="C1442" s="272" t="s">
        <v>44</v>
      </c>
      <c r="D1442" s="99" t="s">
        <v>1436</v>
      </c>
      <c r="E1442" s="807">
        <v>554.52</v>
      </c>
      <c r="F1442" s="110" t="s">
        <v>8</v>
      </c>
      <c r="G1442" s="311" t="s">
        <v>127</v>
      </c>
    </row>
    <row r="1443" spans="1:7" x14ac:dyDescent="0.3">
      <c r="A1443" s="98">
        <v>45898</v>
      </c>
      <c r="B1443" s="275" t="s">
        <v>212</v>
      </c>
      <c r="C1443" s="272" t="s">
        <v>44</v>
      </c>
      <c r="D1443" s="272" t="s">
        <v>161</v>
      </c>
      <c r="E1443" s="273">
        <v>-1719.53</v>
      </c>
      <c r="F1443" s="110" t="s">
        <v>8</v>
      </c>
      <c r="G1443" s="110" t="s">
        <v>93</v>
      </c>
    </row>
    <row r="1444" spans="1:7" x14ac:dyDescent="0.3">
      <c r="A1444" s="98">
        <v>45898</v>
      </c>
      <c r="B1444" s="275" t="s">
        <v>212</v>
      </c>
      <c r="C1444" s="272" t="s">
        <v>6</v>
      </c>
      <c r="D1444" s="272" t="s">
        <v>161</v>
      </c>
      <c r="E1444" s="273">
        <v>-1392.65</v>
      </c>
      <c r="F1444" s="110" t="s">
        <v>8</v>
      </c>
      <c r="G1444" s="110" t="s">
        <v>93</v>
      </c>
    </row>
    <row r="1445" spans="1:7" x14ac:dyDescent="0.3">
      <c r="A1445" s="98">
        <v>45898</v>
      </c>
      <c r="B1445" s="275" t="s">
        <v>212</v>
      </c>
      <c r="C1445" s="109" t="s">
        <v>44</v>
      </c>
      <c r="D1445" s="99" t="s">
        <v>1214</v>
      </c>
      <c r="E1445" s="100">
        <v>-1722.8</v>
      </c>
      <c r="F1445" s="137" t="s">
        <v>8</v>
      </c>
      <c r="G1445" s="554" t="s">
        <v>142</v>
      </c>
    </row>
    <row r="1446" spans="1:7" x14ac:dyDescent="0.3">
      <c r="A1446" s="275">
        <v>45898</v>
      </c>
      <c r="B1446" s="275" t="s">
        <v>212</v>
      </c>
      <c r="C1446" s="99" t="s">
        <v>44</v>
      </c>
      <c r="D1446" s="99" t="s">
        <v>1432</v>
      </c>
      <c r="E1446" s="100">
        <v>-536</v>
      </c>
      <c r="F1446" s="110" t="s">
        <v>8</v>
      </c>
      <c r="G1446" s="105" t="s">
        <v>142</v>
      </c>
    </row>
    <row r="1447" spans="1:7" x14ac:dyDescent="0.3">
      <c r="A1447" s="567">
        <v>45898</v>
      </c>
      <c r="B1447" s="567" t="s">
        <v>212</v>
      </c>
      <c r="C1447" s="107" t="s">
        <v>25</v>
      </c>
      <c r="D1447" s="107" t="s">
        <v>1411</v>
      </c>
      <c r="E1447" s="4">
        <v>-41.52</v>
      </c>
      <c r="F1447" s="153" t="s">
        <v>8</v>
      </c>
      <c r="G1447" s="487" t="s">
        <v>19</v>
      </c>
    </row>
    <row r="1448" spans="1:7" x14ac:dyDescent="0.3">
      <c r="A1448" s="567">
        <v>45898</v>
      </c>
      <c r="B1448" s="567" t="s">
        <v>212</v>
      </c>
      <c r="C1448" s="484" t="s">
        <v>17</v>
      </c>
      <c r="D1448" s="484" t="s">
        <v>18</v>
      </c>
      <c r="E1448" s="486">
        <v>-17235</v>
      </c>
      <c r="F1448" s="153" t="s">
        <v>8</v>
      </c>
      <c r="G1448" s="487" t="s">
        <v>19</v>
      </c>
    </row>
    <row r="1449" spans="1:7" x14ac:dyDescent="0.3">
      <c r="A1449" s="275">
        <v>45898</v>
      </c>
      <c r="B1449" s="275" t="s">
        <v>212</v>
      </c>
      <c r="C1449" s="719" t="s">
        <v>17</v>
      </c>
      <c r="D1449" s="719" t="s">
        <v>1289</v>
      </c>
      <c r="E1449" s="571">
        <v>-430.22</v>
      </c>
      <c r="F1449" s="137" t="s">
        <v>8</v>
      </c>
      <c r="G1449" s="105" t="s">
        <v>934</v>
      </c>
    </row>
    <row r="1450" spans="1:7" x14ac:dyDescent="0.3">
      <c r="A1450" s="98">
        <v>45898</v>
      </c>
      <c r="B1450" s="275" t="s">
        <v>212</v>
      </c>
      <c r="C1450" s="99" t="s">
        <v>6</v>
      </c>
      <c r="D1450" s="99" t="s">
        <v>502</v>
      </c>
      <c r="E1450" s="100">
        <v>-342.67</v>
      </c>
      <c r="F1450" s="137" t="s">
        <v>8</v>
      </c>
      <c r="G1450" s="105" t="s">
        <v>76</v>
      </c>
    </row>
    <row r="1451" spans="1:7" x14ac:dyDescent="0.3">
      <c r="A1451" s="98">
        <v>45898</v>
      </c>
      <c r="B1451" s="275" t="s">
        <v>212</v>
      </c>
      <c r="C1451" s="99" t="s">
        <v>25</v>
      </c>
      <c r="D1451" s="99" t="s">
        <v>1380</v>
      </c>
      <c r="E1451" s="100">
        <v>-601.13</v>
      </c>
      <c r="F1451" s="137" t="s">
        <v>8</v>
      </c>
      <c r="G1451" s="105" t="s">
        <v>76</v>
      </c>
    </row>
    <row r="1452" spans="1:7" x14ac:dyDescent="0.3">
      <c r="A1452" s="98">
        <v>45898</v>
      </c>
      <c r="B1452" s="275" t="s">
        <v>212</v>
      </c>
      <c r="C1452" s="99" t="s">
        <v>106</v>
      </c>
      <c r="D1452" s="99" t="s">
        <v>1381</v>
      </c>
      <c r="E1452" s="100">
        <v>-414.95</v>
      </c>
      <c r="F1452" s="137" t="s">
        <v>8</v>
      </c>
      <c r="G1452" s="105" t="s">
        <v>76</v>
      </c>
    </row>
    <row r="1453" spans="1:7" x14ac:dyDescent="0.3">
      <c r="A1453" s="98">
        <v>45898</v>
      </c>
      <c r="B1453" s="275" t="s">
        <v>212</v>
      </c>
      <c r="C1453" s="99" t="s">
        <v>17</v>
      </c>
      <c r="D1453" s="99" t="s">
        <v>1382</v>
      </c>
      <c r="E1453" s="100">
        <v>-43.33</v>
      </c>
      <c r="F1453" s="137" t="s">
        <v>8</v>
      </c>
      <c r="G1453" s="105" t="s">
        <v>76</v>
      </c>
    </row>
    <row r="1454" spans="1:7" x14ac:dyDescent="0.3">
      <c r="A1454" s="98">
        <v>45898</v>
      </c>
      <c r="B1454" s="275" t="s">
        <v>212</v>
      </c>
      <c r="C1454" s="99" t="s">
        <v>31</v>
      </c>
      <c r="D1454" s="99" t="s">
        <v>1383</v>
      </c>
      <c r="E1454" s="100">
        <v>-185.63</v>
      </c>
      <c r="F1454" s="137" t="s">
        <v>8</v>
      </c>
      <c r="G1454" s="105" t="s">
        <v>127</v>
      </c>
    </row>
    <row r="1455" spans="1:7" x14ac:dyDescent="0.3">
      <c r="A1455" s="98">
        <v>45898</v>
      </c>
      <c r="B1455" s="275" t="s">
        <v>212</v>
      </c>
      <c r="C1455" s="99" t="s">
        <v>31</v>
      </c>
      <c r="D1455" s="99" t="s">
        <v>1414</v>
      </c>
      <c r="E1455" s="100">
        <v>-184.71</v>
      </c>
      <c r="F1455" s="137" t="s">
        <v>8</v>
      </c>
      <c r="G1455" s="105" t="s">
        <v>127</v>
      </c>
    </row>
    <row r="1456" spans="1:7" x14ac:dyDescent="0.3">
      <c r="A1456" s="98">
        <v>45898</v>
      </c>
      <c r="B1456" s="275" t="s">
        <v>212</v>
      </c>
      <c r="C1456" s="99" t="s">
        <v>31</v>
      </c>
      <c r="D1456" s="99" t="s">
        <v>1384</v>
      </c>
      <c r="E1456" s="100">
        <v>-193.05</v>
      </c>
      <c r="F1456" s="137" t="s">
        <v>8</v>
      </c>
      <c r="G1456" s="105" t="s">
        <v>127</v>
      </c>
    </row>
    <row r="1457" spans="1:7" x14ac:dyDescent="0.3">
      <c r="A1457" s="98">
        <v>45898</v>
      </c>
      <c r="B1457" s="275" t="s">
        <v>212</v>
      </c>
      <c r="C1457" s="99" t="s">
        <v>31</v>
      </c>
      <c r="D1457" s="99" t="s">
        <v>1386</v>
      </c>
      <c r="E1457" s="100">
        <v>-192.11</v>
      </c>
      <c r="F1457" s="137" t="s">
        <v>8</v>
      </c>
      <c r="G1457" s="105" t="s">
        <v>127</v>
      </c>
    </row>
    <row r="1458" spans="1:7" x14ac:dyDescent="0.3">
      <c r="A1458" s="98">
        <v>45898</v>
      </c>
      <c r="B1458" s="275" t="s">
        <v>212</v>
      </c>
      <c r="C1458" s="99" t="s">
        <v>31</v>
      </c>
      <c r="D1458" s="99" t="s">
        <v>1385</v>
      </c>
      <c r="E1458" s="100">
        <v>-188.76</v>
      </c>
      <c r="F1458" s="137" t="s">
        <v>8</v>
      </c>
      <c r="G1458" s="105" t="s">
        <v>127</v>
      </c>
    </row>
    <row r="1459" spans="1:7" x14ac:dyDescent="0.3">
      <c r="A1459" s="98">
        <v>45898</v>
      </c>
      <c r="B1459" s="275" t="s">
        <v>212</v>
      </c>
      <c r="C1459" s="99" t="s">
        <v>31</v>
      </c>
      <c r="D1459" s="99" t="s">
        <v>1387</v>
      </c>
      <c r="E1459" s="100">
        <v>-183.82</v>
      </c>
      <c r="F1459" s="137" t="s">
        <v>8</v>
      </c>
      <c r="G1459" s="105" t="s">
        <v>127</v>
      </c>
    </row>
    <row r="1460" spans="1:7" x14ac:dyDescent="0.3">
      <c r="A1460" s="98">
        <v>45898</v>
      </c>
      <c r="B1460" s="275" t="s">
        <v>212</v>
      </c>
      <c r="C1460" s="99" t="s">
        <v>31</v>
      </c>
      <c r="D1460" s="99" t="s">
        <v>1388</v>
      </c>
      <c r="E1460" s="100">
        <v>-194.29</v>
      </c>
      <c r="F1460" s="137" t="s">
        <v>8</v>
      </c>
      <c r="G1460" s="105" t="s">
        <v>127</v>
      </c>
    </row>
    <row r="1461" spans="1:7" x14ac:dyDescent="0.3">
      <c r="A1461" s="98">
        <v>45898</v>
      </c>
      <c r="B1461" s="275" t="s">
        <v>212</v>
      </c>
      <c r="C1461" s="99" t="s">
        <v>31</v>
      </c>
      <c r="D1461" s="99" t="s">
        <v>1413</v>
      </c>
      <c r="E1461" s="100">
        <v>-187.58</v>
      </c>
      <c r="F1461" s="137" t="s">
        <v>8</v>
      </c>
      <c r="G1461" s="105" t="s">
        <v>127</v>
      </c>
    </row>
    <row r="1462" spans="1:7" x14ac:dyDescent="0.3">
      <c r="A1462" s="98">
        <v>45898</v>
      </c>
      <c r="B1462" s="275" t="s">
        <v>212</v>
      </c>
      <c r="C1462" s="99" t="s">
        <v>31</v>
      </c>
      <c r="D1462" s="99" t="s">
        <v>1389</v>
      </c>
      <c r="E1462" s="100">
        <v>-195.25</v>
      </c>
      <c r="F1462" s="137" t="s">
        <v>8</v>
      </c>
      <c r="G1462" s="105" t="s">
        <v>127</v>
      </c>
    </row>
    <row r="1463" spans="1:7" x14ac:dyDescent="0.3">
      <c r="A1463" s="98">
        <v>45898</v>
      </c>
      <c r="B1463" s="275" t="s">
        <v>212</v>
      </c>
      <c r="C1463" s="99" t="s">
        <v>31</v>
      </c>
      <c r="D1463" s="99" t="s">
        <v>1390</v>
      </c>
      <c r="E1463" s="100">
        <v>-186.59</v>
      </c>
      <c r="F1463" s="137" t="s">
        <v>8</v>
      </c>
      <c r="G1463" s="105" t="s">
        <v>127</v>
      </c>
    </row>
    <row r="1464" spans="1:7" x14ac:dyDescent="0.3">
      <c r="A1464" s="98">
        <v>45898</v>
      </c>
      <c r="B1464" s="275" t="s">
        <v>212</v>
      </c>
      <c r="C1464" s="99" t="s">
        <v>31</v>
      </c>
      <c r="D1464" s="99" t="s">
        <v>1391</v>
      </c>
      <c r="E1464" s="100">
        <v>-258.83999999999997</v>
      </c>
      <c r="F1464" s="137" t="s">
        <v>8</v>
      </c>
      <c r="G1464" s="105" t="s">
        <v>127</v>
      </c>
    </row>
    <row r="1465" spans="1:7" x14ac:dyDescent="0.3">
      <c r="A1465" s="275">
        <v>45898</v>
      </c>
      <c r="B1465" s="275" t="s">
        <v>212</v>
      </c>
      <c r="C1465" s="99" t="s">
        <v>6</v>
      </c>
      <c r="D1465" s="99" t="s">
        <v>630</v>
      </c>
      <c r="E1465" s="100">
        <v>-2200</v>
      </c>
      <c r="F1465" s="105" t="s">
        <v>8</v>
      </c>
      <c r="G1465" s="105" t="s">
        <v>189</v>
      </c>
    </row>
    <row r="1466" spans="1:7" x14ac:dyDescent="0.3">
      <c r="A1466" s="275">
        <v>45898</v>
      </c>
      <c r="B1466" s="275" t="s">
        <v>212</v>
      </c>
      <c r="C1466" s="99" t="s">
        <v>6</v>
      </c>
      <c r="D1466" s="99" t="s">
        <v>625</v>
      </c>
      <c r="E1466" s="100">
        <v>-1000</v>
      </c>
      <c r="F1466" s="105" t="s">
        <v>8</v>
      </c>
      <c r="G1466" s="105" t="s">
        <v>189</v>
      </c>
    </row>
    <row r="1467" spans="1:7" x14ac:dyDescent="0.3">
      <c r="A1467" s="275">
        <v>45898</v>
      </c>
      <c r="B1467" s="275" t="s">
        <v>212</v>
      </c>
      <c r="C1467" s="99" t="s">
        <v>6</v>
      </c>
      <c r="D1467" s="99" t="s">
        <v>626</v>
      </c>
      <c r="E1467" s="100">
        <v>-3836.54</v>
      </c>
      <c r="F1467" s="105" t="s">
        <v>8</v>
      </c>
      <c r="G1467" s="105" t="s">
        <v>189</v>
      </c>
    </row>
    <row r="1468" spans="1:7" x14ac:dyDescent="0.3">
      <c r="A1468" s="275">
        <v>45898</v>
      </c>
      <c r="B1468" s="275" t="s">
        <v>212</v>
      </c>
      <c r="C1468" s="99" t="s">
        <v>6</v>
      </c>
      <c r="D1468" s="99" t="s">
        <v>627</v>
      </c>
      <c r="E1468" s="100">
        <v>-3200</v>
      </c>
      <c r="F1468" s="105" t="s">
        <v>8</v>
      </c>
      <c r="G1468" s="105" t="s">
        <v>189</v>
      </c>
    </row>
    <row r="1469" spans="1:7" x14ac:dyDescent="0.3">
      <c r="A1469" s="275">
        <v>45898</v>
      </c>
      <c r="B1469" s="275" t="s">
        <v>212</v>
      </c>
      <c r="C1469" s="99" t="s">
        <v>33</v>
      </c>
      <c r="D1469" s="99" t="s">
        <v>628</v>
      </c>
      <c r="E1469" s="100">
        <v>-1000</v>
      </c>
      <c r="F1469" s="105" t="s">
        <v>8</v>
      </c>
      <c r="G1469" s="105" t="s">
        <v>189</v>
      </c>
    </row>
    <row r="1470" spans="1:7" x14ac:dyDescent="0.3">
      <c r="A1470" s="275">
        <v>45898</v>
      </c>
      <c r="B1470" s="275" t="s">
        <v>212</v>
      </c>
      <c r="C1470" s="99" t="s">
        <v>17</v>
      </c>
      <c r="D1470" s="99" t="s">
        <v>629</v>
      </c>
      <c r="E1470" s="571">
        <v>-2885.09</v>
      </c>
      <c r="F1470" s="105" t="s">
        <v>8</v>
      </c>
      <c r="G1470" s="105" t="s">
        <v>189</v>
      </c>
    </row>
    <row r="1471" spans="1:7" x14ac:dyDescent="0.3">
      <c r="A1471" s="98">
        <v>45898</v>
      </c>
      <c r="B1471" s="275" t="s">
        <v>212</v>
      </c>
      <c r="C1471" s="109" t="s">
        <v>6</v>
      </c>
      <c r="D1471" s="99" t="s">
        <v>615</v>
      </c>
      <c r="E1471" s="100">
        <v>-2000</v>
      </c>
      <c r="F1471" s="105" t="s">
        <v>8</v>
      </c>
      <c r="G1471" s="105" t="s">
        <v>189</v>
      </c>
    </row>
    <row r="1472" spans="1:7" x14ac:dyDescent="0.3">
      <c r="A1472" s="98">
        <v>45898</v>
      </c>
      <c r="B1472" s="275" t="s">
        <v>212</v>
      </c>
      <c r="C1472" s="162" t="s">
        <v>6</v>
      </c>
      <c r="D1472" s="99" t="s">
        <v>616</v>
      </c>
      <c r="E1472" s="100">
        <v>-501.54</v>
      </c>
      <c r="F1472" s="105" t="s">
        <v>8</v>
      </c>
      <c r="G1472" s="105" t="s">
        <v>189</v>
      </c>
    </row>
    <row r="1473" spans="1:7" x14ac:dyDescent="0.3">
      <c r="A1473" s="98">
        <v>45898</v>
      </c>
      <c r="B1473" s="275" t="s">
        <v>212</v>
      </c>
      <c r="C1473" s="162" t="s">
        <v>44</v>
      </c>
      <c r="D1473" s="99" t="s">
        <v>617</v>
      </c>
      <c r="E1473" s="100">
        <v>-2500</v>
      </c>
      <c r="F1473" s="105" t="s">
        <v>8</v>
      </c>
      <c r="G1473" s="105" t="s">
        <v>189</v>
      </c>
    </row>
    <row r="1474" spans="1:7" x14ac:dyDescent="0.3">
      <c r="A1474" s="98">
        <v>45898</v>
      </c>
      <c r="B1474" s="275" t="s">
        <v>212</v>
      </c>
      <c r="C1474" s="162" t="s">
        <v>17</v>
      </c>
      <c r="D1474" s="99" t="s">
        <v>618</v>
      </c>
      <c r="E1474" s="100">
        <v>-1916.67</v>
      </c>
      <c r="F1474" s="105" t="s">
        <v>8</v>
      </c>
      <c r="G1474" s="105" t="s">
        <v>189</v>
      </c>
    </row>
    <row r="1475" spans="1:7" x14ac:dyDescent="0.3">
      <c r="A1475" s="98">
        <v>45898</v>
      </c>
      <c r="B1475" s="275" t="s">
        <v>212</v>
      </c>
      <c r="C1475" s="146" t="s">
        <v>6</v>
      </c>
      <c r="D1475" s="99" t="s">
        <v>843</v>
      </c>
      <c r="E1475" s="100">
        <v>-2500</v>
      </c>
      <c r="F1475" s="105" t="s">
        <v>8</v>
      </c>
      <c r="G1475" s="105" t="s">
        <v>189</v>
      </c>
    </row>
    <row r="1476" spans="1:7" x14ac:dyDescent="0.3">
      <c r="A1476" s="98">
        <v>45898</v>
      </c>
      <c r="B1476" s="275" t="s">
        <v>212</v>
      </c>
      <c r="C1476" s="146" t="s">
        <v>31</v>
      </c>
      <c r="D1476" s="99" t="s">
        <v>1197</v>
      </c>
      <c r="E1476" s="100">
        <v>-1500</v>
      </c>
      <c r="F1476" s="105" t="s">
        <v>8</v>
      </c>
      <c r="G1476" s="105" t="s">
        <v>189</v>
      </c>
    </row>
    <row r="1477" spans="1:7" x14ac:dyDescent="0.3">
      <c r="A1477" s="98">
        <v>45898</v>
      </c>
      <c r="B1477" s="275" t="s">
        <v>212</v>
      </c>
      <c r="C1477" s="146" t="s">
        <v>31</v>
      </c>
      <c r="D1477" s="99" t="s">
        <v>1198</v>
      </c>
      <c r="E1477" s="100">
        <v>-1000</v>
      </c>
      <c r="F1477" s="105" t="s">
        <v>8</v>
      </c>
      <c r="G1477" s="105" t="s">
        <v>189</v>
      </c>
    </row>
    <row r="1478" spans="1:7" x14ac:dyDescent="0.3">
      <c r="A1478" s="98">
        <v>45898</v>
      </c>
      <c r="B1478" s="275" t="s">
        <v>212</v>
      </c>
      <c r="C1478" s="146" t="s">
        <v>6</v>
      </c>
      <c r="D1478" s="99" t="s">
        <v>1199</v>
      </c>
      <c r="E1478" s="100">
        <v>-2500</v>
      </c>
      <c r="F1478" s="105" t="s">
        <v>8</v>
      </c>
      <c r="G1478" s="105" t="s">
        <v>189</v>
      </c>
    </row>
    <row r="1479" spans="1:7" x14ac:dyDescent="0.3">
      <c r="A1479" s="98">
        <v>45898</v>
      </c>
      <c r="B1479" s="275" t="s">
        <v>212</v>
      </c>
      <c r="C1479" s="808" t="s">
        <v>6</v>
      </c>
      <c r="D1479" s="142" t="s">
        <v>1201</v>
      </c>
      <c r="E1479" s="143">
        <v>-1000</v>
      </c>
      <c r="F1479" s="148" t="s">
        <v>8</v>
      </c>
      <c r="G1479" s="105" t="s">
        <v>189</v>
      </c>
    </row>
    <row r="1480" spans="1:7" x14ac:dyDescent="0.3">
      <c r="A1480" s="98">
        <v>45898</v>
      </c>
      <c r="B1480" s="275" t="s">
        <v>212</v>
      </c>
      <c r="C1480" s="99" t="s">
        <v>44</v>
      </c>
      <c r="D1480" s="99" t="s">
        <v>1200</v>
      </c>
      <c r="E1480" s="100">
        <v>-3800</v>
      </c>
      <c r="F1480" s="105" t="s">
        <v>8</v>
      </c>
      <c r="G1480" s="105" t="s">
        <v>189</v>
      </c>
    </row>
    <row r="1481" spans="1:7" x14ac:dyDescent="0.3">
      <c r="A1481" s="98">
        <v>45898</v>
      </c>
      <c r="B1481" s="275" t="s">
        <v>212</v>
      </c>
      <c r="C1481" s="99" t="s">
        <v>17</v>
      </c>
      <c r="D1481" s="99" t="s">
        <v>1202</v>
      </c>
      <c r="E1481" s="100">
        <v>-2500</v>
      </c>
      <c r="F1481" s="105" t="s">
        <v>8</v>
      </c>
      <c r="G1481" s="105" t="s">
        <v>189</v>
      </c>
    </row>
    <row r="1482" spans="1:7" x14ac:dyDescent="0.3">
      <c r="A1482" s="106">
        <v>45898</v>
      </c>
      <c r="B1482" s="631" t="s">
        <v>212</v>
      </c>
      <c r="C1482" s="553" t="s">
        <v>17</v>
      </c>
      <c r="D1482" s="107" t="s">
        <v>619</v>
      </c>
      <c r="E1482" s="4">
        <v>-1400</v>
      </c>
      <c r="F1482" s="108" t="s">
        <v>8</v>
      </c>
      <c r="G1482" s="105" t="s">
        <v>189</v>
      </c>
    </row>
    <row r="1483" spans="1:7" x14ac:dyDescent="0.3">
      <c r="A1483" s="106">
        <v>45898</v>
      </c>
      <c r="B1483" s="631" t="s">
        <v>212</v>
      </c>
      <c r="C1483" s="553" t="s">
        <v>17</v>
      </c>
      <c r="D1483" s="99" t="s">
        <v>1398</v>
      </c>
      <c r="E1483" s="100">
        <v>-31.81</v>
      </c>
      <c r="F1483" s="108" t="s">
        <v>8</v>
      </c>
      <c r="G1483" s="105" t="s">
        <v>153</v>
      </c>
    </row>
    <row r="1484" spans="1:7" x14ac:dyDescent="0.3">
      <c r="A1484" s="106">
        <v>45898</v>
      </c>
      <c r="B1484" s="631" t="s">
        <v>212</v>
      </c>
      <c r="C1484" s="553" t="s">
        <v>17</v>
      </c>
      <c r="D1484" s="99" t="s">
        <v>1438</v>
      </c>
      <c r="E1484" s="100">
        <v>-69.8</v>
      </c>
      <c r="F1484" s="108" t="s">
        <v>8</v>
      </c>
      <c r="G1484" s="105" t="s">
        <v>153</v>
      </c>
    </row>
    <row r="1485" spans="1:7" x14ac:dyDescent="0.3">
      <c r="A1485" s="106">
        <v>45898</v>
      </c>
      <c r="B1485" s="631" t="s">
        <v>212</v>
      </c>
      <c r="C1485" s="553" t="s">
        <v>17</v>
      </c>
      <c r="D1485" s="99" t="s">
        <v>1439</v>
      </c>
      <c r="E1485" s="100">
        <v>-204.16</v>
      </c>
      <c r="F1485" s="108" t="s">
        <v>8</v>
      </c>
      <c r="G1485" s="105" t="s">
        <v>153</v>
      </c>
    </row>
    <row r="1486" spans="1:7" x14ac:dyDescent="0.3">
      <c r="A1486" s="106">
        <v>45898</v>
      </c>
      <c r="B1486" s="631" t="s">
        <v>212</v>
      </c>
      <c r="C1486" s="553" t="s">
        <v>17</v>
      </c>
      <c r="D1486" s="99" t="s">
        <v>1440</v>
      </c>
      <c r="E1486" s="100">
        <v>-62.28</v>
      </c>
      <c r="F1486" s="108" t="s">
        <v>8</v>
      </c>
      <c r="G1486" s="105" t="s">
        <v>153</v>
      </c>
    </row>
    <row r="1487" spans="1:7" x14ac:dyDescent="0.3">
      <c r="A1487" s="106">
        <v>45898</v>
      </c>
      <c r="B1487" s="631" t="s">
        <v>212</v>
      </c>
      <c r="C1487" s="107" t="s">
        <v>31</v>
      </c>
      <c r="D1487" s="107" t="s">
        <v>1412</v>
      </c>
      <c r="E1487" s="4">
        <v>-149.94999999999999</v>
      </c>
      <c r="F1487" s="108" t="s">
        <v>8</v>
      </c>
      <c r="G1487" s="105" t="s">
        <v>189</v>
      </c>
    </row>
    <row r="1488" spans="1:7" x14ac:dyDescent="0.3">
      <c r="A1488" s="697"/>
      <c r="B1488" s="698"/>
      <c r="C1488" s="295"/>
      <c r="D1488" s="817"/>
      <c r="E1488" s="803">
        <f>SUM(E1402:E1487)</f>
        <v>-203695.05948599995</v>
      </c>
      <c r="F1488" s="700"/>
      <c r="G1488" s="700"/>
    </row>
    <row r="1492" spans="5:5" x14ac:dyDescent="0.3">
      <c r="E1492" s="9">
        <v>604.44000000000005</v>
      </c>
    </row>
    <row r="1493" spans="5:5" x14ac:dyDescent="0.3">
      <c r="E1493" s="9">
        <v>200</v>
      </c>
    </row>
    <row r="1494" spans="5:5" x14ac:dyDescent="0.3">
      <c r="E1494" s="9">
        <v>50</v>
      </c>
    </row>
    <row r="1495" spans="5:5" x14ac:dyDescent="0.3">
      <c r="E1495" s="9">
        <v>88</v>
      </c>
    </row>
    <row r="1496" spans="5:5" x14ac:dyDescent="0.3">
      <c r="E1496" s="9">
        <v>62.28</v>
      </c>
    </row>
    <row r="1497" spans="5:5" x14ac:dyDescent="0.3">
      <c r="E1497" s="9">
        <v>20.76</v>
      </c>
    </row>
    <row r="1498" spans="5:5" x14ac:dyDescent="0.3">
      <c r="E1498" s="9">
        <v>3</v>
      </c>
    </row>
    <row r="1499" spans="5:5" x14ac:dyDescent="0.3">
      <c r="E1499" s="9">
        <f>E1497*E1498</f>
        <v>62.28</v>
      </c>
    </row>
    <row r="1505" spans="1:7" x14ac:dyDescent="0.3">
      <c r="A1505" s="918" t="s">
        <v>1485</v>
      </c>
      <c r="B1505" s="918"/>
      <c r="C1505" s="918"/>
      <c r="D1505" s="918"/>
      <c r="E1505" s="918"/>
      <c r="F1505" s="918"/>
      <c r="G1505" s="918"/>
    </row>
    <row r="1506" spans="1:7" ht="43.8" customHeight="1" x14ac:dyDescent="0.3">
      <c r="A1506" s="918"/>
      <c r="B1506" s="918"/>
      <c r="C1506" s="918"/>
      <c r="D1506" s="918"/>
      <c r="E1506" s="918"/>
      <c r="F1506" s="918"/>
      <c r="G1506" s="918"/>
    </row>
    <row r="1507" spans="1:7" x14ac:dyDescent="0.3">
      <c r="A1507" s="275" t="s">
        <v>0</v>
      </c>
      <c r="B1507" s="275" t="s">
        <v>1209</v>
      </c>
      <c r="C1507" s="200" t="s">
        <v>1</v>
      </c>
      <c r="D1507" s="124" t="s">
        <v>2</v>
      </c>
      <c r="E1507" s="129" t="s">
        <v>3</v>
      </c>
      <c r="F1507" s="137" t="s">
        <v>4</v>
      </c>
      <c r="G1507" s="311" t="s">
        <v>5</v>
      </c>
    </row>
    <row r="1508" spans="1:7" x14ac:dyDescent="0.3">
      <c r="A1508" s="275">
        <v>45901</v>
      </c>
      <c r="B1508" s="275" t="s">
        <v>213</v>
      </c>
      <c r="C1508" s="99" t="s">
        <v>17</v>
      </c>
      <c r="D1508" s="99" t="s">
        <v>1471</v>
      </c>
      <c r="E1508" s="100">
        <v>-1752.88</v>
      </c>
      <c r="F1508" s="110" t="s">
        <v>8</v>
      </c>
      <c r="G1508" s="105" t="s">
        <v>19</v>
      </c>
    </row>
    <row r="1509" spans="1:7" x14ac:dyDescent="0.3">
      <c r="A1509" s="98">
        <v>45901</v>
      </c>
      <c r="B1509" s="275" t="s">
        <v>213</v>
      </c>
      <c r="C1509" s="488" t="s">
        <v>65</v>
      </c>
      <c r="D1509" s="272" t="s">
        <v>97</v>
      </c>
      <c r="E1509" s="273">
        <v>-5000</v>
      </c>
      <c r="F1509" s="137" t="s">
        <v>8</v>
      </c>
      <c r="G1509" s="137" t="s">
        <v>39</v>
      </c>
    </row>
    <row r="1510" spans="1:7" x14ac:dyDescent="0.3">
      <c r="A1510" s="98">
        <v>45901</v>
      </c>
      <c r="B1510" s="275" t="s">
        <v>213</v>
      </c>
      <c r="C1510" s="272" t="s">
        <v>17</v>
      </c>
      <c r="D1510" s="99" t="s">
        <v>151</v>
      </c>
      <c r="E1510" s="273">
        <v>-100</v>
      </c>
      <c r="F1510" s="110" t="s">
        <v>8</v>
      </c>
      <c r="G1510" s="137" t="s">
        <v>150</v>
      </c>
    </row>
    <row r="1511" spans="1:7" x14ac:dyDescent="0.3">
      <c r="A1511" s="98">
        <v>45901</v>
      </c>
      <c r="B1511" s="275" t="s">
        <v>213</v>
      </c>
      <c r="C1511" s="272" t="s">
        <v>13</v>
      </c>
      <c r="D1511" s="99" t="s">
        <v>1476</v>
      </c>
      <c r="E1511" s="273">
        <v>-16.399999999999999</v>
      </c>
      <c r="F1511" s="110" t="s">
        <v>8</v>
      </c>
      <c r="G1511" s="137" t="s">
        <v>153</v>
      </c>
    </row>
    <row r="1512" spans="1:7" x14ac:dyDescent="0.3">
      <c r="A1512" s="98">
        <v>45901</v>
      </c>
      <c r="B1512" s="275" t="s">
        <v>213</v>
      </c>
      <c r="C1512" s="272" t="s">
        <v>13</v>
      </c>
      <c r="D1512" s="99" t="s">
        <v>1475</v>
      </c>
      <c r="E1512" s="273">
        <v>-130</v>
      </c>
      <c r="F1512" s="110" t="s">
        <v>8</v>
      </c>
      <c r="G1512" s="137" t="s">
        <v>153</v>
      </c>
    </row>
    <row r="1513" spans="1:7" x14ac:dyDescent="0.3">
      <c r="A1513" s="465">
        <v>45901</v>
      </c>
      <c r="B1513" s="567" t="s">
        <v>213</v>
      </c>
      <c r="C1513" s="467" t="s">
        <v>17</v>
      </c>
      <c r="D1513" s="467" t="s">
        <v>1473</v>
      </c>
      <c r="E1513" s="468">
        <v>-136.43000599999999</v>
      </c>
      <c r="F1513" s="153" t="s">
        <v>8</v>
      </c>
      <c r="G1513" s="469" t="s">
        <v>142</v>
      </c>
    </row>
    <row r="1514" spans="1:7" x14ac:dyDescent="0.3">
      <c r="A1514" s="275">
        <v>45901</v>
      </c>
      <c r="B1514" s="275" t="s">
        <v>213</v>
      </c>
      <c r="C1514" s="488" t="s">
        <v>6</v>
      </c>
      <c r="D1514" s="272" t="s">
        <v>7</v>
      </c>
      <c r="E1514" s="273">
        <v>-237.82</v>
      </c>
      <c r="F1514" s="110" t="s">
        <v>8</v>
      </c>
      <c r="G1514" s="137" t="s">
        <v>9</v>
      </c>
    </row>
    <row r="1515" spans="1:7" x14ac:dyDescent="0.3">
      <c r="A1515" s="275">
        <v>45901</v>
      </c>
      <c r="B1515" s="275" t="s">
        <v>213</v>
      </c>
      <c r="C1515" s="488" t="s">
        <v>6</v>
      </c>
      <c r="D1515" s="272" t="s">
        <v>10</v>
      </c>
      <c r="E1515" s="273">
        <v>-216.58</v>
      </c>
      <c r="F1515" s="110" t="s">
        <v>8</v>
      </c>
      <c r="G1515" s="137" t="s">
        <v>9</v>
      </c>
    </row>
    <row r="1516" spans="1:7" x14ac:dyDescent="0.3">
      <c r="A1516" s="275">
        <v>45901</v>
      </c>
      <c r="B1516" s="275" t="s">
        <v>213</v>
      </c>
      <c r="C1516" s="272" t="s">
        <v>6</v>
      </c>
      <c r="D1516" s="272" t="s">
        <v>12</v>
      </c>
      <c r="E1516" s="273">
        <v>-142.61000000000001</v>
      </c>
      <c r="F1516" s="110" t="s">
        <v>8</v>
      </c>
      <c r="G1516" s="137" t="s">
        <v>9</v>
      </c>
    </row>
    <row r="1517" spans="1:7" x14ac:dyDescent="0.3">
      <c r="A1517" s="275">
        <v>45901</v>
      </c>
      <c r="B1517" s="275" t="s">
        <v>213</v>
      </c>
      <c r="C1517" s="99" t="s">
        <v>17</v>
      </c>
      <c r="D1517" s="99" t="s">
        <v>1472</v>
      </c>
      <c r="E1517" s="806">
        <v>-600</v>
      </c>
      <c r="F1517" s="110" t="s">
        <v>8</v>
      </c>
      <c r="G1517" s="105" t="s">
        <v>142</v>
      </c>
    </row>
    <row r="1518" spans="1:7" x14ac:dyDescent="0.3">
      <c r="A1518" s="275">
        <v>45901</v>
      </c>
      <c r="B1518" s="275" t="s">
        <v>213</v>
      </c>
      <c r="C1518" s="99" t="s">
        <v>44</v>
      </c>
      <c r="D1518" s="99" t="s">
        <v>632</v>
      </c>
      <c r="E1518" s="595">
        <v>-3968.99</v>
      </c>
      <c r="F1518" s="110" t="s">
        <v>8</v>
      </c>
      <c r="G1518" s="105" t="s">
        <v>189</v>
      </c>
    </row>
    <row r="1519" spans="1:7" x14ac:dyDescent="0.3">
      <c r="A1519" s="275">
        <v>45901</v>
      </c>
      <c r="B1519" s="275" t="s">
        <v>213</v>
      </c>
      <c r="C1519" s="107" t="s">
        <v>31</v>
      </c>
      <c r="D1519" s="107" t="s">
        <v>1442</v>
      </c>
      <c r="E1519" s="4">
        <v>-240</v>
      </c>
      <c r="F1519" s="110" t="s">
        <v>8</v>
      </c>
      <c r="G1519" s="108" t="s">
        <v>83</v>
      </c>
    </row>
    <row r="1520" spans="1:7" x14ac:dyDescent="0.3">
      <c r="A1520" s="275">
        <v>45901</v>
      </c>
      <c r="B1520" s="275" t="s">
        <v>213</v>
      </c>
      <c r="C1520" s="107" t="s">
        <v>31</v>
      </c>
      <c r="D1520" s="107" t="s">
        <v>1443</v>
      </c>
      <c r="E1520" s="4">
        <v>-240</v>
      </c>
      <c r="F1520" s="110" t="s">
        <v>8</v>
      </c>
      <c r="G1520" s="108" t="s">
        <v>83</v>
      </c>
    </row>
    <row r="1521" spans="1:7" x14ac:dyDescent="0.3">
      <c r="A1521" s="275">
        <v>45901</v>
      </c>
      <c r="B1521" s="275" t="s">
        <v>213</v>
      </c>
      <c r="C1521" s="107" t="s">
        <v>31</v>
      </c>
      <c r="D1521" s="107" t="s">
        <v>1444</v>
      </c>
      <c r="E1521" s="4">
        <v>-200</v>
      </c>
      <c r="F1521" s="110" t="s">
        <v>8</v>
      </c>
      <c r="G1521" s="108" t="s">
        <v>83</v>
      </c>
    </row>
    <row r="1522" spans="1:7" x14ac:dyDescent="0.3">
      <c r="A1522" s="275">
        <v>45901</v>
      </c>
      <c r="B1522" s="275" t="s">
        <v>213</v>
      </c>
      <c r="C1522" s="107" t="s">
        <v>31</v>
      </c>
      <c r="D1522" s="107" t="s">
        <v>1445</v>
      </c>
      <c r="E1522" s="4">
        <v>-159.16</v>
      </c>
      <c r="F1522" s="110" t="s">
        <v>8</v>
      </c>
      <c r="G1522" s="108" t="s">
        <v>83</v>
      </c>
    </row>
    <row r="1523" spans="1:7" x14ac:dyDescent="0.3">
      <c r="A1523" s="275">
        <v>45901</v>
      </c>
      <c r="B1523" s="275" t="s">
        <v>213</v>
      </c>
      <c r="C1523" s="107" t="s">
        <v>31</v>
      </c>
      <c r="D1523" s="107" t="s">
        <v>1446</v>
      </c>
      <c r="E1523" s="4">
        <v>-240</v>
      </c>
      <c r="F1523" s="110" t="s">
        <v>8</v>
      </c>
      <c r="G1523" s="108" t="s">
        <v>83</v>
      </c>
    </row>
    <row r="1524" spans="1:7" x14ac:dyDescent="0.3">
      <c r="A1524" s="275">
        <v>45901</v>
      </c>
      <c r="B1524" s="275" t="s">
        <v>213</v>
      </c>
      <c r="C1524" s="107" t="s">
        <v>31</v>
      </c>
      <c r="D1524" s="107" t="s">
        <v>1447</v>
      </c>
      <c r="E1524" s="4">
        <v>-360</v>
      </c>
      <c r="F1524" s="110" t="s">
        <v>8</v>
      </c>
      <c r="G1524" s="108" t="s">
        <v>83</v>
      </c>
    </row>
    <row r="1525" spans="1:7" x14ac:dyDescent="0.3">
      <c r="A1525" s="275">
        <v>45901</v>
      </c>
      <c r="B1525" s="275" t="s">
        <v>213</v>
      </c>
      <c r="C1525" s="107" t="s">
        <v>31</v>
      </c>
      <c r="D1525" s="107" t="s">
        <v>1448</v>
      </c>
      <c r="E1525" s="4">
        <v>-264</v>
      </c>
      <c r="F1525" s="110" t="s">
        <v>8</v>
      </c>
      <c r="G1525" s="108" t="s">
        <v>83</v>
      </c>
    </row>
    <row r="1526" spans="1:7" x14ac:dyDescent="0.3">
      <c r="A1526" s="275">
        <v>45901</v>
      </c>
      <c r="B1526" s="275" t="s">
        <v>213</v>
      </c>
      <c r="C1526" s="107" t="s">
        <v>31</v>
      </c>
      <c r="D1526" s="107" t="s">
        <v>1449</v>
      </c>
      <c r="E1526" s="4">
        <v>-180</v>
      </c>
      <c r="F1526" s="110" t="s">
        <v>8</v>
      </c>
      <c r="G1526" s="108" t="s">
        <v>83</v>
      </c>
    </row>
    <row r="1527" spans="1:7" x14ac:dyDescent="0.3">
      <c r="A1527" s="275">
        <v>45901</v>
      </c>
      <c r="B1527" s="275" t="s">
        <v>213</v>
      </c>
      <c r="C1527" s="107" t="s">
        <v>31</v>
      </c>
      <c r="D1527" s="107" t="s">
        <v>1450</v>
      </c>
      <c r="E1527" s="4">
        <v>-250</v>
      </c>
      <c r="F1527" s="110" t="s">
        <v>8</v>
      </c>
      <c r="G1527" s="108" t="s">
        <v>83</v>
      </c>
    </row>
    <row r="1528" spans="1:7" x14ac:dyDescent="0.3">
      <c r="A1528" s="275">
        <v>45901</v>
      </c>
      <c r="B1528" s="275" t="s">
        <v>213</v>
      </c>
      <c r="C1528" s="107" t="s">
        <v>31</v>
      </c>
      <c r="D1528" s="107" t="s">
        <v>1451</v>
      </c>
      <c r="E1528" s="4">
        <v>-180</v>
      </c>
      <c r="F1528" s="110" t="s">
        <v>8</v>
      </c>
      <c r="G1528" s="108" t="s">
        <v>83</v>
      </c>
    </row>
    <row r="1529" spans="1:7" x14ac:dyDescent="0.3">
      <c r="A1529" s="275">
        <v>45901</v>
      </c>
      <c r="B1529" s="275" t="s">
        <v>213</v>
      </c>
      <c r="C1529" s="107" t="s">
        <v>31</v>
      </c>
      <c r="D1529" s="107" t="s">
        <v>1452</v>
      </c>
      <c r="E1529" s="4">
        <v>-250</v>
      </c>
      <c r="F1529" s="110" t="s">
        <v>8</v>
      </c>
      <c r="G1529" s="108" t="s">
        <v>83</v>
      </c>
    </row>
    <row r="1530" spans="1:7" x14ac:dyDescent="0.3">
      <c r="A1530" s="275">
        <v>45901</v>
      </c>
      <c r="B1530" s="275" t="s">
        <v>213</v>
      </c>
      <c r="C1530" s="107" t="s">
        <v>31</v>
      </c>
      <c r="D1530" s="107" t="s">
        <v>1453</v>
      </c>
      <c r="E1530" s="4">
        <v>-240</v>
      </c>
      <c r="F1530" s="110" t="s">
        <v>8</v>
      </c>
      <c r="G1530" s="108" t="s">
        <v>83</v>
      </c>
    </row>
    <row r="1531" spans="1:7" x14ac:dyDescent="0.3">
      <c r="A1531" s="275">
        <v>45901</v>
      </c>
      <c r="B1531" s="275" t="s">
        <v>213</v>
      </c>
      <c r="C1531" s="107" t="s">
        <v>31</v>
      </c>
      <c r="D1531" s="107" t="s">
        <v>1454</v>
      </c>
      <c r="E1531" s="4">
        <v>-140</v>
      </c>
      <c r="F1531" s="110" t="s">
        <v>8</v>
      </c>
      <c r="G1531" s="108" t="s">
        <v>83</v>
      </c>
    </row>
    <row r="1532" spans="1:7" x14ac:dyDescent="0.3">
      <c r="A1532" s="275">
        <v>45901</v>
      </c>
      <c r="B1532" s="275" t="s">
        <v>213</v>
      </c>
      <c r="C1532" s="107" t="s">
        <v>6</v>
      </c>
      <c r="D1532" s="107" t="s">
        <v>1455</v>
      </c>
      <c r="E1532" s="4">
        <v>-59</v>
      </c>
      <c r="F1532" s="110" t="s">
        <v>8</v>
      </c>
      <c r="G1532" s="108" t="s">
        <v>83</v>
      </c>
    </row>
    <row r="1533" spans="1:7" x14ac:dyDescent="0.3">
      <c r="A1533" s="275">
        <v>45901</v>
      </c>
      <c r="B1533" s="275" t="s">
        <v>213</v>
      </c>
      <c r="C1533" s="107" t="s">
        <v>6</v>
      </c>
      <c r="D1533" s="107" t="s">
        <v>1456</v>
      </c>
      <c r="E1533" s="4">
        <v>-59</v>
      </c>
      <c r="F1533" s="110" t="s">
        <v>8</v>
      </c>
      <c r="G1533" s="108" t="s">
        <v>83</v>
      </c>
    </row>
    <row r="1534" spans="1:7" x14ac:dyDescent="0.3">
      <c r="A1534" s="275">
        <v>45901</v>
      </c>
      <c r="B1534" s="275" t="s">
        <v>213</v>
      </c>
      <c r="C1534" s="107" t="s">
        <v>6</v>
      </c>
      <c r="D1534" s="107" t="s">
        <v>1457</v>
      </c>
      <c r="E1534" s="4">
        <v>-59</v>
      </c>
      <c r="F1534" s="110" t="s">
        <v>8</v>
      </c>
      <c r="G1534" s="108" t="s">
        <v>83</v>
      </c>
    </row>
    <row r="1535" spans="1:7" x14ac:dyDescent="0.3">
      <c r="A1535" s="275">
        <v>45901</v>
      </c>
      <c r="B1535" s="275" t="s">
        <v>213</v>
      </c>
      <c r="C1535" s="107" t="s">
        <v>6</v>
      </c>
      <c r="D1535" s="107" t="s">
        <v>1458</v>
      </c>
      <c r="E1535" s="4">
        <v>-59</v>
      </c>
      <c r="F1535" s="110" t="s">
        <v>8</v>
      </c>
      <c r="G1535" s="108" t="s">
        <v>83</v>
      </c>
    </row>
    <row r="1536" spans="1:7" x14ac:dyDescent="0.3">
      <c r="A1536" s="275">
        <v>45901</v>
      </c>
      <c r="B1536" s="275" t="s">
        <v>213</v>
      </c>
      <c r="C1536" s="107" t="s">
        <v>6</v>
      </c>
      <c r="D1536" s="107" t="s">
        <v>1459</v>
      </c>
      <c r="E1536" s="4">
        <v>-59</v>
      </c>
      <c r="F1536" s="110" t="s">
        <v>8</v>
      </c>
      <c r="G1536" s="108" t="s">
        <v>83</v>
      </c>
    </row>
    <row r="1537" spans="1:7" x14ac:dyDescent="0.3">
      <c r="A1537" s="275">
        <v>45901</v>
      </c>
      <c r="B1537" s="275" t="s">
        <v>213</v>
      </c>
      <c r="C1537" s="107" t="s">
        <v>6</v>
      </c>
      <c r="D1537" s="107" t="s">
        <v>1418</v>
      </c>
      <c r="E1537" s="4">
        <v>-23.6</v>
      </c>
      <c r="F1537" s="110" t="s">
        <v>8</v>
      </c>
      <c r="G1537" s="108" t="s">
        <v>83</v>
      </c>
    </row>
    <row r="1538" spans="1:7" x14ac:dyDescent="0.3">
      <c r="A1538" s="275">
        <v>45901</v>
      </c>
      <c r="B1538" s="275" t="s">
        <v>213</v>
      </c>
      <c r="C1538" s="107" t="s">
        <v>25</v>
      </c>
      <c r="D1538" s="107" t="s">
        <v>1460</v>
      </c>
      <c r="E1538" s="4">
        <v>-307.5</v>
      </c>
      <c r="F1538" s="110" t="s">
        <v>8</v>
      </c>
      <c r="G1538" s="108" t="s">
        <v>83</v>
      </c>
    </row>
    <row r="1539" spans="1:7" x14ac:dyDescent="0.3">
      <c r="A1539" s="275">
        <v>45901</v>
      </c>
      <c r="B1539" s="275" t="s">
        <v>213</v>
      </c>
      <c r="C1539" s="107" t="s">
        <v>25</v>
      </c>
      <c r="D1539" s="107" t="s">
        <v>372</v>
      </c>
      <c r="E1539" s="4">
        <v>-566.4</v>
      </c>
      <c r="F1539" s="110" t="s">
        <v>8</v>
      </c>
      <c r="G1539" s="108" t="s">
        <v>83</v>
      </c>
    </row>
    <row r="1540" spans="1:7" x14ac:dyDescent="0.3">
      <c r="A1540" s="275">
        <v>45901</v>
      </c>
      <c r="B1540" s="275" t="s">
        <v>213</v>
      </c>
      <c r="C1540" s="107" t="s">
        <v>25</v>
      </c>
      <c r="D1540" s="107" t="s">
        <v>1461</v>
      </c>
      <c r="E1540" s="4">
        <v>-220</v>
      </c>
      <c r="F1540" s="110" t="s">
        <v>8</v>
      </c>
      <c r="G1540" s="108" t="s">
        <v>83</v>
      </c>
    </row>
    <row r="1541" spans="1:7" x14ac:dyDescent="0.3">
      <c r="A1541" s="275">
        <v>45901</v>
      </c>
      <c r="B1541" s="275" t="s">
        <v>213</v>
      </c>
      <c r="C1541" s="107" t="s">
        <v>25</v>
      </c>
      <c r="D1541" s="107" t="s">
        <v>874</v>
      </c>
      <c r="E1541" s="4">
        <v>-349.5</v>
      </c>
      <c r="F1541" s="110" t="s">
        <v>8</v>
      </c>
      <c r="G1541" s="108" t="s">
        <v>83</v>
      </c>
    </row>
    <row r="1542" spans="1:7" x14ac:dyDescent="0.3">
      <c r="A1542" s="275">
        <v>45901</v>
      </c>
      <c r="B1542" s="275" t="s">
        <v>213</v>
      </c>
      <c r="C1542" s="107" t="s">
        <v>32</v>
      </c>
      <c r="D1542" s="107" t="s">
        <v>1462</v>
      </c>
      <c r="E1542" s="4">
        <v>-279.36</v>
      </c>
      <c r="F1542" s="110" t="s">
        <v>8</v>
      </c>
      <c r="G1542" s="108" t="s">
        <v>83</v>
      </c>
    </row>
    <row r="1543" spans="1:7" x14ac:dyDescent="0.3">
      <c r="A1543" s="631">
        <v>45901</v>
      </c>
      <c r="B1543" s="631" t="s">
        <v>213</v>
      </c>
      <c r="C1543" s="107" t="s">
        <v>32</v>
      </c>
      <c r="D1543" s="107" t="s">
        <v>1463</v>
      </c>
      <c r="E1543" s="4">
        <v>-516.96</v>
      </c>
      <c r="F1543" s="108" t="s">
        <v>8</v>
      </c>
      <c r="G1543" s="108" t="s">
        <v>41</v>
      </c>
    </row>
    <row r="1544" spans="1:7" x14ac:dyDescent="0.3">
      <c r="A1544" s="631">
        <v>45901</v>
      </c>
      <c r="B1544" s="631" t="s">
        <v>213</v>
      </c>
      <c r="C1544" s="107" t="s">
        <v>17</v>
      </c>
      <c r="D1544" s="107" t="s">
        <v>1464</v>
      </c>
      <c r="E1544" s="4">
        <v>-2100</v>
      </c>
      <c r="F1544" s="108" t="s">
        <v>8</v>
      </c>
      <c r="G1544" s="105" t="s">
        <v>1478</v>
      </c>
    </row>
    <row r="1545" spans="1:7" x14ac:dyDescent="0.3">
      <c r="A1545" s="275">
        <v>45901</v>
      </c>
      <c r="B1545" s="275" t="s">
        <v>213</v>
      </c>
      <c r="C1545" s="272" t="s">
        <v>13</v>
      </c>
      <c r="D1545" s="99" t="s">
        <v>1474</v>
      </c>
      <c r="E1545" s="100">
        <v>-200</v>
      </c>
      <c r="F1545" s="110" t="s">
        <v>8</v>
      </c>
      <c r="G1545" s="105" t="s">
        <v>1150</v>
      </c>
    </row>
    <row r="1546" spans="1:7" x14ac:dyDescent="0.3">
      <c r="A1546" s="98">
        <v>45901</v>
      </c>
      <c r="B1546" s="275" t="s">
        <v>213</v>
      </c>
      <c r="C1546" s="109" t="s">
        <v>17</v>
      </c>
      <c r="D1546" s="99" t="s">
        <v>633</v>
      </c>
      <c r="E1546" s="100">
        <v>-1848.63</v>
      </c>
      <c r="F1546" s="105" t="s">
        <v>8</v>
      </c>
      <c r="G1546" s="105" t="s">
        <v>189</v>
      </c>
    </row>
    <row r="1547" spans="1:7" x14ac:dyDescent="0.3">
      <c r="A1547" s="98">
        <v>45901</v>
      </c>
      <c r="B1547" s="275" t="s">
        <v>213</v>
      </c>
      <c r="C1547" s="107" t="s">
        <v>25</v>
      </c>
      <c r="D1547" s="99" t="s">
        <v>1477</v>
      </c>
      <c r="E1547" s="100">
        <v>-500</v>
      </c>
      <c r="F1547" s="105" t="s">
        <v>8</v>
      </c>
      <c r="G1547" s="105" t="s">
        <v>1478</v>
      </c>
    </row>
    <row r="1548" spans="1:7" x14ac:dyDescent="0.3">
      <c r="A1548" s="98">
        <v>45901</v>
      </c>
      <c r="B1548" s="275" t="s">
        <v>213</v>
      </c>
      <c r="C1548" s="107" t="s">
        <v>25</v>
      </c>
      <c r="D1548" s="99" t="s">
        <v>1482</v>
      </c>
      <c r="E1548" s="100">
        <v>-200</v>
      </c>
      <c r="F1548" s="105" t="s">
        <v>8</v>
      </c>
      <c r="G1548" s="105" t="s">
        <v>27</v>
      </c>
    </row>
    <row r="1549" spans="1:7" x14ac:dyDescent="0.3">
      <c r="A1549" s="98">
        <v>45901</v>
      </c>
      <c r="B1549" s="275" t="s">
        <v>213</v>
      </c>
      <c r="C1549" s="107" t="s">
        <v>25</v>
      </c>
      <c r="D1549" s="99" t="s">
        <v>1479</v>
      </c>
      <c r="E1549" s="100">
        <v>-270</v>
      </c>
      <c r="F1549" s="105" t="s">
        <v>8</v>
      </c>
      <c r="G1549" s="105" t="s">
        <v>27</v>
      </c>
    </row>
    <row r="1550" spans="1:7" x14ac:dyDescent="0.3">
      <c r="A1550" s="98">
        <v>45901</v>
      </c>
      <c r="B1550" s="275" t="s">
        <v>213</v>
      </c>
      <c r="C1550" s="107" t="s">
        <v>25</v>
      </c>
      <c r="D1550" s="99" t="s">
        <v>1480</v>
      </c>
      <c r="E1550" s="100">
        <v>-1717.2</v>
      </c>
      <c r="F1550" s="105" t="s">
        <v>8</v>
      </c>
      <c r="G1550" s="105" t="s">
        <v>27</v>
      </c>
    </row>
    <row r="1551" spans="1:7" x14ac:dyDescent="0.3">
      <c r="A1551" s="98">
        <v>45901</v>
      </c>
      <c r="B1551" s="275" t="s">
        <v>213</v>
      </c>
      <c r="C1551" s="107" t="s">
        <v>25</v>
      </c>
      <c r="D1551" s="99" t="s">
        <v>1481</v>
      </c>
      <c r="E1551" s="100">
        <v>-1717.2</v>
      </c>
      <c r="F1551" s="105" t="s">
        <v>8</v>
      </c>
      <c r="G1551" s="105" t="s">
        <v>27</v>
      </c>
    </row>
    <row r="1552" spans="1:7" x14ac:dyDescent="0.3">
      <c r="A1552" s="98">
        <v>45901</v>
      </c>
      <c r="B1552" s="275" t="s">
        <v>213</v>
      </c>
      <c r="C1552" s="107" t="s">
        <v>25</v>
      </c>
      <c r="D1552" s="99" t="s">
        <v>1483</v>
      </c>
      <c r="E1552" s="100">
        <v>755.28</v>
      </c>
      <c r="F1552" s="105" t="s">
        <v>8</v>
      </c>
      <c r="G1552" s="105" t="s">
        <v>27</v>
      </c>
    </row>
    <row r="1553" spans="1:7" x14ac:dyDescent="0.3">
      <c r="A1553" s="98">
        <v>45901</v>
      </c>
      <c r="B1553" s="275" t="s">
        <v>213</v>
      </c>
      <c r="C1553" s="107" t="s">
        <v>25</v>
      </c>
      <c r="D1553" s="99" t="s">
        <v>1484</v>
      </c>
      <c r="E1553" s="100">
        <v>-540</v>
      </c>
      <c r="F1553" s="105" t="s">
        <v>8</v>
      </c>
      <c r="G1553" s="105" t="s">
        <v>27</v>
      </c>
    </row>
    <row r="1554" spans="1:7" x14ac:dyDescent="0.3">
      <c r="E1554" s="442">
        <f>SUM(E1508:E1553)</f>
        <v>-26140.940006000004</v>
      </c>
    </row>
    <row r="1558" spans="1:7" x14ac:dyDescent="0.3">
      <c r="A1558" s="918" t="s">
        <v>1489</v>
      </c>
      <c r="B1558" s="918"/>
      <c r="C1558" s="918"/>
      <c r="D1558" s="918"/>
      <c r="E1558" s="918"/>
      <c r="F1558" s="918"/>
      <c r="G1558" s="918"/>
    </row>
    <row r="1559" spans="1:7" ht="46.2" customHeight="1" x14ac:dyDescent="0.3">
      <c r="A1559" s="918"/>
      <c r="B1559" s="918"/>
      <c r="C1559" s="918"/>
      <c r="D1559" s="918"/>
      <c r="E1559" s="918"/>
      <c r="F1559" s="918"/>
      <c r="G1559" s="918"/>
    </row>
    <row r="1560" spans="1:7" x14ac:dyDescent="0.3">
      <c r="A1560" s="275" t="s">
        <v>0</v>
      </c>
      <c r="B1560" s="275" t="s">
        <v>1209</v>
      </c>
      <c r="C1560" s="200" t="s">
        <v>1</v>
      </c>
      <c r="D1560" s="124" t="s">
        <v>2</v>
      </c>
      <c r="E1560" s="129" t="s">
        <v>3</v>
      </c>
      <c r="F1560" s="137" t="s">
        <v>4</v>
      </c>
      <c r="G1560" s="311" t="s">
        <v>5</v>
      </c>
    </row>
    <row r="1561" spans="1:7" s="103" customFormat="1" x14ac:dyDescent="0.3">
      <c r="A1561" s="98">
        <v>45902</v>
      </c>
      <c r="B1561" s="275" t="s">
        <v>213</v>
      </c>
      <c r="C1561" s="146" t="s">
        <v>44</v>
      </c>
      <c r="D1561" s="99" t="s">
        <v>1487</v>
      </c>
      <c r="E1561" s="100">
        <v>-520</v>
      </c>
      <c r="F1561" s="110" t="s">
        <v>8</v>
      </c>
      <c r="G1561" s="137" t="s">
        <v>233</v>
      </c>
    </row>
    <row r="1562" spans="1:7" s="103" customFormat="1" x14ac:dyDescent="0.3">
      <c r="A1562" s="275">
        <v>45902</v>
      </c>
      <c r="B1562" s="275" t="s">
        <v>213</v>
      </c>
      <c r="C1562" s="146" t="s">
        <v>72</v>
      </c>
      <c r="D1562" s="99" t="s">
        <v>1221</v>
      </c>
      <c r="E1562" s="100">
        <v>-2592.66</v>
      </c>
      <c r="F1562" s="110" t="s">
        <v>8</v>
      </c>
      <c r="G1562" s="137" t="s">
        <v>233</v>
      </c>
    </row>
    <row r="1563" spans="1:7" s="103" customFormat="1" x14ac:dyDescent="0.3">
      <c r="A1563" s="275">
        <v>45902</v>
      </c>
      <c r="B1563" s="275" t="s">
        <v>213</v>
      </c>
      <c r="C1563" s="146" t="s">
        <v>72</v>
      </c>
      <c r="D1563" s="99" t="s">
        <v>1488</v>
      </c>
      <c r="E1563" s="100">
        <v>-809.45</v>
      </c>
      <c r="F1563" s="110" t="s">
        <v>8</v>
      </c>
      <c r="G1563" s="137" t="s">
        <v>233</v>
      </c>
    </row>
    <row r="1564" spans="1:7" s="103" customFormat="1" x14ac:dyDescent="0.3">
      <c r="A1564" s="275">
        <v>45902</v>
      </c>
      <c r="B1564" s="275" t="s">
        <v>213</v>
      </c>
      <c r="C1564" s="99" t="s">
        <v>31</v>
      </c>
      <c r="D1564" s="99" t="s">
        <v>1465</v>
      </c>
      <c r="E1564" s="100">
        <v>-196.87</v>
      </c>
      <c r="F1564" s="110" t="s">
        <v>8</v>
      </c>
      <c r="G1564" s="736" t="s">
        <v>127</v>
      </c>
    </row>
    <row r="1565" spans="1:7" s="103" customFormat="1" x14ac:dyDescent="0.3">
      <c r="A1565" s="720">
        <v>45902</v>
      </c>
      <c r="B1565" s="720" t="s">
        <v>213</v>
      </c>
      <c r="C1565" s="99" t="s">
        <v>31</v>
      </c>
      <c r="D1565" s="99" t="s">
        <v>1466</v>
      </c>
      <c r="E1565" s="100">
        <v>-195.68</v>
      </c>
      <c r="F1565" s="110" t="s">
        <v>8</v>
      </c>
      <c r="G1565" s="736" t="s">
        <v>127</v>
      </c>
    </row>
    <row r="1566" spans="1:7" s="103" customFormat="1" x14ac:dyDescent="0.3">
      <c r="A1566" s="275">
        <v>45902</v>
      </c>
      <c r="B1566" s="275" t="s">
        <v>213</v>
      </c>
      <c r="C1566" s="146" t="s">
        <v>44</v>
      </c>
      <c r="D1566" s="99" t="s">
        <v>1486</v>
      </c>
      <c r="E1566" s="100">
        <v>-307.5</v>
      </c>
      <c r="F1566" s="110" t="s">
        <v>8</v>
      </c>
      <c r="G1566" s="105" t="s">
        <v>83</v>
      </c>
    </row>
    <row r="1567" spans="1:7" s="103" customFormat="1" x14ac:dyDescent="0.3">
      <c r="A1567" s="275">
        <v>45902</v>
      </c>
      <c r="B1567" s="275" t="s">
        <v>213</v>
      </c>
      <c r="C1567" s="146" t="s">
        <v>106</v>
      </c>
      <c r="D1567" s="99" t="s">
        <v>1227</v>
      </c>
      <c r="E1567" s="100">
        <v>-80</v>
      </c>
      <c r="F1567" s="110" t="s">
        <v>8</v>
      </c>
      <c r="G1567" s="105" t="s">
        <v>83</v>
      </c>
    </row>
    <row r="1568" spans="1:7" s="103" customFormat="1" x14ac:dyDescent="0.3">
      <c r="A1568" s="275">
        <v>45902</v>
      </c>
      <c r="B1568" s="275" t="s">
        <v>213</v>
      </c>
      <c r="C1568" s="162" t="s">
        <v>20</v>
      </c>
      <c r="D1568" s="99" t="s">
        <v>21</v>
      </c>
      <c r="E1568" s="273">
        <v>-669.22</v>
      </c>
      <c r="F1568" s="110" t="s">
        <v>8</v>
      </c>
      <c r="G1568" s="137" t="s">
        <v>22</v>
      </c>
    </row>
    <row r="1569" spans="1:7" x14ac:dyDescent="0.3">
      <c r="E1569" s="442">
        <f>SUM(E1561:E1568)</f>
        <v>-5371.38</v>
      </c>
    </row>
    <row r="1571" spans="1:7" x14ac:dyDescent="0.3">
      <c r="A1571" s="918" t="s">
        <v>1496</v>
      </c>
      <c r="B1571" s="918"/>
      <c r="C1571" s="918"/>
      <c r="D1571" s="918"/>
      <c r="E1571" s="918"/>
      <c r="F1571" s="918"/>
      <c r="G1571" s="918"/>
    </row>
    <row r="1572" spans="1:7" ht="39" customHeight="1" x14ac:dyDescent="0.3">
      <c r="A1572" s="918"/>
      <c r="B1572" s="918"/>
      <c r="C1572" s="918"/>
      <c r="D1572" s="918"/>
      <c r="E1572" s="918"/>
      <c r="F1572" s="918"/>
      <c r="G1572" s="918"/>
    </row>
    <row r="1573" spans="1:7" x14ac:dyDescent="0.3">
      <c r="A1573" s="275" t="s">
        <v>0</v>
      </c>
      <c r="B1573" s="275" t="s">
        <v>1209</v>
      </c>
      <c r="C1573" s="200" t="s">
        <v>1</v>
      </c>
      <c r="D1573" s="124" t="s">
        <v>2</v>
      </c>
      <c r="E1573" s="129" t="s">
        <v>3</v>
      </c>
      <c r="F1573" s="137" t="s">
        <v>4</v>
      </c>
      <c r="G1573" s="311" t="s">
        <v>5</v>
      </c>
    </row>
    <row r="1574" spans="1:7" x14ac:dyDescent="0.3">
      <c r="A1574" s="275">
        <v>45903</v>
      </c>
      <c r="B1574" s="275" t="s">
        <v>213</v>
      </c>
      <c r="C1574" s="99" t="s">
        <v>44</v>
      </c>
      <c r="D1574" s="146" t="s">
        <v>1495</v>
      </c>
      <c r="E1574" s="100">
        <v>-210.65</v>
      </c>
      <c r="F1574" s="110" t="s">
        <v>8</v>
      </c>
      <c r="G1574" s="137" t="s">
        <v>207</v>
      </c>
    </row>
    <row r="1575" spans="1:7" x14ac:dyDescent="0.3">
      <c r="A1575" s="631">
        <v>45903</v>
      </c>
      <c r="B1575" s="675" t="s">
        <v>213</v>
      </c>
      <c r="C1575" s="155" t="s">
        <v>25</v>
      </c>
      <c r="D1575" s="155" t="s">
        <v>1467</v>
      </c>
      <c r="E1575" s="4">
        <v>-225.3</v>
      </c>
      <c r="F1575" s="110" t="s">
        <v>8</v>
      </c>
      <c r="G1575" s="108" t="s">
        <v>83</v>
      </c>
    </row>
    <row r="1576" spans="1:7" x14ac:dyDescent="0.3">
      <c r="A1576" s="631">
        <v>45903</v>
      </c>
      <c r="B1576" s="675" t="s">
        <v>213</v>
      </c>
      <c r="C1576" s="155" t="s">
        <v>25</v>
      </c>
      <c r="D1576" s="155" t="s">
        <v>814</v>
      </c>
      <c r="E1576" s="4">
        <v>-171.7</v>
      </c>
      <c r="F1576" s="110" t="s">
        <v>8</v>
      </c>
      <c r="G1576" s="108" t="s">
        <v>83</v>
      </c>
    </row>
    <row r="1577" spans="1:7" x14ac:dyDescent="0.3">
      <c r="A1577" s="631">
        <v>45903</v>
      </c>
      <c r="B1577" s="675" t="s">
        <v>213</v>
      </c>
      <c r="C1577" s="155" t="s">
        <v>32</v>
      </c>
      <c r="D1577" s="107" t="s">
        <v>1462</v>
      </c>
      <c r="E1577" s="4">
        <v>-186.04</v>
      </c>
      <c r="F1577" s="110" t="s">
        <v>8</v>
      </c>
      <c r="G1577" s="108" t="s">
        <v>83</v>
      </c>
    </row>
    <row r="1578" spans="1:7" x14ac:dyDescent="0.3">
      <c r="A1578" s="631">
        <v>45903</v>
      </c>
      <c r="B1578" s="675" t="s">
        <v>213</v>
      </c>
      <c r="C1578" s="107" t="s">
        <v>72</v>
      </c>
      <c r="D1578" s="107" t="s">
        <v>1392</v>
      </c>
      <c r="E1578" s="4">
        <v>-140</v>
      </c>
      <c r="F1578" s="110" t="s">
        <v>8</v>
      </c>
      <c r="G1578" s="108" t="s">
        <v>83</v>
      </c>
    </row>
    <row r="1579" spans="1:7" x14ac:dyDescent="0.3">
      <c r="A1579" s="631">
        <v>45903</v>
      </c>
      <c r="B1579" s="675" t="s">
        <v>213</v>
      </c>
      <c r="C1579" s="107" t="s">
        <v>6</v>
      </c>
      <c r="D1579" s="107" t="s">
        <v>1490</v>
      </c>
      <c r="E1579" s="4">
        <v>-264</v>
      </c>
      <c r="F1579" s="110" t="s">
        <v>8</v>
      </c>
      <c r="G1579" s="108" t="s">
        <v>83</v>
      </c>
    </row>
    <row r="1580" spans="1:7" x14ac:dyDescent="0.3">
      <c r="A1580" s="631">
        <v>45903</v>
      </c>
      <c r="B1580" s="675" t="s">
        <v>213</v>
      </c>
      <c r="C1580" s="107" t="s">
        <v>25</v>
      </c>
      <c r="D1580" s="107" t="s">
        <v>1491</v>
      </c>
      <c r="E1580" s="4">
        <v>-86.1</v>
      </c>
      <c r="F1580" s="110" t="s">
        <v>8</v>
      </c>
      <c r="G1580" s="108" t="s">
        <v>83</v>
      </c>
    </row>
    <row r="1581" spans="1:7" x14ac:dyDescent="0.3">
      <c r="A1581" s="631">
        <v>45903</v>
      </c>
      <c r="B1581" s="675" t="s">
        <v>213</v>
      </c>
      <c r="C1581" s="107" t="s">
        <v>25</v>
      </c>
      <c r="D1581" s="107" t="s">
        <v>1321</v>
      </c>
      <c r="E1581" s="4">
        <v>-86.1</v>
      </c>
      <c r="F1581" s="110" t="s">
        <v>8</v>
      </c>
      <c r="G1581" s="108" t="s">
        <v>83</v>
      </c>
    </row>
    <row r="1582" spans="1:7" x14ac:dyDescent="0.3">
      <c r="A1582" s="631">
        <v>45903</v>
      </c>
      <c r="B1582" s="675" t="s">
        <v>213</v>
      </c>
      <c r="C1582" s="107" t="s">
        <v>33</v>
      </c>
      <c r="D1582" s="107" t="s">
        <v>1492</v>
      </c>
      <c r="E1582" s="4">
        <v>-274</v>
      </c>
      <c r="F1582" s="110" t="s">
        <v>8</v>
      </c>
      <c r="G1582" s="108" t="s">
        <v>83</v>
      </c>
    </row>
    <row r="1583" spans="1:7" x14ac:dyDescent="0.3">
      <c r="A1583" s="631">
        <v>45903</v>
      </c>
      <c r="B1583" s="631" t="s">
        <v>213</v>
      </c>
      <c r="C1583" s="107" t="s">
        <v>17</v>
      </c>
      <c r="D1583" s="155" t="s">
        <v>384</v>
      </c>
      <c r="E1583" s="564">
        <v>-177</v>
      </c>
      <c r="F1583" s="5" t="s">
        <v>8</v>
      </c>
      <c r="G1583" s="108" t="s">
        <v>99</v>
      </c>
    </row>
    <row r="1584" spans="1:7" x14ac:dyDescent="0.3">
      <c r="A1584" s="631">
        <v>45903</v>
      </c>
      <c r="B1584" s="631" t="s">
        <v>213</v>
      </c>
      <c r="C1584" s="107" t="s">
        <v>17</v>
      </c>
      <c r="D1584" s="155" t="s">
        <v>1493</v>
      </c>
      <c r="E1584" s="4">
        <v>-145.32</v>
      </c>
      <c r="F1584" s="110" t="s">
        <v>8</v>
      </c>
      <c r="G1584" s="108" t="s">
        <v>394</v>
      </c>
    </row>
    <row r="1585" spans="1:7" x14ac:dyDescent="0.3">
      <c r="A1585" s="275">
        <v>45903</v>
      </c>
      <c r="B1585" s="275" t="s">
        <v>213</v>
      </c>
      <c r="C1585" s="146" t="s">
        <v>44</v>
      </c>
      <c r="D1585" s="146" t="s">
        <v>1494</v>
      </c>
      <c r="E1585" s="100">
        <v>-3135.73</v>
      </c>
      <c r="F1585" s="110" t="s">
        <v>8</v>
      </c>
      <c r="G1585" s="105" t="s">
        <v>233</v>
      </c>
    </row>
    <row r="1586" spans="1:7" x14ac:dyDescent="0.3">
      <c r="E1586" s="442">
        <f>SUM(E1574:E1585)</f>
        <v>-5101.9399999999996</v>
      </c>
    </row>
    <row r="1591" spans="1:7" x14ac:dyDescent="0.3">
      <c r="A1591" s="918" t="s">
        <v>1504</v>
      </c>
      <c r="B1591" s="918"/>
      <c r="C1591" s="918"/>
      <c r="D1591" s="918"/>
      <c r="E1591" s="918"/>
      <c r="F1591" s="918"/>
      <c r="G1591" s="918"/>
    </row>
    <row r="1592" spans="1:7" ht="40.799999999999997" customHeight="1" x14ac:dyDescent="0.3">
      <c r="A1592" s="918"/>
      <c r="B1592" s="918"/>
      <c r="C1592" s="918"/>
      <c r="D1592" s="918"/>
      <c r="E1592" s="918"/>
      <c r="F1592" s="918"/>
      <c r="G1592" s="918"/>
    </row>
    <row r="1593" spans="1:7" x14ac:dyDescent="0.3">
      <c r="A1593" s="275" t="s">
        <v>0</v>
      </c>
      <c r="B1593" s="275" t="s">
        <v>1209</v>
      </c>
      <c r="C1593" s="200" t="s">
        <v>1</v>
      </c>
      <c r="D1593" s="124" t="s">
        <v>2</v>
      </c>
      <c r="E1593" s="129" t="s">
        <v>3</v>
      </c>
      <c r="F1593" s="137" t="s">
        <v>4</v>
      </c>
      <c r="G1593" s="311" t="s">
        <v>5</v>
      </c>
    </row>
    <row r="1594" spans="1:7" s="319" customFormat="1" ht="13.8" x14ac:dyDescent="0.3">
      <c r="A1594" s="275">
        <v>45904</v>
      </c>
      <c r="B1594" s="275" t="s">
        <v>213</v>
      </c>
      <c r="C1594" s="272" t="s">
        <v>13</v>
      </c>
      <c r="D1594" s="272" t="s">
        <v>505</v>
      </c>
      <c r="E1594" s="629">
        <v>-1500</v>
      </c>
      <c r="F1594" s="110" t="s">
        <v>8</v>
      </c>
      <c r="G1594" s="137" t="s">
        <v>15</v>
      </c>
    </row>
    <row r="1595" spans="1:7" s="319" customFormat="1" ht="13.8" x14ac:dyDescent="0.3">
      <c r="A1595" s="275">
        <v>45904</v>
      </c>
      <c r="B1595" s="275" t="s">
        <v>213</v>
      </c>
      <c r="C1595" s="146" t="s">
        <v>44</v>
      </c>
      <c r="D1595" s="146" t="s">
        <v>464</v>
      </c>
      <c r="E1595" s="468">
        <v>-342.12</v>
      </c>
      <c r="F1595" s="110" t="s">
        <v>8</v>
      </c>
      <c r="G1595" s="469" t="s">
        <v>22</v>
      </c>
    </row>
    <row r="1596" spans="1:7" s="319" customFormat="1" ht="13.8" x14ac:dyDescent="0.3">
      <c r="A1596" s="275">
        <v>45904</v>
      </c>
      <c r="B1596" s="275" t="s">
        <v>213</v>
      </c>
      <c r="C1596" s="146" t="s">
        <v>44</v>
      </c>
      <c r="D1596" s="146" t="s">
        <v>1497</v>
      </c>
      <c r="E1596" s="468">
        <v>-78.150000000000006</v>
      </c>
      <c r="F1596" s="110" t="s">
        <v>8</v>
      </c>
      <c r="G1596" s="469" t="s">
        <v>22</v>
      </c>
    </row>
    <row r="1597" spans="1:7" s="319" customFormat="1" ht="13.8" x14ac:dyDescent="0.3">
      <c r="A1597" s="275">
        <v>45904</v>
      </c>
      <c r="B1597" s="275" t="s">
        <v>213</v>
      </c>
      <c r="C1597" s="488" t="s">
        <v>6</v>
      </c>
      <c r="D1597" s="272" t="s">
        <v>23</v>
      </c>
      <c r="E1597" s="813">
        <v>-3809.98</v>
      </c>
      <c r="F1597" s="153" t="s">
        <v>8</v>
      </c>
      <c r="G1597" s="487" t="s">
        <v>24</v>
      </c>
    </row>
    <row r="1598" spans="1:7" s="319" customFormat="1" ht="13.8" x14ac:dyDescent="0.3">
      <c r="A1598" s="275">
        <v>45904</v>
      </c>
      <c r="B1598" s="275" t="s">
        <v>213</v>
      </c>
      <c r="C1598" s="272" t="s">
        <v>25</v>
      </c>
      <c r="D1598" s="272" t="s">
        <v>28</v>
      </c>
      <c r="E1598" s="273">
        <v>-389</v>
      </c>
      <c r="F1598" s="110" t="s">
        <v>8</v>
      </c>
      <c r="G1598" s="137" t="s">
        <v>29</v>
      </c>
    </row>
    <row r="1599" spans="1:7" s="319" customFormat="1" ht="13.8" x14ac:dyDescent="0.3">
      <c r="A1599" s="275">
        <v>45904</v>
      </c>
      <c r="B1599" s="275" t="s">
        <v>213</v>
      </c>
      <c r="C1599" s="272" t="s">
        <v>32</v>
      </c>
      <c r="D1599" s="272" t="s">
        <v>28</v>
      </c>
      <c r="E1599" s="273">
        <v>-389</v>
      </c>
      <c r="F1599" s="110" t="s">
        <v>8</v>
      </c>
      <c r="G1599" s="137" t="s">
        <v>29</v>
      </c>
    </row>
    <row r="1600" spans="1:7" s="319" customFormat="1" ht="13.8" x14ac:dyDescent="0.3">
      <c r="A1600" s="275">
        <v>45904</v>
      </c>
      <c r="B1600" s="275" t="s">
        <v>213</v>
      </c>
      <c r="C1600" s="272" t="s">
        <v>33</v>
      </c>
      <c r="D1600" s="272" t="s">
        <v>28</v>
      </c>
      <c r="E1600" s="273">
        <v>-389</v>
      </c>
      <c r="F1600" s="110" t="s">
        <v>8</v>
      </c>
      <c r="G1600" s="137" t="s">
        <v>29</v>
      </c>
    </row>
    <row r="1601" spans="1:7" s="319" customFormat="1" ht="13.8" x14ac:dyDescent="0.3">
      <c r="A1601" s="275">
        <v>45904</v>
      </c>
      <c r="B1601" s="275" t="s">
        <v>213</v>
      </c>
      <c r="C1601" s="99" t="s">
        <v>25</v>
      </c>
      <c r="D1601" s="99" t="s">
        <v>878</v>
      </c>
      <c r="E1601" s="100">
        <v>-319.8</v>
      </c>
      <c r="F1601" s="110" t="s">
        <v>8</v>
      </c>
      <c r="G1601" s="105" t="s">
        <v>83</v>
      </c>
    </row>
    <row r="1602" spans="1:7" s="319" customFormat="1" ht="13.8" x14ac:dyDescent="0.3">
      <c r="A1602" s="275">
        <v>45904</v>
      </c>
      <c r="B1602" s="275" t="s">
        <v>213</v>
      </c>
      <c r="C1602" s="99" t="s">
        <v>25</v>
      </c>
      <c r="D1602" s="99" t="s">
        <v>1499</v>
      </c>
      <c r="E1602" s="100">
        <v>-117.6</v>
      </c>
      <c r="F1602" s="110" t="s">
        <v>8</v>
      </c>
      <c r="G1602" s="105" t="s">
        <v>83</v>
      </c>
    </row>
    <row r="1603" spans="1:7" s="319" customFormat="1" ht="13.8" x14ac:dyDescent="0.3">
      <c r="A1603" s="275">
        <v>45904</v>
      </c>
      <c r="B1603" s="275" t="s">
        <v>213</v>
      </c>
      <c r="C1603" s="99" t="s">
        <v>25</v>
      </c>
      <c r="D1603" s="99" t="s">
        <v>1500</v>
      </c>
      <c r="E1603" s="100">
        <v>-177</v>
      </c>
      <c r="F1603" s="110" t="s">
        <v>8</v>
      </c>
      <c r="G1603" s="105" t="s">
        <v>83</v>
      </c>
    </row>
    <row r="1604" spans="1:7" s="319" customFormat="1" ht="13.8" x14ac:dyDescent="0.3">
      <c r="A1604" s="275">
        <v>45904</v>
      </c>
      <c r="B1604" s="275" t="s">
        <v>213</v>
      </c>
      <c r="C1604" s="99" t="s">
        <v>106</v>
      </c>
      <c r="D1604" s="99" t="s">
        <v>1501</v>
      </c>
      <c r="E1604" s="100">
        <v>-140</v>
      </c>
      <c r="F1604" s="110" t="s">
        <v>8</v>
      </c>
      <c r="G1604" s="105" t="s">
        <v>83</v>
      </c>
    </row>
    <row r="1605" spans="1:7" s="319" customFormat="1" ht="13.8" x14ac:dyDescent="0.3">
      <c r="A1605" s="275">
        <v>45904</v>
      </c>
      <c r="B1605" s="275" t="s">
        <v>213</v>
      </c>
      <c r="C1605" s="99" t="s">
        <v>72</v>
      </c>
      <c r="D1605" s="272" t="s">
        <v>1505</v>
      </c>
      <c r="E1605" s="273">
        <v>-131</v>
      </c>
      <c r="F1605" s="110" t="s">
        <v>8</v>
      </c>
      <c r="G1605" s="137" t="s">
        <v>27</v>
      </c>
    </row>
    <row r="1606" spans="1:7" s="319" customFormat="1" ht="13.8" x14ac:dyDescent="0.3">
      <c r="A1606" s="275">
        <v>45904</v>
      </c>
      <c r="B1606" s="275" t="s">
        <v>213</v>
      </c>
      <c r="C1606" s="99" t="s">
        <v>44</v>
      </c>
      <c r="D1606" s="99" t="s">
        <v>1502</v>
      </c>
      <c r="E1606" s="100">
        <v>-9520.32</v>
      </c>
      <c r="F1606" s="110" t="s">
        <v>8</v>
      </c>
      <c r="G1606" s="105" t="s">
        <v>233</v>
      </c>
    </row>
    <row r="1607" spans="1:7" x14ac:dyDescent="0.3">
      <c r="E1607" s="442">
        <f>SUM(E1594:E1606)</f>
        <v>-17302.97</v>
      </c>
    </row>
    <row r="1609" spans="1:7" x14ac:dyDescent="0.3">
      <c r="A1609" s="918" t="s">
        <v>1513</v>
      </c>
      <c r="B1609" s="918"/>
      <c r="C1609" s="918"/>
      <c r="D1609" s="918"/>
      <c r="E1609" s="918"/>
      <c r="F1609" s="918"/>
      <c r="G1609" s="918"/>
    </row>
    <row r="1610" spans="1:7" ht="44.4" customHeight="1" x14ac:dyDescent="0.3">
      <c r="A1610" s="918"/>
      <c r="B1610" s="918"/>
      <c r="C1610" s="918"/>
      <c r="D1610" s="918"/>
      <c r="E1610" s="918"/>
      <c r="F1610" s="918"/>
      <c r="G1610" s="918"/>
    </row>
    <row r="1611" spans="1:7" x14ac:dyDescent="0.3">
      <c r="A1611" s="275" t="s">
        <v>0</v>
      </c>
      <c r="B1611" s="275" t="s">
        <v>1209</v>
      </c>
      <c r="C1611" s="200" t="s">
        <v>1</v>
      </c>
      <c r="D1611" s="124" t="s">
        <v>2</v>
      </c>
      <c r="E1611" s="129" t="s">
        <v>3</v>
      </c>
      <c r="F1611" s="137" t="s">
        <v>4</v>
      </c>
      <c r="G1611" s="311" t="s">
        <v>5</v>
      </c>
    </row>
    <row r="1612" spans="1:7" x14ac:dyDescent="0.3">
      <c r="A1612" s="275">
        <v>45905</v>
      </c>
      <c r="B1612" s="275" t="s">
        <v>213</v>
      </c>
      <c r="C1612" s="272" t="s">
        <v>17</v>
      </c>
      <c r="D1612" s="272" t="s">
        <v>18</v>
      </c>
      <c r="E1612" s="126">
        <v>-17235</v>
      </c>
      <c r="F1612" s="110" t="s">
        <v>8</v>
      </c>
      <c r="G1612" s="137" t="s">
        <v>19</v>
      </c>
    </row>
    <row r="1613" spans="1:7" x14ac:dyDescent="0.3">
      <c r="A1613" s="275">
        <v>45905</v>
      </c>
      <c r="B1613" s="275" t="s">
        <v>213</v>
      </c>
      <c r="C1613" s="99" t="s">
        <v>44</v>
      </c>
      <c r="D1613" s="99" t="s">
        <v>395</v>
      </c>
      <c r="E1613" s="100">
        <v>-215.21</v>
      </c>
      <c r="F1613" s="110" t="s">
        <v>8</v>
      </c>
      <c r="G1613" s="137" t="s">
        <v>37</v>
      </c>
    </row>
    <row r="1614" spans="1:7" x14ac:dyDescent="0.3">
      <c r="A1614" s="275">
        <v>45905</v>
      </c>
      <c r="B1614" s="275" t="s">
        <v>213</v>
      </c>
      <c r="C1614" s="99" t="s">
        <v>106</v>
      </c>
      <c r="D1614" s="99" t="s">
        <v>395</v>
      </c>
      <c r="E1614" s="100">
        <v>-376.91</v>
      </c>
      <c r="F1614" s="110" t="s">
        <v>8</v>
      </c>
      <c r="G1614" s="137" t="s">
        <v>37</v>
      </c>
    </row>
    <row r="1615" spans="1:7" x14ac:dyDescent="0.3">
      <c r="A1615" s="275">
        <v>45905</v>
      </c>
      <c r="B1615" s="275" t="s">
        <v>213</v>
      </c>
      <c r="C1615" s="735" t="s">
        <v>6</v>
      </c>
      <c r="D1615" s="272" t="s">
        <v>40</v>
      </c>
      <c r="E1615" s="126">
        <v>-461722.54</v>
      </c>
      <c r="F1615" s="110" t="s">
        <v>8</v>
      </c>
      <c r="G1615" s="137" t="s">
        <v>41</v>
      </c>
    </row>
    <row r="1616" spans="1:7" x14ac:dyDescent="0.3">
      <c r="A1616" s="275">
        <v>45905</v>
      </c>
      <c r="B1616" s="275" t="s">
        <v>213</v>
      </c>
      <c r="C1616" s="816" t="s">
        <v>6</v>
      </c>
      <c r="D1616" s="272" t="s">
        <v>42</v>
      </c>
      <c r="E1616" s="273">
        <v>-500</v>
      </c>
      <c r="F1616" s="110" t="s">
        <v>8</v>
      </c>
      <c r="G1616" s="137" t="s">
        <v>41</v>
      </c>
    </row>
    <row r="1617" spans="1:7" x14ac:dyDescent="0.3">
      <c r="A1617" s="275">
        <v>45905</v>
      </c>
      <c r="B1617" s="275" t="s">
        <v>213</v>
      </c>
      <c r="C1617" s="816" t="s">
        <v>6</v>
      </c>
      <c r="D1617" s="272" t="s">
        <v>1512</v>
      </c>
      <c r="E1617" s="273">
        <v>-1500</v>
      </c>
      <c r="F1617" s="110" t="s">
        <v>8</v>
      </c>
      <c r="G1617" s="137" t="s">
        <v>41</v>
      </c>
    </row>
    <row r="1618" spans="1:7" x14ac:dyDescent="0.3">
      <c r="A1618" s="275">
        <v>45905</v>
      </c>
      <c r="B1618" s="275" t="s">
        <v>213</v>
      </c>
      <c r="C1618" s="735" t="s">
        <v>6</v>
      </c>
      <c r="D1618" s="272" t="s">
        <v>826</v>
      </c>
      <c r="E1618" s="100">
        <v>-1974.52</v>
      </c>
      <c r="F1618" s="110" t="s">
        <v>8</v>
      </c>
      <c r="G1618" s="137" t="s">
        <v>41</v>
      </c>
    </row>
    <row r="1619" spans="1:7" x14ac:dyDescent="0.3">
      <c r="A1619" s="275">
        <v>45905</v>
      </c>
      <c r="B1619" s="275" t="s">
        <v>213</v>
      </c>
      <c r="C1619" s="146" t="s">
        <v>44</v>
      </c>
      <c r="D1619" s="99" t="s">
        <v>1510</v>
      </c>
      <c r="E1619" s="100">
        <v>-480</v>
      </c>
      <c r="F1619" s="110" t="s">
        <v>8</v>
      </c>
      <c r="G1619" s="105" t="s">
        <v>233</v>
      </c>
    </row>
    <row r="1620" spans="1:7" x14ac:dyDescent="0.3">
      <c r="A1620" s="275">
        <v>45905</v>
      </c>
      <c r="B1620" s="275" t="s">
        <v>213</v>
      </c>
      <c r="C1620" s="146" t="s">
        <v>44</v>
      </c>
      <c r="D1620" s="99" t="s">
        <v>1511</v>
      </c>
      <c r="E1620" s="100">
        <v>-531</v>
      </c>
      <c r="F1620" s="110" t="s">
        <v>8</v>
      </c>
      <c r="G1620" s="105" t="s">
        <v>233</v>
      </c>
    </row>
    <row r="1621" spans="1:7" x14ac:dyDescent="0.3">
      <c r="A1621" s="275">
        <v>45905</v>
      </c>
      <c r="B1621" s="275" t="s">
        <v>213</v>
      </c>
      <c r="C1621" s="99" t="s">
        <v>17</v>
      </c>
      <c r="D1621" s="99" t="s">
        <v>205</v>
      </c>
      <c r="E1621" s="100">
        <v>-304.5</v>
      </c>
      <c r="F1621" s="110" t="s">
        <v>8</v>
      </c>
      <c r="G1621" s="105" t="s">
        <v>142</v>
      </c>
    </row>
    <row r="1622" spans="1:7" x14ac:dyDescent="0.3">
      <c r="A1622" s="275">
        <v>45905</v>
      </c>
      <c r="B1622" s="275" t="s">
        <v>213</v>
      </c>
      <c r="C1622" s="99" t="s">
        <v>17</v>
      </c>
      <c r="D1622" s="99" t="s">
        <v>1468</v>
      </c>
      <c r="E1622" s="100">
        <v>-15000</v>
      </c>
      <c r="F1622" s="110" t="s">
        <v>8</v>
      </c>
      <c r="G1622" s="137" t="s">
        <v>41</v>
      </c>
    </row>
    <row r="1623" spans="1:7" x14ac:dyDescent="0.3">
      <c r="A1623" s="275">
        <v>45905</v>
      </c>
      <c r="B1623" s="275" t="s">
        <v>213</v>
      </c>
      <c r="C1623" s="99" t="s">
        <v>44</v>
      </c>
      <c r="D1623" s="99" t="s">
        <v>1509</v>
      </c>
      <c r="E1623" s="100">
        <v>-810</v>
      </c>
      <c r="F1623" s="110" t="s">
        <v>8</v>
      </c>
      <c r="G1623" s="137" t="s">
        <v>142</v>
      </c>
    </row>
    <row r="1624" spans="1:7" x14ac:dyDescent="0.3">
      <c r="A1624" s="275">
        <v>45905</v>
      </c>
      <c r="B1624" s="275" t="s">
        <v>213</v>
      </c>
      <c r="C1624" s="99" t="s">
        <v>31</v>
      </c>
      <c r="D1624" s="99" t="s">
        <v>1507</v>
      </c>
      <c r="E1624" s="100">
        <v>-1446.81</v>
      </c>
      <c r="F1624" s="110" t="s">
        <v>8</v>
      </c>
      <c r="G1624" s="105" t="s">
        <v>76</v>
      </c>
    </row>
    <row r="1625" spans="1:7" x14ac:dyDescent="0.3">
      <c r="A1625" s="275">
        <v>45905</v>
      </c>
      <c r="B1625" s="275" t="s">
        <v>213</v>
      </c>
      <c r="C1625" s="99" t="s">
        <v>33</v>
      </c>
      <c r="D1625" s="99" t="s">
        <v>1095</v>
      </c>
      <c r="E1625" s="100">
        <v>-3356.61</v>
      </c>
      <c r="F1625" s="110" t="s">
        <v>8</v>
      </c>
      <c r="G1625" s="105" t="s">
        <v>76</v>
      </c>
    </row>
    <row r="1626" spans="1:7" x14ac:dyDescent="0.3">
      <c r="A1626" s="275">
        <v>45905</v>
      </c>
      <c r="B1626" s="275" t="s">
        <v>213</v>
      </c>
      <c r="C1626" s="99" t="s">
        <v>33</v>
      </c>
      <c r="D1626" s="99" t="s">
        <v>1469</v>
      </c>
      <c r="E1626" s="100">
        <v>-485.24</v>
      </c>
      <c r="F1626" s="110" t="s">
        <v>8</v>
      </c>
      <c r="G1626" s="105" t="s">
        <v>76</v>
      </c>
    </row>
    <row r="1627" spans="1:7" x14ac:dyDescent="0.3">
      <c r="A1627" s="275">
        <v>45905</v>
      </c>
      <c r="B1627" s="275" t="s">
        <v>213</v>
      </c>
      <c r="C1627" s="99" t="s">
        <v>17</v>
      </c>
      <c r="D1627" s="99" t="s">
        <v>469</v>
      </c>
      <c r="E1627" s="100">
        <v>-2696.79</v>
      </c>
      <c r="F1627" s="110" t="s">
        <v>8</v>
      </c>
      <c r="G1627" s="105" t="s">
        <v>76</v>
      </c>
    </row>
    <row r="1628" spans="1:7" x14ac:dyDescent="0.3">
      <c r="A1628" s="275">
        <v>45905</v>
      </c>
      <c r="B1628" s="275" t="s">
        <v>213</v>
      </c>
      <c r="C1628" s="99" t="s">
        <v>17</v>
      </c>
      <c r="D1628" s="99" t="s">
        <v>1506</v>
      </c>
      <c r="E1628" s="100">
        <v>-55</v>
      </c>
      <c r="F1628" s="110" t="s">
        <v>8</v>
      </c>
      <c r="G1628" s="105" t="s">
        <v>83</v>
      </c>
    </row>
    <row r="1629" spans="1:7" x14ac:dyDescent="0.3">
      <c r="E1629" s="442">
        <f>SUM(E1612:E1628)</f>
        <v>-508690.12999999995</v>
      </c>
    </row>
    <row r="1643" spans="1:7" x14ac:dyDescent="0.3">
      <c r="A1643" s="918" t="s">
        <v>1558</v>
      </c>
      <c r="B1643" s="918"/>
      <c r="C1643" s="918"/>
      <c r="D1643" s="918"/>
      <c r="E1643" s="918"/>
      <c r="F1643" s="918"/>
      <c r="G1643" s="918"/>
    </row>
    <row r="1644" spans="1:7" ht="45.6" customHeight="1" x14ac:dyDescent="0.3">
      <c r="A1644" s="918"/>
      <c r="B1644" s="918"/>
      <c r="C1644" s="918"/>
      <c r="D1644" s="918"/>
      <c r="E1644" s="918"/>
      <c r="F1644" s="918"/>
      <c r="G1644" s="918"/>
    </row>
    <row r="1645" spans="1:7" x14ac:dyDescent="0.3">
      <c r="A1645" s="275" t="s">
        <v>0</v>
      </c>
      <c r="B1645" s="275" t="s">
        <v>1209</v>
      </c>
      <c r="C1645" s="200" t="s">
        <v>1</v>
      </c>
      <c r="D1645" s="124" t="s">
        <v>2</v>
      </c>
      <c r="E1645" s="129" t="s">
        <v>3</v>
      </c>
      <c r="F1645" s="137" t="s">
        <v>4</v>
      </c>
      <c r="G1645" s="311" t="s">
        <v>5</v>
      </c>
    </row>
    <row r="1646" spans="1:7" x14ac:dyDescent="0.3">
      <c r="A1646" s="275">
        <v>45908</v>
      </c>
      <c r="B1646" s="275" t="s">
        <v>212</v>
      </c>
      <c r="C1646" s="99" t="s">
        <v>17</v>
      </c>
      <c r="D1646" s="99" t="s">
        <v>1291</v>
      </c>
      <c r="E1646" s="100">
        <v>-1752.88</v>
      </c>
      <c r="F1646" s="110" t="s">
        <v>8</v>
      </c>
      <c r="G1646" s="105" t="s">
        <v>19</v>
      </c>
    </row>
    <row r="1647" spans="1:7" x14ac:dyDescent="0.3">
      <c r="A1647" s="275">
        <v>45908</v>
      </c>
      <c r="B1647" s="275" t="s">
        <v>213</v>
      </c>
      <c r="C1647" s="99" t="s">
        <v>25</v>
      </c>
      <c r="D1647" s="99" t="s">
        <v>637</v>
      </c>
      <c r="E1647" s="100">
        <v>-5600</v>
      </c>
      <c r="F1647" s="105" t="s">
        <v>8</v>
      </c>
      <c r="G1647" s="105" t="s">
        <v>189</v>
      </c>
    </row>
    <row r="1648" spans="1:7" x14ac:dyDescent="0.3">
      <c r="A1648" s="275">
        <v>45908</v>
      </c>
      <c r="B1648" s="275" t="s">
        <v>212</v>
      </c>
      <c r="C1648" s="99" t="s">
        <v>17</v>
      </c>
      <c r="D1648" s="99" t="s">
        <v>393</v>
      </c>
      <c r="E1648" s="100">
        <v>-643.76</v>
      </c>
      <c r="F1648" s="110" t="s">
        <v>8</v>
      </c>
      <c r="G1648" s="105" t="s">
        <v>19</v>
      </c>
    </row>
    <row r="1649" spans="1:7" x14ac:dyDescent="0.3">
      <c r="A1649" s="275">
        <v>45908</v>
      </c>
      <c r="B1649" s="275" t="s">
        <v>213</v>
      </c>
      <c r="C1649" s="99" t="s">
        <v>25</v>
      </c>
      <c r="D1649" s="99" t="s">
        <v>1266</v>
      </c>
      <c r="E1649" s="100">
        <v>-5600</v>
      </c>
      <c r="F1649" s="110" t="s">
        <v>8</v>
      </c>
      <c r="G1649" s="137" t="s">
        <v>189</v>
      </c>
    </row>
    <row r="1650" spans="1:7" x14ac:dyDescent="0.3">
      <c r="A1650" s="275">
        <v>45908</v>
      </c>
      <c r="B1650" s="275" t="s">
        <v>213</v>
      </c>
      <c r="C1650" s="99" t="s">
        <v>72</v>
      </c>
      <c r="D1650" s="99" t="s">
        <v>1267</v>
      </c>
      <c r="E1650" s="100">
        <v>-1000</v>
      </c>
      <c r="F1650" s="110" t="s">
        <v>8</v>
      </c>
      <c r="G1650" s="137" t="s">
        <v>189</v>
      </c>
    </row>
    <row r="1651" spans="1:7" x14ac:dyDescent="0.3">
      <c r="A1651" s="275">
        <v>45908</v>
      </c>
      <c r="B1651" s="275" t="s">
        <v>213</v>
      </c>
      <c r="C1651" s="99" t="s">
        <v>17</v>
      </c>
      <c r="D1651" s="99" t="s">
        <v>1324</v>
      </c>
      <c r="E1651" s="100">
        <v>-1000</v>
      </c>
      <c r="F1651" s="110" t="s">
        <v>8</v>
      </c>
      <c r="G1651" s="137" t="s">
        <v>189</v>
      </c>
    </row>
    <row r="1652" spans="1:7" x14ac:dyDescent="0.3">
      <c r="A1652" s="275">
        <v>45908</v>
      </c>
      <c r="B1652" s="275" t="s">
        <v>213</v>
      </c>
      <c r="C1652" s="99" t="s">
        <v>17</v>
      </c>
      <c r="D1652" s="99" t="s">
        <v>469</v>
      </c>
      <c r="E1652" s="100">
        <v>-318.8</v>
      </c>
      <c r="F1652" s="110" t="s">
        <v>8</v>
      </c>
      <c r="G1652" s="105" t="s">
        <v>76</v>
      </c>
    </row>
    <row r="1653" spans="1:7" x14ac:dyDescent="0.3">
      <c r="A1653" s="275">
        <v>45908</v>
      </c>
      <c r="B1653" s="275" t="s">
        <v>213</v>
      </c>
      <c r="C1653" s="99" t="s">
        <v>17</v>
      </c>
      <c r="D1653" s="99" t="s">
        <v>1464</v>
      </c>
      <c r="E1653" s="100">
        <v>-1470</v>
      </c>
      <c r="F1653" s="110" t="s">
        <v>8</v>
      </c>
      <c r="G1653" s="105" t="s">
        <v>1514</v>
      </c>
    </row>
    <row r="1654" spans="1:7" x14ac:dyDescent="0.3">
      <c r="A1654" s="275">
        <v>45908</v>
      </c>
      <c r="B1654" s="275" t="s">
        <v>213</v>
      </c>
      <c r="C1654" s="99" t="s">
        <v>17</v>
      </c>
      <c r="D1654" s="99" t="s">
        <v>397</v>
      </c>
      <c r="E1654" s="100">
        <v>-59.34</v>
      </c>
      <c r="F1654" s="110" t="s">
        <v>8</v>
      </c>
      <c r="G1654" s="137" t="s">
        <v>142</v>
      </c>
    </row>
    <row r="1655" spans="1:7" x14ac:dyDescent="0.3">
      <c r="A1655" s="275">
        <v>45908</v>
      </c>
      <c r="B1655" s="275" t="s">
        <v>213</v>
      </c>
      <c r="C1655" s="109" t="s">
        <v>31</v>
      </c>
      <c r="D1655" s="99" t="s">
        <v>38</v>
      </c>
      <c r="E1655" s="273">
        <v>-701.1</v>
      </c>
      <c r="F1655" s="110" t="s">
        <v>8</v>
      </c>
      <c r="G1655" s="105" t="s">
        <v>39</v>
      </c>
    </row>
    <row r="1656" spans="1:7" x14ac:dyDescent="0.3">
      <c r="A1656" s="275">
        <v>45908</v>
      </c>
      <c r="B1656" s="275" t="s">
        <v>213</v>
      </c>
      <c r="C1656" s="109" t="s">
        <v>13</v>
      </c>
      <c r="D1656" s="272" t="s">
        <v>47</v>
      </c>
      <c r="E1656" s="273">
        <v>-6740</v>
      </c>
      <c r="F1656" s="110" t="s">
        <v>8</v>
      </c>
      <c r="G1656" s="137" t="s">
        <v>27</v>
      </c>
    </row>
    <row r="1657" spans="1:7" x14ac:dyDescent="0.3">
      <c r="A1657" s="275">
        <v>45905</v>
      </c>
      <c r="B1657" s="275" t="s">
        <v>213</v>
      </c>
      <c r="C1657" s="99" t="s">
        <v>17</v>
      </c>
      <c r="D1657" s="99" t="s">
        <v>1468</v>
      </c>
      <c r="E1657" s="100">
        <v>-15000</v>
      </c>
      <c r="F1657" s="110" t="s">
        <v>8</v>
      </c>
      <c r="G1657" s="137" t="s">
        <v>41</v>
      </c>
    </row>
    <row r="1658" spans="1:7" x14ac:dyDescent="0.3">
      <c r="A1658" s="275">
        <v>45908</v>
      </c>
      <c r="B1658" s="275" t="s">
        <v>213</v>
      </c>
      <c r="C1658" s="99" t="s">
        <v>31</v>
      </c>
      <c r="D1658" s="99" t="s">
        <v>1552</v>
      </c>
      <c r="E1658" s="100">
        <v>-1200</v>
      </c>
      <c r="F1658" s="110" t="s">
        <v>8</v>
      </c>
      <c r="G1658" s="137" t="s">
        <v>27</v>
      </c>
    </row>
    <row r="1659" spans="1:7" x14ac:dyDescent="0.3">
      <c r="A1659" s="275">
        <v>45908</v>
      </c>
      <c r="B1659" s="275" t="s">
        <v>213</v>
      </c>
      <c r="C1659" s="99" t="s">
        <v>31</v>
      </c>
      <c r="D1659" s="99" t="s">
        <v>1551</v>
      </c>
      <c r="E1659" s="100">
        <v>-1100</v>
      </c>
      <c r="F1659" s="110" t="s">
        <v>8</v>
      </c>
      <c r="G1659" s="137" t="s">
        <v>27</v>
      </c>
    </row>
    <row r="1660" spans="1:7" x14ac:dyDescent="0.3">
      <c r="A1660" s="275">
        <v>45908</v>
      </c>
      <c r="B1660" s="275" t="s">
        <v>213</v>
      </c>
      <c r="C1660" s="99" t="s">
        <v>31</v>
      </c>
      <c r="D1660" s="99" t="s">
        <v>1553</v>
      </c>
      <c r="E1660" s="100">
        <v>-200</v>
      </c>
      <c r="F1660" s="110" t="s">
        <v>8</v>
      </c>
      <c r="G1660" s="137" t="s">
        <v>27</v>
      </c>
    </row>
    <row r="1661" spans="1:7" x14ac:dyDescent="0.3">
      <c r="A1661" s="275">
        <v>45908</v>
      </c>
      <c r="B1661" s="275" t="s">
        <v>213</v>
      </c>
      <c r="C1661" s="99" t="s">
        <v>31</v>
      </c>
      <c r="D1661" s="99" t="s">
        <v>1554</v>
      </c>
      <c r="E1661" s="100">
        <v>-1000</v>
      </c>
      <c r="F1661" s="110" t="s">
        <v>8</v>
      </c>
      <c r="G1661" s="137" t="s">
        <v>27</v>
      </c>
    </row>
    <row r="1662" spans="1:7" x14ac:dyDescent="0.3">
      <c r="A1662" s="275">
        <v>45908</v>
      </c>
      <c r="B1662" s="275" t="s">
        <v>213</v>
      </c>
      <c r="C1662" s="99" t="s">
        <v>31</v>
      </c>
      <c r="D1662" s="99" t="s">
        <v>1555</v>
      </c>
      <c r="E1662" s="100">
        <v>-750</v>
      </c>
      <c r="F1662" s="110" t="s">
        <v>8</v>
      </c>
      <c r="G1662" s="137" t="s">
        <v>27</v>
      </c>
    </row>
    <row r="1663" spans="1:7" x14ac:dyDescent="0.3">
      <c r="A1663" s="275">
        <v>45908</v>
      </c>
      <c r="B1663" s="275" t="s">
        <v>213</v>
      </c>
      <c r="C1663" s="99" t="s">
        <v>31</v>
      </c>
      <c r="D1663" s="99" t="s">
        <v>1556</v>
      </c>
      <c r="E1663" s="100">
        <v>-900</v>
      </c>
      <c r="F1663" s="110" t="s">
        <v>8</v>
      </c>
      <c r="G1663" s="137" t="s">
        <v>27</v>
      </c>
    </row>
    <row r="1664" spans="1:7" x14ac:dyDescent="0.3">
      <c r="A1664" s="275">
        <v>45908</v>
      </c>
      <c r="B1664" s="275" t="s">
        <v>213</v>
      </c>
      <c r="C1664" s="99" t="s">
        <v>31</v>
      </c>
      <c r="D1664" s="99" t="s">
        <v>1557</v>
      </c>
      <c r="E1664" s="100">
        <v>-1000</v>
      </c>
      <c r="F1664" s="110" t="s">
        <v>8</v>
      </c>
      <c r="G1664" s="137" t="s">
        <v>27</v>
      </c>
    </row>
    <row r="1665" spans="1:7" x14ac:dyDescent="0.3">
      <c r="A1665" s="275">
        <v>45908</v>
      </c>
      <c r="B1665" s="275" t="s">
        <v>213</v>
      </c>
      <c r="C1665" s="99" t="s">
        <v>31</v>
      </c>
      <c r="D1665" s="99" t="s">
        <v>1550</v>
      </c>
      <c r="E1665" s="100">
        <v>-500</v>
      </c>
      <c r="F1665" s="110" t="s">
        <v>8</v>
      </c>
      <c r="G1665" s="137" t="s">
        <v>142</v>
      </c>
    </row>
    <row r="1666" spans="1:7" x14ac:dyDescent="0.3">
      <c r="A1666" s="275">
        <v>45908</v>
      </c>
      <c r="B1666" s="275" t="s">
        <v>213</v>
      </c>
      <c r="C1666" s="99" t="s">
        <v>25</v>
      </c>
      <c r="D1666" s="99" t="s">
        <v>1506</v>
      </c>
      <c r="E1666" s="100">
        <v>-122.4</v>
      </c>
      <c r="F1666" s="110" t="s">
        <v>8</v>
      </c>
      <c r="G1666" s="137" t="s">
        <v>83</v>
      </c>
    </row>
    <row r="1667" spans="1:7" x14ac:dyDescent="0.3">
      <c r="E1667" s="442">
        <f>SUM(E1646:E1666)</f>
        <v>-46658.28</v>
      </c>
    </row>
    <row r="1675" spans="1:7" x14ac:dyDescent="0.3">
      <c r="A1675" s="918" t="s">
        <v>1513</v>
      </c>
      <c r="B1675" s="918"/>
      <c r="C1675" s="918"/>
      <c r="D1675" s="918"/>
      <c r="E1675" s="918"/>
      <c r="F1675" s="918"/>
      <c r="G1675" s="918"/>
    </row>
    <row r="1676" spans="1:7" ht="53.4" customHeight="1" x14ac:dyDescent="0.3">
      <c r="A1676" s="918"/>
      <c r="B1676" s="918"/>
      <c r="C1676" s="918"/>
      <c r="D1676" s="918"/>
      <c r="E1676" s="918"/>
      <c r="F1676" s="918"/>
      <c r="G1676" s="918"/>
    </row>
    <row r="1677" spans="1:7" x14ac:dyDescent="0.3">
      <c r="A1677" s="275" t="s">
        <v>0</v>
      </c>
      <c r="B1677" s="275" t="s">
        <v>1209</v>
      </c>
      <c r="C1677" s="200" t="s">
        <v>1</v>
      </c>
      <c r="D1677" s="124" t="s">
        <v>2</v>
      </c>
      <c r="E1677" s="129" t="s">
        <v>3</v>
      </c>
      <c r="F1677" s="137" t="s">
        <v>4</v>
      </c>
      <c r="G1677" s="311" t="s">
        <v>5</v>
      </c>
    </row>
    <row r="1678" spans="1:7" s="103" customFormat="1" x14ac:dyDescent="0.3">
      <c r="A1678" s="275">
        <v>45905</v>
      </c>
      <c r="B1678" s="275" t="s">
        <v>213</v>
      </c>
      <c r="C1678" s="272" t="s">
        <v>17</v>
      </c>
      <c r="D1678" s="200" t="s">
        <v>18</v>
      </c>
      <c r="E1678" s="126">
        <v>-17235</v>
      </c>
      <c r="F1678" s="110" t="s">
        <v>8</v>
      </c>
      <c r="G1678" s="137" t="s">
        <v>19</v>
      </c>
    </row>
    <row r="1679" spans="1:7" s="103" customFormat="1" x14ac:dyDescent="0.3">
      <c r="A1679" s="275">
        <v>45905</v>
      </c>
      <c r="B1679" s="275" t="s">
        <v>213</v>
      </c>
      <c r="C1679" s="99" t="s">
        <v>44</v>
      </c>
      <c r="D1679" s="99" t="s">
        <v>395</v>
      </c>
      <c r="E1679" s="100">
        <v>-215.21</v>
      </c>
      <c r="F1679" s="110" t="s">
        <v>8</v>
      </c>
      <c r="G1679" s="137" t="s">
        <v>37</v>
      </c>
    </row>
    <row r="1680" spans="1:7" s="103" customFormat="1" x14ac:dyDescent="0.3">
      <c r="A1680" s="275">
        <v>45905</v>
      </c>
      <c r="B1680" s="275" t="s">
        <v>213</v>
      </c>
      <c r="C1680" s="99" t="s">
        <v>106</v>
      </c>
      <c r="D1680" s="99" t="s">
        <v>395</v>
      </c>
      <c r="E1680" s="100">
        <v>-376.91</v>
      </c>
      <c r="F1680" s="110" t="s">
        <v>8</v>
      </c>
      <c r="G1680" s="137" t="s">
        <v>37</v>
      </c>
    </row>
    <row r="1681" spans="1:7" s="103" customFormat="1" x14ac:dyDescent="0.3">
      <c r="A1681" s="275">
        <v>45905</v>
      </c>
      <c r="B1681" s="275" t="s">
        <v>213</v>
      </c>
      <c r="C1681" s="272" t="s">
        <v>6</v>
      </c>
      <c r="D1681" s="200" t="s">
        <v>40</v>
      </c>
      <c r="E1681" s="126">
        <v>-461722.54</v>
      </c>
      <c r="F1681" s="110" t="s">
        <v>8</v>
      </c>
      <c r="G1681" s="137" t="s">
        <v>41</v>
      </c>
    </row>
    <row r="1682" spans="1:7" s="103" customFormat="1" x14ac:dyDescent="0.3">
      <c r="A1682" s="275">
        <v>45905</v>
      </c>
      <c r="B1682" s="275" t="s">
        <v>213</v>
      </c>
      <c r="C1682" s="272" t="s">
        <v>6</v>
      </c>
      <c r="D1682" s="200" t="s">
        <v>42</v>
      </c>
      <c r="E1682" s="273">
        <v>-500</v>
      </c>
      <c r="F1682" s="110" t="s">
        <v>8</v>
      </c>
      <c r="G1682" s="137" t="s">
        <v>41</v>
      </c>
    </row>
    <row r="1683" spans="1:7" s="103" customFormat="1" x14ac:dyDescent="0.3">
      <c r="A1683" s="275">
        <v>45905</v>
      </c>
      <c r="B1683" s="275" t="s">
        <v>213</v>
      </c>
      <c r="C1683" s="272" t="s">
        <v>6</v>
      </c>
      <c r="D1683" s="200" t="s">
        <v>1512</v>
      </c>
      <c r="E1683" s="273">
        <v>-1500</v>
      </c>
      <c r="F1683" s="110" t="s">
        <v>8</v>
      </c>
      <c r="G1683" s="137" t="s">
        <v>41</v>
      </c>
    </row>
    <row r="1684" spans="1:7" s="103" customFormat="1" x14ac:dyDescent="0.3">
      <c r="A1684" s="275">
        <v>45905</v>
      </c>
      <c r="B1684" s="275" t="s">
        <v>213</v>
      </c>
      <c r="C1684" s="272" t="s">
        <v>6</v>
      </c>
      <c r="D1684" s="200" t="s">
        <v>826</v>
      </c>
      <c r="E1684" s="100">
        <v>-1974.52</v>
      </c>
      <c r="F1684" s="110" t="s">
        <v>8</v>
      </c>
      <c r="G1684" s="137" t="s">
        <v>41</v>
      </c>
    </row>
    <row r="1685" spans="1:7" s="103" customFormat="1" x14ac:dyDescent="0.3">
      <c r="A1685" s="275">
        <v>45905</v>
      </c>
      <c r="B1685" s="275" t="s">
        <v>213</v>
      </c>
      <c r="C1685" s="99" t="s">
        <v>44</v>
      </c>
      <c r="D1685" s="99" t="s">
        <v>1510</v>
      </c>
      <c r="E1685" s="100">
        <v>-480</v>
      </c>
      <c r="F1685" s="110" t="s">
        <v>8</v>
      </c>
      <c r="G1685" s="105" t="s">
        <v>233</v>
      </c>
    </row>
    <row r="1686" spans="1:7" s="103" customFormat="1" x14ac:dyDescent="0.3">
      <c r="A1686" s="275">
        <v>45905</v>
      </c>
      <c r="B1686" s="275" t="s">
        <v>213</v>
      </c>
      <c r="C1686" s="99" t="s">
        <v>44</v>
      </c>
      <c r="D1686" s="99" t="s">
        <v>1511</v>
      </c>
      <c r="E1686" s="100">
        <v>-531</v>
      </c>
      <c r="F1686" s="110" t="s">
        <v>8</v>
      </c>
      <c r="G1686" s="105" t="s">
        <v>233</v>
      </c>
    </row>
    <row r="1687" spans="1:7" s="103" customFormat="1" x14ac:dyDescent="0.3">
      <c r="A1687" s="275">
        <v>45905</v>
      </c>
      <c r="B1687" s="275" t="s">
        <v>213</v>
      </c>
      <c r="C1687" s="99" t="s">
        <v>17</v>
      </c>
      <c r="D1687" s="99" t="s">
        <v>205</v>
      </c>
      <c r="E1687" s="100">
        <v>-304.5</v>
      </c>
      <c r="F1687" s="110" t="s">
        <v>8</v>
      </c>
      <c r="G1687" s="105" t="s">
        <v>142</v>
      </c>
    </row>
    <row r="1688" spans="1:7" s="103" customFormat="1" x14ac:dyDescent="0.3">
      <c r="A1688" s="275">
        <v>45905</v>
      </c>
      <c r="B1688" s="275" t="s">
        <v>213</v>
      </c>
      <c r="C1688" s="99" t="s">
        <v>17</v>
      </c>
      <c r="D1688" s="99" t="s">
        <v>1468</v>
      </c>
      <c r="E1688" s="100">
        <v>-15000</v>
      </c>
      <c r="F1688" s="110" t="s">
        <v>8</v>
      </c>
      <c r="G1688" s="137" t="s">
        <v>41</v>
      </c>
    </row>
    <row r="1689" spans="1:7" s="103" customFormat="1" x14ac:dyDescent="0.3">
      <c r="A1689" s="275">
        <v>45905</v>
      </c>
      <c r="B1689" s="275" t="s">
        <v>213</v>
      </c>
      <c r="C1689" s="99" t="s">
        <v>44</v>
      </c>
      <c r="D1689" s="99" t="s">
        <v>1509</v>
      </c>
      <c r="E1689" s="100">
        <v>-810</v>
      </c>
      <c r="F1689" s="110" t="s">
        <v>8</v>
      </c>
      <c r="G1689" s="137" t="s">
        <v>142</v>
      </c>
    </row>
    <row r="1690" spans="1:7" s="103" customFormat="1" x14ac:dyDescent="0.3">
      <c r="A1690" s="275">
        <v>45905</v>
      </c>
      <c r="B1690" s="275" t="s">
        <v>213</v>
      </c>
      <c r="C1690" s="99" t="s">
        <v>31</v>
      </c>
      <c r="D1690" s="99" t="s">
        <v>1507</v>
      </c>
      <c r="E1690" s="100">
        <v>-1446.81</v>
      </c>
      <c r="F1690" s="110" t="s">
        <v>8</v>
      </c>
      <c r="G1690" s="105" t="s">
        <v>76</v>
      </c>
    </row>
    <row r="1691" spans="1:7" s="103" customFormat="1" x14ac:dyDescent="0.3">
      <c r="A1691" s="275">
        <v>45905</v>
      </c>
      <c r="B1691" s="275" t="s">
        <v>213</v>
      </c>
      <c r="C1691" s="99" t="s">
        <v>33</v>
      </c>
      <c r="D1691" s="99" t="s">
        <v>1095</v>
      </c>
      <c r="E1691" s="100">
        <v>-3356.61</v>
      </c>
      <c r="F1691" s="110" t="s">
        <v>8</v>
      </c>
      <c r="G1691" s="105" t="s">
        <v>76</v>
      </c>
    </row>
    <row r="1692" spans="1:7" s="103" customFormat="1" x14ac:dyDescent="0.3">
      <c r="A1692" s="275">
        <v>45905</v>
      </c>
      <c r="B1692" s="275" t="s">
        <v>213</v>
      </c>
      <c r="C1692" s="99" t="s">
        <v>33</v>
      </c>
      <c r="D1692" s="99" t="s">
        <v>1469</v>
      </c>
      <c r="E1692" s="100">
        <v>-485.24</v>
      </c>
      <c r="F1692" s="110" t="s">
        <v>8</v>
      </c>
      <c r="G1692" s="105" t="s">
        <v>76</v>
      </c>
    </row>
    <row r="1693" spans="1:7" s="103" customFormat="1" x14ac:dyDescent="0.3">
      <c r="A1693" s="275">
        <v>45905</v>
      </c>
      <c r="B1693" s="275" t="s">
        <v>213</v>
      </c>
      <c r="C1693" s="99" t="s">
        <v>17</v>
      </c>
      <c r="D1693" s="99" t="s">
        <v>469</v>
      </c>
      <c r="E1693" s="100">
        <v>-2696.79</v>
      </c>
      <c r="F1693" s="110" t="s">
        <v>8</v>
      </c>
      <c r="G1693" s="105" t="s">
        <v>76</v>
      </c>
    </row>
    <row r="1694" spans="1:7" s="103" customFormat="1" x14ac:dyDescent="0.3">
      <c r="A1694" s="275">
        <v>45905</v>
      </c>
      <c r="B1694" s="275" t="s">
        <v>213</v>
      </c>
      <c r="C1694" s="99" t="s">
        <v>17</v>
      </c>
      <c r="D1694" s="99" t="s">
        <v>1506</v>
      </c>
      <c r="E1694" s="100">
        <v>-55</v>
      </c>
      <c r="F1694" s="110" t="s">
        <v>8</v>
      </c>
      <c r="G1694" s="105" t="s">
        <v>83</v>
      </c>
    </row>
    <row r="1695" spans="1:7" x14ac:dyDescent="0.3">
      <c r="E1695" s="442">
        <f>SUM(E1678:E1694)</f>
        <v>-508690.12999999995</v>
      </c>
    </row>
    <row r="1701" spans="1:7" x14ac:dyDescent="0.3">
      <c r="A1701" s="918" t="s">
        <v>1566</v>
      </c>
      <c r="B1701" s="918"/>
      <c r="C1701" s="918"/>
      <c r="D1701" s="918"/>
      <c r="E1701" s="918"/>
      <c r="F1701" s="918"/>
      <c r="G1701" s="918"/>
    </row>
    <row r="1702" spans="1:7" ht="45.6" customHeight="1" x14ac:dyDescent="0.3">
      <c r="A1702" s="918"/>
      <c r="B1702" s="918"/>
      <c r="C1702" s="918"/>
      <c r="D1702" s="918"/>
      <c r="E1702" s="918"/>
      <c r="F1702" s="918"/>
      <c r="G1702" s="918"/>
    </row>
    <row r="1703" spans="1:7" x14ac:dyDescent="0.3">
      <c r="A1703" s="275" t="s">
        <v>0</v>
      </c>
      <c r="B1703" s="275" t="s">
        <v>1209</v>
      </c>
      <c r="C1703" s="200" t="s">
        <v>1</v>
      </c>
      <c r="D1703" s="124" t="s">
        <v>2</v>
      </c>
      <c r="E1703" s="129" t="s">
        <v>3</v>
      </c>
      <c r="F1703" s="137" t="s">
        <v>4</v>
      </c>
      <c r="G1703" s="311" t="s">
        <v>5</v>
      </c>
    </row>
    <row r="1704" spans="1:7" s="103" customFormat="1" x14ac:dyDescent="0.3">
      <c r="A1704" s="98">
        <v>45909</v>
      </c>
      <c r="B1704" s="275" t="s">
        <v>213</v>
      </c>
      <c r="C1704" s="99" t="s">
        <v>72</v>
      </c>
      <c r="D1704" s="99" t="s">
        <v>1221</v>
      </c>
      <c r="E1704" s="100">
        <v>-2592.66</v>
      </c>
      <c r="F1704" s="105" t="s">
        <v>8</v>
      </c>
      <c r="G1704" s="105" t="s">
        <v>233</v>
      </c>
    </row>
    <row r="1705" spans="1:7" s="103" customFormat="1" x14ac:dyDescent="0.3">
      <c r="A1705" s="98">
        <v>45909</v>
      </c>
      <c r="B1705" s="275" t="s">
        <v>213</v>
      </c>
      <c r="C1705" s="99" t="s">
        <v>72</v>
      </c>
      <c r="D1705" s="99" t="s">
        <v>1565</v>
      </c>
      <c r="E1705" s="100">
        <v>-487.53</v>
      </c>
      <c r="F1705" s="105" t="s">
        <v>8</v>
      </c>
      <c r="G1705" s="105" t="s">
        <v>233</v>
      </c>
    </row>
    <row r="1706" spans="1:7" s="103" customFormat="1" x14ac:dyDescent="0.3">
      <c r="A1706" s="98">
        <v>45909</v>
      </c>
      <c r="B1706" s="275" t="s">
        <v>213</v>
      </c>
      <c r="C1706" s="109" t="s">
        <v>106</v>
      </c>
      <c r="D1706" s="99" t="s">
        <v>640</v>
      </c>
      <c r="E1706" s="100">
        <v>-2000</v>
      </c>
      <c r="F1706" s="105" t="s">
        <v>8</v>
      </c>
      <c r="G1706" s="105" t="s">
        <v>189</v>
      </c>
    </row>
    <row r="1707" spans="1:7" x14ac:dyDescent="0.3">
      <c r="E1707" s="910">
        <f>SUM(E1704:E1706)</f>
        <v>-5080.1899999999996</v>
      </c>
    </row>
    <row r="1711" spans="1:7" x14ac:dyDescent="0.3">
      <c r="A1711" s="918" t="s">
        <v>1568</v>
      </c>
      <c r="B1711" s="918"/>
      <c r="C1711" s="918"/>
      <c r="D1711" s="918"/>
      <c r="E1711" s="918"/>
      <c r="F1711" s="918"/>
      <c r="G1711" s="918"/>
    </row>
    <row r="1712" spans="1:7" ht="50.4" customHeight="1" x14ac:dyDescent="0.3">
      <c r="A1712" s="918"/>
      <c r="B1712" s="918"/>
      <c r="C1712" s="918"/>
      <c r="D1712" s="918"/>
      <c r="E1712" s="918"/>
      <c r="F1712" s="918"/>
      <c r="G1712" s="918"/>
    </row>
    <row r="1713" spans="1:7" x14ac:dyDescent="0.3">
      <c r="A1713" s="275" t="s">
        <v>0</v>
      </c>
      <c r="B1713" s="275" t="s">
        <v>1209</v>
      </c>
      <c r="C1713" s="200" t="s">
        <v>1</v>
      </c>
      <c r="D1713" s="124" t="s">
        <v>2</v>
      </c>
      <c r="E1713" s="129" t="s">
        <v>3</v>
      </c>
      <c r="F1713" s="137" t="s">
        <v>4</v>
      </c>
      <c r="G1713" s="311" t="s">
        <v>5</v>
      </c>
    </row>
    <row r="1714" spans="1:7" s="103" customFormat="1" x14ac:dyDescent="0.3">
      <c r="A1714" s="98">
        <v>45910</v>
      </c>
      <c r="B1714" s="275" t="s">
        <v>213</v>
      </c>
      <c r="C1714" s="109" t="s">
        <v>32</v>
      </c>
      <c r="D1714" s="161" t="s">
        <v>48</v>
      </c>
      <c r="E1714" s="100">
        <v>-434.35</v>
      </c>
      <c r="F1714" s="110" t="s">
        <v>8</v>
      </c>
      <c r="G1714" s="105" t="s">
        <v>49</v>
      </c>
    </row>
    <row r="1715" spans="1:7" s="103" customFormat="1" x14ac:dyDescent="0.3">
      <c r="A1715" s="275">
        <v>45910</v>
      </c>
      <c r="B1715" s="275" t="s">
        <v>213</v>
      </c>
      <c r="C1715" s="272" t="s">
        <v>6</v>
      </c>
      <c r="D1715" s="200" t="s">
        <v>52</v>
      </c>
      <c r="E1715" s="100">
        <v>-356.64</v>
      </c>
      <c r="F1715" s="110" t="s">
        <v>8</v>
      </c>
      <c r="G1715" s="137" t="s">
        <v>53</v>
      </c>
    </row>
    <row r="1716" spans="1:7" s="103" customFormat="1" x14ac:dyDescent="0.3">
      <c r="A1716" s="275">
        <v>45910</v>
      </c>
      <c r="B1716" s="275" t="s">
        <v>213</v>
      </c>
      <c r="C1716" s="272" t="s">
        <v>17</v>
      </c>
      <c r="D1716" s="200" t="s">
        <v>512</v>
      </c>
      <c r="E1716" s="273">
        <v>-10500</v>
      </c>
      <c r="F1716" s="110" t="s">
        <v>8</v>
      </c>
      <c r="G1716" s="137" t="s">
        <v>57</v>
      </c>
    </row>
    <row r="1717" spans="1:7" s="103" customFormat="1" x14ac:dyDescent="0.3">
      <c r="A1717" s="275">
        <v>45910</v>
      </c>
      <c r="B1717" s="275" t="s">
        <v>213</v>
      </c>
      <c r="C1717" s="272" t="s">
        <v>31</v>
      </c>
      <c r="D1717" s="200" t="s">
        <v>902</v>
      </c>
      <c r="E1717" s="273">
        <v>-3000</v>
      </c>
      <c r="F1717" s="110" t="s">
        <v>8</v>
      </c>
      <c r="G1717" s="137" t="s">
        <v>59</v>
      </c>
    </row>
    <row r="1718" spans="1:7" s="103" customFormat="1" x14ac:dyDescent="0.3">
      <c r="A1718" s="275">
        <v>45910</v>
      </c>
      <c r="B1718" s="275" t="s">
        <v>213</v>
      </c>
      <c r="C1718" s="272" t="s">
        <v>31</v>
      </c>
      <c r="D1718" s="200" t="s">
        <v>60</v>
      </c>
      <c r="E1718" s="273">
        <v>-3412.15</v>
      </c>
      <c r="F1718" s="110" t="s">
        <v>8</v>
      </c>
      <c r="G1718" s="137" t="s">
        <v>59</v>
      </c>
    </row>
    <row r="1719" spans="1:7" s="103" customFormat="1" x14ac:dyDescent="0.3">
      <c r="A1719" s="275">
        <v>45910</v>
      </c>
      <c r="B1719" s="275" t="s">
        <v>213</v>
      </c>
      <c r="C1719" s="272" t="s">
        <v>44</v>
      </c>
      <c r="D1719" s="200" t="s">
        <v>61</v>
      </c>
      <c r="E1719" s="100">
        <v>-6536.85</v>
      </c>
      <c r="F1719" s="137" t="s">
        <v>8</v>
      </c>
      <c r="G1719" s="137" t="s">
        <v>62</v>
      </c>
    </row>
    <row r="1720" spans="1:7" s="103" customFormat="1" x14ac:dyDescent="0.3">
      <c r="A1720" s="275">
        <v>45910</v>
      </c>
      <c r="B1720" s="275" t="s">
        <v>213</v>
      </c>
      <c r="C1720" s="272" t="s">
        <v>6</v>
      </c>
      <c r="D1720" s="200" t="s">
        <v>63</v>
      </c>
      <c r="E1720" s="100">
        <v>-7479.07</v>
      </c>
      <c r="F1720" s="110" t="s">
        <v>8</v>
      </c>
      <c r="G1720" s="137" t="s">
        <v>64</v>
      </c>
    </row>
    <row r="1721" spans="1:7" s="103" customFormat="1" x14ac:dyDescent="0.3">
      <c r="A1721" s="275">
        <v>45910</v>
      </c>
      <c r="B1721" s="275" t="s">
        <v>213</v>
      </c>
      <c r="C1721" s="488" t="s">
        <v>65</v>
      </c>
      <c r="D1721" s="200" t="s">
        <v>66</v>
      </c>
      <c r="E1721" s="273">
        <v>-442.04</v>
      </c>
      <c r="F1721" s="110" t="s">
        <v>8</v>
      </c>
      <c r="G1721" s="137" t="s">
        <v>39</v>
      </c>
    </row>
    <row r="1722" spans="1:7" s="103" customFormat="1" x14ac:dyDescent="0.3">
      <c r="A1722" s="275">
        <v>45910</v>
      </c>
      <c r="B1722" s="275" t="s">
        <v>213</v>
      </c>
      <c r="C1722" s="272" t="s">
        <v>13</v>
      </c>
      <c r="D1722" s="161" t="s">
        <v>1535</v>
      </c>
      <c r="E1722" s="126">
        <v>-34431.25</v>
      </c>
      <c r="F1722" s="110" t="s">
        <v>8</v>
      </c>
      <c r="G1722" s="105" t="s">
        <v>27</v>
      </c>
    </row>
    <row r="1723" spans="1:7" s="103" customFormat="1" x14ac:dyDescent="0.3">
      <c r="A1723" s="275">
        <v>45910</v>
      </c>
      <c r="B1723" s="275" t="s">
        <v>213</v>
      </c>
      <c r="C1723" s="272" t="s">
        <v>13</v>
      </c>
      <c r="D1723" s="161" t="s">
        <v>1536</v>
      </c>
      <c r="E1723" s="126">
        <v>-13794.61</v>
      </c>
      <c r="F1723" s="110" t="s">
        <v>8</v>
      </c>
      <c r="G1723" s="105" t="s">
        <v>27</v>
      </c>
    </row>
    <row r="1724" spans="1:7" s="103" customFormat="1" x14ac:dyDescent="0.3">
      <c r="A1724" s="275">
        <v>45910</v>
      </c>
      <c r="B1724" s="275" t="s">
        <v>213</v>
      </c>
      <c r="C1724" s="99" t="s">
        <v>25</v>
      </c>
      <c r="D1724" s="161" t="s">
        <v>1516</v>
      </c>
      <c r="E1724" s="100">
        <v>-161.1</v>
      </c>
      <c r="F1724" s="110" t="s">
        <v>8</v>
      </c>
      <c r="G1724" s="105" t="s">
        <v>83</v>
      </c>
    </row>
    <row r="1725" spans="1:7" s="103" customFormat="1" x14ac:dyDescent="0.3">
      <c r="A1725" s="275">
        <v>45910</v>
      </c>
      <c r="B1725" s="275" t="s">
        <v>213</v>
      </c>
      <c r="C1725" s="99" t="s">
        <v>25</v>
      </c>
      <c r="D1725" s="161" t="s">
        <v>1317</v>
      </c>
      <c r="E1725" s="100">
        <v>-321</v>
      </c>
      <c r="F1725" s="110" t="s">
        <v>8</v>
      </c>
      <c r="G1725" s="105" t="s">
        <v>83</v>
      </c>
    </row>
    <row r="1726" spans="1:7" s="103" customFormat="1" x14ac:dyDescent="0.3">
      <c r="A1726" s="275">
        <v>45910</v>
      </c>
      <c r="B1726" s="275" t="s">
        <v>213</v>
      </c>
      <c r="C1726" s="99" t="s">
        <v>25</v>
      </c>
      <c r="D1726" s="161" t="s">
        <v>1491</v>
      </c>
      <c r="E1726" s="100">
        <v>-209.1</v>
      </c>
      <c r="F1726" s="110" t="s">
        <v>8</v>
      </c>
      <c r="G1726" s="105" t="s">
        <v>83</v>
      </c>
    </row>
    <row r="1727" spans="1:7" s="103" customFormat="1" x14ac:dyDescent="0.3">
      <c r="A1727" s="275">
        <v>45910</v>
      </c>
      <c r="B1727" s="275" t="s">
        <v>213</v>
      </c>
      <c r="C1727" s="99" t="s">
        <v>44</v>
      </c>
      <c r="D1727" s="99" t="s">
        <v>1559</v>
      </c>
      <c r="E1727" s="100">
        <v>-140</v>
      </c>
      <c r="F1727" s="110" t="s">
        <v>8</v>
      </c>
      <c r="G1727" s="105" t="s">
        <v>83</v>
      </c>
    </row>
    <row r="1728" spans="1:7" s="103" customFormat="1" x14ac:dyDescent="0.3">
      <c r="A1728" s="275">
        <v>45910</v>
      </c>
      <c r="B1728" s="275" t="s">
        <v>213</v>
      </c>
      <c r="C1728" s="99" t="s">
        <v>25</v>
      </c>
      <c r="D1728" s="99" t="s">
        <v>1560</v>
      </c>
      <c r="E1728" s="100">
        <v>-143.5</v>
      </c>
      <c r="F1728" s="110" t="s">
        <v>8</v>
      </c>
      <c r="G1728" s="105" t="s">
        <v>83</v>
      </c>
    </row>
    <row r="1729" spans="1:7" s="103" customFormat="1" x14ac:dyDescent="0.3">
      <c r="A1729" s="275">
        <v>45910</v>
      </c>
      <c r="B1729" s="275" t="s">
        <v>213</v>
      </c>
      <c r="C1729" s="99" t="s">
        <v>17</v>
      </c>
      <c r="D1729" s="161" t="s">
        <v>1515</v>
      </c>
      <c r="E1729" s="100">
        <v>-363.81</v>
      </c>
      <c r="F1729" s="110" t="s">
        <v>8</v>
      </c>
      <c r="G1729" s="137" t="s">
        <v>41</v>
      </c>
    </row>
    <row r="1730" spans="1:7" s="103" customFormat="1" x14ac:dyDescent="0.3">
      <c r="A1730" s="275">
        <v>45910</v>
      </c>
      <c r="B1730" s="275" t="s">
        <v>213</v>
      </c>
      <c r="C1730" s="99" t="s">
        <v>25</v>
      </c>
      <c r="D1730" s="161" t="s">
        <v>1567</v>
      </c>
      <c r="E1730" s="100">
        <v>-2700</v>
      </c>
      <c r="F1730" s="110" t="s">
        <v>8</v>
      </c>
      <c r="G1730" s="137" t="s">
        <v>27</v>
      </c>
    </row>
    <row r="1731" spans="1:7" s="103" customFormat="1" x14ac:dyDescent="0.3">
      <c r="A1731" s="98">
        <v>45910</v>
      </c>
      <c r="B1731" s="275" t="s">
        <v>213</v>
      </c>
      <c r="C1731" s="109" t="s">
        <v>31</v>
      </c>
      <c r="D1731" s="161" t="s">
        <v>645</v>
      </c>
      <c r="E1731" s="100">
        <v>-1000</v>
      </c>
      <c r="F1731" s="105" t="s">
        <v>8</v>
      </c>
      <c r="G1731" s="105" t="s">
        <v>189</v>
      </c>
    </row>
    <row r="1732" spans="1:7" x14ac:dyDescent="0.3">
      <c r="E1732" s="910">
        <f>SUM(E1714:E1731)</f>
        <v>-85425.470000000016</v>
      </c>
    </row>
    <row r="1740" spans="1:7" x14ac:dyDescent="0.3">
      <c r="A1740" s="918" t="s">
        <v>1588</v>
      </c>
      <c r="B1740" s="918"/>
      <c r="C1740" s="918"/>
      <c r="D1740" s="918"/>
      <c r="E1740" s="918"/>
      <c r="F1740" s="918"/>
      <c r="G1740" s="918"/>
    </row>
    <row r="1741" spans="1:7" ht="51" customHeight="1" x14ac:dyDescent="0.3">
      <c r="A1741" s="918"/>
      <c r="B1741" s="918"/>
      <c r="C1741" s="918"/>
      <c r="D1741" s="918"/>
      <c r="E1741" s="918"/>
      <c r="F1741" s="918"/>
      <c r="G1741" s="918"/>
    </row>
    <row r="1742" spans="1:7" x14ac:dyDescent="0.3">
      <c r="A1742" s="275" t="s">
        <v>0</v>
      </c>
      <c r="B1742" s="275" t="s">
        <v>1209</v>
      </c>
      <c r="C1742" s="200" t="s">
        <v>1</v>
      </c>
      <c r="D1742" s="124" t="s">
        <v>2</v>
      </c>
      <c r="E1742" s="129" t="s">
        <v>3</v>
      </c>
      <c r="F1742" s="137" t="s">
        <v>4</v>
      </c>
      <c r="G1742" s="311" t="s">
        <v>5</v>
      </c>
    </row>
    <row r="1743" spans="1:7" s="103" customFormat="1" x14ac:dyDescent="0.3">
      <c r="A1743" s="275">
        <v>45911</v>
      </c>
      <c r="B1743" s="275" t="s">
        <v>213</v>
      </c>
      <c r="C1743" s="99" t="s">
        <v>44</v>
      </c>
      <c r="D1743" s="99" t="s">
        <v>1585</v>
      </c>
      <c r="E1743" s="100">
        <v>-833</v>
      </c>
      <c r="F1743" s="110" t="s">
        <v>8</v>
      </c>
      <c r="G1743" s="137" t="s">
        <v>142</v>
      </c>
    </row>
    <row r="1744" spans="1:7" s="103" customFormat="1" x14ac:dyDescent="0.3">
      <c r="A1744" s="275">
        <v>45911</v>
      </c>
      <c r="B1744" s="275" t="s">
        <v>213</v>
      </c>
      <c r="C1744" s="99" t="s">
        <v>25</v>
      </c>
      <c r="D1744" s="99" t="s">
        <v>1562</v>
      </c>
      <c r="E1744" s="100">
        <v>-100</v>
      </c>
      <c r="F1744" s="110" t="s">
        <v>8</v>
      </c>
      <c r="G1744" s="105" t="s">
        <v>389</v>
      </c>
    </row>
    <row r="1745" spans="1:7" s="103" customFormat="1" x14ac:dyDescent="0.3">
      <c r="A1745" s="275">
        <v>45911</v>
      </c>
      <c r="B1745" s="275" t="s">
        <v>213</v>
      </c>
      <c r="C1745" s="99" t="s">
        <v>25</v>
      </c>
      <c r="D1745" s="99" t="s">
        <v>1563</v>
      </c>
      <c r="E1745" s="100">
        <v>-400</v>
      </c>
      <c r="F1745" s="110" t="s">
        <v>8</v>
      </c>
      <c r="G1745" s="105" t="s">
        <v>389</v>
      </c>
    </row>
    <row r="1746" spans="1:7" s="103" customFormat="1" x14ac:dyDescent="0.3">
      <c r="A1746" s="275">
        <v>45911</v>
      </c>
      <c r="B1746" s="275" t="s">
        <v>213</v>
      </c>
      <c r="C1746" s="99" t="s">
        <v>72</v>
      </c>
      <c r="D1746" s="99" t="s">
        <v>1561</v>
      </c>
      <c r="E1746" s="100">
        <v>-220.49</v>
      </c>
      <c r="F1746" s="110" t="s">
        <v>8</v>
      </c>
      <c r="G1746" s="105" t="s">
        <v>389</v>
      </c>
    </row>
    <row r="1747" spans="1:7" s="103" customFormat="1" x14ac:dyDescent="0.3">
      <c r="A1747" s="275">
        <v>45911</v>
      </c>
      <c r="B1747" s="275" t="s">
        <v>213</v>
      </c>
      <c r="C1747" s="488" t="s">
        <v>67</v>
      </c>
      <c r="D1747" s="200" t="s">
        <v>68</v>
      </c>
      <c r="E1747" s="100">
        <v>-397.05</v>
      </c>
      <c r="F1747" s="110" t="s">
        <v>8</v>
      </c>
      <c r="G1747" s="137" t="s">
        <v>69</v>
      </c>
    </row>
    <row r="1748" spans="1:7" s="103" customFormat="1" x14ac:dyDescent="0.3">
      <c r="A1748" s="275">
        <v>45911</v>
      </c>
      <c r="B1748" s="275" t="s">
        <v>213</v>
      </c>
      <c r="C1748" s="99" t="s">
        <v>72</v>
      </c>
      <c r="D1748" s="99" t="s">
        <v>1586</v>
      </c>
      <c r="E1748" s="100">
        <v>-886.67</v>
      </c>
      <c r="F1748" s="110" t="s">
        <v>8</v>
      </c>
      <c r="G1748" s="137" t="s">
        <v>233</v>
      </c>
    </row>
    <row r="1749" spans="1:7" s="103" customFormat="1" x14ac:dyDescent="0.3">
      <c r="A1749" s="275">
        <v>45911</v>
      </c>
      <c r="B1749" s="275" t="s">
        <v>213</v>
      </c>
      <c r="C1749" s="99" t="s">
        <v>6</v>
      </c>
      <c r="D1749" s="99" t="s">
        <v>1570</v>
      </c>
      <c r="E1749" s="100">
        <v>-61.5</v>
      </c>
      <c r="F1749" s="110" t="s">
        <v>8</v>
      </c>
      <c r="G1749" s="105" t="s">
        <v>83</v>
      </c>
    </row>
    <row r="1750" spans="1:7" s="103" customFormat="1" x14ac:dyDescent="0.3">
      <c r="A1750" s="275">
        <v>45911</v>
      </c>
      <c r="B1750" s="275" t="s">
        <v>213</v>
      </c>
      <c r="C1750" s="99" t="s">
        <v>25</v>
      </c>
      <c r="D1750" s="99" t="s">
        <v>1571</v>
      </c>
      <c r="E1750" s="100">
        <v>-280</v>
      </c>
      <c r="F1750" s="110" t="s">
        <v>8</v>
      </c>
      <c r="G1750" s="105" t="s">
        <v>83</v>
      </c>
    </row>
    <row r="1751" spans="1:7" s="103" customFormat="1" x14ac:dyDescent="0.3">
      <c r="A1751" s="275">
        <v>45911</v>
      </c>
      <c r="B1751" s="275" t="s">
        <v>213</v>
      </c>
      <c r="C1751" s="99" t="s">
        <v>25</v>
      </c>
      <c r="D1751" s="99" t="s">
        <v>1572</v>
      </c>
      <c r="E1751" s="100">
        <v>-289</v>
      </c>
      <c r="F1751" s="110" t="s">
        <v>8</v>
      </c>
      <c r="G1751" s="105" t="s">
        <v>83</v>
      </c>
    </row>
    <row r="1752" spans="1:7" s="103" customFormat="1" x14ac:dyDescent="0.3">
      <c r="A1752" s="275">
        <v>45911</v>
      </c>
      <c r="B1752" s="275" t="s">
        <v>213</v>
      </c>
      <c r="C1752" s="99" t="s">
        <v>25</v>
      </c>
      <c r="D1752" s="99" t="s">
        <v>1573</v>
      </c>
      <c r="E1752" s="100">
        <v>-205</v>
      </c>
      <c r="F1752" s="110" t="s">
        <v>8</v>
      </c>
      <c r="G1752" s="105" t="s">
        <v>83</v>
      </c>
    </row>
    <row r="1753" spans="1:7" s="103" customFormat="1" x14ac:dyDescent="0.3">
      <c r="A1753" s="275">
        <v>45911</v>
      </c>
      <c r="B1753" s="275" t="s">
        <v>213</v>
      </c>
      <c r="C1753" s="99" t="s">
        <v>32</v>
      </c>
      <c r="D1753" s="99" t="s">
        <v>1574</v>
      </c>
      <c r="E1753" s="100">
        <v>-205</v>
      </c>
      <c r="F1753" s="110" t="s">
        <v>8</v>
      </c>
      <c r="G1753" s="105" t="s">
        <v>83</v>
      </c>
    </row>
    <row r="1754" spans="1:7" s="103" customFormat="1" x14ac:dyDescent="0.3">
      <c r="A1754" s="275">
        <v>45911</v>
      </c>
      <c r="B1754" s="275" t="s">
        <v>213</v>
      </c>
      <c r="C1754" s="99" t="s">
        <v>25</v>
      </c>
      <c r="D1754" s="99" t="s">
        <v>1587</v>
      </c>
      <c r="E1754" s="100">
        <v>-12.3</v>
      </c>
      <c r="F1754" s="110" t="s">
        <v>8</v>
      </c>
      <c r="G1754" s="105" t="s">
        <v>83</v>
      </c>
    </row>
    <row r="1755" spans="1:7" s="103" customFormat="1" x14ac:dyDescent="0.3">
      <c r="A1755" s="98">
        <v>45911</v>
      </c>
      <c r="B1755" s="275" t="s">
        <v>213</v>
      </c>
      <c r="C1755" s="717" t="s">
        <v>25</v>
      </c>
      <c r="D1755" s="99" t="s">
        <v>1564</v>
      </c>
      <c r="E1755" s="100">
        <v>-600</v>
      </c>
      <c r="F1755" s="110" t="s">
        <v>8</v>
      </c>
      <c r="G1755" s="105" t="s">
        <v>27</v>
      </c>
    </row>
    <row r="1756" spans="1:7" x14ac:dyDescent="0.3">
      <c r="E1756" s="910">
        <f>SUM(E1743:E1755)</f>
        <v>-4490.01</v>
      </c>
    </row>
  </sheetData>
  <mergeCells count="52">
    <mergeCell ref="A1740:G1741"/>
    <mergeCell ref="A569:G570"/>
    <mergeCell ref="A1007:G1008"/>
    <mergeCell ref="A533:G534"/>
    <mergeCell ref="A935:G936"/>
    <mergeCell ref="A950:G951"/>
    <mergeCell ref="A905:G906"/>
    <mergeCell ref="A636:G637"/>
    <mergeCell ref="A602:G603"/>
    <mergeCell ref="A879:G880"/>
    <mergeCell ref="A866:G867"/>
    <mergeCell ref="A711:G712"/>
    <mergeCell ref="A991:G992"/>
    <mergeCell ref="A673:G674"/>
    <mergeCell ref="A661:G662"/>
    <mergeCell ref="A840:G841"/>
    <mergeCell ref="A158:G159"/>
    <mergeCell ref="A506:G507"/>
    <mergeCell ref="A458:G459"/>
    <mergeCell ref="A405:G406"/>
    <mergeCell ref="A374:G375"/>
    <mergeCell ref="A329:G330"/>
    <mergeCell ref="A252:G253"/>
    <mergeCell ref="A206:G207"/>
    <mergeCell ref="A219:G220"/>
    <mergeCell ref="A127:G128"/>
    <mergeCell ref="A2:G3"/>
    <mergeCell ref="A23:G24"/>
    <mergeCell ref="A41:G42"/>
    <mergeCell ref="A68:G69"/>
    <mergeCell ref="A103:G104"/>
    <mergeCell ref="A1558:G1559"/>
    <mergeCell ref="A1591:G1592"/>
    <mergeCell ref="A786:G787"/>
    <mergeCell ref="A1251:G1252"/>
    <mergeCell ref="A1171:G1172"/>
    <mergeCell ref="A1078:G1079"/>
    <mergeCell ref="A1019:G1020"/>
    <mergeCell ref="A825:G826"/>
    <mergeCell ref="A1354:G1355"/>
    <mergeCell ref="A1330:G1331"/>
    <mergeCell ref="A1305:G1306"/>
    <mergeCell ref="A1118:G1119"/>
    <mergeCell ref="A1505:G1506"/>
    <mergeCell ref="A1399:G1400"/>
    <mergeCell ref="A1371:G1372"/>
    <mergeCell ref="A1711:G1712"/>
    <mergeCell ref="A1643:G1644"/>
    <mergeCell ref="A1675:G1676"/>
    <mergeCell ref="A1609:G1610"/>
    <mergeCell ref="A1571:G1572"/>
    <mergeCell ref="A1701:G1702"/>
  </mergeCells>
  <conditionalFormatting sqref="E639">
    <cfRule type="colorScale" priority="307">
      <colorScale>
        <cfvo type="min"/>
        <cfvo type="max"/>
        <color rgb="FFF8696B"/>
        <color rgb="FFFCFCFF"/>
      </colorScale>
    </cfRule>
  </conditionalFormatting>
  <conditionalFormatting sqref="E667">
    <cfRule type="colorScale" priority="297">
      <colorScale>
        <cfvo type="min"/>
        <cfvo type="max"/>
        <color rgb="FFF8696B"/>
        <color rgb="FFFCFCFF"/>
      </colorScale>
    </cfRule>
  </conditionalFormatting>
  <conditionalFormatting sqref="E681">
    <cfRule type="colorScale" priority="292">
      <colorScale>
        <cfvo type="min"/>
        <cfvo type="max"/>
        <color rgb="FFF8696B"/>
        <color rgb="FFFCFCFF"/>
      </colorScale>
    </cfRule>
  </conditionalFormatting>
  <conditionalFormatting sqref="E1443">
    <cfRule type="colorScale" priority="73">
      <colorScale>
        <cfvo type="min"/>
        <cfvo type="max"/>
        <color rgb="FFF8696B"/>
        <color rgb="FFFCFCFF"/>
      </colorScale>
    </cfRule>
  </conditionalFormatting>
  <conditionalFormatting sqref="F4:F19">
    <cfRule type="colorScale" priority="477">
      <colorScale>
        <cfvo type="min"/>
        <cfvo type="max"/>
        <color rgb="FFF8696B"/>
        <color rgb="FFFCFCFF"/>
      </colorScale>
    </cfRule>
  </conditionalFormatting>
  <conditionalFormatting sqref="F25:F33 F39 F35:F36">
    <cfRule type="colorScale" priority="468">
      <colorScale>
        <cfvo type="min"/>
        <cfvo type="max"/>
        <color rgb="FFF8696B"/>
        <color rgb="FFFCFCFF"/>
      </colorScale>
    </cfRule>
  </conditionalFormatting>
  <conditionalFormatting sqref="F34">
    <cfRule type="colorScale" priority="461">
      <colorScale>
        <cfvo type="min"/>
        <cfvo type="max"/>
        <color rgb="FFF8696B"/>
        <color rgb="FFFCFCFF"/>
      </colorScale>
    </cfRule>
  </conditionalFormatting>
  <conditionalFormatting sqref="F37:F38">
    <cfRule type="colorScale" priority="459">
      <colorScale>
        <cfvo type="min"/>
        <cfvo type="max"/>
        <color rgb="FFF8696B"/>
        <color rgb="FFFCFCFF"/>
      </colorScale>
    </cfRule>
  </conditionalFormatting>
  <conditionalFormatting sqref="F60">
    <cfRule type="colorScale" priority="454">
      <colorScale>
        <cfvo type="min"/>
        <cfvo type="max"/>
        <color rgb="FFF8696B"/>
        <color rgb="FFFCFCFF"/>
      </colorScale>
    </cfRule>
  </conditionalFormatting>
  <conditionalFormatting sqref="F61:F65 F43:F59">
    <cfRule type="colorScale" priority="458">
      <colorScale>
        <cfvo type="min"/>
        <cfvo type="max"/>
        <color rgb="FFF8696B"/>
        <color rgb="FFFCFCFF"/>
      </colorScale>
    </cfRule>
  </conditionalFormatting>
  <conditionalFormatting sqref="F80:F81">
    <cfRule type="colorScale" priority="448">
      <colorScale>
        <cfvo type="min"/>
        <cfvo type="max"/>
        <color rgb="FFF8696B"/>
        <color rgb="FFFCFCFF"/>
      </colorScale>
    </cfRule>
  </conditionalFormatting>
  <conditionalFormatting sqref="F82:F99 F70:F79">
    <cfRule type="colorScale" priority="450">
      <colorScale>
        <cfvo type="min"/>
        <cfvo type="max"/>
        <color rgb="FFF8696B"/>
        <color rgb="FFFCFCFF"/>
      </colorScale>
    </cfRule>
  </conditionalFormatting>
  <conditionalFormatting sqref="F105:F121">
    <cfRule type="colorScale" priority="439">
      <colorScale>
        <cfvo type="min"/>
        <cfvo type="max"/>
        <color rgb="FFF8696B"/>
        <color rgb="FFFCFCFF"/>
      </colorScale>
    </cfRule>
  </conditionalFormatting>
  <conditionalFormatting sqref="F129:F137 F154">
    <cfRule type="colorScale" priority="435">
      <colorScale>
        <cfvo type="min"/>
        <cfvo type="max"/>
        <color rgb="FFF8696B"/>
        <color rgb="FFFCFCFF"/>
      </colorScale>
    </cfRule>
  </conditionalFormatting>
  <conditionalFormatting sqref="F138:F144">
    <cfRule type="colorScale" priority="429">
      <colorScale>
        <cfvo type="min"/>
        <cfvo type="max"/>
        <color rgb="FFF8696B"/>
        <color rgb="FFFCFCFF"/>
      </colorScale>
    </cfRule>
  </conditionalFormatting>
  <conditionalFormatting sqref="F145:F146">
    <cfRule type="colorScale" priority="430">
      <colorScale>
        <cfvo type="min"/>
        <cfvo type="max"/>
        <color rgb="FFF8696B"/>
        <color rgb="FFFCFCFF"/>
      </colorScale>
    </cfRule>
  </conditionalFormatting>
  <conditionalFormatting sqref="F178">
    <cfRule type="colorScale" priority="426">
      <colorScale>
        <cfvo type="min"/>
        <cfvo type="max"/>
        <color rgb="FFF8696B"/>
        <color rgb="FFFCFCFF"/>
      </colorScale>
    </cfRule>
  </conditionalFormatting>
  <conditionalFormatting sqref="F179:F180">
    <cfRule type="colorScale" priority="424">
      <colorScale>
        <cfvo type="min"/>
        <cfvo type="max"/>
        <color rgb="FFF8696B"/>
        <color rgb="FFFCFCFF"/>
      </colorScale>
    </cfRule>
  </conditionalFormatting>
  <conditionalFormatting sqref="F181">
    <cfRule type="colorScale" priority="419">
      <colorScale>
        <cfvo type="min"/>
        <cfvo type="max"/>
        <color rgb="FFF8696B"/>
        <color rgb="FFFCFCFF"/>
      </colorScale>
    </cfRule>
  </conditionalFormatting>
  <conditionalFormatting sqref="F182:F197 F160:F177">
    <cfRule type="colorScale" priority="427">
      <colorScale>
        <cfvo type="min"/>
        <cfvo type="max"/>
        <color rgb="FFF8696B"/>
        <color rgb="FFFCFCFF"/>
      </colorScale>
    </cfRule>
  </conditionalFormatting>
  <conditionalFormatting sqref="F198:F200">
    <cfRule type="colorScale" priority="412">
      <colorScale>
        <cfvo type="min"/>
        <cfvo type="max"/>
        <color rgb="FFF8696B"/>
        <color rgb="FFFCFCFF"/>
      </colorScale>
    </cfRule>
  </conditionalFormatting>
  <conditionalFormatting sqref="F201">
    <cfRule type="colorScale" priority="410">
      <colorScale>
        <cfvo type="min"/>
        <cfvo type="max"/>
        <color rgb="FFF8696B"/>
        <color rgb="FFFCFCFF"/>
      </colorScale>
    </cfRule>
  </conditionalFormatting>
  <conditionalFormatting sqref="F209">
    <cfRule type="colorScale" priority="407">
      <colorScale>
        <cfvo type="min"/>
        <cfvo type="max"/>
        <color rgb="FFF8696B"/>
        <color rgb="FFFCFCFF"/>
      </colorScale>
    </cfRule>
  </conditionalFormatting>
  <conditionalFormatting sqref="F210:F212">
    <cfRule type="colorScale" priority="405">
      <colorScale>
        <cfvo type="min"/>
        <cfvo type="max"/>
        <color rgb="FFF8696B"/>
        <color rgb="FFFCFCFF"/>
      </colorScale>
    </cfRule>
  </conditionalFormatting>
  <conditionalFormatting sqref="F208 F213">
    <cfRule type="colorScale" priority="409">
      <colorScale>
        <cfvo type="min"/>
        <cfvo type="max"/>
        <color rgb="FFF8696B"/>
        <color rgb="FFFCFCFF"/>
      </colorScale>
    </cfRule>
  </conditionalFormatting>
  <conditionalFormatting sqref="F223">
    <cfRule type="colorScale" priority="402">
      <colorScale>
        <cfvo type="min"/>
        <cfvo type="max"/>
        <color rgb="FFF8696B"/>
        <color rgb="FFFCFCFF"/>
      </colorScale>
    </cfRule>
  </conditionalFormatting>
  <conditionalFormatting sqref="F224">
    <cfRule type="colorScale" priority="400">
      <colorScale>
        <cfvo type="min"/>
        <cfvo type="max"/>
        <color rgb="FFF8696B"/>
        <color rgb="FFFCFCFF"/>
      </colorScale>
    </cfRule>
  </conditionalFormatting>
  <conditionalFormatting sqref="F227:F228">
    <cfRule type="colorScale" priority="393">
      <colorScale>
        <cfvo type="min"/>
        <cfvo type="max"/>
        <color rgb="FFF8696B"/>
        <color rgb="FFFCFCFF"/>
      </colorScale>
    </cfRule>
  </conditionalFormatting>
  <conditionalFormatting sqref="F229:F232">
    <cfRule type="colorScale" priority="397">
      <colorScale>
        <cfvo type="min"/>
        <cfvo type="max"/>
        <color rgb="FFF8696B"/>
        <color rgb="FFFCFCFF"/>
      </colorScale>
    </cfRule>
  </conditionalFormatting>
  <conditionalFormatting sqref="F233:F244 F221:F222 F225:F226">
    <cfRule type="colorScale" priority="403">
      <colorScale>
        <cfvo type="min"/>
        <cfvo type="max"/>
        <color rgb="FFF8696B"/>
        <color rgb="FFFCFCFF"/>
      </colorScale>
    </cfRule>
  </conditionalFormatting>
  <conditionalFormatting sqref="F285">
    <cfRule type="colorScale" priority="390">
      <colorScale>
        <cfvo type="min"/>
        <cfvo type="max"/>
        <color rgb="FFF8696B"/>
        <color rgb="FFFCFCFF"/>
      </colorScale>
    </cfRule>
  </conditionalFormatting>
  <conditionalFormatting sqref="F286:F325 F254:F284">
    <cfRule type="colorScale" priority="391">
      <colorScale>
        <cfvo type="min"/>
        <cfvo type="max"/>
        <color rgb="FFF8696B"/>
        <color rgb="FFFCFCFF"/>
      </colorScale>
    </cfRule>
  </conditionalFormatting>
  <conditionalFormatting sqref="F331:F366">
    <cfRule type="colorScale" priority="383">
      <colorScale>
        <cfvo type="min"/>
        <cfvo type="max"/>
        <color rgb="FFF8696B"/>
        <color rgb="FFFCFCFF"/>
      </colorScale>
    </cfRule>
  </conditionalFormatting>
  <conditionalFormatting sqref="F376:F401">
    <cfRule type="colorScale" priority="373">
      <colorScale>
        <cfvo type="min"/>
        <cfvo type="max"/>
        <color rgb="FFF8696B"/>
        <color rgb="FFFCFCFF"/>
      </colorScale>
    </cfRule>
  </conditionalFormatting>
  <conditionalFormatting sqref="F407:F445">
    <cfRule type="colorScale" priority="4121">
      <colorScale>
        <cfvo type="min"/>
        <cfvo type="max"/>
        <color rgb="FFF8696B"/>
        <color rgb="FFFCFCFF"/>
      </colorScale>
    </cfRule>
  </conditionalFormatting>
  <conditionalFormatting sqref="F446">
    <cfRule type="colorScale" priority="363">
      <colorScale>
        <cfvo type="min"/>
        <cfvo type="max"/>
        <color rgb="FFF8696B"/>
        <color rgb="FFFCFCFF"/>
      </colorScale>
    </cfRule>
  </conditionalFormatting>
  <conditionalFormatting sqref="F447:F448">
    <cfRule type="colorScale" priority="362">
      <colorScale>
        <cfvo type="min"/>
        <cfvo type="max"/>
        <color rgb="FFF8696B"/>
        <color rgb="FFFCFCFF"/>
      </colorScale>
    </cfRule>
  </conditionalFormatting>
  <conditionalFormatting sqref="F449:F453">
    <cfRule type="colorScale" priority="361">
      <colorScale>
        <cfvo type="min"/>
        <cfvo type="max"/>
        <color rgb="FFF8696B"/>
        <color rgb="FFFCFCFF"/>
      </colorScale>
    </cfRule>
  </conditionalFormatting>
  <conditionalFormatting sqref="F460:F500">
    <cfRule type="colorScale" priority="360">
      <colorScale>
        <cfvo type="min"/>
        <cfvo type="max"/>
        <color rgb="FFF8696B"/>
        <color rgb="FFFCFCFF"/>
      </colorScale>
    </cfRule>
  </conditionalFormatting>
  <conditionalFormatting sqref="F508:F509 F519:F521">
    <cfRule type="colorScale" priority="351">
      <colorScale>
        <cfvo type="min"/>
        <cfvo type="max"/>
        <color rgb="FFF8696B"/>
        <color rgb="FFFCFCFF"/>
      </colorScale>
    </cfRule>
  </conditionalFormatting>
  <conditionalFormatting sqref="F510:F518">
    <cfRule type="colorScale" priority="350">
      <colorScale>
        <cfvo type="min"/>
        <cfvo type="max"/>
        <color rgb="FFF8696B"/>
        <color rgb="FFFCFCFF"/>
      </colorScale>
    </cfRule>
  </conditionalFormatting>
  <conditionalFormatting sqref="F522:F524">
    <cfRule type="colorScale" priority="345">
      <colorScale>
        <cfvo type="min"/>
        <cfvo type="max"/>
        <color rgb="FFF8696B"/>
        <color rgb="FFFCFCFF"/>
      </colorScale>
    </cfRule>
  </conditionalFormatting>
  <conditionalFormatting sqref="F525:F527">
    <cfRule type="colorScale" priority="344">
      <colorScale>
        <cfvo type="min"/>
        <cfvo type="max"/>
        <color rgb="FFF8696B"/>
        <color rgb="FFFCFCFF"/>
      </colorScale>
    </cfRule>
  </conditionalFormatting>
  <conditionalFormatting sqref="F535:F564">
    <cfRule type="colorScale" priority="341">
      <colorScale>
        <cfvo type="min"/>
        <cfvo type="max"/>
        <color rgb="FFF8696B"/>
        <color rgb="FFFCFCFF"/>
      </colorScale>
    </cfRule>
  </conditionalFormatting>
  <conditionalFormatting sqref="F536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{326BCCA0-3558-4E2E-9780-34DC0645DDB8}</x14:id>
        </ext>
      </extLst>
    </cfRule>
  </conditionalFormatting>
  <conditionalFormatting sqref="F586:F591">
    <cfRule type="colorScale" priority="330">
      <colorScale>
        <cfvo type="min"/>
        <cfvo type="max"/>
        <color rgb="FFF8696B"/>
        <color rgb="FFFCFCFF"/>
      </colorScale>
    </cfRule>
  </conditionalFormatting>
  <conditionalFormatting sqref="F592:F594 F571:F585">
    <cfRule type="colorScale" priority="334">
      <colorScale>
        <cfvo type="min"/>
        <cfvo type="max"/>
        <color rgb="FFF8696B"/>
        <color rgb="FFFCFCFF"/>
      </colorScale>
    </cfRule>
  </conditionalFormatting>
  <conditionalFormatting sqref="F604:F617">
    <cfRule type="colorScale" priority="327">
      <colorScale>
        <cfvo type="min"/>
        <cfvo type="max"/>
        <color rgb="FFF8696B"/>
        <color rgb="FFFCFCFF"/>
      </colorScale>
    </cfRule>
  </conditionalFormatting>
  <conditionalFormatting sqref="F618:F619">
    <cfRule type="colorScale" priority="322">
      <colorScale>
        <cfvo type="min"/>
        <cfvo type="max"/>
        <color rgb="FFF8696B"/>
        <color rgb="FFFCFCFF"/>
      </colorScale>
    </cfRule>
  </conditionalFormatting>
  <conditionalFormatting sqref="F620">
    <cfRule type="colorScale" priority="321">
      <colorScale>
        <cfvo type="min"/>
        <cfvo type="max"/>
        <color rgb="FFF8696B"/>
        <color rgb="FFFCFCFF"/>
      </colorScale>
    </cfRule>
  </conditionalFormatting>
  <conditionalFormatting sqref="F621">
    <cfRule type="colorScale" priority="313">
      <colorScale>
        <cfvo type="min"/>
        <cfvo type="max"/>
        <color rgb="FFF8696B"/>
        <color rgb="FFFCFCFF"/>
      </colorScale>
    </cfRule>
  </conditionalFormatting>
  <conditionalFormatting sqref="F622">
    <cfRule type="colorScale" priority="315">
      <colorScale>
        <cfvo type="min"/>
        <cfvo type="max"/>
        <color rgb="FFF8696B"/>
        <color rgb="FFFCFCFF"/>
      </colorScale>
    </cfRule>
  </conditionalFormatting>
  <conditionalFormatting sqref="F623:F627 F629:F630">
    <cfRule type="colorScale" priority="319">
      <colorScale>
        <cfvo type="min"/>
        <cfvo type="max"/>
        <color rgb="FFF8696B"/>
        <color rgb="FFFCFCFF"/>
      </colorScale>
    </cfRule>
  </conditionalFormatting>
  <conditionalFormatting sqref="F628">
    <cfRule type="colorScale" priority="310">
      <colorScale>
        <cfvo type="min"/>
        <cfvo type="max"/>
        <color rgb="FFF8696B"/>
        <color rgb="FFFCFCFF"/>
      </colorScale>
    </cfRule>
  </conditionalFormatting>
  <conditionalFormatting sqref="F631">
    <cfRule type="colorScale" priority="318">
      <colorScale>
        <cfvo type="min"/>
        <cfvo type="max"/>
        <color rgb="FFF8696B"/>
        <color rgb="FFFCFCFF"/>
      </colorScale>
    </cfRule>
  </conditionalFormatting>
  <conditionalFormatting sqref="F638:F657">
    <cfRule type="colorScale" priority="308">
      <colorScale>
        <cfvo type="min"/>
        <cfvo type="max"/>
        <color rgb="FFF8696B"/>
        <color rgb="FFFCFCFF"/>
      </colorScale>
    </cfRule>
  </conditionalFormatting>
  <conditionalFormatting sqref="F654:F656">
    <cfRule type="colorScale" priority="303">
      <colorScale>
        <cfvo type="min"/>
        <cfvo type="max"/>
        <color rgb="FFF8696B"/>
        <color rgb="FFFCFCFF"/>
      </colorScale>
    </cfRule>
  </conditionalFormatting>
  <conditionalFormatting sqref="F663:F667">
    <cfRule type="colorScale" priority="299">
      <colorScale>
        <cfvo type="min"/>
        <cfvo type="max"/>
        <color rgb="FFF8696B"/>
        <color rgb="FFFCFCFF"/>
      </colorScale>
    </cfRule>
  </conditionalFormatting>
  <conditionalFormatting sqref="F665:F667">
    <cfRule type="colorScale" priority="298">
      <colorScale>
        <cfvo type="min"/>
        <cfvo type="max"/>
        <color rgb="FFF8696B"/>
        <color rgb="FFFCFCFF"/>
      </colorScale>
    </cfRule>
  </conditionalFormatting>
  <conditionalFormatting sqref="F679">
    <cfRule type="colorScale" priority="295">
      <colorScale>
        <cfvo type="min"/>
        <cfvo type="max"/>
        <color rgb="FFF8696B"/>
        <color rgb="FFFCFCFF"/>
      </colorScale>
    </cfRule>
  </conditionalFormatting>
  <conditionalFormatting sqref="F680">
    <cfRule type="colorScale" priority="293">
      <colorScale>
        <cfvo type="min"/>
        <cfvo type="max"/>
        <color rgb="FFF8696B"/>
        <color rgb="FFFCFCFF"/>
      </colorScale>
    </cfRule>
  </conditionalFormatting>
  <conditionalFormatting sqref="F681:F703 F675:F678">
    <cfRule type="colorScale" priority="296">
      <colorScale>
        <cfvo type="min"/>
        <cfvo type="max"/>
        <color rgb="FFF8696B"/>
        <color rgb="FFFCFCFF"/>
      </colorScale>
    </cfRule>
  </conditionalFormatting>
  <conditionalFormatting sqref="F739:F744">
    <cfRule type="colorScale" priority="278">
      <colorScale>
        <cfvo type="min"/>
        <cfvo type="max"/>
        <color rgb="FFF8696B"/>
        <color rgb="FFFCFCFF"/>
      </colorScale>
    </cfRule>
  </conditionalFormatting>
  <conditionalFormatting sqref="F745">
    <cfRule type="colorScale" priority="277">
      <colorScale>
        <cfvo type="min"/>
        <cfvo type="max"/>
        <color rgb="FFF8696B"/>
        <color rgb="FFFCFCFF"/>
      </colorScale>
    </cfRule>
  </conditionalFormatting>
  <conditionalFormatting sqref="F746">
    <cfRule type="colorScale" priority="276">
      <colorScale>
        <cfvo type="min"/>
        <cfvo type="max"/>
        <color rgb="FFF8696B"/>
        <color rgb="FFFCFCFF"/>
      </colorScale>
    </cfRule>
  </conditionalFormatting>
  <conditionalFormatting sqref="F747">
    <cfRule type="colorScale" priority="275">
      <colorScale>
        <cfvo type="min"/>
        <cfvo type="max"/>
        <color rgb="FFF8696B"/>
        <color rgb="FFFCFCFF"/>
      </colorScale>
    </cfRule>
  </conditionalFormatting>
  <conditionalFormatting sqref="F748">
    <cfRule type="colorScale" priority="274">
      <colorScale>
        <cfvo type="min"/>
        <cfvo type="max"/>
        <color rgb="FFF8696B"/>
        <color rgb="FFFCFCFF"/>
      </colorScale>
    </cfRule>
  </conditionalFormatting>
  <conditionalFormatting sqref="F749">
    <cfRule type="colorScale" priority="273">
      <colorScale>
        <cfvo type="min"/>
        <cfvo type="max"/>
        <color rgb="FFF8696B"/>
        <color rgb="FFFCFCFF"/>
      </colorScale>
    </cfRule>
  </conditionalFormatting>
  <conditionalFormatting sqref="F750:F777 F713:F738">
    <cfRule type="colorScale" priority="285">
      <colorScale>
        <cfvo type="min"/>
        <cfvo type="max"/>
        <color rgb="FFF8696B"/>
        <color rgb="FFFCFCFF"/>
      </colorScale>
    </cfRule>
  </conditionalFormatting>
  <conditionalFormatting sqref="F778:F779">
    <cfRule type="colorScale" priority="256">
      <colorScale>
        <cfvo type="min"/>
        <cfvo type="max"/>
        <color rgb="FFF8696B"/>
        <color rgb="FFFCFCFF"/>
      </colorScale>
    </cfRule>
  </conditionalFormatting>
  <conditionalFormatting sqref="F788:F791">
    <cfRule type="colorScale" priority="255">
      <colorScale>
        <cfvo type="min"/>
        <cfvo type="max"/>
        <color rgb="FFF8696B"/>
        <color rgb="FFFCFCFF"/>
      </colorScale>
    </cfRule>
  </conditionalFormatting>
  <conditionalFormatting sqref="F792">
    <cfRule type="dataBar" priority="2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{5038A5F4-0542-4C9D-BD32-C749492910B0}</x14:id>
        </ext>
      </extLst>
    </cfRule>
  </conditionalFormatting>
  <conditionalFormatting sqref="F792:F802">
    <cfRule type="colorScale" priority="252">
      <colorScale>
        <cfvo type="min"/>
        <cfvo type="max"/>
        <color rgb="FFF8696B"/>
        <color rgb="FFFCFCFF"/>
      </colorScale>
    </cfRule>
  </conditionalFormatting>
  <conditionalFormatting sqref="F803:F819">
    <cfRule type="colorScale" priority="248">
      <colorScale>
        <cfvo type="min"/>
        <cfvo type="max"/>
        <color rgb="FFF8696B"/>
        <color rgb="FFFCFCFF"/>
      </colorScale>
    </cfRule>
  </conditionalFormatting>
  <conditionalFormatting sqref="F827">
    <cfRule type="colorScale" priority="246">
      <colorScale>
        <cfvo type="min"/>
        <cfvo type="max"/>
        <color rgb="FFF8696B"/>
        <color rgb="FFFCFCFF"/>
      </colorScale>
    </cfRule>
  </conditionalFormatting>
  <conditionalFormatting sqref="F828:F836">
    <cfRule type="colorScale" priority="244">
      <colorScale>
        <cfvo type="min"/>
        <cfvo type="max"/>
        <color rgb="FFF8696B"/>
        <color rgb="FFFCFCFF"/>
      </colorScale>
    </cfRule>
  </conditionalFormatting>
  <conditionalFormatting sqref="F842">
    <cfRule type="colorScale" priority="242">
      <colorScale>
        <cfvo type="min"/>
        <cfvo type="max"/>
        <color rgb="FFF8696B"/>
        <color rgb="FFFCFCFF"/>
      </colorScale>
    </cfRule>
  </conditionalFormatting>
  <conditionalFormatting sqref="F843:F856 F861:F862">
    <cfRule type="colorScale" priority="4957">
      <colorScale>
        <cfvo type="min"/>
        <cfvo type="max"/>
        <color rgb="FFF8696B"/>
        <color rgb="FFFCFCFF"/>
      </colorScale>
    </cfRule>
  </conditionalFormatting>
  <conditionalFormatting sqref="F857:F860">
    <cfRule type="colorScale" priority="239">
      <colorScale>
        <cfvo type="min"/>
        <cfvo type="max"/>
        <color rgb="FFF8696B"/>
        <color rgb="FFFCFCFF"/>
      </colorScale>
    </cfRule>
  </conditionalFormatting>
  <conditionalFormatting sqref="F868">
    <cfRule type="colorScale" priority="238">
      <colorScale>
        <cfvo type="min"/>
        <cfvo type="max"/>
        <color rgb="FFF8696B"/>
        <color rgb="FFFCFCFF"/>
      </colorScale>
    </cfRule>
  </conditionalFormatting>
  <conditionalFormatting sqref="F869:F875">
    <cfRule type="colorScale" priority="236">
      <colorScale>
        <cfvo type="min"/>
        <cfvo type="max"/>
        <color rgb="FFF8696B"/>
        <color rgb="FFFCFCFF"/>
      </colorScale>
    </cfRule>
  </conditionalFormatting>
  <conditionalFormatting sqref="F881">
    <cfRule type="colorScale" priority="232">
      <colorScale>
        <cfvo type="min"/>
        <cfvo type="max"/>
        <color rgb="FFF8696B"/>
        <color rgb="FFFCFCFF"/>
      </colorScale>
    </cfRule>
  </conditionalFormatting>
  <conditionalFormatting sqref="F882:F890">
    <cfRule type="colorScale" priority="231">
      <colorScale>
        <cfvo type="min"/>
        <cfvo type="max"/>
        <color rgb="FFF8696B"/>
        <color rgb="FFFCFCFF"/>
      </colorScale>
    </cfRule>
  </conditionalFormatting>
  <conditionalFormatting sqref="F892:F899">
    <cfRule type="colorScale" priority="229">
      <colorScale>
        <cfvo type="min"/>
        <cfvo type="max"/>
        <color rgb="FFF8696B"/>
        <color rgb="FFFCFCFF"/>
      </colorScale>
    </cfRule>
  </conditionalFormatting>
  <conditionalFormatting sqref="F907">
    <cfRule type="colorScale" priority="228">
      <colorScale>
        <cfvo type="min"/>
        <cfvo type="max"/>
        <color rgb="FFF8696B"/>
        <color rgb="FFFCFCFF"/>
      </colorScale>
    </cfRule>
  </conditionalFormatting>
  <conditionalFormatting sqref="F910">
    <cfRule type="colorScale" priority="227">
      <colorScale>
        <cfvo type="min"/>
        <cfvo type="max"/>
        <color rgb="FFF8696B"/>
        <color rgb="FFFCFCFF"/>
      </colorScale>
    </cfRule>
  </conditionalFormatting>
  <conditionalFormatting sqref="F911:F921">
    <cfRule type="colorScale" priority="225">
      <colorScale>
        <cfvo type="min"/>
        <cfvo type="max"/>
        <color rgb="FFF8696B"/>
        <color rgb="FFFCFCFF"/>
      </colorScale>
    </cfRule>
  </conditionalFormatting>
  <conditionalFormatting sqref="F925">
    <cfRule type="colorScale" priority="222">
      <colorScale>
        <cfvo type="min"/>
        <cfvo type="max"/>
        <color rgb="FFF8696B"/>
        <color rgb="FFFCFCFF"/>
      </colorScale>
    </cfRule>
  </conditionalFormatting>
  <conditionalFormatting sqref="F937">
    <cfRule type="colorScale" priority="221">
      <colorScale>
        <cfvo type="min"/>
        <cfvo type="max"/>
        <color rgb="FFF8696B"/>
        <color rgb="FFFCFCFF"/>
      </colorScale>
    </cfRule>
  </conditionalFormatting>
  <conditionalFormatting sqref="F938:F939">
    <cfRule type="colorScale" priority="220">
      <colorScale>
        <cfvo type="min"/>
        <cfvo type="max"/>
        <color rgb="FFF8696B"/>
        <color rgb="FFFCFCFF"/>
      </colorScale>
    </cfRule>
  </conditionalFormatting>
  <conditionalFormatting sqref="F940:F942">
    <cfRule type="colorScale" priority="216">
      <colorScale>
        <cfvo type="min"/>
        <cfvo type="max"/>
        <color rgb="FFF8696B"/>
        <color rgb="FFFCFCFF"/>
      </colorScale>
    </cfRule>
  </conditionalFormatting>
  <conditionalFormatting sqref="F943">
    <cfRule type="colorScale" priority="219">
      <colorScale>
        <cfvo type="min"/>
        <cfvo type="max"/>
        <color rgb="FFF8696B"/>
        <color rgb="FFFCFCFF"/>
      </colorScale>
    </cfRule>
  </conditionalFormatting>
  <conditionalFormatting sqref="F952">
    <cfRule type="colorScale" priority="215">
      <colorScale>
        <cfvo type="min"/>
        <cfvo type="max"/>
        <color rgb="FFF8696B"/>
        <color rgb="FFFCFCFF"/>
      </colorScale>
    </cfRule>
  </conditionalFormatting>
  <conditionalFormatting sqref="F953:F970 G981">
    <cfRule type="colorScale" priority="214">
      <colorScale>
        <cfvo type="min"/>
        <cfvo type="max"/>
        <color rgb="FFF8696B"/>
        <color rgb="FFFCFCFF"/>
      </colorScale>
    </cfRule>
  </conditionalFormatting>
  <conditionalFormatting sqref="F971:F976">
    <cfRule type="colorScale" priority="5426">
      <colorScale>
        <cfvo type="min"/>
        <cfvo type="max"/>
        <color rgb="FFF8696B"/>
        <color rgb="FFFCFCFF"/>
      </colorScale>
    </cfRule>
  </conditionalFormatting>
  <conditionalFormatting sqref="F977:F985">
    <cfRule type="colorScale" priority="204">
      <colorScale>
        <cfvo type="min"/>
        <cfvo type="max"/>
        <color rgb="FFF8696B"/>
        <color rgb="FFFCFCFF"/>
      </colorScale>
    </cfRule>
  </conditionalFormatting>
  <conditionalFormatting sqref="F986">
    <cfRule type="colorScale" priority="206">
      <colorScale>
        <cfvo type="min"/>
        <cfvo type="max"/>
        <color rgb="FFF8696B"/>
        <color rgb="FFFCFCFF"/>
      </colorScale>
    </cfRule>
  </conditionalFormatting>
  <conditionalFormatting sqref="F993">
    <cfRule type="colorScale" priority="200">
      <colorScale>
        <cfvo type="min"/>
        <cfvo type="max"/>
        <color rgb="FFF8696B"/>
        <color rgb="FFFCFCFF"/>
      </colorScale>
    </cfRule>
  </conditionalFormatting>
  <conditionalFormatting sqref="F994:F997">
    <cfRule type="colorScale" priority="198">
      <colorScale>
        <cfvo type="min"/>
        <cfvo type="max"/>
        <color rgb="FFF8696B"/>
        <color rgb="FFFCFCFF"/>
      </colorScale>
    </cfRule>
  </conditionalFormatting>
  <conditionalFormatting sqref="F998">
    <cfRule type="colorScale" priority="195">
      <colorScale>
        <cfvo type="min"/>
        <cfvo type="max"/>
        <color rgb="FFF8696B"/>
        <color rgb="FFFCFCFF"/>
      </colorScale>
    </cfRule>
  </conditionalFormatting>
  <conditionalFormatting sqref="F1009">
    <cfRule type="colorScale" priority="193">
      <colorScale>
        <cfvo type="min"/>
        <cfvo type="max"/>
        <color rgb="FFF8696B"/>
        <color rgb="FFFCFCFF"/>
      </colorScale>
    </cfRule>
  </conditionalFormatting>
  <conditionalFormatting sqref="F1010:F1014">
    <cfRule type="colorScale" priority="5504">
      <colorScale>
        <cfvo type="min"/>
        <cfvo type="max"/>
        <color rgb="FFF8696B"/>
        <color rgb="FFFCFCFF"/>
      </colorScale>
    </cfRule>
  </conditionalFormatting>
  <conditionalFormatting sqref="F1015">
    <cfRule type="colorScale" priority="188">
      <colorScale>
        <cfvo type="min"/>
        <cfvo type="max"/>
        <color rgb="FFF8696B"/>
        <color rgb="FFFCFCFF"/>
      </colorScale>
    </cfRule>
  </conditionalFormatting>
  <conditionalFormatting sqref="F1021:F1022">
    <cfRule type="colorScale" priority="186">
      <colorScale>
        <cfvo type="min"/>
        <cfvo type="max"/>
        <color rgb="FFF8696B"/>
        <color rgb="FFFCFCFF"/>
      </colorScale>
    </cfRule>
  </conditionalFormatting>
  <conditionalFormatting sqref="F1023:F1067">
    <cfRule type="colorScale" priority="185">
      <colorScale>
        <cfvo type="min"/>
        <cfvo type="max"/>
        <color rgb="FFF8696B"/>
        <color rgb="FFFCFCFF"/>
      </colorScale>
    </cfRule>
  </conditionalFormatting>
  <conditionalFormatting sqref="F1080">
    <cfRule type="colorScale" priority="180">
      <colorScale>
        <cfvo type="min"/>
        <cfvo type="max"/>
        <color rgb="FFF8696B"/>
        <color rgb="FFFCFCFF"/>
      </colorScale>
    </cfRule>
  </conditionalFormatting>
  <conditionalFormatting sqref="F1081:F1100">
    <cfRule type="colorScale" priority="179">
      <colorScale>
        <cfvo type="min"/>
        <cfvo type="max"/>
        <color rgb="FFF8696B"/>
        <color rgb="FFFCFCFF"/>
      </colorScale>
    </cfRule>
  </conditionalFormatting>
  <conditionalFormatting sqref="F1101:F1103">
    <cfRule type="colorScale" priority="176">
      <colorScale>
        <cfvo type="min"/>
        <cfvo type="max"/>
        <color rgb="FFF8696B"/>
        <color rgb="FFFCFCFF"/>
      </colorScale>
    </cfRule>
  </conditionalFormatting>
  <conditionalFormatting sqref="F1104:F1113">
    <cfRule type="colorScale" priority="174">
      <colorScale>
        <cfvo type="min"/>
        <cfvo type="max"/>
        <color rgb="FFF8696B"/>
        <color rgb="FFFCFCFF"/>
      </colorScale>
    </cfRule>
  </conditionalFormatting>
  <conditionalFormatting sqref="F1120">
    <cfRule type="colorScale" priority="173">
      <colorScale>
        <cfvo type="min"/>
        <cfvo type="max"/>
        <color rgb="FFF8696B"/>
        <color rgb="FFFCFCFF"/>
      </colorScale>
    </cfRule>
  </conditionalFormatting>
  <conditionalFormatting sqref="F1121">
    <cfRule type="colorScale" priority="172">
      <colorScale>
        <cfvo type="min"/>
        <cfvo type="max"/>
        <color rgb="FFF8696B"/>
        <color rgb="FFFCFCFF"/>
      </colorScale>
    </cfRule>
  </conditionalFormatting>
  <conditionalFormatting sqref="F1122">
    <cfRule type="colorScale" priority="170">
      <colorScale>
        <cfvo type="min"/>
        <cfvo type="max"/>
        <color rgb="FFF8696B"/>
        <color rgb="FFFCFCFF"/>
      </colorScale>
    </cfRule>
  </conditionalFormatting>
  <conditionalFormatting sqref="F1124">
    <cfRule type="colorScale" priority="167">
      <colorScale>
        <cfvo type="min"/>
        <cfvo type="max"/>
        <color rgb="FFF8696B"/>
        <color rgb="FFFCFCFF"/>
      </colorScale>
    </cfRule>
  </conditionalFormatting>
  <conditionalFormatting sqref="F1129">
    <cfRule type="colorScale" priority="165">
      <colorScale>
        <cfvo type="min"/>
        <cfvo type="max"/>
        <color rgb="FFF8696B"/>
        <color rgb="FFFCFCFF"/>
      </colorScale>
    </cfRule>
  </conditionalFormatting>
  <conditionalFormatting sqref="F1136">
    <cfRule type="colorScale" priority="162">
      <colorScale>
        <cfvo type="min"/>
        <cfvo type="max"/>
        <color rgb="FFF8696B"/>
        <color rgb="FFFCFCFF"/>
      </colorScale>
    </cfRule>
  </conditionalFormatting>
  <conditionalFormatting sqref="F1137:F1148 F1130:F1135 F1125:F1128 F1123">
    <cfRule type="colorScale" priority="168">
      <colorScale>
        <cfvo type="min"/>
        <cfvo type="max"/>
        <color rgb="FFF8696B"/>
        <color rgb="FFFCFCFF"/>
      </colorScale>
    </cfRule>
  </conditionalFormatting>
  <conditionalFormatting sqref="F1149:F1150">
    <cfRule type="colorScale" priority="158">
      <colorScale>
        <cfvo type="min"/>
        <cfvo type="max"/>
        <color rgb="FFF8696B"/>
        <color rgb="FFFCFCFF"/>
      </colorScale>
    </cfRule>
  </conditionalFormatting>
  <conditionalFormatting sqref="F1151:F1161">
    <cfRule type="colorScale" priority="159">
      <colorScale>
        <cfvo type="min"/>
        <cfvo type="max"/>
        <color rgb="FFF8696B"/>
        <color rgb="FFFCFCFF"/>
      </colorScale>
    </cfRule>
  </conditionalFormatting>
  <conditionalFormatting sqref="F1173">
    <cfRule type="colorScale" priority="157">
      <colorScale>
        <cfvo type="min"/>
        <cfvo type="max"/>
        <color rgb="FFF8696B"/>
        <color rgb="FFFCFCFF"/>
      </colorScale>
    </cfRule>
  </conditionalFormatting>
  <conditionalFormatting sqref="F1174:F1221">
    <cfRule type="colorScale" priority="156">
      <colorScale>
        <cfvo type="min"/>
        <cfvo type="max"/>
        <color rgb="FFF8696B"/>
        <color rgb="FFFCFCFF"/>
      </colorScale>
    </cfRule>
  </conditionalFormatting>
  <conditionalFormatting sqref="F1222:F1223">
    <cfRule type="colorScale" priority="154">
      <colorScale>
        <cfvo type="min"/>
        <cfvo type="max"/>
        <color rgb="FFF8696B"/>
        <color rgb="FFFCFCFF"/>
      </colorScale>
    </cfRule>
  </conditionalFormatting>
  <conditionalFormatting sqref="F1224">
    <cfRule type="colorScale" priority="153">
      <colorScale>
        <cfvo type="min"/>
        <cfvo type="max"/>
        <color rgb="FFF8696B"/>
        <color rgb="FFFCFCFF"/>
      </colorScale>
    </cfRule>
  </conditionalFormatting>
  <conditionalFormatting sqref="F1225">
    <cfRule type="colorScale" priority="152">
      <colorScale>
        <cfvo type="min"/>
        <cfvo type="max"/>
        <color rgb="FFF8696B"/>
        <color rgb="FFFCFCFF"/>
      </colorScale>
    </cfRule>
  </conditionalFormatting>
  <conditionalFormatting sqref="F1226:F1231">
    <cfRule type="colorScale" priority="149">
      <colorScale>
        <cfvo type="min"/>
        <cfvo type="max"/>
        <color rgb="FFF8696B"/>
        <color rgb="FFFCFCFF"/>
      </colorScale>
    </cfRule>
  </conditionalFormatting>
  <conditionalFormatting sqref="F1242">
    <cfRule type="colorScale" priority="143">
      <colorScale>
        <cfvo type="min"/>
        <cfvo type="max"/>
        <color rgb="FFF8696B"/>
        <color rgb="FFFCFCFF"/>
      </colorScale>
    </cfRule>
  </conditionalFormatting>
  <conditionalFormatting sqref="F1243:F1245 F1232:F1241">
    <cfRule type="colorScale" priority="151">
      <colorScale>
        <cfvo type="min"/>
        <cfvo type="max"/>
        <color rgb="FFF8696B"/>
        <color rgb="FFFCFCFF"/>
      </colorScale>
    </cfRule>
  </conditionalFormatting>
  <conditionalFormatting sqref="F1253">
    <cfRule type="colorScale" priority="142">
      <colorScale>
        <cfvo type="min"/>
        <cfvo type="max"/>
        <color rgb="FFF8696B"/>
        <color rgb="FFFCFCFF"/>
      </colorScale>
    </cfRule>
  </conditionalFormatting>
  <conditionalFormatting sqref="F1254:F1257">
    <cfRule type="colorScale" priority="140">
      <colorScale>
        <cfvo type="min"/>
        <cfvo type="max"/>
        <color rgb="FFF8696B"/>
        <color rgb="FFFCFCFF"/>
      </colorScale>
    </cfRule>
  </conditionalFormatting>
  <conditionalFormatting sqref="F1258:F1266">
    <cfRule type="colorScale" priority="139">
      <colorScale>
        <cfvo type="min"/>
        <cfvo type="max"/>
        <color rgb="FFF8696B"/>
        <color rgb="FFFCFCFF"/>
      </colorScale>
    </cfRule>
  </conditionalFormatting>
  <conditionalFormatting sqref="F1268">
    <cfRule type="colorScale" priority="137">
      <colorScale>
        <cfvo type="min"/>
        <cfvo type="max"/>
        <color rgb="FFF8696B"/>
        <color rgb="FFFCFCFF"/>
      </colorScale>
    </cfRule>
  </conditionalFormatting>
  <conditionalFormatting sqref="F1269">
    <cfRule type="colorScale" priority="136">
      <colorScale>
        <cfvo type="min"/>
        <cfvo type="max"/>
        <color rgb="FFF8696B"/>
        <color rgb="FFFCFCFF"/>
      </colorScale>
    </cfRule>
  </conditionalFormatting>
  <conditionalFormatting sqref="F1270">
    <cfRule type="colorScale" priority="135">
      <colorScale>
        <cfvo type="min"/>
        <cfvo type="max"/>
        <color rgb="FFF8696B"/>
        <color rgb="FFFCFCFF"/>
      </colorScale>
    </cfRule>
  </conditionalFormatting>
  <conditionalFormatting sqref="F1271">
    <cfRule type="colorScale" priority="134">
      <colorScale>
        <cfvo type="min"/>
        <cfvo type="max"/>
        <color rgb="FFF8696B"/>
        <color rgb="FFFCFCFF"/>
      </colorScale>
    </cfRule>
  </conditionalFormatting>
  <conditionalFormatting sqref="F1272:F1296 F1267">
    <cfRule type="colorScale" priority="138">
      <colorScale>
        <cfvo type="min"/>
        <cfvo type="max"/>
        <color rgb="FFF8696B"/>
        <color rgb="FFFCFCFF"/>
      </colorScale>
    </cfRule>
  </conditionalFormatting>
  <conditionalFormatting sqref="F1307">
    <cfRule type="colorScale" priority="121">
      <colorScale>
        <cfvo type="min"/>
        <cfvo type="max"/>
        <color rgb="FFF8696B"/>
        <color rgb="FFFCFCFF"/>
      </colorScale>
    </cfRule>
  </conditionalFormatting>
  <conditionalFormatting sqref="F1308">
    <cfRule type="colorScale" priority="120">
      <colorScale>
        <cfvo type="min"/>
        <cfvo type="max"/>
        <color rgb="FFF8696B"/>
        <color rgb="FFFCFCFF"/>
      </colorScale>
    </cfRule>
  </conditionalFormatting>
  <conditionalFormatting sqref="F1309:F1320 F1323:F1324">
    <cfRule type="colorScale" priority="119">
      <colorScale>
        <cfvo type="min"/>
        <cfvo type="max"/>
        <color rgb="FFF8696B"/>
        <color rgb="FFFCFCFF"/>
      </colorScale>
    </cfRule>
  </conditionalFormatting>
  <conditionalFormatting sqref="F1321:F1322">
    <cfRule type="colorScale" priority="116">
      <colorScale>
        <cfvo type="min"/>
        <cfvo type="max"/>
        <color rgb="FFF8696B"/>
        <color rgb="FFFCFCFF"/>
      </colorScale>
    </cfRule>
  </conditionalFormatting>
  <conditionalFormatting sqref="F1332:F1334">
    <cfRule type="colorScale" priority="115">
      <colorScale>
        <cfvo type="min"/>
        <cfvo type="max"/>
        <color rgb="FFF8696B"/>
        <color rgb="FFFCFCFF"/>
      </colorScale>
    </cfRule>
  </conditionalFormatting>
  <conditionalFormatting sqref="F1335">
    <cfRule type="colorScale" priority="114">
      <colorScale>
        <cfvo type="min"/>
        <cfvo type="max"/>
        <color rgb="FFF8696B"/>
        <color rgb="FFFCFCFF"/>
      </colorScale>
    </cfRule>
  </conditionalFormatting>
  <conditionalFormatting sqref="F1336:F1349">
    <cfRule type="colorScale" priority="113">
      <colorScale>
        <cfvo type="min"/>
        <cfvo type="max"/>
        <color rgb="FFF8696B"/>
        <color rgb="FFFCFCFF"/>
      </colorScale>
    </cfRule>
  </conditionalFormatting>
  <conditionalFormatting sqref="F1356">
    <cfRule type="colorScale" priority="108">
      <colorScale>
        <cfvo type="min"/>
        <cfvo type="max"/>
        <color rgb="FFF8696B"/>
        <color rgb="FFFCFCFF"/>
      </colorScale>
    </cfRule>
  </conditionalFormatting>
  <conditionalFormatting sqref="F1358">
    <cfRule type="colorScale" priority="103">
      <colorScale>
        <cfvo type="min"/>
        <cfvo type="max"/>
        <color rgb="FFF8696B"/>
        <color rgb="FFFCFCFF"/>
      </colorScale>
    </cfRule>
  </conditionalFormatting>
  <conditionalFormatting sqref="F1359:F1365">
    <cfRule type="colorScale" priority="104">
      <colorScale>
        <cfvo type="min"/>
        <cfvo type="max"/>
        <color rgb="FFF8696B"/>
        <color rgb="FFFCFCFF"/>
      </colorScale>
    </cfRule>
  </conditionalFormatting>
  <conditionalFormatting sqref="F1357 F1366">
    <cfRule type="colorScale" priority="107">
      <colorScale>
        <cfvo type="min"/>
        <cfvo type="max"/>
        <color rgb="FFF8696B"/>
        <color rgb="FFFCFCFF"/>
      </colorScale>
    </cfRule>
  </conditionalFormatting>
  <conditionalFormatting sqref="F1373:F1374">
    <cfRule type="colorScale" priority="98">
      <colorScale>
        <cfvo type="min"/>
        <cfvo type="max"/>
        <color rgb="FFF8696B"/>
        <color rgb="FFFCFCFF"/>
      </colorScale>
    </cfRule>
  </conditionalFormatting>
  <conditionalFormatting sqref="F1375">
    <cfRule type="colorScale" priority="95">
      <colorScale>
        <cfvo type="min"/>
        <cfvo type="max"/>
        <color rgb="FFF8696B"/>
        <color rgb="FFFCFCFF"/>
      </colorScale>
    </cfRule>
  </conditionalFormatting>
  <conditionalFormatting sqref="F1376:F1379">
    <cfRule type="colorScale" priority="94">
      <colorScale>
        <cfvo type="min"/>
        <cfvo type="max"/>
        <color rgb="FFF8696B"/>
        <color rgb="FFFCFCFF"/>
      </colorScale>
    </cfRule>
  </conditionalFormatting>
  <conditionalFormatting sqref="F1380">
    <cfRule type="colorScale" priority="87">
      <colorScale>
        <cfvo type="min"/>
        <cfvo type="max"/>
        <color rgb="FFF8696B"/>
        <color rgb="FFFCFCFF"/>
      </colorScale>
    </cfRule>
  </conditionalFormatting>
  <conditionalFormatting sqref="F1381:F1391">
    <cfRule type="colorScale" priority="90">
      <colorScale>
        <cfvo type="min"/>
        <cfvo type="max"/>
        <color rgb="FFF8696B"/>
        <color rgb="FFFCFCFF"/>
      </colorScale>
    </cfRule>
  </conditionalFormatting>
  <conditionalFormatting sqref="F1401:F1404">
    <cfRule type="colorScale" priority="85">
      <colorScale>
        <cfvo type="min"/>
        <cfvo type="max"/>
        <color rgb="FFF8696B"/>
        <color rgb="FFFCFCFF"/>
      </colorScale>
    </cfRule>
  </conditionalFormatting>
  <conditionalFormatting sqref="F1405">
    <cfRule type="colorScale" priority="79">
      <colorScale>
        <cfvo type="min"/>
        <cfvo type="max"/>
        <color rgb="FFF8696B"/>
        <color rgb="FFFCFCFF"/>
      </colorScale>
    </cfRule>
  </conditionalFormatting>
  <conditionalFormatting sqref="F1419:F1435">
    <cfRule type="colorScale" priority="75">
      <colorScale>
        <cfvo type="min"/>
        <cfvo type="max"/>
        <color rgb="FFF8696B"/>
        <color rgb="FFFCFCFF"/>
      </colorScale>
    </cfRule>
  </conditionalFormatting>
  <conditionalFormatting sqref="F1436">
    <cfRule type="colorScale" priority="76">
      <colorScale>
        <cfvo type="min"/>
        <cfvo type="max"/>
        <color rgb="FFF8696B"/>
        <color rgb="FFFCFCFF"/>
      </colorScale>
    </cfRule>
  </conditionalFormatting>
  <conditionalFormatting sqref="F1437">
    <cfRule type="colorScale" priority="74">
      <colorScale>
        <cfvo type="min"/>
        <cfvo type="max"/>
        <color rgb="FFF8696B"/>
        <color rgb="FFFCFCFF"/>
      </colorScale>
    </cfRule>
  </conditionalFormatting>
  <conditionalFormatting sqref="F1438">
    <cfRule type="colorScale" priority="72">
      <colorScale>
        <cfvo type="min"/>
        <cfvo type="max"/>
        <color rgb="FFF8696B"/>
        <color rgb="FFFCFCFF"/>
      </colorScale>
    </cfRule>
  </conditionalFormatting>
  <conditionalFormatting sqref="F1439">
    <cfRule type="colorScale" priority="71">
      <colorScale>
        <cfvo type="min"/>
        <cfvo type="max"/>
        <color rgb="FFF8696B"/>
        <color rgb="FFFCFCFF"/>
      </colorScale>
    </cfRule>
  </conditionalFormatting>
  <conditionalFormatting sqref="F1440">
    <cfRule type="colorScale" priority="70">
      <colorScale>
        <cfvo type="min"/>
        <cfvo type="max"/>
        <color rgb="FFF8696B"/>
        <color rgb="FFFCFCFF"/>
      </colorScale>
    </cfRule>
  </conditionalFormatting>
  <conditionalFormatting sqref="F1441:F1442">
    <cfRule type="colorScale" priority="69">
      <colorScale>
        <cfvo type="min"/>
        <cfvo type="max"/>
        <color rgb="FFF8696B"/>
        <color rgb="FFFCFCFF"/>
      </colorScale>
    </cfRule>
  </conditionalFormatting>
  <conditionalFormatting sqref="F1443:F1444 F1446:F1448 F1406:F1418">
    <cfRule type="colorScale" priority="81">
      <colorScale>
        <cfvo type="min"/>
        <cfvo type="max"/>
        <color rgb="FFF8696B"/>
        <color rgb="FFFCFCFF"/>
      </colorScale>
    </cfRule>
  </conditionalFormatting>
  <conditionalFormatting sqref="F1445">
    <cfRule type="colorScale" priority="67">
      <colorScale>
        <cfvo type="min"/>
        <cfvo type="max"/>
        <color rgb="FFF8696B"/>
        <color rgb="FFFCFCFF"/>
      </colorScale>
    </cfRule>
  </conditionalFormatting>
  <conditionalFormatting sqref="F1449">
    <cfRule type="colorScale" priority="65">
      <colorScale>
        <cfvo type="min"/>
        <cfvo type="max"/>
        <color rgb="FFF8696B"/>
        <color rgb="FFFCFCFF"/>
      </colorScale>
    </cfRule>
  </conditionalFormatting>
  <conditionalFormatting sqref="F1450:F1464">
    <cfRule type="colorScale" priority="63">
      <colorScale>
        <cfvo type="min"/>
        <cfvo type="max"/>
        <color rgb="FFF8696B"/>
        <color rgb="FFFCFCFF"/>
      </colorScale>
    </cfRule>
  </conditionalFormatting>
  <conditionalFormatting sqref="F1507">
    <cfRule type="colorScale" priority="61">
      <colorScale>
        <cfvo type="min"/>
        <cfvo type="max"/>
        <color rgb="FFF8696B"/>
        <color rgb="FFFCFCFF"/>
      </colorScale>
    </cfRule>
  </conditionalFormatting>
  <conditionalFormatting sqref="F1508:F1513">
    <cfRule type="colorScale" priority="59">
      <colorScale>
        <cfvo type="min"/>
        <cfvo type="max"/>
        <color rgb="FFF8696B"/>
        <color rgb="FFFCFCFF"/>
      </colorScale>
    </cfRule>
  </conditionalFormatting>
  <conditionalFormatting sqref="F1514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{AC3C2838-DB15-4878-A782-0A1230522CA8}</x14:id>
        </ext>
      </extLst>
    </cfRule>
  </conditionalFormatting>
  <conditionalFormatting sqref="F1514:F1516">
    <cfRule type="colorScale" priority="57">
      <colorScale>
        <cfvo type="min"/>
        <cfvo type="max"/>
        <color rgb="FFF8696B"/>
        <color rgb="FFFCFCFF"/>
      </colorScale>
    </cfRule>
  </conditionalFormatting>
  <conditionalFormatting sqref="F1517">
    <cfRule type="colorScale" priority="54">
      <colorScale>
        <cfvo type="min"/>
        <cfvo type="max"/>
        <color rgb="FFF8696B"/>
        <color rgb="FFFCFCFF"/>
      </colorScale>
    </cfRule>
  </conditionalFormatting>
  <conditionalFormatting sqref="F1519:F1542">
    <cfRule type="colorScale" priority="52">
      <colorScale>
        <cfvo type="min"/>
        <cfvo type="max"/>
        <color rgb="FFF8696B"/>
        <color rgb="FFFCFCFF"/>
      </colorScale>
    </cfRule>
  </conditionalFormatting>
  <conditionalFormatting sqref="F1543:F1545 F1518">
    <cfRule type="colorScale" priority="55">
      <colorScale>
        <cfvo type="min"/>
        <cfvo type="max"/>
        <color rgb="FFF8696B"/>
        <color rgb="FFFCFCFF"/>
      </colorScale>
    </cfRule>
  </conditionalFormatting>
  <conditionalFormatting sqref="F1560">
    <cfRule type="colorScale" priority="51">
      <colorScale>
        <cfvo type="min"/>
        <cfvo type="max"/>
        <color rgb="FFF8696B"/>
        <color rgb="FFFCFCFF"/>
      </colorScale>
    </cfRule>
  </conditionalFormatting>
  <conditionalFormatting sqref="F1561">
    <cfRule type="colorScale" priority="50">
      <colorScale>
        <cfvo type="min"/>
        <cfvo type="max"/>
        <color rgb="FFF8696B"/>
        <color rgb="FFFCFCFF"/>
      </colorScale>
    </cfRule>
  </conditionalFormatting>
  <conditionalFormatting sqref="F1562:F1568">
    <cfRule type="colorScale" priority="49">
      <colorScale>
        <cfvo type="min"/>
        <cfvo type="max"/>
        <color rgb="FFF8696B"/>
        <color rgb="FFFCFCFF"/>
      </colorScale>
    </cfRule>
  </conditionalFormatting>
  <conditionalFormatting sqref="F1573">
    <cfRule type="colorScale" priority="47">
      <colorScale>
        <cfvo type="min"/>
        <cfvo type="max"/>
        <color rgb="FFF8696B"/>
        <color rgb="FFFCFCFF"/>
      </colorScale>
    </cfRule>
  </conditionalFormatting>
  <conditionalFormatting sqref="F1574:F1585">
    <cfRule type="colorScale" priority="46">
      <colorScale>
        <cfvo type="min"/>
        <cfvo type="max"/>
        <color rgb="FFF8696B"/>
        <color rgb="FFFCFCFF"/>
      </colorScale>
    </cfRule>
  </conditionalFormatting>
  <conditionalFormatting sqref="F1593">
    <cfRule type="colorScale" priority="40">
      <colorScale>
        <cfvo type="min"/>
        <cfvo type="max"/>
        <color rgb="FFF8696B"/>
        <color rgb="FFFCFCFF"/>
      </colorScale>
    </cfRule>
  </conditionalFormatting>
  <conditionalFormatting sqref="F1594:F1606">
    <cfRule type="colorScale" priority="39">
      <colorScale>
        <cfvo type="min"/>
        <cfvo type="max"/>
        <color rgb="FFF8696B"/>
        <color rgb="FFFCFCFF"/>
      </colorScale>
    </cfRule>
  </conditionalFormatting>
  <conditionalFormatting sqref="F1611">
    <cfRule type="colorScale" priority="35">
      <colorScale>
        <cfvo type="min"/>
        <cfvo type="max"/>
        <color rgb="FFF8696B"/>
        <color rgb="FFFCFCFF"/>
      </colorScale>
    </cfRule>
  </conditionalFormatting>
  <conditionalFormatting sqref="F1619">
    <cfRule type="colorScale" priority="32">
      <colorScale>
        <cfvo type="min"/>
        <cfvo type="max"/>
        <color rgb="FFF8696B"/>
        <color rgb="FFFCFCFF"/>
      </colorScale>
    </cfRule>
  </conditionalFormatting>
  <conditionalFormatting sqref="F1620:F1628 F1612:F1618">
    <cfRule type="colorScale" priority="34">
      <colorScale>
        <cfvo type="min"/>
        <cfvo type="max"/>
        <color rgb="FFF8696B"/>
        <color rgb="FFFCFCFF"/>
      </colorScale>
    </cfRule>
  </conditionalFormatting>
  <conditionalFormatting sqref="F1645">
    <cfRule type="colorScale" priority="29">
      <colorScale>
        <cfvo type="min"/>
        <cfvo type="max"/>
        <color rgb="FFF8696B"/>
        <color rgb="FFFCFCFF"/>
      </colorScale>
    </cfRule>
  </conditionalFormatting>
  <conditionalFormatting sqref="F1646">
    <cfRule type="colorScale" priority="27">
      <colorScale>
        <cfvo type="min"/>
        <cfvo type="max"/>
        <color rgb="FFF8696B"/>
        <color rgb="FFFCFCFF"/>
      </colorScale>
    </cfRule>
  </conditionalFormatting>
  <conditionalFormatting sqref="F1648">
    <cfRule type="colorScale" priority="25">
      <colorScale>
        <cfvo type="min"/>
        <cfvo type="max"/>
        <color rgb="FFF8696B"/>
        <color rgb="FFFCFCFF"/>
      </colorScale>
    </cfRule>
  </conditionalFormatting>
  <conditionalFormatting sqref="F1649:F1666">
    <cfRule type="colorScale" priority="24">
      <colorScale>
        <cfvo type="min"/>
        <cfvo type="max"/>
        <color rgb="FFF8696B"/>
        <color rgb="FFFCFCFF"/>
      </colorScale>
    </cfRule>
  </conditionalFormatting>
  <conditionalFormatting sqref="F1677">
    <cfRule type="colorScale" priority="22">
      <colorScale>
        <cfvo type="min"/>
        <cfvo type="max"/>
        <color rgb="FFF8696B"/>
        <color rgb="FFFCFCFF"/>
      </colorScale>
    </cfRule>
  </conditionalFormatting>
  <conditionalFormatting sqref="F1685">
    <cfRule type="colorScale" priority="19">
      <colorScale>
        <cfvo type="min"/>
        <cfvo type="max"/>
        <color rgb="FFF8696B"/>
        <color rgb="FFFCFCFF"/>
      </colorScale>
    </cfRule>
  </conditionalFormatting>
  <conditionalFormatting sqref="F1686:F1694 F1678:F1684">
    <cfRule type="colorScale" priority="21">
      <colorScale>
        <cfvo type="min"/>
        <cfvo type="max"/>
        <color rgb="FFF8696B"/>
        <color rgb="FFFCFCFF"/>
      </colorScale>
    </cfRule>
  </conditionalFormatting>
  <conditionalFormatting sqref="F1703">
    <cfRule type="colorScale" priority="16">
      <colorScale>
        <cfvo type="min"/>
        <cfvo type="max"/>
        <color rgb="FFF8696B"/>
        <color rgb="FFFCFCFF"/>
      </colorScale>
    </cfRule>
  </conditionalFormatting>
  <conditionalFormatting sqref="F1713">
    <cfRule type="colorScale" priority="14">
      <colorScale>
        <cfvo type="min"/>
        <cfvo type="max"/>
        <color rgb="FFF8696B"/>
        <color rgb="FFFCFCFF"/>
      </colorScale>
    </cfRule>
  </conditionalFormatting>
  <conditionalFormatting sqref="F1722:F1723">
    <cfRule type="colorScale" priority="11">
      <colorScale>
        <cfvo type="min"/>
        <cfvo type="max"/>
        <color rgb="FFF8696B"/>
        <color rgb="FFFCFCFF"/>
      </colorScale>
    </cfRule>
  </conditionalFormatting>
  <conditionalFormatting sqref="F1724:F1728 F1714:F1721">
    <cfRule type="colorScale" priority="13">
      <colorScale>
        <cfvo type="min"/>
        <cfvo type="max"/>
        <color rgb="FFF8696B"/>
        <color rgb="FFFCFCFF"/>
      </colorScale>
    </cfRule>
  </conditionalFormatting>
  <conditionalFormatting sqref="F1729:F1730">
    <cfRule type="colorScale" priority="8">
      <colorScale>
        <cfvo type="min"/>
        <cfvo type="max"/>
        <color rgb="FFF8696B"/>
        <color rgb="FFFCFCFF"/>
      </colorScale>
    </cfRule>
  </conditionalFormatting>
  <conditionalFormatting sqref="F147:G153">
    <cfRule type="colorScale" priority="428">
      <colorScale>
        <cfvo type="min"/>
        <cfvo type="max"/>
        <color rgb="FFF8696B"/>
        <color rgb="FFFCFCFF"/>
      </colorScale>
    </cfRule>
  </conditionalFormatting>
  <conditionalFormatting sqref="G6">
    <cfRule type="colorScale" priority="476">
      <colorScale>
        <cfvo type="min"/>
        <cfvo type="max"/>
        <color rgb="FFF8696B"/>
        <color rgb="FFFCFCFF"/>
      </colorScale>
    </cfRule>
  </conditionalFormatting>
  <conditionalFormatting sqref="G7">
    <cfRule type="colorScale" priority="474">
      <colorScale>
        <cfvo type="min"/>
        <cfvo type="max"/>
        <color rgb="FFF8696B"/>
        <color rgb="FFFCFCFF"/>
      </colorScale>
    </cfRule>
  </conditionalFormatting>
  <conditionalFormatting sqref="G8">
    <cfRule type="colorScale" priority="473">
      <colorScale>
        <cfvo type="min"/>
        <cfvo type="max"/>
        <color rgb="FFF8696B"/>
        <color rgb="FFFCFCFF"/>
      </colorScale>
    </cfRule>
  </conditionalFormatting>
  <conditionalFormatting sqref="G9">
    <cfRule type="colorScale" priority="472">
      <colorScale>
        <cfvo type="min"/>
        <cfvo type="max"/>
        <color rgb="FFF8696B"/>
        <color rgb="FFFCFCFF"/>
      </colorScale>
    </cfRule>
  </conditionalFormatting>
  <conditionalFormatting sqref="G10">
    <cfRule type="colorScale" priority="475">
      <colorScale>
        <cfvo type="min"/>
        <cfvo type="max"/>
        <color rgb="FFF8696B"/>
        <color rgb="FFFCFCFF"/>
      </colorScale>
    </cfRule>
  </conditionalFormatting>
  <conditionalFormatting sqref="G11:G14">
    <cfRule type="colorScale" priority="470">
      <colorScale>
        <cfvo type="min"/>
        <cfvo type="max"/>
        <color rgb="FFF8696B"/>
        <color rgb="FFFCFCFF"/>
      </colorScale>
    </cfRule>
  </conditionalFormatting>
  <conditionalFormatting sqref="G15:G18">
    <cfRule type="colorScale" priority="471">
      <colorScale>
        <cfvo type="min"/>
        <cfvo type="max"/>
        <color rgb="FFF8696B"/>
        <color rgb="FFFCFCFF"/>
      </colorScale>
    </cfRule>
  </conditionalFormatting>
  <conditionalFormatting sqref="G19">
    <cfRule type="colorScale" priority="469">
      <colorScale>
        <cfvo type="min"/>
        <cfvo type="max"/>
        <color rgb="FFF8696B"/>
        <color rgb="FFFCFCFF"/>
      </colorScale>
    </cfRule>
  </conditionalFormatting>
  <conditionalFormatting sqref="G28">
    <cfRule type="colorScale" priority="467">
      <colorScale>
        <cfvo type="min"/>
        <cfvo type="max"/>
        <color rgb="FFF8696B"/>
        <color rgb="FFFCFCFF"/>
      </colorScale>
    </cfRule>
  </conditionalFormatting>
  <conditionalFormatting sqref="G29">
    <cfRule type="colorScale" priority="464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66">
      <colorScale>
        <cfvo type="min"/>
        <cfvo type="max"/>
        <color rgb="FFF8696B"/>
        <color rgb="FFFCFCFF"/>
      </colorScale>
    </cfRule>
  </conditionalFormatting>
  <conditionalFormatting sqref="G31:G33">
    <cfRule type="colorScale" priority="463">
      <colorScale>
        <cfvo type="min"/>
        <cfvo type="max"/>
        <color rgb="FFF8696B"/>
        <color rgb="FFFCFCFF"/>
      </colorScale>
    </cfRule>
  </conditionalFormatting>
  <conditionalFormatting sqref="G34">
    <cfRule type="colorScale" priority="462">
      <colorScale>
        <cfvo type="min"/>
        <cfvo type="max"/>
        <color rgb="FFF8696B"/>
        <color rgb="FFFCFCFF"/>
      </colorScale>
    </cfRule>
  </conditionalFormatting>
  <conditionalFormatting sqref="G36">
    <cfRule type="colorScale" priority="460">
      <colorScale>
        <cfvo type="min"/>
        <cfvo type="max"/>
        <color rgb="FFF8696B"/>
        <color rgb="FFFCFCFF"/>
      </colorScale>
    </cfRule>
  </conditionalFormatting>
  <conditionalFormatting sqref="G26 G39 G35">
    <cfRule type="colorScale" priority="465">
      <colorScale>
        <cfvo type="min"/>
        <cfvo type="max"/>
        <color rgb="FFF8696B"/>
        <color rgb="FFFCFCFF"/>
      </colorScale>
    </cfRule>
  </conditionalFormatting>
  <conditionalFormatting sqref="G44:G51">
    <cfRule type="colorScale" priority="457">
      <colorScale>
        <cfvo type="min"/>
        <cfvo type="max"/>
        <color rgb="FFF8696B"/>
        <color rgb="FFFCFCFF"/>
      </colorScale>
    </cfRule>
  </conditionalFormatting>
  <conditionalFormatting sqref="G52:G57">
    <cfRule type="colorScale" priority="456">
      <colorScale>
        <cfvo type="min"/>
        <cfvo type="max"/>
        <color rgb="FFF8696B"/>
        <color rgb="FFFCFCFF"/>
      </colorScale>
    </cfRule>
  </conditionalFormatting>
  <conditionalFormatting sqref="G58:G59">
    <cfRule type="colorScale" priority="455">
      <colorScale>
        <cfvo type="min"/>
        <cfvo type="max"/>
        <color rgb="FFF8696B"/>
        <color rgb="FFFCFCFF"/>
      </colorScale>
    </cfRule>
  </conditionalFormatting>
  <conditionalFormatting sqref="G60">
    <cfRule type="colorScale" priority="453">
      <colorScale>
        <cfvo type="min"/>
        <cfvo type="max"/>
        <color rgb="FFF8696B"/>
        <color rgb="FFFCFCFF"/>
      </colorScale>
    </cfRule>
  </conditionalFormatting>
  <conditionalFormatting sqref="G61:G64">
    <cfRule type="colorScale" priority="452">
      <colorScale>
        <cfvo type="min"/>
        <cfvo type="max"/>
        <color rgb="FFF8696B"/>
        <color rgb="FFFCFCFF"/>
      </colorScale>
    </cfRule>
  </conditionalFormatting>
  <conditionalFormatting sqref="G65">
    <cfRule type="colorScale" priority="451">
      <colorScale>
        <cfvo type="min"/>
        <cfvo type="max"/>
        <color rgb="FFF8696B"/>
        <color rgb="FFFCFCFF"/>
      </colorScale>
    </cfRule>
  </conditionalFormatting>
  <conditionalFormatting sqref="G82">
    <cfRule type="colorScale" priority="446">
      <colorScale>
        <cfvo type="min"/>
        <cfvo type="max"/>
        <color rgb="FFF8696B"/>
        <color rgb="FFFCFCFF"/>
      </colorScale>
    </cfRule>
  </conditionalFormatting>
  <conditionalFormatting sqref="G83">
    <cfRule type="colorScale" priority="445">
      <colorScale>
        <cfvo type="min"/>
        <cfvo type="max"/>
        <color rgb="FFF8696B"/>
        <color rgb="FFFCFCFF"/>
      </colorScale>
    </cfRule>
  </conditionalFormatting>
  <conditionalFormatting sqref="G84:G85">
    <cfRule type="colorScale" priority="447">
      <colorScale>
        <cfvo type="min"/>
        <cfvo type="max"/>
        <color rgb="FFF8696B"/>
        <color rgb="FFFCFCFF"/>
      </colorScale>
    </cfRule>
  </conditionalFormatting>
  <conditionalFormatting sqref="G86:G91 G93">
    <cfRule type="colorScale" priority="444">
      <colorScale>
        <cfvo type="min"/>
        <cfvo type="max"/>
        <color rgb="FFF8696B"/>
        <color rgb="FFFCFCFF"/>
      </colorScale>
    </cfRule>
  </conditionalFormatting>
  <conditionalFormatting sqref="G92">
    <cfRule type="colorScale" priority="441">
      <colorScale>
        <cfvo type="min"/>
        <cfvo type="max"/>
        <color rgb="FFF8696B"/>
        <color rgb="FFFCFCFF"/>
      </colorScale>
    </cfRule>
  </conditionalFormatting>
  <conditionalFormatting sqref="G94">
    <cfRule type="colorScale" priority="443">
      <colorScale>
        <cfvo type="min"/>
        <cfvo type="max"/>
        <color rgb="FFF8696B"/>
        <color rgb="FFFCFCFF"/>
      </colorScale>
    </cfRule>
  </conditionalFormatting>
  <conditionalFormatting sqref="G95">
    <cfRule type="colorScale" priority="442">
      <colorScale>
        <cfvo type="min"/>
        <cfvo type="max"/>
        <color rgb="FFF8696B"/>
        <color rgb="FFFCFCFF"/>
      </colorScale>
    </cfRule>
  </conditionalFormatting>
  <conditionalFormatting sqref="G96:G97">
    <cfRule type="colorScale" priority="440">
      <colorScale>
        <cfvo type="min"/>
        <cfvo type="max"/>
        <color rgb="FFF8696B"/>
        <color rgb="FFFCFCFF"/>
      </colorScale>
    </cfRule>
  </conditionalFormatting>
  <conditionalFormatting sqref="G98:G99 G79">
    <cfRule type="colorScale" priority="449">
      <colorScale>
        <cfvo type="min"/>
        <cfvo type="max"/>
        <color rgb="FFF8696B"/>
        <color rgb="FFFCFCFF"/>
      </colorScale>
    </cfRule>
  </conditionalFormatting>
  <conditionalFormatting sqref="G116">
    <cfRule type="colorScale" priority="438">
      <colorScale>
        <cfvo type="min"/>
        <cfvo type="max"/>
        <color rgb="FFF8696B"/>
        <color rgb="FFFCFCFF"/>
      </colorScale>
    </cfRule>
  </conditionalFormatting>
  <conditionalFormatting sqref="G117:G120">
    <cfRule type="colorScale" priority="436">
      <colorScale>
        <cfvo type="min"/>
        <cfvo type="max"/>
        <color rgb="FFF8696B"/>
        <color rgb="FFFCFCFF"/>
      </colorScale>
    </cfRule>
  </conditionalFormatting>
  <conditionalFormatting sqref="G121">
    <cfRule type="colorScale" priority="437">
      <colorScale>
        <cfvo type="min"/>
        <cfvo type="max"/>
        <color rgb="FFF8696B"/>
        <color rgb="FFFCFCFF"/>
      </colorScale>
    </cfRule>
  </conditionalFormatting>
  <conditionalFormatting sqref="G131">
    <cfRule type="colorScale" priority="434">
      <colorScale>
        <cfvo type="min"/>
        <cfvo type="max"/>
        <color rgb="FFF8696B"/>
        <color rgb="FFFCFCFF"/>
      </colorScale>
    </cfRule>
  </conditionalFormatting>
  <conditionalFormatting sqref="G134:G135">
    <cfRule type="colorScale" priority="431">
      <colorScale>
        <cfvo type="min"/>
        <cfvo type="max"/>
        <color rgb="FFF8696B"/>
        <color rgb="FFFCFCFF"/>
      </colorScale>
    </cfRule>
  </conditionalFormatting>
  <conditionalFormatting sqref="G136">
    <cfRule type="colorScale" priority="432">
      <colorScale>
        <cfvo type="min"/>
        <cfvo type="max"/>
        <color rgb="FFF8696B"/>
        <color rgb="FFFCFCFF"/>
      </colorScale>
    </cfRule>
  </conditionalFormatting>
  <conditionalFormatting sqref="G132 G154 G137">
    <cfRule type="colorScale" priority="433">
      <colorScale>
        <cfvo type="min"/>
        <cfvo type="max"/>
        <color rgb="FFF8696B"/>
        <color rgb="FFFCFCFF"/>
      </colorScale>
    </cfRule>
  </conditionalFormatting>
  <conditionalFormatting sqref="G178">
    <cfRule type="colorScale" priority="425">
      <colorScale>
        <cfvo type="min"/>
        <cfvo type="max"/>
        <color rgb="FFF8696B"/>
        <color rgb="FFFCFCFF"/>
      </colorScale>
    </cfRule>
  </conditionalFormatting>
  <conditionalFormatting sqref="G179">
    <cfRule type="colorScale" priority="423">
      <colorScale>
        <cfvo type="min"/>
        <cfvo type="max"/>
        <color rgb="FFF8696B"/>
        <color rgb="FFFCFCFF"/>
      </colorScale>
    </cfRule>
  </conditionalFormatting>
  <conditionalFormatting sqref="G180">
    <cfRule type="colorScale" priority="422">
      <colorScale>
        <cfvo type="min"/>
        <cfvo type="max"/>
        <color rgb="FFF8696B"/>
        <color rgb="FFFCFCFF"/>
      </colorScale>
    </cfRule>
  </conditionalFormatting>
  <conditionalFormatting sqref="G181">
    <cfRule type="colorScale" priority="420">
      <colorScale>
        <cfvo type="min"/>
        <cfvo type="max"/>
        <color rgb="FFF8696B"/>
        <color rgb="FFFCFCFF"/>
      </colorScale>
    </cfRule>
  </conditionalFormatting>
  <conditionalFormatting sqref="G182:G183">
    <cfRule type="colorScale" priority="421">
      <colorScale>
        <cfvo type="min"/>
        <cfvo type="max"/>
        <color rgb="FFF8696B"/>
        <color rgb="FFFCFCFF"/>
      </colorScale>
    </cfRule>
  </conditionalFormatting>
  <conditionalFormatting sqref="G184:G189">
    <cfRule type="colorScale" priority="418">
      <colorScale>
        <cfvo type="min"/>
        <cfvo type="max"/>
        <color rgb="FFF8696B"/>
        <color rgb="FFFCFCFF"/>
      </colorScale>
    </cfRule>
  </conditionalFormatting>
  <conditionalFormatting sqref="G190">
    <cfRule type="colorScale" priority="416">
      <colorScale>
        <cfvo type="min"/>
        <cfvo type="max"/>
        <color rgb="FFF8696B"/>
        <color rgb="FFFCFCFF"/>
      </colorScale>
    </cfRule>
  </conditionalFormatting>
  <conditionalFormatting sqref="G191">
    <cfRule type="colorScale" priority="417">
      <colorScale>
        <cfvo type="min"/>
        <cfvo type="max"/>
        <color rgb="FFF8696B"/>
        <color rgb="FFFCFCFF"/>
      </colorScale>
    </cfRule>
  </conditionalFormatting>
  <conditionalFormatting sqref="G192:G196">
    <cfRule type="colorScale" priority="415">
      <colorScale>
        <cfvo type="min"/>
        <cfvo type="max"/>
        <color rgb="FFF8696B"/>
        <color rgb="FFFCFCFF"/>
      </colorScale>
    </cfRule>
  </conditionalFormatting>
  <conditionalFormatting sqref="G197">
    <cfRule type="colorScale" priority="414">
      <colorScale>
        <cfvo type="min"/>
        <cfvo type="max"/>
        <color rgb="FFF8696B"/>
        <color rgb="FFFCFCFF"/>
      </colorScale>
    </cfRule>
  </conditionalFormatting>
  <conditionalFormatting sqref="G198:G200">
    <cfRule type="colorScale" priority="413">
      <colorScale>
        <cfvo type="min"/>
        <cfvo type="max"/>
        <color rgb="FFF8696B"/>
        <color rgb="FFFCFCFF"/>
      </colorScale>
    </cfRule>
  </conditionalFormatting>
  <conditionalFormatting sqref="G201">
    <cfRule type="colorScale" priority="411">
      <colorScale>
        <cfvo type="min"/>
        <cfvo type="max"/>
        <color rgb="FFF8696B"/>
        <color rgb="FFFCFCFF"/>
      </colorScale>
    </cfRule>
  </conditionalFormatting>
  <conditionalFormatting sqref="G209">
    <cfRule type="colorScale" priority="408">
      <colorScale>
        <cfvo type="min"/>
        <cfvo type="max"/>
        <color rgb="FFF8696B"/>
        <color rgb="FFFCFCFF"/>
      </colorScale>
    </cfRule>
  </conditionalFormatting>
  <conditionalFormatting sqref="G210:G212">
    <cfRule type="colorScale" priority="406">
      <colorScale>
        <cfvo type="min"/>
        <cfvo type="max"/>
        <color rgb="FFF8696B"/>
        <color rgb="FFFCFCFF"/>
      </colorScale>
    </cfRule>
  </conditionalFormatting>
  <conditionalFormatting sqref="G213">
    <cfRule type="colorScale" priority="404">
      <colorScale>
        <cfvo type="min"/>
        <cfvo type="max"/>
        <color rgb="FFF8696B"/>
        <color rgb="FFFCFCFF"/>
      </colorScale>
    </cfRule>
  </conditionalFormatting>
  <conditionalFormatting sqref="G223">
    <cfRule type="colorScale" priority="401">
      <colorScale>
        <cfvo type="min"/>
        <cfvo type="max"/>
        <color rgb="FFF8696B"/>
        <color rgb="FFFCFCFF"/>
      </colorScale>
    </cfRule>
  </conditionalFormatting>
  <conditionalFormatting sqref="G225">
    <cfRule type="colorScale" priority="399">
      <colorScale>
        <cfvo type="min"/>
        <cfvo type="max"/>
        <color rgb="FFF8696B"/>
        <color rgb="FFFCFCFF"/>
      </colorScale>
    </cfRule>
  </conditionalFormatting>
  <conditionalFormatting sqref="G226">
    <cfRule type="colorScale" priority="398">
      <colorScale>
        <cfvo type="min"/>
        <cfvo type="max"/>
        <color rgb="FFF8696B"/>
        <color rgb="FFFCFCFF"/>
      </colorScale>
    </cfRule>
  </conditionalFormatting>
  <conditionalFormatting sqref="G227:G228">
    <cfRule type="colorScale" priority="394">
      <colorScale>
        <cfvo type="min"/>
        <cfvo type="max"/>
        <color rgb="FFF8696B"/>
        <color rgb="FFFCFCFF"/>
      </colorScale>
    </cfRule>
  </conditionalFormatting>
  <conditionalFormatting sqref="G230:G231">
    <cfRule type="colorScale" priority="392">
      <colorScale>
        <cfvo type="min"/>
        <cfvo type="max"/>
        <color rgb="FFF8696B"/>
        <color rgb="FFFCFCFF"/>
      </colorScale>
    </cfRule>
  </conditionalFormatting>
  <conditionalFormatting sqref="G232:G241">
    <cfRule type="colorScale" priority="396">
      <colorScale>
        <cfvo type="min"/>
        <cfvo type="max"/>
        <color rgb="FFF8696B"/>
        <color rgb="FFFCFCFF"/>
      </colorScale>
    </cfRule>
  </conditionalFormatting>
  <conditionalFormatting sqref="G242:G244">
    <cfRule type="colorScale" priority="395">
      <colorScale>
        <cfvo type="min"/>
        <cfvo type="max"/>
        <color rgb="FFF8696B"/>
        <color rgb="FFFCFCFF"/>
      </colorScale>
    </cfRule>
  </conditionalFormatting>
  <conditionalFormatting sqref="G256:G262">
    <cfRule type="colorScale" priority="389">
      <colorScale>
        <cfvo type="min"/>
        <cfvo type="max"/>
        <color rgb="FFF8696B"/>
        <color rgb="FFFCFCFF"/>
      </colorScale>
    </cfRule>
  </conditionalFormatting>
  <conditionalFormatting sqref="G290">
    <cfRule type="colorScale" priority="388">
      <colorScale>
        <cfvo type="min"/>
        <cfvo type="max"/>
        <color rgb="FFF8696B"/>
        <color rgb="FFFCFCFF"/>
      </colorScale>
    </cfRule>
  </conditionalFormatting>
  <conditionalFormatting sqref="G314:G317">
    <cfRule type="colorScale" priority="387">
      <colorScale>
        <cfvo type="min"/>
        <cfvo type="max"/>
        <color rgb="FFF8696B"/>
        <color rgb="FFFCFCFF"/>
      </colorScale>
    </cfRule>
  </conditionalFormatting>
  <conditionalFormatting sqref="G318:G320">
    <cfRule type="colorScale" priority="386">
      <colorScale>
        <cfvo type="min"/>
        <cfvo type="max"/>
        <color rgb="FFF8696B"/>
        <color rgb="FFFCFCFF"/>
      </colorScale>
    </cfRule>
  </conditionalFormatting>
  <conditionalFormatting sqref="G321:G324">
    <cfRule type="colorScale" priority="385">
      <colorScale>
        <cfvo type="min"/>
        <cfvo type="max"/>
        <color rgb="FFF8696B"/>
        <color rgb="FFFCFCFF"/>
      </colorScale>
    </cfRule>
  </conditionalFormatting>
  <conditionalFormatting sqref="G325">
    <cfRule type="colorScale" priority="384">
      <colorScale>
        <cfvo type="min"/>
        <cfvo type="max"/>
        <color rgb="FFF8696B"/>
        <color rgb="FFFCFCFF"/>
      </colorScale>
    </cfRule>
  </conditionalFormatting>
  <conditionalFormatting sqref="G339">
    <cfRule type="colorScale" priority="380">
      <colorScale>
        <cfvo type="min"/>
        <cfvo type="max"/>
        <color rgb="FFF8696B"/>
        <color rgb="FFFCFCFF"/>
      </colorScale>
    </cfRule>
  </conditionalFormatting>
  <conditionalFormatting sqref="G340:G341">
    <cfRule type="colorScale" priority="381">
      <colorScale>
        <cfvo type="min"/>
        <cfvo type="max"/>
        <color rgb="FFF8696B"/>
        <color rgb="FFFCFCFF"/>
      </colorScale>
    </cfRule>
  </conditionalFormatting>
  <conditionalFormatting sqref="G342">
    <cfRule type="colorScale" priority="379">
      <colorScale>
        <cfvo type="min"/>
        <cfvo type="max"/>
        <color rgb="FFF8696B"/>
        <color rgb="FFFCFCFF"/>
      </colorScale>
    </cfRule>
  </conditionalFormatting>
  <conditionalFormatting sqref="G343">
    <cfRule type="colorScale" priority="382">
      <colorScale>
        <cfvo type="min"/>
        <cfvo type="max"/>
        <color rgb="FFF8696B"/>
        <color rgb="FFFCFCFF"/>
      </colorScale>
    </cfRule>
  </conditionalFormatting>
  <conditionalFormatting sqref="G344:G345">
    <cfRule type="colorScale" priority="378">
      <colorScale>
        <cfvo type="min"/>
        <cfvo type="max"/>
        <color rgb="FFF8696B"/>
        <color rgb="FFFCFCFF"/>
      </colorScale>
    </cfRule>
  </conditionalFormatting>
  <conditionalFormatting sqref="G346:G347 G350:G355">
    <cfRule type="colorScale" priority="377">
      <colorScale>
        <cfvo type="min"/>
        <cfvo type="max"/>
        <color rgb="FFF8696B"/>
        <color rgb="FFFCFCFF"/>
      </colorScale>
    </cfRule>
  </conditionalFormatting>
  <conditionalFormatting sqref="G348">
    <cfRule type="colorScale" priority="376">
      <colorScale>
        <cfvo type="min"/>
        <cfvo type="max"/>
        <color rgb="FFF8696B"/>
        <color rgb="FFFCFCFF"/>
      </colorScale>
    </cfRule>
  </conditionalFormatting>
  <conditionalFormatting sqref="G349">
    <cfRule type="colorScale" priority="375">
      <colorScale>
        <cfvo type="min"/>
        <cfvo type="max"/>
        <color rgb="FFF8696B"/>
        <color rgb="FFFCFCFF"/>
      </colorScale>
    </cfRule>
  </conditionalFormatting>
  <conditionalFormatting sqref="G366">
    <cfRule type="colorScale" priority="374">
      <colorScale>
        <cfvo type="min"/>
        <cfvo type="max"/>
        <color rgb="FFF8696B"/>
        <color rgb="FFFCFCFF"/>
      </colorScale>
    </cfRule>
  </conditionalFormatting>
  <conditionalFormatting sqref="G396">
    <cfRule type="colorScale" priority="372">
      <colorScale>
        <cfvo type="min"/>
        <cfvo type="max"/>
        <color rgb="FFF8696B"/>
        <color rgb="FFFCFCFF"/>
      </colorScale>
    </cfRule>
  </conditionalFormatting>
  <conditionalFormatting sqref="G397:G401">
    <cfRule type="colorScale" priority="371">
      <colorScale>
        <cfvo type="min"/>
        <cfvo type="max"/>
        <color rgb="FFF8696B"/>
        <color rgb="FFFCFCFF"/>
      </colorScale>
    </cfRule>
  </conditionalFormatting>
  <conditionalFormatting sqref="G411:G412">
    <cfRule type="colorScale" priority="369">
      <colorScale>
        <cfvo type="min"/>
        <cfvo type="max"/>
        <color rgb="FFF8696B"/>
        <color rgb="FFFCFCFF"/>
      </colorScale>
    </cfRule>
  </conditionalFormatting>
  <conditionalFormatting sqref="G433">
    <cfRule type="colorScale" priority="367">
      <colorScale>
        <cfvo type="min"/>
        <cfvo type="max"/>
        <color rgb="FFF8696B"/>
        <color rgb="FFFCFCFF"/>
      </colorScale>
    </cfRule>
  </conditionalFormatting>
  <conditionalFormatting sqref="G434:G436">
    <cfRule type="colorScale" priority="368">
      <colorScale>
        <cfvo type="min"/>
        <cfvo type="max"/>
        <color rgb="FFF8696B"/>
        <color rgb="FFFCFCFF"/>
      </colorScale>
    </cfRule>
  </conditionalFormatting>
  <conditionalFormatting sqref="G437">
    <cfRule type="colorScale" priority="366">
      <colorScale>
        <cfvo type="min"/>
        <cfvo type="max"/>
        <color rgb="FFF8696B"/>
        <color rgb="FFFCFCFF"/>
      </colorScale>
    </cfRule>
  </conditionalFormatting>
  <conditionalFormatting sqref="G438:G442 G445">
    <cfRule type="colorScale" priority="365">
      <colorScale>
        <cfvo type="min"/>
        <cfvo type="max"/>
        <color rgb="FFF8696B"/>
        <color rgb="FFFCFCFF"/>
      </colorScale>
    </cfRule>
  </conditionalFormatting>
  <conditionalFormatting sqref="G443">
    <cfRule type="colorScale" priority="364">
      <colorScale>
        <cfvo type="min"/>
        <cfvo type="max"/>
        <color rgb="FFF8696B"/>
        <color rgb="FFFCFCFF"/>
      </colorScale>
    </cfRule>
  </conditionalFormatting>
  <conditionalFormatting sqref="G467">
    <cfRule type="colorScale" priority="359">
      <colorScale>
        <cfvo type="min"/>
        <cfvo type="max"/>
        <color rgb="FFF8696B"/>
        <color rgb="FFFCFCFF"/>
      </colorScale>
    </cfRule>
  </conditionalFormatting>
  <conditionalFormatting sqref="G468">
    <cfRule type="colorScale" priority="358">
      <colorScale>
        <cfvo type="min"/>
        <cfvo type="max"/>
        <color rgb="FFF8696B"/>
        <color rgb="FFFCFCFF"/>
      </colorScale>
    </cfRule>
  </conditionalFormatting>
  <conditionalFormatting sqref="G470">
    <cfRule type="colorScale" priority="357">
      <colorScale>
        <cfvo type="min"/>
        <cfvo type="max"/>
        <color rgb="FFF8696B"/>
        <color rgb="FFFCFCFF"/>
      </colorScale>
    </cfRule>
  </conditionalFormatting>
  <conditionalFormatting sqref="G472">
    <cfRule type="colorScale" priority="354">
      <colorScale>
        <cfvo type="min"/>
        <cfvo type="max"/>
        <color rgb="FFF8696B"/>
        <color rgb="FFFCFCFF"/>
      </colorScale>
    </cfRule>
  </conditionalFormatting>
  <conditionalFormatting sqref="G473">
    <cfRule type="colorScale" priority="353">
      <colorScale>
        <cfvo type="min"/>
        <cfvo type="max"/>
        <color rgb="FFF8696B"/>
        <color rgb="FFFCFCFF"/>
      </colorScale>
    </cfRule>
  </conditionalFormatting>
  <conditionalFormatting sqref="G474">
    <cfRule type="colorScale" priority="355">
      <colorScale>
        <cfvo type="min"/>
        <cfvo type="max"/>
        <color rgb="FFF8696B"/>
        <color rgb="FFFCFCFF"/>
      </colorScale>
    </cfRule>
  </conditionalFormatting>
  <conditionalFormatting sqref="G476:G480">
    <cfRule type="colorScale" priority="356">
      <colorScale>
        <cfvo type="min"/>
        <cfvo type="max"/>
        <color rgb="FFF8696B"/>
        <color rgb="FFFCFCFF"/>
      </colorScale>
    </cfRule>
  </conditionalFormatting>
  <conditionalFormatting sqref="G481:G488">
    <cfRule type="colorScale" priority="352">
      <colorScale>
        <cfvo type="min"/>
        <cfvo type="max"/>
        <color rgb="FFF8696B"/>
        <color rgb="FFFCFCFF"/>
      </colorScale>
    </cfRule>
  </conditionalFormatting>
  <conditionalFormatting sqref="G510:G518">
    <cfRule type="colorScale" priority="349">
      <colorScale>
        <cfvo type="min"/>
        <cfvo type="max"/>
        <color rgb="FFF8696B"/>
        <color rgb="FFFCFCFF"/>
      </colorScale>
    </cfRule>
  </conditionalFormatting>
  <conditionalFormatting sqref="G520">
    <cfRule type="colorScale" priority="348">
      <colorScale>
        <cfvo type="min"/>
        <cfvo type="max"/>
        <color rgb="FFF8696B"/>
        <color rgb="FFFCFCFF"/>
      </colorScale>
    </cfRule>
  </conditionalFormatting>
  <conditionalFormatting sqref="G521">
    <cfRule type="colorScale" priority="347">
      <colorScale>
        <cfvo type="min"/>
        <cfvo type="max"/>
        <color rgb="FFF8696B"/>
        <color rgb="FFFCFCFF"/>
      </colorScale>
    </cfRule>
  </conditionalFormatting>
  <conditionalFormatting sqref="G522:G524">
    <cfRule type="colorScale" priority="346">
      <colorScale>
        <cfvo type="min"/>
        <cfvo type="max"/>
        <color rgb="FFF8696B"/>
        <color rgb="FFFCFCFF"/>
      </colorScale>
    </cfRule>
  </conditionalFormatting>
  <conditionalFormatting sqref="G525">
    <cfRule type="colorScale" priority="342">
      <colorScale>
        <cfvo type="min"/>
        <cfvo type="max"/>
        <color rgb="FFF8696B"/>
        <color rgb="FFFCFCFF"/>
      </colorScale>
    </cfRule>
  </conditionalFormatting>
  <conditionalFormatting sqref="G526:G527">
    <cfRule type="colorScale" priority="343">
      <colorScale>
        <cfvo type="min"/>
        <cfvo type="max"/>
        <color rgb="FFF8696B"/>
        <color rgb="FFFCFCFF"/>
      </colorScale>
    </cfRule>
  </conditionalFormatting>
  <conditionalFormatting sqref="G543">
    <cfRule type="colorScale" priority="338">
      <colorScale>
        <cfvo type="min"/>
        <cfvo type="max"/>
        <color rgb="FFF8696B"/>
        <color rgb="FFFCFCFF"/>
      </colorScale>
    </cfRule>
  </conditionalFormatting>
  <conditionalFormatting sqref="G544:G551 G541:G542">
    <cfRule type="colorScale" priority="339">
      <colorScale>
        <cfvo type="min"/>
        <cfvo type="max"/>
        <color rgb="FFF8696B"/>
        <color rgb="FFFCFCFF"/>
      </colorScale>
    </cfRule>
  </conditionalFormatting>
  <conditionalFormatting sqref="G553">
    <cfRule type="colorScale" priority="337">
      <colorScale>
        <cfvo type="min"/>
        <cfvo type="max"/>
        <color rgb="FFF8696B"/>
        <color rgb="FFFCFCFF"/>
      </colorScale>
    </cfRule>
  </conditionalFormatting>
  <conditionalFormatting sqref="G554:G555">
    <cfRule type="colorScale" priority="336">
      <colorScale>
        <cfvo type="min"/>
        <cfvo type="max"/>
        <color rgb="FFF8696B"/>
        <color rgb="FFFCFCFF"/>
      </colorScale>
    </cfRule>
  </conditionalFormatting>
  <conditionalFormatting sqref="G556:G564">
    <cfRule type="colorScale" priority="335">
      <colorScale>
        <cfvo type="min"/>
        <cfvo type="max"/>
        <color rgb="FFF8696B"/>
        <color rgb="FFFCFCFF"/>
      </colorScale>
    </cfRule>
  </conditionalFormatting>
  <conditionalFormatting sqref="G582:G584">
    <cfRule type="colorScale" priority="332">
      <colorScale>
        <cfvo type="min"/>
        <cfvo type="max"/>
        <color rgb="FFF8696B"/>
        <color rgb="FFFCFCFF"/>
      </colorScale>
    </cfRule>
  </conditionalFormatting>
  <conditionalFormatting sqref="G585">
    <cfRule type="colorScale" priority="333">
      <colorScale>
        <cfvo type="min"/>
        <cfvo type="max"/>
        <color rgb="FFF8696B"/>
        <color rgb="FFFCFCFF"/>
      </colorScale>
    </cfRule>
  </conditionalFormatting>
  <conditionalFormatting sqref="G586">
    <cfRule type="colorScale" priority="329">
      <colorScale>
        <cfvo type="min"/>
        <cfvo type="max"/>
        <color rgb="FFF8696B"/>
        <color rgb="FFFCFCFF"/>
      </colorScale>
    </cfRule>
  </conditionalFormatting>
  <conditionalFormatting sqref="G587:G591">
    <cfRule type="colorScale" priority="331">
      <colorScale>
        <cfvo type="min"/>
        <cfvo type="max"/>
        <color rgb="FFF8696B"/>
        <color rgb="FFFCFCFF"/>
      </colorScale>
    </cfRule>
  </conditionalFormatting>
  <conditionalFormatting sqref="G592:G594">
    <cfRule type="colorScale" priority="328">
      <colorScale>
        <cfvo type="min"/>
        <cfvo type="max"/>
        <color rgb="FFF8696B"/>
        <color rgb="FFFCFCFF"/>
      </colorScale>
    </cfRule>
  </conditionalFormatting>
  <conditionalFormatting sqref="G612:G614 G616">
    <cfRule type="colorScale" priority="326">
      <colorScale>
        <cfvo type="min"/>
        <cfvo type="max"/>
        <color rgb="FFF8696B"/>
        <color rgb="FFFCFCFF"/>
      </colorScale>
    </cfRule>
  </conditionalFormatting>
  <conditionalFormatting sqref="G615">
    <cfRule type="colorScale" priority="325">
      <colorScale>
        <cfvo type="min"/>
        <cfvo type="max"/>
        <color rgb="FFF8696B"/>
        <color rgb="FFFCFCFF"/>
      </colorScale>
    </cfRule>
  </conditionalFormatting>
  <conditionalFormatting sqref="G617">
    <cfRule type="colorScale" priority="324">
      <colorScale>
        <cfvo type="min"/>
        <cfvo type="max"/>
        <color rgb="FFF8696B"/>
        <color rgb="FFFCFCFF"/>
      </colorScale>
    </cfRule>
  </conditionalFormatting>
  <conditionalFormatting sqref="G618:G620">
    <cfRule type="colorScale" priority="323">
      <colorScale>
        <cfvo type="min"/>
        <cfvo type="max"/>
        <color rgb="FFF8696B"/>
        <color rgb="FFFCFCFF"/>
      </colorScale>
    </cfRule>
  </conditionalFormatting>
  <conditionalFormatting sqref="G621">
    <cfRule type="colorScale" priority="314">
      <colorScale>
        <cfvo type="min"/>
        <cfvo type="max"/>
        <color rgb="FFF8696B"/>
        <color rgb="FFFCFCFF"/>
      </colorScale>
    </cfRule>
  </conditionalFormatting>
  <conditionalFormatting sqref="G622">
    <cfRule type="colorScale" priority="316">
      <colorScale>
        <cfvo type="min"/>
        <cfvo type="max"/>
        <color rgb="FFF8696B"/>
        <color rgb="FFFCFCFF"/>
      </colorScale>
    </cfRule>
  </conditionalFormatting>
  <conditionalFormatting sqref="G623">
    <cfRule type="colorScale" priority="320">
      <colorScale>
        <cfvo type="min"/>
        <cfvo type="max"/>
        <color rgb="FFF8696B"/>
        <color rgb="FFFCFCFF"/>
      </colorScale>
    </cfRule>
  </conditionalFormatting>
  <conditionalFormatting sqref="G624:G626">
    <cfRule type="colorScale" priority="312">
      <colorScale>
        <cfvo type="min"/>
        <cfvo type="max"/>
        <color rgb="FFF8696B"/>
        <color rgb="FFFCFCFF"/>
      </colorScale>
    </cfRule>
  </conditionalFormatting>
  <conditionalFormatting sqref="G628">
    <cfRule type="colorScale" priority="309">
      <colorScale>
        <cfvo type="min"/>
        <cfvo type="max"/>
        <color rgb="FFF8696B"/>
        <color rgb="FFFCFCFF"/>
      </colorScale>
    </cfRule>
  </conditionalFormatting>
  <conditionalFormatting sqref="G629:G630 G627">
    <cfRule type="colorScale" priority="311">
      <colorScale>
        <cfvo type="min"/>
        <cfvo type="max"/>
        <color rgb="FFF8696B"/>
        <color rgb="FFFCFCFF"/>
      </colorScale>
    </cfRule>
  </conditionalFormatting>
  <conditionalFormatting sqref="G631">
    <cfRule type="colorScale" priority="317">
      <colorScale>
        <cfvo type="min"/>
        <cfvo type="max"/>
        <color rgb="FFF8696B"/>
        <color rgb="FFFCFCFF"/>
      </colorScale>
    </cfRule>
  </conditionalFormatting>
  <conditionalFormatting sqref="G639">
    <cfRule type="colorScale" priority="306">
      <colorScale>
        <cfvo type="min"/>
        <cfvo type="max"/>
        <color rgb="FFF8696B"/>
        <color rgb="FFFCFCFF"/>
      </colorScale>
    </cfRule>
  </conditionalFormatting>
  <conditionalFormatting sqref="G651">
    <cfRule type="colorScale" priority="305">
      <colorScale>
        <cfvo type="min"/>
        <cfvo type="max"/>
        <color rgb="FFF8696B"/>
        <color rgb="FFFCFCFF"/>
      </colorScale>
    </cfRule>
  </conditionalFormatting>
  <conditionalFormatting sqref="G652:G653">
    <cfRule type="colorScale" priority="304">
      <colorScale>
        <cfvo type="min"/>
        <cfvo type="max"/>
        <color rgb="FFF8696B"/>
        <color rgb="FFFCFCFF"/>
      </colorScale>
    </cfRule>
  </conditionalFormatting>
  <conditionalFormatting sqref="G654:G656">
    <cfRule type="colorScale" priority="300">
      <colorScale>
        <cfvo type="min"/>
        <cfvo type="max"/>
        <color rgb="FFF8696B"/>
        <color rgb="FFFCFCFF"/>
      </colorScale>
    </cfRule>
    <cfRule type="colorScale" priority="301">
      <colorScale>
        <cfvo type="min"/>
        <cfvo type="max"/>
        <color rgb="FFF8696B"/>
        <color rgb="FFFCFCFF"/>
      </colorScale>
    </cfRule>
  </conditionalFormatting>
  <conditionalFormatting sqref="G657">
    <cfRule type="colorScale" priority="302">
      <colorScale>
        <cfvo type="min"/>
        <cfvo type="max"/>
        <color rgb="FFF8696B"/>
        <color rgb="FFFCFCFF"/>
      </colorScale>
    </cfRule>
  </conditionalFormatting>
  <conditionalFormatting sqref="G679:G680">
    <cfRule type="colorScale" priority="294">
      <colorScale>
        <cfvo type="min"/>
        <cfvo type="max"/>
        <color rgb="FFF8696B"/>
        <color rgb="FFFCFCFF"/>
      </colorScale>
    </cfRule>
  </conditionalFormatting>
  <conditionalFormatting sqref="G683">
    <cfRule type="colorScale" priority="291">
      <colorScale>
        <cfvo type="min"/>
        <cfvo type="max"/>
        <color rgb="FFF8696B"/>
        <color rgb="FFFCFCFF"/>
      </colorScale>
    </cfRule>
  </conditionalFormatting>
  <conditionalFormatting sqref="G684">
    <cfRule type="colorScale" priority="290">
      <colorScale>
        <cfvo type="min"/>
        <cfvo type="max"/>
        <color rgb="FFF8696B"/>
        <color rgb="FFFCFCFF"/>
      </colorScale>
    </cfRule>
  </conditionalFormatting>
  <conditionalFormatting sqref="G685">
    <cfRule type="colorScale" priority="286">
      <colorScale>
        <cfvo type="min"/>
        <cfvo type="max"/>
        <color rgb="FFF8696B"/>
        <color rgb="FFFCFCFF"/>
      </colorScale>
    </cfRule>
  </conditionalFormatting>
  <conditionalFormatting sqref="G686">
    <cfRule type="colorScale" priority="288">
      <colorScale>
        <cfvo type="min"/>
        <cfvo type="max"/>
        <color rgb="FFF8696B"/>
        <color rgb="FFFCFCFF"/>
      </colorScale>
    </cfRule>
  </conditionalFormatting>
  <conditionalFormatting sqref="G687:G688">
    <cfRule type="colorScale" priority="287">
      <colorScale>
        <cfvo type="min"/>
        <cfvo type="max"/>
        <color rgb="FFF8696B"/>
        <color rgb="FFFCFCFF"/>
      </colorScale>
    </cfRule>
  </conditionalFormatting>
  <conditionalFormatting sqref="G689:G703">
    <cfRule type="colorScale" priority="289">
      <colorScale>
        <cfvo type="min"/>
        <cfvo type="max"/>
        <color rgb="FFF8696B"/>
        <color rgb="FFFCFCFF"/>
      </colorScale>
    </cfRule>
  </conditionalFormatting>
  <conditionalFormatting sqref="G714">
    <cfRule type="colorScale" priority="284">
      <colorScale>
        <cfvo type="min"/>
        <cfvo type="max"/>
        <color rgb="FFF8696B"/>
        <color rgb="FFFCFCFF"/>
      </colorScale>
    </cfRule>
  </conditionalFormatting>
  <conditionalFormatting sqref="G715:G728">
    <cfRule type="colorScale" priority="283">
      <colorScale>
        <cfvo type="min"/>
        <cfvo type="max"/>
        <color rgb="FFF8696B"/>
        <color rgb="FFFCFCFF"/>
      </colorScale>
    </cfRule>
  </conditionalFormatting>
  <conditionalFormatting sqref="G729">
    <cfRule type="colorScale" priority="281">
      <colorScale>
        <cfvo type="min"/>
        <cfvo type="max"/>
        <color rgb="FFF8696B"/>
        <color rgb="FFFCFCFF"/>
      </colorScale>
    </cfRule>
  </conditionalFormatting>
  <conditionalFormatting sqref="G730:G732">
    <cfRule type="colorScale" priority="282">
      <colorScale>
        <cfvo type="min"/>
        <cfvo type="max"/>
        <color rgb="FFF8696B"/>
        <color rgb="FFFCFCFF"/>
      </colorScale>
    </cfRule>
  </conditionalFormatting>
  <conditionalFormatting sqref="G733">
    <cfRule type="colorScale" priority="279">
      <colorScale>
        <cfvo type="min"/>
        <cfvo type="max"/>
        <color rgb="FFF8696B"/>
        <color rgb="FFFCFCFF"/>
      </colorScale>
    </cfRule>
  </conditionalFormatting>
  <conditionalFormatting sqref="G734">
    <cfRule type="colorScale" priority="280">
      <colorScale>
        <cfvo type="min"/>
        <cfvo type="max"/>
        <color rgb="FFF8696B"/>
        <color rgb="FFFCFCFF"/>
      </colorScale>
    </cfRule>
  </conditionalFormatting>
  <conditionalFormatting sqref="G750:G760">
    <cfRule type="colorScale" priority="272">
      <colorScale>
        <cfvo type="min"/>
        <cfvo type="max"/>
        <color rgb="FFF8696B"/>
        <color rgb="FFFCFCFF"/>
      </colorScale>
    </cfRule>
  </conditionalFormatting>
  <conditionalFormatting sqref="G761">
    <cfRule type="colorScale" priority="269">
      <colorScale>
        <cfvo type="min"/>
        <cfvo type="max"/>
        <color rgb="FFF8696B"/>
        <color rgb="FFFCFCFF"/>
      </colorScale>
    </cfRule>
  </conditionalFormatting>
  <conditionalFormatting sqref="G762">
    <cfRule type="colorScale" priority="268">
      <colorScale>
        <cfvo type="min"/>
        <cfvo type="max"/>
        <color rgb="FFF8696B"/>
        <color rgb="FFFCFCFF"/>
      </colorScale>
    </cfRule>
  </conditionalFormatting>
  <conditionalFormatting sqref="G763">
    <cfRule type="colorScale" priority="267">
      <colorScale>
        <cfvo type="min"/>
        <cfvo type="max"/>
        <color rgb="FFF8696B"/>
        <color rgb="FFFCFCFF"/>
      </colorScale>
    </cfRule>
  </conditionalFormatting>
  <conditionalFormatting sqref="G764">
    <cfRule type="colorScale" priority="266">
      <colorScale>
        <cfvo type="min"/>
        <cfvo type="max"/>
        <color rgb="FFF8696B"/>
        <color rgb="FFFCFCFF"/>
      </colorScale>
    </cfRule>
  </conditionalFormatting>
  <conditionalFormatting sqref="G765">
    <cfRule type="colorScale" priority="265">
      <colorScale>
        <cfvo type="min"/>
        <cfvo type="max"/>
        <color rgb="FFF8696B"/>
        <color rgb="FFFCFCFF"/>
      </colorScale>
    </cfRule>
  </conditionalFormatting>
  <conditionalFormatting sqref="G766">
    <cfRule type="colorScale" priority="264">
      <colorScale>
        <cfvo type="min"/>
        <cfvo type="max"/>
        <color rgb="FFF8696B"/>
        <color rgb="FFFCFCFF"/>
      </colorScale>
    </cfRule>
  </conditionalFormatting>
  <conditionalFormatting sqref="G767">
    <cfRule type="colorScale" priority="263">
      <colorScale>
        <cfvo type="min"/>
        <cfvo type="max"/>
        <color rgb="FFF8696B"/>
        <color rgb="FFFCFCFF"/>
      </colorScale>
    </cfRule>
  </conditionalFormatting>
  <conditionalFormatting sqref="G768">
    <cfRule type="colorScale" priority="262">
      <colorScale>
        <cfvo type="min"/>
        <cfvo type="max"/>
        <color rgb="FFF8696B"/>
        <color rgb="FFFCFCFF"/>
      </colorScale>
    </cfRule>
  </conditionalFormatting>
  <conditionalFormatting sqref="G769">
    <cfRule type="colorScale" priority="261">
      <colorScale>
        <cfvo type="min"/>
        <cfvo type="max"/>
        <color rgb="FFF8696B"/>
        <color rgb="FFFCFCFF"/>
      </colorScale>
    </cfRule>
  </conditionalFormatting>
  <conditionalFormatting sqref="G770">
    <cfRule type="colorScale" priority="270">
      <colorScale>
        <cfvo type="min"/>
        <cfvo type="max"/>
        <color rgb="FFF8696B"/>
        <color rgb="FFFCFCFF"/>
      </colorScale>
    </cfRule>
  </conditionalFormatting>
  <conditionalFormatting sqref="G771">
    <cfRule type="colorScale" priority="260">
      <colorScale>
        <cfvo type="min"/>
        <cfvo type="max"/>
        <color rgb="FFF8696B"/>
        <color rgb="FFFCFCFF"/>
      </colorScale>
    </cfRule>
  </conditionalFormatting>
  <conditionalFormatting sqref="G772">
    <cfRule type="colorScale" priority="259">
      <colorScale>
        <cfvo type="min"/>
        <cfvo type="max"/>
        <color rgb="FFF8696B"/>
        <color rgb="FFFCFCFF"/>
      </colorScale>
    </cfRule>
  </conditionalFormatting>
  <conditionalFormatting sqref="G773">
    <cfRule type="colorScale" priority="258">
      <colorScale>
        <cfvo type="min"/>
        <cfvo type="max"/>
        <color rgb="FFF8696B"/>
        <color rgb="FFFCFCFF"/>
      </colorScale>
    </cfRule>
  </conditionalFormatting>
  <conditionalFormatting sqref="G774:G777">
    <cfRule type="colorScale" priority="271">
      <colorScale>
        <cfvo type="min"/>
        <cfvo type="max"/>
        <color rgb="FFF8696B"/>
        <color rgb="FFFCFCFF"/>
      </colorScale>
    </cfRule>
  </conditionalFormatting>
  <conditionalFormatting sqref="G778:G779">
    <cfRule type="colorScale" priority="257">
      <colorScale>
        <cfvo type="min"/>
        <cfvo type="max"/>
        <color rgb="FFF8696B"/>
        <color rgb="FFFCFCFF"/>
      </colorScale>
    </cfRule>
  </conditionalFormatting>
  <conditionalFormatting sqref="G789">
    <cfRule type="colorScale" priority="254">
      <colorScale>
        <cfvo type="min"/>
        <cfvo type="max"/>
        <color rgb="FFF8696B"/>
        <color rgb="FFFCFCFF"/>
      </colorScale>
    </cfRule>
  </conditionalFormatting>
  <conditionalFormatting sqref="G790">
    <cfRule type="colorScale" priority="253">
      <colorScale>
        <cfvo type="min"/>
        <cfvo type="max"/>
        <color rgb="FFF8696B"/>
        <color rgb="FFFCFCFF"/>
      </colorScale>
    </cfRule>
  </conditionalFormatting>
  <conditionalFormatting sqref="G798">
    <cfRule type="colorScale" priority="249">
      <colorScale>
        <cfvo type="min"/>
        <cfvo type="max"/>
        <color rgb="FFF8696B"/>
        <color rgb="FFFCFCFF"/>
      </colorScale>
    </cfRule>
  </conditionalFormatting>
  <conditionalFormatting sqref="G801:G802 G797">
    <cfRule type="colorScale" priority="250">
      <colorScale>
        <cfvo type="min"/>
        <cfvo type="max"/>
        <color rgb="FFF8696B"/>
        <color rgb="FFFCFCFF"/>
      </colorScale>
    </cfRule>
  </conditionalFormatting>
  <conditionalFormatting sqref="G807:G819">
    <cfRule type="colorScale" priority="247">
      <colorScale>
        <cfvo type="min"/>
        <cfvo type="max"/>
        <color rgb="FFF8696B"/>
        <color rgb="FFFCFCFF"/>
      </colorScale>
    </cfRule>
  </conditionalFormatting>
  <conditionalFormatting sqref="G829:G831">
    <cfRule type="colorScale" priority="245">
      <colorScale>
        <cfvo type="min"/>
        <cfvo type="max"/>
        <color rgb="FFF8696B"/>
        <color rgb="FFFCFCFF"/>
      </colorScale>
    </cfRule>
  </conditionalFormatting>
  <conditionalFormatting sqref="G832:G835">
    <cfRule type="colorScale" priority="243">
      <colorScale>
        <cfvo type="min"/>
        <cfvo type="max"/>
        <color rgb="FFF8696B"/>
        <color rgb="FFFCFCFF"/>
      </colorScale>
    </cfRule>
  </conditionalFormatting>
  <conditionalFormatting sqref="G847:G849">
    <cfRule type="colorScale" priority="240">
      <colorScale>
        <cfvo type="min"/>
        <cfvo type="max"/>
        <color rgb="FFF8696B"/>
        <color rgb="FFFCFCFF"/>
      </colorScale>
    </cfRule>
  </conditionalFormatting>
  <conditionalFormatting sqref="G869">
    <cfRule type="colorScale" priority="235">
      <colorScale>
        <cfvo type="min"/>
        <cfvo type="max"/>
        <color rgb="FFF8696B"/>
        <color rgb="FFFCFCFF"/>
      </colorScale>
    </cfRule>
  </conditionalFormatting>
  <conditionalFormatting sqref="G870">
    <cfRule type="colorScale" priority="237">
      <colorScale>
        <cfvo type="min"/>
        <cfvo type="max"/>
        <color rgb="FFF8696B"/>
        <color rgb="FFFCFCFF"/>
      </colorScale>
    </cfRule>
  </conditionalFormatting>
  <conditionalFormatting sqref="G873">
    <cfRule type="colorScale" priority="234">
      <colorScale>
        <cfvo type="min"/>
        <cfvo type="max"/>
        <color rgb="FFF8696B"/>
        <color rgb="FFFCFCFF"/>
      </colorScale>
    </cfRule>
  </conditionalFormatting>
  <conditionalFormatting sqref="G875">
    <cfRule type="colorScale" priority="233">
      <colorScale>
        <cfvo type="min"/>
        <cfvo type="max"/>
        <color rgb="FFF8696B"/>
        <color rgb="FFFCFCFF"/>
      </colorScale>
    </cfRule>
  </conditionalFormatting>
  <conditionalFormatting sqref="G891">
    <cfRule type="colorScale" priority="230">
      <colorScale>
        <cfvo type="min"/>
        <cfvo type="max"/>
        <color rgb="FFF8696B"/>
        <color rgb="FFFCFCFF"/>
      </colorScale>
    </cfRule>
  </conditionalFormatting>
  <conditionalFormatting sqref="G908:G909">
    <cfRule type="colorScale" priority="226">
      <colorScale>
        <cfvo type="min"/>
        <cfvo type="max"/>
        <color rgb="FFF8696B"/>
        <color rgb="FFFCFCFF"/>
      </colorScale>
    </cfRule>
  </conditionalFormatting>
  <conditionalFormatting sqref="G913:G914">
    <cfRule type="colorScale" priority="224">
      <colorScale>
        <cfvo type="min"/>
        <cfvo type="max"/>
        <color rgb="FFF8696B"/>
        <color rgb="FFFCFCFF"/>
      </colorScale>
    </cfRule>
  </conditionalFormatting>
  <conditionalFormatting sqref="G915:G921">
    <cfRule type="colorScale" priority="223">
      <colorScale>
        <cfvo type="min"/>
        <cfvo type="max"/>
        <color rgb="FFF8696B"/>
        <color rgb="FFFCFCFF"/>
      </colorScale>
    </cfRule>
  </conditionalFormatting>
  <conditionalFormatting sqref="G940:G942">
    <cfRule type="colorScale" priority="217">
      <colorScale>
        <cfvo type="min"/>
        <cfvo type="max"/>
        <color rgb="FFF8696B"/>
        <color rgb="FFFCFCFF"/>
      </colorScale>
    </cfRule>
  </conditionalFormatting>
  <conditionalFormatting sqref="G943">
    <cfRule type="colorScale" priority="218">
      <colorScale>
        <cfvo type="min"/>
        <cfvo type="max"/>
        <color rgb="FFF8696B"/>
        <color rgb="FFFCFCFF"/>
      </colorScale>
    </cfRule>
  </conditionalFormatting>
  <conditionalFormatting sqref="G953">
    <cfRule type="colorScale" priority="213">
      <colorScale>
        <cfvo type="min"/>
        <cfvo type="max"/>
        <color rgb="FFF8696B"/>
        <color rgb="FFFCFCFF"/>
      </colorScale>
    </cfRule>
  </conditionalFormatting>
  <conditionalFormatting sqref="G972:G973">
    <cfRule type="colorScale" priority="210">
      <colorScale>
        <cfvo type="min"/>
        <cfvo type="max"/>
        <color rgb="FFF8696B"/>
        <color rgb="FFFCFCFF"/>
      </colorScale>
    </cfRule>
  </conditionalFormatting>
  <conditionalFormatting sqref="G974:G975">
    <cfRule type="colorScale" priority="208">
      <colorScale>
        <cfvo type="min"/>
        <cfvo type="max"/>
        <color rgb="FFF8696B"/>
        <color rgb="FFFCFCFF"/>
      </colorScale>
    </cfRule>
  </conditionalFormatting>
  <conditionalFormatting sqref="G971 G976">
    <cfRule type="colorScale" priority="209">
      <colorScale>
        <cfvo type="min"/>
        <cfvo type="max"/>
        <color rgb="FFF8696B"/>
        <color rgb="FFFCFCFF"/>
      </colorScale>
    </cfRule>
  </conditionalFormatting>
  <conditionalFormatting sqref="G977:G980">
    <cfRule type="colorScale" priority="205">
      <colorScale>
        <cfvo type="min"/>
        <cfvo type="max"/>
        <color rgb="FFF8696B"/>
        <color rgb="FFFCFCFF"/>
      </colorScale>
    </cfRule>
  </conditionalFormatting>
  <conditionalFormatting sqref="G982:G983">
    <cfRule type="colorScale" priority="203">
      <colorScale>
        <cfvo type="min"/>
        <cfvo type="max"/>
        <color rgb="FFF8696B"/>
        <color rgb="FFFCFCFF"/>
      </colorScale>
    </cfRule>
  </conditionalFormatting>
  <conditionalFormatting sqref="G984">
    <cfRule type="colorScale" priority="201">
      <colorScale>
        <cfvo type="min"/>
        <cfvo type="max"/>
        <color rgb="FFF8696B"/>
        <color rgb="FFFCFCFF"/>
      </colorScale>
    </cfRule>
  </conditionalFormatting>
  <conditionalFormatting sqref="G985">
    <cfRule type="colorScale" priority="202">
      <colorScale>
        <cfvo type="min"/>
        <cfvo type="max"/>
        <color rgb="FFF8696B"/>
        <color rgb="FFFCFCFF"/>
      </colorScale>
    </cfRule>
  </conditionalFormatting>
  <conditionalFormatting sqref="G986">
    <cfRule type="colorScale" priority="207">
      <colorScale>
        <cfvo type="min"/>
        <cfvo type="max"/>
        <color rgb="FFF8696B"/>
        <color rgb="FFFCFCFF"/>
      </colorScale>
    </cfRule>
  </conditionalFormatting>
  <conditionalFormatting sqref="G994">
    <cfRule type="colorScale" priority="199">
      <colorScale>
        <cfvo type="min"/>
        <cfvo type="max"/>
        <color rgb="FFF8696B"/>
        <color rgb="FFFCFCFF"/>
      </colorScale>
    </cfRule>
  </conditionalFormatting>
  <conditionalFormatting sqref="G995">
    <cfRule type="colorScale" priority="196">
      <colorScale>
        <cfvo type="min"/>
        <cfvo type="max"/>
        <color rgb="FFF8696B"/>
        <color rgb="FFFCFCFF"/>
      </colorScale>
    </cfRule>
  </conditionalFormatting>
  <conditionalFormatting sqref="G996:G997">
    <cfRule type="colorScale" priority="197">
      <colorScale>
        <cfvo type="min"/>
        <cfvo type="max"/>
        <color rgb="FFF8696B"/>
        <color rgb="FFFCFCFF"/>
      </colorScale>
    </cfRule>
  </conditionalFormatting>
  <conditionalFormatting sqref="G998">
    <cfRule type="colorScale" priority="194">
      <colorScale>
        <cfvo type="min"/>
        <cfvo type="max"/>
        <color rgb="FFF8696B"/>
        <color rgb="FFFCFCFF"/>
      </colorScale>
    </cfRule>
  </conditionalFormatting>
  <conditionalFormatting sqref="G1010:G1012">
    <cfRule type="colorScale" priority="189">
      <colorScale>
        <cfvo type="min"/>
        <cfvo type="max"/>
        <color rgb="FFF8696B"/>
        <color rgb="FFFCFCFF"/>
      </colorScale>
    </cfRule>
  </conditionalFormatting>
  <conditionalFormatting sqref="G1013:G1014">
    <cfRule type="colorScale" priority="192">
      <colorScale>
        <cfvo type="min"/>
        <cfvo type="max"/>
        <color rgb="FFF8696B"/>
        <color rgb="FFFCFCFF"/>
      </colorScale>
    </cfRule>
  </conditionalFormatting>
  <conditionalFormatting sqref="G1015">
    <cfRule type="colorScale" priority="187">
      <colorScale>
        <cfvo type="min"/>
        <cfvo type="max"/>
        <color rgb="FFF8696B"/>
        <color rgb="FFFCFCFF"/>
      </colorScale>
    </cfRule>
  </conditionalFormatting>
  <conditionalFormatting sqref="G1029:G1042">
    <cfRule type="colorScale" priority="184">
      <colorScale>
        <cfvo type="min"/>
        <cfvo type="max"/>
        <color rgb="FFF8696B"/>
        <color rgb="FFFCFCFF"/>
      </colorScale>
    </cfRule>
  </conditionalFormatting>
  <conditionalFormatting sqref="G1045">
    <cfRule type="colorScale" priority="183">
      <colorScale>
        <cfvo type="min"/>
        <cfvo type="max"/>
        <color rgb="FFF8696B"/>
        <color rgb="FFFCFCFF"/>
      </colorScale>
    </cfRule>
  </conditionalFormatting>
  <conditionalFormatting sqref="G1062:G1065">
    <cfRule type="colorScale" priority="182">
      <colorScale>
        <cfvo type="min"/>
        <cfvo type="max"/>
        <color rgb="FFF8696B"/>
        <color rgb="FFFCFCFF"/>
      </colorScale>
    </cfRule>
  </conditionalFormatting>
  <conditionalFormatting sqref="G1066:G1067">
    <cfRule type="colorScale" priority="181">
      <colorScale>
        <cfvo type="min"/>
        <cfvo type="max"/>
        <color rgb="FFF8696B"/>
        <color rgb="FFFCFCFF"/>
      </colorScale>
    </cfRule>
  </conditionalFormatting>
  <conditionalFormatting sqref="G1099">
    <cfRule type="colorScale" priority="178">
      <colorScale>
        <cfvo type="min"/>
        <cfvo type="max"/>
        <color rgb="FFF8696B"/>
        <color rgb="FFFCFCFF"/>
      </colorScale>
    </cfRule>
  </conditionalFormatting>
  <conditionalFormatting sqref="G1101">
    <cfRule type="colorScale" priority="177">
      <colorScale>
        <cfvo type="min"/>
        <cfvo type="max"/>
        <color rgb="FFF8696B"/>
        <color rgb="FFFCFCFF"/>
      </colorScale>
    </cfRule>
  </conditionalFormatting>
  <conditionalFormatting sqref="G1103">
    <cfRule type="colorScale" priority="175">
      <colorScale>
        <cfvo type="min"/>
        <cfvo type="max"/>
        <color rgb="FFF8696B"/>
        <color rgb="FFFCFCFF"/>
      </colorScale>
    </cfRule>
  </conditionalFormatting>
  <conditionalFormatting sqref="G1122">
    <cfRule type="colorScale" priority="169">
      <colorScale>
        <cfvo type="min"/>
        <cfvo type="max"/>
        <color rgb="FFF8696B"/>
        <color rgb="FFFCFCFF"/>
      </colorScale>
    </cfRule>
  </conditionalFormatting>
  <conditionalFormatting sqref="G1129:G1130">
    <cfRule type="colorScale" priority="166">
      <colorScale>
        <cfvo type="min"/>
        <cfvo type="max"/>
        <color rgb="FFF8696B"/>
        <color rgb="FFFCFCFF"/>
      </colorScale>
    </cfRule>
  </conditionalFormatting>
  <conditionalFormatting sqref="G1135">
    <cfRule type="colorScale" priority="164">
      <colorScale>
        <cfvo type="min"/>
        <cfvo type="max"/>
        <color rgb="FFF8696B"/>
        <color rgb="FFFCFCFF"/>
      </colorScale>
    </cfRule>
  </conditionalFormatting>
  <conditionalFormatting sqref="G1136">
    <cfRule type="colorScale" priority="163">
      <colorScale>
        <cfvo type="min"/>
        <cfvo type="max"/>
        <color rgb="FFF8696B"/>
        <color rgb="FFFCFCFF"/>
      </colorScale>
    </cfRule>
  </conditionalFormatting>
  <conditionalFormatting sqref="G1137:G1145">
    <cfRule type="colorScale" priority="161">
      <colorScale>
        <cfvo type="min"/>
        <cfvo type="max"/>
        <color rgb="FFF8696B"/>
        <color rgb="FFFCFCFF"/>
      </colorScale>
    </cfRule>
  </conditionalFormatting>
  <conditionalFormatting sqref="G1121 G1146">
    <cfRule type="colorScale" priority="171">
      <colorScale>
        <cfvo type="min"/>
        <cfvo type="max"/>
        <color rgb="FFF8696B"/>
        <color rgb="FFFCFCFF"/>
      </colorScale>
    </cfRule>
  </conditionalFormatting>
  <conditionalFormatting sqref="G1147:G1148">
    <cfRule type="colorScale" priority="160">
      <colorScale>
        <cfvo type="min"/>
        <cfvo type="max"/>
        <color rgb="FFF8696B"/>
        <color rgb="FFFCFCFF"/>
      </colorScale>
    </cfRule>
  </conditionalFormatting>
  <conditionalFormatting sqref="G1222:G1223">
    <cfRule type="colorScale" priority="155">
      <colorScale>
        <cfvo type="min"/>
        <cfvo type="max"/>
        <color rgb="FFF8696B"/>
        <color rgb="FFFCFCFF"/>
      </colorScale>
    </cfRule>
  </conditionalFormatting>
  <conditionalFormatting sqref="G1226">
    <cfRule type="colorScale" priority="150">
      <colorScale>
        <cfvo type="min"/>
        <cfvo type="max"/>
        <color rgb="FFF8696B"/>
        <color rgb="FFFCFCFF"/>
      </colorScale>
    </cfRule>
  </conditionalFormatting>
  <conditionalFormatting sqref="G1227:G1229">
    <cfRule type="colorScale" priority="148">
      <colorScale>
        <cfvo type="min"/>
        <cfvo type="max"/>
        <color rgb="FFF8696B"/>
        <color rgb="FFFCFCFF"/>
      </colorScale>
    </cfRule>
  </conditionalFormatting>
  <conditionalFormatting sqref="G1230">
    <cfRule type="colorScale" priority="146">
      <colorScale>
        <cfvo type="min"/>
        <cfvo type="max"/>
        <color rgb="FFF8696B"/>
        <color rgb="FFFCFCFF"/>
      </colorScale>
    </cfRule>
  </conditionalFormatting>
  <conditionalFormatting sqref="G1231">
    <cfRule type="colorScale" priority="147">
      <colorScale>
        <cfvo type="min"/>
        <cfvo type="max"/>
        <color rgb="FFF8696B"/>
        <color rgb="FFFCFCFF"/>
      </colorScale>
    </cfRule>
  </conditionalFormatting>
  <conditionalFormatting sqref="G1242">
    <cfRule type="colorScale" priority="144">
      <colorScale>
        <cfvo type="min"/>
        <cfvo type="max"/>
        <color rgb="FFF8696B"/>
        <color rgb="FFFCFCFF"/>
      </colorScale>
    </cfRule>
  </conditionalFormatting>
  <conditionalFormatting sqref="G1243:G1245">
    <cfRule type="colorScale" priority="145">
      <colorScale>
        <cfvo type="min"/>
        <cfvo type="max"/>
        <color rgb="FFF8696B"/>
        <color rgb="FFFCFCFF"/>
      </colorScale>
    </cfRule>
  </conditionalFormatting>
  <conditionalFormatting sqref="G1254:G1257">
    <cfRule type="colorScale" priority="141">
      <colorScale>
        <cfvo type="min"/>
        <cfvo type="max"/>
        <color rgb="FFF8696B"/>
        <color rgb="FFFCFCFF"/>
      </colorScale>
    </cfRule>
  </conditionalFormatting>
  <conditionalFormatting sqref="G1274:G1276">
    <cfRule type="colorScale" priority="133">
      <colorScale>
        <cfvo type="min"/>
        <cfvo type="max"/>
        <color rgb="FFF8696B"/>
        <color rgb="FFFCFCFF"/>
      </colorScale>
    </cfRule>
  </conditionalFormatting>
  <conditionalFormatting sqref="G1277">
    <cfRule type="colorScale" priority="132">
      <colorScale>
        <cfvo type="min"/>
        <cfvo type="max"/>
        <color rgb="FFF8696B"/>
        <color rgb="FFFCFCFF"/>
      </colorScale>
    </cfRule>
  </conditionalFormatting>
  <conditionalFormatting sqref="G1278:G1280">
    <cfRule type="colorScale" priority="131">
      <colorScale>
        <cfvo type="min"/>
        <cfvo type="max"/>
        <color rgb="FFF8696B"/>
        <color rgb="FFFCFCFF"/>
      </colorScale>
    </cfRule>
  </conditionalFormatting>
  <conditionalFormatting sqref="G1282">
    <cfRule type="colorScale" priority="130">
      <colorScale>
        <cfvo type="min"/>
        <cfvo type="max"/>
        <color rgb="FFF8696B"/>
        <color rgb="FFFCFCFF"/>
      </colorScale>
    </cfRule>
  </conditionalFormatting>
  <conditionalFormatting sqref="G1283:G1284">
    <cfRule type="colorScale" priority="129">
      <colorScale>
        <cfvo type="min"/>
        <cfvo type="max"/>
        <color rgb="FFF8696B"/>
        <color rgb="FFFCFCFF"/>
      </colorScale>
    </cfRule>
  </conditionalFormatting>
  <conditionalFormatting sqref="G1286:G1287">
    <cfRule type="colorScale" priority="127">
      <colorScale>
        <cfvo type="min"/>
        <cfvo type="max"/>
        <color rgb="FFF8696B"/>
        <color rgb="FFFCFCFF"/>
      </colorScale>
    </cfRule>
  </conditionalFormatting>
  <conditionalFormatting sqref="G1288">
    <cfRule type="colorScale" priority="128">
      <colorScale>
        <cfvo type="min"/>
        <cfvo type="max"/>
        <color rgb="FFF8696B"/>
        <color rgb="FFFCFCFF"/>
      </colorScale>
    </cfRule>
  </conditionalFormatting>
  <conditionalFormatting sqref="G1289">
    <cfRule type="colorScale" priority="125">
      <colorScale>
        <cfvo type="min"/>
        <cfvo type="max"/>
        <color rgb="FFF8696B"/>
        <color rgb="FFFCFCFF"/>
      </colorScale>
    </cfRule>
  </conditionalFormatting>
  <conditionalFormatting sqref="G1290">
    <cfRule type="colorScale" priority="124">
      <colorScale>
        <cfvo type="min"/>
        <cfvo type="max"/>
        <color rgb="FFF8696B"/>
        <color rgb="FFFCFCFF"/>
      </colorScale>
    </cfRule>
  </conditionalFormatting>
  <conditionalFormatting sqref="G1291">
    <cfRule type="colorScale" priority="123">
      <colorScale>
        <cfvo type="min"/>
        <cfvo type="max"/>
        <color rgb="FFF8696B"/>
        <color rgb="FFFCFCFF"/>
      </colorScale>
    </cfRule>
  </conditionalFormatting>
  <conditionalFormatting sqref="G1292">
    <cfRule type="colorScale" priority="122">
      <colorScale>
        <cfvo type="min"/>
        <cfvo type="max"/>
        <color rgb="FFF8696B"/>
        <color rgb="FFFCFCFF"/>
      </colorScale>
    </cfRule>
  </conditionalFormatting>
  <conditionalFormatting sqref="G1293:G1296">
    <cfRule type="colorScale" priority="126">
      <colorScale>
        <cfvo type="min"/>
        <cfvo type="max"/>
        <color rgb="FFF8696B"/>
        <color rgb="FFFCFCFF"/>
      </colorScale>
    </cfRule>
  </conditionalFormatting>
  <conditionalFormatting sqref="G1315:G1317">
    <cfRule type="colorScale" priority="118">
      <colorScale>
        <cfvo type="min"/>
        <cfvo type="max"/>
        <color rgb="FFF8696B"/>
        <color rgb="FFFCFCFF"/>
      </colorScale>
    </cfRule>
  </conditionalFormatting>
  <conditionalFormatting sqref="G1323:G1324">
    <cfRule type="colorScale" priority="117">
      <colorScale>
        <cfvo type="min"/>
        <cfvo type="max"/>
        <color rgb="FFF8696B"/>
        <color rgb="FFFCFCFF"/>
      </colorScale>
    </cfRule>
  </conditionalFormatting>
  <conditionalFormatting sqref="G1336:G1337">
    <cfRule type="colorScale" priority="112">
      <colorScale>
        <cfvo type="min"/>
        <cfvo type="max"/>
        <color rgb="FFF8696B"/>
        <color rgb="FFFCFCFF"/>
      </colorScale>
    </cfRule>
  </conditionalFormatting>
  <conditionalFormatting sqref="G1339:G1340">
    <cfRule type="colorScale" priority="111">
      <colorScale>
        <cfvo type="min"/>
        <cfvo type="max"/>
        <color rgb="FFF8696B"/>
        <color rgb="FFFCFCFF"/>
      </colorScale>
    </cfRule>
  </conditionalFormatting>
  <conditionalFormatting sqref="G1341:G1342">
    <cfRule type="colorScale" priority="110">
      <colorScale>
        <cfvo type="min"/>
        <cfvo type="max"/>
        <color rgb="FFF8696B"/>
        <color rgb="FFFCFCFF"/>
      </colorScale>
    </cfRule>
  </conditionalFormatting>
  <conditionalFormatting sqref="G1343:G1349">
    <cfRule type="colorScale" priority="109">
      <colorScale>
        <cfvo type="min"/>
        <cfvo type="max"/>
        <color rgb="FFF8696B"/>
        <color rgb="FFFCFCFF"/>
      </colorScale>
    </cfRule>
  </conditionalFormatting>
  <conditionalFormatting sqref="G1357">
    <cfRule type="colorScale" priority="106">
      <colorScale>
        <cfvo type="min"/>
        <cfvo type="max"/>
        <color rgb="FFF8696B"/>
        <color rgb="FFFCFCFF"/>
      </colorScale>
    </cfRule>
  </conditionalFormatting>
  <conditionalFormatting sqref="G1358">
    <cfRule type="colorScale" priority="102">
      <colorScale>
        <cfvo type="min"/>
        <cfvo type="max"/>
        <color rgb="FFF8696B"/>
        <color rgb="FFFCFCFF"/>
      </colorScale>
    </cfRule>
  </conditionalFormatting>
  <conditionalFormatting sqref="G1359">
    <cfRule type="colorScale" priority="101">
      <colorScale>
        <cfvo type="min"/>
        <cfvo type="max"/>
        <color rgb="FFF8696B"/>
        <color rgb="FFFCFCFF"/>
      </colorScale>
    </cfRule>
  </conditionalFormatting>
  <conditionalFormatting sqref="G1360:G1364">
    <cfRule type="colorScale" priority="105">
      <colorScale>
        <cfvo type="min"/>
        <cfvo type="max"/>
        <color rgb="FFF8696B"/>
        <color rgb="FFFCFCFF"/>
      </colorScale>
    </cfRule>
  </conditionalFormatting>
  <conditionalFormatting sqref="G1365">
    <cfRule type="colorScale" priority="100">
      <colorScale>
        <cfvo type="min"/>
        <cfvo type="max"/>
        <color rgb="FFF8696B"/>
        <color rgb="FFFCFCFF"/>
      </colorScale>
    </cfRule>
  </conditionalFormatting>
  <conditionalFormatting sqref="G1366">
    <cfRule type="colorScale" priority="99">
      <colorScale>
        <cfvo type="min"/>
        <cfvo type="max"/>
        <color rgb="FFF8696B"/>
        <color rgb="FFFCFCFF"/>
      </colorScale>
    </cfRule>
  </conditionalFormatting>
  <conditionalFormatting sqref="G1374">
    <cfRule type="colorScale" priority="97">
      <colorScale>
        <cfvo type="min"/>
        <cfvo type="max"/>
        <color rgb="FFF8696B"/>
        <color rgb="FFFCFCFF"/>
      </colorScale>
    </cfRule>
  </conditionalFormatting>
  <conditionalFormatting sqref="G1375">
    <cfRule type="colorScale" priority="96">
      <colorScale>
        <cfvo type="min"/>
        <cfvo type="max"/>
        <color rgb="FFF8696B"/>
        <color rgb="FFFCFCFF"/>
      </colorScale>
    </cfRule>
  </conditionalFormatting>
  <conditionalFormatting sqref="G1376:G1377">
    <cfRule type="colorScale" priority="93">
      <colorScale>
        <cfvo type="min"/>
        <cfvo type="max"/>
        <color rgb="FFF8696B"/>
        <color rgb="FFFCFCFF"/>
      </colorScale>
    </cfRule>
  </conditionalFormatting>
  <conditionalFormatting sqref="G1378">
    <cfRule type="colorScale" priority="92">
      <colorScale>
        <cfvo type="min"/>
        <cfvo type="max"/>
        <color rgb="FFF8696B"/>
        <color rgb="FFFCFCFF"/>
      </colorScale>
    </cfRule>
  </conditionalFormatting>
  <conditionalFormatting sqref="G1379">
    <cfRule type="colorScale" priority="91">
      <colorScale>
        <cfvo type="min"/>
        <cfvo type="max"/>
        <color rgb="FFF8696B"/>
        <color rgb="FFFCFCFF"/>
      </colorScale>
    </cfRule>
  </conditionalFormatting>
  <conditionalFormatting sqref="G1380">
    <cfRule type="colorScale" priority="88">
      <colorScale>
        <cfvo type="min"/>
        <cfvo type="max"/>
        <color rgb="FFF8696B"/>
        <color rgb="FFFCFCFF"/>
      </colorScale>
    </cfRule>
  </conditionalFormatting>
  <conditionalFormatting sqref="G1381:G1383">
    <cfRule type="colorScale" priority="89">
      <colorScale>
        <cfvo type="min"/>
        <cfvo type="max"/>
        <color rgb="FFF8696B"/>
        <color rgb="FFFCFCFF"/>
      </colorScale>
    </cfRule>
  </conditionalFormatting>
  <conditionalFormatting sqref="G1384:G1391">
    <cfRule type="colorScale" priority="86">
      <colorScale>
        <cfvo type="min"/>
        <cfvo type="max"/>
        <color rgb="FFF8696B"/>
        <color rgb="FFFCFCFF"/>
      </colorScale>
    </cfRule>
  </conditionalFormatting>
  <conditionalFormatting sqref="G1402">
    <cfRule type="colorScale" priority="84">
      <colorScale>
        <cfvo type="min"/>
        <cfvo type="max"/>
        <color rgb="FFF8696B"/>
        <color rgb="FFFCFCFF"/>
      </colorScale>
    </cfRule>
  </conditionalFormatting>
  <conditionalFormatting sqref="G1403">
    <cfRule type="colorScale" priority="83">
      <colorScale>
        <cfvo type="min"/>
        <cfvo type="max"/>
        <color rgb="FFF8696B"/>
        <color rgb="FFFCFCFF"/>
      </colorScale>
    </cfRule>
  </conditionalFormatting>
  <conditionalFormatting sqref="G1404">
    <cfRule type="colorScale" priority="82">
      <colorScale>
        <cfvo type="min"/>
        <cfvo type="max"/>
        <color rgb="FFF8696B"/>
        <color rgb="FFFCFCFF"/>
      </colorScale>
    </cfRule>
  </conditionalFormatting>
  <conditionalFormatting sqref="G1405">
    <cfRule type="colorScale" priority="78">
      <colorScale>
        <cfvo type="min"/>
        <cfvo type="max"/>
        <color rgb="FFF8696B"/>
        <color rgb="FFFCFCFF"/>
      </colorScale>
    </cfRule>
  </conditionalFormatting>
  <conditionalFormatting sqref="G1406">
    <cfRule type="colorScale" priority="80">
      <colorScale>
        <cfvo type="min"/>
        <cfvo type="max"/>
        <color rgb="FFF8696B"/>
        <color rgb="FFFCFCFF"/>
      </colorScale>
    </cfRule>
  </conditionalFormatting>
  <conditionalFormatting sqref="G1407">
    <cfRule type="colorScale" priority="77">
      <colorScale>
        <cfvo type="min"/>
        <cfvo type="max"/>
        <color rgb="FFF8696B"/>
        <color rgb="FFFCFCFF"/>
      </colorScale>
    </cfRule>
  </conditionalFormatting>
  <conditionalFormatting sqref="G1445">
    <cfRule type="colorScale" priority="66">
      <colorScale>
        <cfvo type="min"/>
        <cfvo type="max"/>
        <color rgb="FFF8696B"/>
        <color rgb="FFFCFCFF"/>
      </colorScale>
    </cfRule>
  </conditionalFormatting>
  <conditionalFormatting sqref="G1446">
    <cfRule type="colorScale" priority="68">
      <colorScale>
        <cfvo type="min"/>
        <cfvo type="max"/>
        <color rgb="FFF8696B"/>
        <color rgb="FFFCFCFF"/>
      </colorScale>
    </cfRule>
  </conditionalFormatting>
  <conditionalFormatting sqref="G1450:G1464">
    <cfRule type="colorScale" priority="64">
      <colorScale>
        <cfvo type="min"/>
        <cfvo type="max"/>
        <color rgb="FFF8696B"/>
        <color rgb="FFFCFCFF"/>
      </colorScale>
    </cfRule>
  </conditionalFormatting>
  <conditionalFormatting sqref="G1483:G1486">
    <cfRule type="colorScale" priority="62">
      <colorScale>
        <cfvo type="min"/>
        <cfvo type="max"/>
        <color rgb="FFF8696B"/>
        <color rgb="FFFCFCFF"/>
      </colorScale>
    </cfRule>
  </conditionalFormatting>
  <conditionalFormatting sqref="G1508">
    <cfRule type="colorScale" priority="60">
      <colorScale>
        <cfvo type="min"/>
        <cfvo type="max"/>
        <color rgb="FFF8696B"/>
        <color rgb="FFFCFCFF"/>
      </colorScale>
    </cfRule>
  </conditionalFormatting>
  <conditionalFormatting sqref="G1513">
    <cfRule type="colorScale" priority="58">
      <colorScale>
        <cfvo type="min"/>
        <cfvo type="max"/>
        <color rgb="FFF8696B"/>
        <color rgb="FFFCFCFF"/>
      </colorScale>
    </cfRule>
  </conditionalFormatting>
  <conditionalFormatting sqref="G1519:G1542">
    <cfRule type="colorScale" priority="53">
      <colorScale>
        <cfvo type="min"/>
        <cfvo type="max"/>
        <color rgb="FFF8696B"/>
        <color rgb="FFFCFCFF"/>
      </colorScale>
    </cfRule>
  </conditionalFormatting>
  <conditionalFormatting sqref="G1566:G1567">
    <cfRule type="colorScale" priority="48">
      <colorScale>
        <cfvo type="min"/>
        <cfvo type="max"/>
        <color rgb="FFF8696B"/>
        <color rgb="FFFCFCFF"/>
      </colorScale>
    </cfRule>
  </conditionalFormatting>
  <conditionalFormatting sqref="G1575:G1577">
    <cfRule type="colorScale" priority="45">
      <colorScale>
        <cfvo type="min"/>
        <cfvo type="max"/>
        <color rgb="FFF8696B"/>
        <color rgb="FFFCFCFF"/>
      </colorScale>
    </cfRule>
  </conditionalFormatting>
  <conditionalFormatting sqref="G1578:G1582">
    <cfRule type="colorScale" priority="43">
      <colorScale>
        <cfvo type="min"/>
        <cfvo type="max"/>
        <color rgb="FFF8696B"/>
        <color rgb="FFFCFCFF"/>
      </colorScale>
    </cfRule>
  </conditionalFormatting>
  <conditionalFormatting sqref="G1583">
    <cfRule type="colorScale" priority="41">
      <colorScale>
        <cfvo type="min"/>
        <cfvo type="max"/>
        <color rgb="FFF8696B"/>
        <color rgb="FFFCFCFF"/>
      </colorScale>
    </cfRule>
  </conditionalFormatting>
  <conditionalFormatting sqref="G1584">
    <cfRule type="colorScale" priority="44">
      <colorScale>
        <cfvo type="min"/>
        <cfvo type="max"/>
        <color rgb="FFF8696B"/>
        <color rgb="FFFCFCFF"/>
      </colorScale>
    </cfRule>
  </conditionalFormatting>
  <conditionalFormatting sqref="G1585">
    <cfRule type="colorScale" priority="42">
      <colorScale>
        <cfvo type="min"/>
        <cfvo type="max"/>
        <color rgb="FFF8696B"/>
        <color rgb="FFFCFCFF"/>
      </colorScale>
    </cfRule>
  </conditionalFormatting>
  <conditionalFormatting sqref="G1595:G1596">
    <cfRule type="colorScale" priority="38">
      <colorScale>
        <cfvo type="min"/>
        <cfvo type="max"/>
        <color rgb="FFF8696B"/>
        <color rgb="FFFCFCFF"/>
      </colorScale>
    </cfRule>
  </conditionalFormatting>
  <conditionalFormatting sqref="G1601:G1604">
    <cfRule type="colorScale" priority="36">
      <colorScale>
        <cfvo type="min"/>
        <cfvo type="max"/>
        <color rgb="FFF8696B"/>
        <color rgb="FFFCFCFF"/>
      </colorScale>
    </cfRule>
  </conditionalFormatting>
  <conditionalFormatting sqref="G1606">
    <cfRule type="colorScale" priority="37">
      <colorScale>
        <cfvo type="min"/>
        <cfvo type="max"/>
        <color rgb="FFF8696B"/>
        <color rgb="FFFCFCFF"/>
      </colorScale>
    </cfRule>
  </conditionalFormatting>
  <conditionalFormatting sqref="G1619:G1621">
    <cfRule type="colorScale" priority="33">
      <colorScale>
        <cfvo type="min"/>
        <cfvo type="max"/>
        <color rgb="FFF8696B"/>
        <color rgb="FFFCFCFF"/>
      </colorScale>
    </cfRule>
  </conditionalFormatting>
  <conditionalFormatting sqref="G1624:G1627">
    <cfRule type="colorScale" priority="31">
      <colorScale>
        <cfvo type="min"/>
        <cfvo type="max"/>
        <color rgb="FFF8696B"/>
        <color rgb="FFFCFCFF"/>
      </colorScale>
    </cfRule>
  </conditionalFormatting>
  <conditionalFormatting sqref="G1628">
    <cfRule type="colorScale" priority="30">
      <colorScale>
        <cfvo type="min"/>
        <cfvo type="max"/>
        <color rgb="FFF8696B"/>
        <color rgb="FFFCFCFF"/>
      </colorScale>
    </cfRule>
  </conditionalFormatting>
  <conditionalFormatting sqref="G1646">
    <cfRule type="colorScale" priority="28">
      <colorScale>
        <cfvo type="min"/>
        <cfvo type="max"/>
        <color rgb="FFF8696B"/>
        <color rgb="FFFCFCFF"/>
      </colorScale>
    </cfRule>
  </conditionalFormatting>
  <conditionalFormatting sqref="G1648">
    <cfRule type="colorScale" priority="26">
      <colorScale>
        <cfvo type="min"/>
        <cfvo type="max"/>
        <color rgb="FFF8696B"/>
        <color rgb="FFFCFCFF"/>
      </colorScale>
    </cfRule>
  </conditionalFormatting>
  <conditionalFormatting sqref="G1652:G1653">
    <cfRule type="colorScale" priority="23">
      <colorScale>
        <cfvo type="min"/>
        <cfvo type="max"/>
        <color rgb="FFF8696B"/>
        <color rgb="FFFCFCFF"/>
      </colorScale>
    </cfRule>
  </conditionalFormatting>
  <conditionalFormatting sqref="G1685:G1687">
    <cfRule type="colorScale" priority="20">
      <colorScale>
        <cfvo type="min"/>
        <cfvo type="max"/>
        <color rgb="FFF8696B"/>
        <color rgb="FFFCFCFF"/>
      </colorScale>
    </cfRule>
  </conditionalFormatting>
  <conditionalFormatting sqref="G1690:G1693">
    <cfRule type="colorScale" priority="18">
      <colorScale>
        <cfvo type="min"/>
        <cfvo type="max"/>
        <color rgb="FFF8696B"/>
        <color rgb="FFFCFCFF"/>
      </colorScale>
    </cfRule>
  </conditionalFormatting>
  <conditionalFormatting sqref="G1694">
    <cfRule type="colorScale" priority="17">
      <colorScale>
        <cfvo type="min"/>
        <cfvo type="max"/>
        <color rgb="FFF8696B"/>
        <color rgb="FFFCFCFF"/>
      </colorScale>
    </cfRule>
  </conditionalFormatting>
  <conditionalFormatting sqref="G1714">
    <cfRule type="colorScale" priority="12">
      <colorScale>
        <cfvo type="min"/>
        <cfvo type="max"/>
        <color rgb="FFF8696B"/>
        <color rgb="FFFCFCFF"/>
      </colorScale>
    </cfRule>
  </conditionalFormatting>
  <conditionalFormatting sqref="G1722:G1723">
    <cfRule type="colorScale" priority="10">
      <colorScale>
        <cfvo type="min"/>
        <cfvo type="max"/>
        <color rgb="FFF8696B"/>
        <color rgb="FFFCFCFF"/>
      </colorScale>
    </cfRule>
  </conditionalFormatting>
  <conditionalFormatting sqref="G1724:G1728">
    <cfRule type="colorScale" priority="9">
      <colorScale>
        <cfvo type="min"/>
        <cfvo type="max"/>
        <color rgb="FFF8696B"/>
        <color rgb="FFFCFCFF"/>
      </colorScale>
    </cfRule>
  </conditionalFormatting>
  <conditionalFormatting sqref="F1742">
    <cfRule type="colorScale" priority="7">
      <colorScale>
        <cfvo type="min"/>
        <cfvo type="max"/>
        <color rgb="FFF8696B"/>
        <color rgb="FFFCFCFF"/>
      </colorScale>
    </cfRule>
  </conditionalFormatting>
  <conditionalFormatting sqref="F1743:F1755">
    <cfRule type="colorScale" priority="6">
      <colorScale>
        <cfvo type="min"/>
        <cfvo type="max"/>
        <color rgb="FFF8696B"/>
        <color rgb="FFFCFCFF"/>
      </colorScale>
    </cfRule>
  </conditionalFormatting>
  <conditionalFormatting sqref="G1744:G1745">
    <cfRule type="colorScale" priority="5">
      <colorScale>
        <cfvo type="min"/>
        <cfvo type="max"/>
        <color rgb="FFF8696B"/>
        <color rgb="FFFCFCFF"/>
      </colorScale>
    </cfRule>
  </conditionalFormatting>
  <conditionalFormatting sqref="G1746">
    <cfRule type="colorScale" priority="4">
      <colorScale>
        <cfvo type="min"/>
        <cfvo type="max"/>
        <color rgb="FFF8696B"/>
        <color rgb="FFFCFCFF"/>
      </colorScale>
    </cfRule>
  </conditionalFormatting>
  <conditionalFormatting sqref="G1749:G1753">
    <cfRule type="colorScale" priority="3">
      <colorScale>
        <cfvo type="min"/>
        <cfvo type="max"/>
        <color rgb="FFF8696B"/>
        <color rgb="FFFCFCFF"/>
      </colorScale>
    </cfRule>
  </conditionalFormatting>
  <conditionalFormatting sqref="G1755">
    <cfRule type="colorScale" priority="2">
      <colorScale>
        <cfvo type="min"/>
        <cfvo type="max"/>
        <color rgb="FFF8696B"/>
        <color rgb="FFFCFCFF"/>
      </colorScale>
    </cfRule>
  </conditionalFormatting>
  <conditionalFormatting sqref="G1754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6BCCA0-3558-4E2E-9780-34DC0645DD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F536</xm:sqref>
        </x14:conditionalFormatting>
        <x14:conditionalFormatting xmlns:xm="http://schemas.microsoft.com/office/excel/2006/main">
          <x14:cfRule type="dataBar" id="{5038A5F4-0542-4C9D-BD32-C749492910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F792</xm:sqref>
        </x14:conditionalFormatting>
        <x14:conditionalFormatting xmlns:xm="http://schemas.microsoft.com/office/excel/2006/main">
          <x14:cfRule type="dataBar" id="{AC3C2838-DB15-4878-A782-0A1230522C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F1514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D157-7648-4695-BE58-7DA043F03760}">
  <dimension ref="B2:C6"/>
  <sheetViews>
    <sheetView showGridLines="0" workbookViewId="0">
      <selection sqref="A1:D7"/>
    </sheetView>
  </sheetViews>
  <sheetFormatPr defaultRowHeight="14.4" x14ac:dyDescent="0.3"/>
  <cols>
    <col min="2" max="2" width="20.88671875" customWidth="1"/>
    <col min="3" max="3" width="14" style="9" bestFit="1" customWidth="1"/>
  </cols>
  <sheetData>
    <row r="2" spans="2:3" x14ac:dyDescent="0.3">
      <c r="B2" s="919" t="s">
        <v>1130</v>
      </c>
      <c r="C2" s="919"/>
    </row>
    <row r="3" spans="2:3" x14ac:dyDescent="0.3">
      <c r="B3" s="42" t="s">
        <v>1127</v>
      </c>
      <c r="C3" s="44">
        <v>468130.29</v>
      </c>
    </row>
    <row r="4" spans="2:3" x14ac:dyDescent="0.3">
      <c r="B4" s="42" t="s">
        <v>1128</v>
      </c>
      <c r="C4" s="44">
        <v>2727.23</v>
      </c>
    </row>
    <row r="5" spans="2:3" x14ac:dyDescent="0.3">
      <c r="B5" s="42" t="s">
        <v>1129</v>
      </c>
      <c r="C5" s="44">
        <v>460</v>
      </c>
    </row>
    <row r="6" spans="2:3" x14ac:dyDescent="0.3">
      <c r="C6" s="44">
        <f>SUM(C3:C5)</f>
        <v>471317.51999999996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979AD-5CD5-4CC7-A2A8-CA09E0C6BA8C}">
  <dimension ref="A1:E10"/>
  <sheetViews>
    <sheetView workbookViewId="0">
      <selection activeCell="C9" sqref="C9"/>
    </sheetView>
  </sheetViews>
  <sheetFormatPr defaultRowHeight="14.4" x14ac:dyDescent="0.3"/>
  <cols>
    <col min="1" max="1" width="22.5546875" customWidth="1"/>
    <col min="2" max="2" width="44.33203125" style="48" bestFit="1" customWidth="1"/>
    <col min="4" max="4" width="11.88671875" bestFit="1" customWidth="1"/>
  </cols>
  <sheetData>
    <row r="1" spans="1:5" x14ac:dyDescent="0.3">
      <c r="A1" s="30" t="s">
        <v>760</v>
      </c>
      <c r="B1" s="584" t="s">
        <v>759</v>
      </c>
      <c r="C1">
        <v>367.08</v>
      </c>
      <c r="D1" s="479">
        <v>-411.22</v>
      </c>
      <c r="E1">
        <v>367.08</v>
      </c>
    </row>
    <row r="2" spans="1:5" x14ac:dyDescent="0.3">
      <c r="A2" s="30" t="s">
        <v>709</v>
      </c>
      <c r="B2" s="584" t="s">
        <v>759</v>
      </c>
      <c r="C2">
        <v>303.24</v>
      </c>
      <c r="D2" s="479">
        <v>-339.76</v>
      </c>
      <c r="E2">
        <v>303.24</v>
      </c>
    </row>
    <row r="3" spans="1:5" x14ac:dyDescent="0.3">
      <c r="A3" s="30" t="s">
        <v>761</v>
      </c>
      <c r="B3" s="584" t="s">
        <v>759</v>
      </c>
      <c r="C3">
        <v>845.88</v>
      </c>
      <c r="D3" s="479">
        <v>-947.82</v>
      </c>
      <c r="E3">
        <v>845.88</v>
      </c>
    </row>
    <row r="4" spans="1:5" x14ac:dyDescent="0.3">
      <c r="A4" s="30" t="s">
        <v>762</v>
      </c>
      <c r="B4" s="584" t="s">
        <v>759</v>
      </c>
      <c r="C4">
        <v>143.63999999999999</v>
      </c>
      <c r="D4" s="479">
        <v>-160.79</v>
      </c>
      <c r="E4">
        <v>143.63999999999999</v>
      </c>
    </row>
    <row r="5" spans="1:5" x14ac:dyDescent="0.3">
      <c r="A5" s="30" t="s">
        <v>6</v>
      </c>
      <c r="B5" s="584" t="s">
        <v>759</v>
      </c>
      <c r="C5">
        <v>63.84</v>
      </c>
      <c r="D5" s="479">
        <v>-518.41999999999996</v>
      </c>
      <c r="E5">
        <v>63.84</v>
      </c>
    </row>
    <row r="6" spans="1:5" x14ac:dyDescent="0.3">
      <c r="A6" s="30" t="s">
        <v>763</v>
      </c>
      <c r="B6" s="584" t="s">
        <v>759</v>
      </c>
      <c r="C6">
        <v>95.76</v>
      </c>
      <c r="D6" s="479">
        <v>-107.19</v>
      </c>
      <c r="E6">
        <v>95.76</v>
      </c>
    </row>
    <row r="7" spans="1:5" x14ac:dyDescent="0.3">
      <c r="A7" s="30" t="s">
        <v>764</v>
      </c>
      <c r="B7" s="584" t="s">
        <v>759</v>
      </c>
      <c r="C7">
        <v>957.6</v>
      </c>
      <c r="D7" s="479">
        <v>-1072.8900000000001</v>
      </c>
      <c r="E7">
        <v>957.6</v>
      </c>
    </row>
    <row r="8" spans="1:5" x14ac:dyDescent="0.3">
      <c r="A8" s="30" t="s">
        <v>710</v>
      </c>
      <c r="B8" s="584" t="s">
        <v>759</v>
      </c>
      <c r="C8">
        <v>63.84</v>
      </c>
      <c r="D8" s="479">
        <v>-71.459999999999994</v>
      </c>
      <c r="E8">
        <v>63.84</v>
      </c>
    </row>
    <row r="9" spans="1:5" x14ac:dyDescent="0.3">
      <c r="A9" s="30" t="s">
        <v>765</v>
      </c>
      <c r="B9" s="584" t="s">
        <v>759</v>
      </c>
      <c r="C9">
        <v>223.44</v>
      </c>
      <c r="D9" s="479">
        <v>-250.12</v>
      </c>
      <c r="E9">
        <v>223.44</v>
      </c>
    </row>
    <row r="10" spans="1:5" x14ac:dyDescent="0.3">
      <c r="C10">
        <f>SUM(C1:C9)</f>
        <v>3064.3199999999997</v>
      </c>
      <c r="D10" s="9">
        <f>SUM(D1:D9)</f>
        <v>-3879.67</v>
      </c>
      <c r="E10">
        <f>SUM(E1:E9)</f>
        <v>3064.3199999999997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7F987-A7BA-4376-8A2F-ABE3990CF94C}">
  <dimension ref="A1:H479"/>
  <sheetViews>
    <sheetView showGridLines="0" workbookViewId="0">
      <selection activeCell="AU30" sqref="AU30"/>
    </sheetView>
  </sheetViews>
  <sheetFormatPr defaultRowHeight="14.4" x14ac:dyDescent="0.3"/>
  <cols>
    <col min="1" max="1" width="26.77734375" bestFit="1" customWidth="1"/>
    <col min="2" max="2" width="16.6640625" style="9" bestFit="1" customWidth="1"/>
    <col min="3" max="7" width="15.6640625" style="9" bestFit="1" customWidth="1"/>
    <col min="8" max="8" width="16.6640625" style="9" bestFit="1" customWidth="1"/>
    <col min="9" max="9" width="16.6640625" bestFit="1" customWidth="1"/>
    <col min="10" max="10" width="10.5546875" bestFit="1" customWidth="1"/>
    <col min="11" max="11" width="10.33203125" bestFit="1" customWidth="1"/>
    <col min="12" max="12" width="99.5546875" bestFit="1" customWidth="1"/>
    <col min="13" max="13" width="102.33203125" bestFit="1" customWidth="1"/>
    <col min="14" max="14" width="28.109375" bestFit="1" customWidth="1"/>
    <col min="15" max="15" width="30.88671875" bestFit="1" customWidth="1"/>
    <col min="16" max="16" width="58.109375" bestFit="1" customWidth="1"/>
    <col min="17" max="17" width="10.33203125" bestFit="1" customWidth="1"/>
    <col min="18" max="18" width="9.5546875" bestFit="1" customWidth="1"/>
    <col min="19" max="19" width="11.21875" bestFit="1" customWidth="1"/>
    <col min="20" max="20" width="10.5546875" bestFit="1" customWidth="1"/>
    <col min="21" max="21" width="60.88671875" bestFit="1" customWidth="1"/>
    <col min="22" max="22" width="97.88671875" bestFit="1" customWidth="1"/>
    <col min="23" max="23" width="100.44140625" bestFit="1" customWidth="1"/>
    <col min="24" max="24" width="40.77734375" bestFit="1" customWidth="1"/>
    <col min="25" max="25" width="8.109375" bestFit="1" customWidth="1"/>
    <col min="26" max="26" width="10.33203125" bestFit="1" customWidth="1"/>
    <col min="27" max="27" width="9.5546875" bestFit="1" customWidth="1"/>
    <col min="28" max="28" width="11.21875" bestFit="1" customWidth="1"/>
    <col min="29" max="29" width="10.5546875" bestFit="1" customWidth="1"/>
    <col min="30" max="30" width="43.5546875" bestFit="1" customWidth="1"/>
    <col min="31" max="31" width="59.88671875" bestFit="1" customWidth="1"/>
    <col min="32" max="32" width="62.77734375" bestFit="1" customWidth="1"/>
    <col min="33" max="33" width="51.6640625" bestFit="1" customWidth="1"/>
    <col min="34" max="34" width="54.5546875" bestFit="1" customWidth="1"/>
    <col min="35" max="35" width="51.6640625" bestFit="1" customWidth="1"/>
    <col min="36" max="36" width="54.5546875" bestFit="1" customWidth="1"/>
    <col min="37" max="37" width="51.6640625" bestFit="1" customWidth="1"/>
    <col min="38" max="38" width="54.5546875" bestFit="1" customWidth="1"/>
    <col min="39" max="39" width="51.6640625" bestFit="1" customWidth="1"/>
    <col min="40" max="40" width="54.5546875" bestFit="1" customWidth="1"/>
    <col min="41" max="41" width="51.6640625" bestFit="1" customWidth="1"/>
    <col min="42" max="42" width="54.5546875" bestFit="1" customWidth="1"/>
    <col min="43" max="43" width="51.6640625" bestFit="1" customWidth="1"/>
    <col min="44" max="44" width="54.5546875" bestFit="1" customWidth="1"/>
    <col min="45" max="45" width="34.77734375" bestFit="1" customWidth="1"/>
    <col min="46" max="46" width="8.109375" bestFit="1" customWidth="1"/>
    <col min="47" max="47" width="10.33203125" bestFit="1" customWidth="1"/>
    <col min="48" max="48" width="9.5546875" bestFit="1" customWidth="1"/>
    <col min="49" max="49" width="11.21875" bestFit="1" customWidth="1"/>
    <col min="50" max="50" width="10.5546875" bestFit="1" customWidth="1"/>
    <col min="51" max="51" width="37.5546875" bestFit="1" customWidth="1"/>
    <col min="52" max="52" width="53.77734375" bestFit="1" customWidth="1"/>
    <col min="53" max="53" width="56.5546875" bestFit="1" customWidth="1"/>
    <col min="54" max="54" width="29.77734375" bestFit="1" customWidth="1"/>
    <col min="55" max="55" width="32.5546875" bestFit="1" customWidth="1"/>
    <col min="56" max="56" width="23.33203125" bestFit="1" customWidth="1"/>
    <col min="57" max="57" width="26.109375" bestFit="1" customWidth="1"/>
    <col min="58" max="58" width="28.5546875" bestFit="1" customWidth="1"/>
    <col min="59" max="59" width="31.33203125" bestFit="1" customWidth="1"/>
    <col min="60" max="60" width="58.33203125" bestFit="1" customWidth="1"/>
    <col min="61" max="61" width="61.109375" bestFit="1" customWidth="1"/>
    <col min="62" max="62" width="109.77734375" bestFit="1" customWidth="1"/>
    <col min="63" max="63" width="112.5546875" bestFit="1" customWidth="1"/>
    <col min="64" max="64" width="26.77734375" bestFit="1" customWidth="1"/>
    <col min="65" max="65" width="29.6640625" bestFit="1" customWidth="1"/>
    <col min="66" max="66" width="37" bestFit="1" customWidth="1"/>
    <col min="67" max="67" width="8.109375" bestFit="1" customWidth="1"/>
    <col min="68" max="68" width="39.77734375" bestFit="1" customWidth="1"/>
    <col min="69" max="69" width="28.5546875" bestFit="1" customWidth="1"/>
    <col min="70" max="70" width="31.33203125" bestFit="1" customWidth="1"/>
    <col min="71" max="71" width="40.6640625" bestFit="1" customWidth="1"/>
    <col min="72" max="72" width="43.44140625" bestFit="1" customWidth="1"/>
    <col min="73" max="73" width="28.77734375" bestFit="1" customWidth="1"/>
    <col min="74" max="74" width="9.5546875" bestFit="1" customWidth="1"/>
    <col min="75" max="75" width="31.5546875" bestFit="1" customWidth="1"/>
    <col min="76" max="76" width="109.109375" bestFit="1" customWidth="1"/>
    <col min="77" max="77" width="112" bestFit="1" customWidth="1"/>
    <col min="78" max="78" width="109.109375" bestFit="1" customWidth="1"/>
    <col min="79" max="79" width="112" bestFit="1" customWidth="1"/>
    <col min="80" max="80" width="43.5546875" bestFit="1" customWidth="1"/>
    <col min="81" max="81" width="46.44140625" bestFit="1" customWidth="1"/>
    <col min="82" max="82" width="108.5546875" bestFit="1" customWidth="1"/>
    <col min="83" max="83" width="111.33203125" bestFit="1" customWidth="1"/>
    <col min="84" max="84" width="108.5546875" bestFit="1" customWidth="1"/>
    <col min="85" max="85" width="111.33203125" bestFit="1" customWidth="1"/>
    <col min="86" max="86" width="108.5546875" bestFit="1" customWidth="1"/>
    <col min="87" max="87" width="111.33203125" bestFit="1" customWidth="1"/>
    <col min="88" max="88" width="108.5546875" bestFit="1" customWidth="1"/>
    <col min="89" max="89" width="111.33203125" bestFit="1" customWidth="1"/>
    <col min="90" max="90" width="21.33203125" bestFit="1" customWidth="1"/>
    <col min="91" max="91" width="8.109375" bestFit="1" customWidth="1"/>
    <col min="92" max="92" width="10.33203125" bestFit="1" customWidth="1"/>
    <col min="93" max="93" width="9.5546875" bestFit="1" customWidth="1"/>
    <col min="94" max="94" width="11.21875" bestFit="1" customWidth="1"/>
    <col min="95" max="95" width="10.5546875" bestFit="1" customWidth="1"/>
    <col min="96" max="96" width="24.109375" bestFit="1" customWidth="1"/>
    <col min="97" max="97" width="57.88671875" bestFit="1" customWidth="1"/>
    <col min="98" max="98" width="60.6640625" bestFit="1" customWidth="1"/>
    <col min="99" max="99" width="39.33203125" bestFit="1" customWidth="1"/>
    <col min="100" max="100" width="9.5546875" bestFit="1" customWidth="1"/>
    <col min="101" max="101" width="11.21875" bestFit="1" customWidth="1"/>
    <col min="102" max="102" width="42.21875" bestFit="1" customWidth="1"/>
    <col min="103" max="103" width="98.33203125" bestFit="1" customWidth="1"/>
    <col min="104" max="104" width="101.109375" bestFit="1" customWidth="1"/>
    <col min="105" max="105" width="98.33203125" bestFit="1" customWidth="1"/>
    <col min="106" max="106" width="101.109375" bestFit="1" customWidth="1"/>
    <col min="107" max="107" width="48.44140625" bestFit="1" customWidth="1"/>
    <col min="108" max="108" width="51.21875" bestFit="1" customWidth="1"/>
    <col min="109" max="109" width="12.6640625" bestFit="1" customWidth="1"/>
    <col min="110" max="110" width="10.33203125" bestFit="1" customWidth="1"/>
    <col min="111" max="111" width="9.5546875" bestFit="1" customWidth="1"/>
    <col min="112" max="112" width="11.21875" bestFit="1" customWidth="1"/>
    <col min="113" max="113" width="10.5546875" bestFit="1" customWidth="1"/>
    <col min="114" max="114" width="15.44140625" bestFit="1" customWidth="1"/>
    <col min="115" max="115" width="67.44140625" bestFit="1" customWidth="1"/>
    <col min="116" max="116" width="70.21875" bestFit="1" customWidth="1"/>
    <col min="117" max="117" width="62.33203125" bestFit="1" customWidth="1"/>
    <col min="118" max="118" width="65.109375" bestFit="1" customWidth="1"/>
    <col min="119" max="119" width="43.5546875" bestFit="1" customWidth="1"/>
    <col min="120" max="120" width="46.44140625" bestFit="1" customWidth="1"/>
    <col min="121" max="121" width="14.5546875" bestFit="1" customWidth="1"/>
    <col min="122" max="122" width="10.33203125" bestFit="1" customWidth="1"/>
    <col min="123" max="123" width="9.5546875" bestFit="1" customWidth="1"/>
    <col min="124" max="124" width="11.21875" bestFit="1" customWidth="1"/>
    <col min="125" max="125" width="10.5546875" bestFit="1" customWidth="1"/>
    <col min="126" max="126" width="17.44140625" bestFit="1" customWidth="1"/>
    <col min="127" max="127" width="45.109375" bestFit="1" customWidth="1"/>
    <col min="128" max="128" width="47.88671875" bestFit="1" customWidth="1"/>
    <col min="129" max="129" width="34.6640625" bestFit="1" customWidth="1"/>
    <col min="130" max="130" width="8.109375" bestFit="1" customWidth="1"/>
    <col min="131" max="131" width="10.33203125" bestFit="1" customWidth="1"/>
    <col min="132" max="132" width="9.5546875" bestFit="1" customWidth="1"/>
    <col min="133" max="133" width="11.21875" bestFit="1" customWidth="1"/>
    <col min="134" max="134" width="10.5546875" bestFit="1" customWidth="1"/>
    <col min="135" max="135" width="37.44140625" bestFit="1" customWidth="1"/>
    <col min="136" max="136" width="37" bestFit="1" customWidth="1"/>
    <col min="137" max="137" width="39.77734375" bestFit="1" customWidth="1"/>
    <col min="138" max="138" width="11.21875" bestFit="1" customWidth="1"/>
    <col min="139" max="139" width="10.33203125" bestFit="1" customWidth="1"/>
    <col min="140" max="140" width="9.5546875" bestFit="1" customWidth="1"/>
    <col min="141" max="141" width="11.21875" bestFit="1" customWidth="1"/>
    <col min="142" max="142" width="10.5546875" bestFit="1" customWidth="1"/>
    <col min="143" max="143" width="14" bestFit="1" customWidth="1"/>
    <col min="144" max="144" width="50.88671875" bestFit="1" customWidth="1"/>
    <col min="145" max="145" width="53.6640625" bestFit="1" customWidth="1"/>
    <col min="146" max="146" width="23.5546875" bestFit="1" customWidth="1"/>
    <col min="147" max="147" width="8.6640625" bestFit="1" customWidth="1"/>
    <col min="148" max="148" width="10.33203125" bestFit="1" customWidth="1"/>
    <col min="149" max="149" width="9.5546875" bestFit="1" customWidth="1"/>
    <col min="150" max="150" width="11.21875" bestFit="1" customWidth="1"/>
    <col min="151" max="151" width="10.5546875" bestFit="1" customWidth="1"/>
    <col min="152" max="152" width="26.33203125" bestFit="1" customWidth="1"/>
    <col min="153" max="153" width="18.21875" bestFit="1" customWidth="1"/>
    <col min="154" max="154" width="21" bestFit="1" customWidth="1"/>
    <col min="155" max="155" width="10.21875" bestFit="1" customWidth="1"/>
    <col min="156" max="156" width="9" bestFit="1" customWidth="1"/>
    <col min="157" max="157" width="10.33203125" bestFit="1" customWidth="1"/>
    <col min="158" max="158" width="9.5546875" bestFit="1" customWidth="1"/>
    <col min="159" max="159" width="11.21875" bestFit="1" customWidth="1"/>
    <col min="160" max="160" width="10.5546875" bestFit="1" customWidth="1"/>
    <col min="161" max="161" width="12.88671875" bestFit="1" customWidth="1"/>
    <col min="162" max="162" width="50.77734375" bestFit="1" customWidth="1"/>
    <col min="163" max="163" width="53.5546875" bestFit="1" customWidth="1"/>
    <col min="164" max="164" width="50.33203125" bestFit="1" customWidth="1"/>
    <col min="165" max="165" width="53.109375" bestFit="1" customWidth="1"/>
    <col min="166" max="166" width="26.44140625" bestFit="1" customWidth="1"/>
    <col min="167" max="167" width="10.33203125" bestFit="1" customWidth="1"/>
    <col min="168" max="168" width="9.5546875" bestFit="1" customWidth="1"/>
    <col min="169" max="169" width="11.21875" bestFit="1" customWidth="1"/>
    <col min="170" max="170" width="10.5546875" bestFit="1" customWidth="1"/>
    <col min="171" max="171" width="29.21875" bestFit="1" customWidth="1"/>
    <col min="172" max="172" width="48.88671875" bestFit="1" customWidth="1"/>
    <col min="173" max="173" width="51.6640625" bestFit="1" customWidth="1"/>
    <col min="174" max="174" width="10" bestFit="1" customWidth="1"/>
    <col min="175" max="175" width="10.33203125" bestFit="1" customWidth="1"/>
    <col min="176" max="176" width="10" bestFit="1" customWidth="1"/>
    <col min="177" max="177" width="11.21875" bestFit="1" customWidth="1"/>
    <col min="178" max="178" width="10.5546875" bestFit="1" customWidth="1"/>
    <col min="179" max="179" width="11" bestFit="1" customWidth="1"/>
    <col min="180" max="180" width="16.88671875" bestFit="1" customWidth="1"/>
    <col min="181" max="181" width="8.109375" bestFit="1" customWidth="1"/>
    <col min="182" max="182" width="10.33203125" bestFit="1" customWidth="1"/>
    <col min="183" max="183" width="9.5546875" bestFit="1" customWidth="1"/>
    <col min="184" max="184" width="11.21875" bestFit="1" customWidth="1"/>
    <col min="185" max="185" width="10.5546875" bestFit="1" customWidth="1"/>
    <col min="186" max="186" width="19.6640625" bestFit="1" customWidth="1"/>
    <col min="187" max="187" width="42.33203125" bestFit="1" customWidth="1"/>
    <col min="188" max="188" width="45.109375" bestFit="1" customWidth="1"/>
    <col min="189" max="189" width="12.5546875" bestFit="1" customWidth="1"/>
    <col min="190" max="190" width="9.6640625" bestFit="1" customWidth="1"/>
    <col min="191" max="191" width="10.33203125" bestFit="1" customWidth="1"/>
    <col min="192" max="192" width="9.6640625" bestFit="1" customWidth="1"/>
    <col min="193" max="193" width="11.21875" bestFit="1" customWidth="1"/>
    <col min="194" max="194" width="10.5546875" bestFit="1" customWidth="1"/>
    <col min="195" max="195" width="15.33203125" bestFit="1" customWidth="1"/>
    <col min="196" max="196" width="66.5546875" bestFit="1" customWidth="1"/>
    <col min="197" max="197" width="69.33203125" bestFit="1" customWidth="1"/>
    <col min="198" max="198" width="67" bestFit="1" customWidth="1"/>
    <col min="199" max="199" width="69.77734375" bestFit="1" customWidth="1"/>
    <col min="200" max="200" width="76.33203125" bestFit="1" customWidth="1"/>
    <col min="201" max="201" width="8.109375" bestFit="1" customWidth="1"/>
    <col min="202" max="202" width="9.5546875" bestFit="1" customWidth="1"/>
    <col min="203" max="203" width="11.21875" bestFit="1" customWidth="1"/>
    <col min="204" max="204" width="79.21875" bestFit="1" customWidth="1"/>
    <col min="205" max="205" width="74.88671875" bestFit="1" customWidth="1"/>
    <col min="206" max="206" width="77.6640625" bestFit="1" customWidth="1"/>
    <col min="207" max="207" width="29.21875" bestFit="1" customWidth="1"/>
    <col min="208" max="208" width="10.33203125" bestFit="1" customWidth="1"/>
    <col min="209" max="209" width="9.5546875" bestFit="1" customWidth="1"/>
    <col min="210" max="210" width="11.21875" bestFit="1" customWidth="1"/>
    <col min="211" max="211" width="10.5546875" bestFit="1" customWidth="1"/>
    <col min="212" max="212" width="32" bestFit="1" customWidth="1"/>
    <col min="213" max="213" width="24.77734375" bestFit="1" customWidth="1"/>
    <col min="214" max="214" width="9.5546875" bestFit="1" customWidth="1"/>
    <col min="215" max="215" width="11.21875" bestFit="1" customWidth="1"/>
    <col min="216" max="216" width="10.5546875" bestFit="1" customWidth="1"/>
    <col min="217" max="217" width="27.5546875" bestFit="1" customWidth="1"/>
    <col min="218" max="218" width="33.109375" bestFit="1" customWidth="1"/>
    <col min="219" max="219" width="8.109375" bestFit="1" customWidth="1"/>
    <col min="220" max="220" width="10.33203125" bestFit="1" customWidth="1"/>
    <col min="221" max="221" width="9.5546875" bestFit="1" customWidth="1"/>
    <col min="222" max="222" width="11.21875" bestFit="1" customWidth="1"/>
    <col min="223" max="223" width="10.5546875" bestFit="1" customWidth="1"/>
    <col min="224" max="224" width="35.88671875" bestFit="1" customWidth="1"/>
    <col min="225" max="225" width="41.6640625" bestFit="1" customWidth="1"/>
    <col min="226" max="226" width="44.44140625" bestFit="1" customWidth="1"/>
    <col min="227" max="227" width="40.44140625" bestFit="1" customWidth="1"/>
    <col min="228" max="228" width="43.21875" bestFit="1" customWidth="1"/>
    <col min="229" max="229" width="20.6640625" bestFit="1" customWidth="1"/>
    <col min="230" max="230" width="10.33203125" bestFit="1" customWidth="1"/>
    <col min="231" max="231" width="9.5546875" bestFit="1" customWidth="1"/>
    <col min="232" max="232" width="11.21875" bestFit="1" customWidth="1"/>
    <col min="233" max="233" width="10.5546875" bestFit="1" customWidth="1"/>
    <col min="234" max="234" width="23.44140625" bestFit="1" customWidth="1"/>
    <col min="235" max="235" width="27.109375" bestFit="1" customWidth="1"/>
    <col min="236" max="236" width="10.33203125" bestFit="1" customWidth="1"/>
    <col min="237" max="237" width="9.5546875" bestFit="1" customWidth="1"/>
    <col min="238" max="238" width="11.21875" bestFit="1" customWidth="1"/>
    <col min="239" max="239" width="10.5546875" bestFit="1" customWidth="1"/>
    <col min="240" max="240" width="30" bestFit="1" customWidth="1"/>
    <col min="241" max="241" width="43.109375" bestFit="1" customWidth="1"/>
    <col min="242" max="242" width="46" bestFit="1" customWidth="1"/>
    <col min="243" max="243" width="35.88671875" bestFit="1" customWidth="1"/>
    <col min="244" max="244" width="38.6640625" bestFit="1" customWidth="1"/>
    <col min="245" max="245" width="15.77734375" bestFit="1" customWidth="1"/>
    <col min="246" max="246" width="8.109375" bestFit="1" customWidth="1"/>
    <col min="247" max="247" width="10.33203125" bestFit="1" customWidth="1"/>
    <col min="248" max="248" width="9.5546875" bestFit="1" customWidth="1"/>
    <col min="249" max="249" width="11.21875" bestFit="1" customWidth="1"/>
    <col min="250" max="250" width="10.5546875" bestFit="1" customWidth="1"/>
    <col min="251" max="251" width="18.5546875" bestFit="1" customWidth="1"/>
    <col min="252" max="252" width="49.6640625" bestFit="1" customWidth="1"/>
    <col min="253" max="253" width="8.109375" bestFit="1" customWidth="1"/>
    <col min="254" max="254" width="10.33203125" bestFit="1" customWidth="1"/>
    <col min="255" max="255" width="9.5546875" bestFit="1" customWidth="1"/>
    <col min="256" max="256" width="11.21875" bestFit="1" customWidth="1"/>
    <col min="257" max="257" width="52.44140625" bestFit="1" customWidth="1"/>
    <col min="258" max="258" width="53.21875" bestFit="1" customWidth="1"/>
    <col min="259" max="259" width="10.33203125" bestFit="1" customWidth="1"/>
    <col min="260" max="260" width="9.5546875" bestFit="1" customWidth="1"/>
    <col min="261" max="261" width="11.21875" bestFit="1" customWidth="1"/>
    <col min="262" max="262" width="56" bestFit="1" customWidth="1"/>
    <col min="263" max="263" width="54.33203125" bestFit="1" customWidth="1"/>
    <col min="264" max="264" width="57.109375" bestFit="1" customWidth="1"/>
    <col min="265" max="265" width="50.33203125" bestFit="1" customWidth="1"/>
    <col min="266" max="266" width="53.109375" bestFit="1" customWidth="1"/>
    <col min="267" max="267" width="15.5546875" bestFit="1" customWidth="1"/>
    <col min="268" max="268" width="18.33203125" bestFit="1" customWidth="1"/>
    <col min="269" max="269" width="16.44140625" bestFit="1" customWidth="1"/>
    <col min="270" max="270" width="8.6640625" bestFit="1" customWidth="1"/>
    <col min="271" max="271" width="10.33203125" bestFit="1" customWidth="1"/>
    <col min="272" max="272" width="9.5546875" bestFit="1" customWidth="1"/>
    <col min="273" max="273" width="11.21875" bestFit="1" customWidth="1"/>
    <col min="274" max="274" width="10.5546875" bestFit="1" customWidth="1"/>
    <col min="275" max="275" width="19.21875" bestFit="1" customWidth="1"/>
    <col min="276" max="276" width="24.21875" bestFit="1" customWidth="1"/>
    <col min="277" max="277" width="27" bestFit="1" customWidth="1"/>
    <col min="278" max="278" width="21.33203125" bestFit="1" customWidth="1"/>
    <col min="279" max="279" width="9.6640625" bestFit="1" customWidth="1"/>
    <col min="280" max="280" width="10.33203125" bestFit="1" customWidth="1"/>
    <col min="281" max="281" width="9.6640625" bestFit="1" customWidth="1"/>
    <col min="282" max="282" width="11.21875" bestFit="1" customWidth="1"/>
    <col min="283" max="283" width="10.5546875" bestFit="1" customWidth="1"/>
    <col min="284" max="284" width="24.109375" bestFit="1" customWidth="1"/>
    <col min="285" max="285" width="12.21875" bestFit="1" customWidth="1"/>
    <col min="286" max="286" width="10.33203125" bestFit="1" customWidth="1"/>
    <col min="287" max="287" width="9.5546875" bestFit="1" customWidth="1"/>
    <col min="288" max="288" width="11.21875" bestFit="1" customWidth="1"/>
    <col min="289" max="289" width="10.5546875" bestFit="1" customWidth="1"/>
    <col min="290" max="290" width="15" bestFit="1" customWidth="1"/>
    <col min="291" max="291" width="31.33203125" bestFit="1" customWidth="1"/>
    <col min="292" max="292" width="34.21875" bestFit="1" customWidth="1"/>
    <col min="293" max="293" width="58.5546875" bestFit="1" customWidth="1"/>
    <col min="294" max="294" width="8.109375" bestFit="1" customWidth="1"/>
    <col min="295" max="295" width="10.33203125" bestFit="1" customWidth="1"/>
    <col min="296" max="296" width="9.5546875" bestFit="1" customWidth="1"/>
    <col min="297" max="297" width="11.21875" bestFit="1" customWidth="1"/>
    <col min="298" max="298" width="10.5546875" bestFit="1" customWidth="1"/>
    <col min="299" max="299" width="61.33203125" bestFit="1" customWidth="1"/>
    <col min="300" max="300" width="30.77734375" bestFit="1" customWidth="1"/>
    <col min="301" max="301" width="8.109375" bestFit="1" customWidth="1"/>
    <col min="302" max="302" width="10.33203125" bestFit="1" customWidth="1"/>
    <col min="303" max="303" width="9.5546875" bestFit="1" customWidth="1"/>
    <col min="304" max="304" width="11.21875" bestFit="1" customWidth="1"/>
    <col min="305" max="305" width="10.5546875" bestFit="1" customWidth="1"/>
    <col min="306" max="306" width="33.6640625" bestFit="1" customWidth="1"/>
    <col min="307" max="307" width="10.44140625" bestFit="1" customWidth="1"/>
    <col min="308" max="308" width="10.33203125" bestFit="1" customWidth="1"/>
    <col min="309" max="309" width="9.5546875" bestFit="1" customWidth="1"/>
    <col min="310" max="310" width="11.21875" bestFit="1" customWidth="1"/>
    <col min="311" max="311" width="10.5546875" bestFit="1" customWidth="1"/>
    <col min="312" max="312" width="13.21875" bestFit="1" customWidth="1"/>
    <col min="313" max="313" width="42.21875" bestFit="1" customWidth="1"/>
    <col min="314" max="314" width="45" bestFit="1" customWidth="1"/>
    <col min="315" max="315" width="93.44140625" bestFit="1" customWidth="1"/>
    <col min="316" max="316" width="96.21875" bestFit="1" customWidth="1"/>
    <col min="317" max="317" width="35.44140625" bestFit="1" customWidth="1"/>
    <col min="318" max="318" width="38.33203125" bestFit="1" customWidth="1"/>
    <col min="319" max="319" width="108.44140625" bestFit="1" customWidth="1"/>
    <col min="320" max="320" width="111.21875" bestFit="1" customWidth="1"/>
    <col min="321" max="321" width="34.77734375" bestFit="1" customWidth="1"/>
    <col min="322" max="322" width="37.5546875" bestFit="1" customWidth="1"/>
    <col min="323" max="323" width="25.109375" bestFit="1" customWidth="1"/>
    <col min="324" max="324" width="27.88671875" bestFit="1" customWidth="1"/>
    <col min="325" max="325" width="46.5546875" bestFit="1" customWidth="1"/>
    <col min="326" max="326" width="49.33203125" bestFit="1" customWidth="1"/>
    <col min="327" max="327" width="102.109375" bestFit="1" customWidth="1"/>
    <col min="328" max="328" width="104.88671875" bestFit="1" customWidth="1"/>
    <col min="329" max="329" width="102.109375" bestFit="1" customWidth="1"/>
    <col min="330" max="330" width="104.88671875" bestFit="1" customWidth="1"/>
    <col min="331" max="331" width="24.88671875" bestFit="1" customWidth="1"/>
    <col min="332" max="332" width="27.6640625" bestFit="1" customWidth="1"/>
    <col min="333" max="333" width="27.88671875" bestFit="1" customWidth="1"/>
    <col min="334" max="334" width="30.6640625" bestFit="1" customWidth="1"/>
    <col min="335" max="335" width="55.5546875" bestFit="1" customWidth="1"/>
    <col min="336" max="336" width="8.109375" bestFit="1" customWidth="1"/>
    <col min="337" max="337" width="10.33203125" bestFit="1" customWidth="1"/>
    <col min="338" max="338" width="9.5546875" bestFit="1" customWidth="1"/>
    <col min="339" max="339" width="11.21875" bestFit="1" customWidth="1"/>
    <col min="340" max="340" width="10.5546875" bestFit="1" customWidth="1"/>
    <col min="341" max="341" width="58.44140625" bestFit="1" customWidth="1"/>
    <col min="342" max="342" width="47.21875" bestFit="1" customWidth="1"/>
    <col min="343" max="343" width="8.109375" bestFit="1" customWidth="1"/>
    <col min="344" max="344" width="10.33203125" bestFit="1" customWidth="1"/>
    <col min="345" max="345" width="9.5546875" bestFit="1" customWidth="1"/>
    <col min="346" max="346" width="11.21875" bestFit="1" customWidth="1"/>
    <col min="347" max="347" width="10.5546875" bestFit="1" customWidth="1"/>
    <col min="348" max="348" width="50.109375" bestFit="1" customWidth="1"/>
    <col min="349" max="349" width="41.5546875" bestFit="1" customWidth="1"/>
    <col min="350" max="350" width="44.33203125" bestFit="1" customWidth="1"/>
    <col min="351" max="351" width="39.44140625" bestFit="1" customWidth="1"/>
    <col min="352" max="352" width="42.33203125" bestFit="1" customWidth="1"/>
    <col min="353" max="353" width="34.88671875" bestFit="1" customWidth="1"/>
    <col min="354" max="354" width="37.77734375" bestFit="1" customWidth="1"/>
    <col min="355" max="355" width="35.88671875" bestFit="1" customWidth="1"/>
    <col min="356" max="356" width="38.6640625" bestFit="1" customWidth="1"/>
    <col min="357" max="357" width="32.44140625" bestFit="1" customWidth="1"/>
    <col min="358" max="358" width="35.21875" bestFit="1" customWidth="1"/>
    <col min="359" max="359" width="38" bestFit="1" customWidth="1"/>
    <col min="360" max="360" width="40.77734375" bestFit="1" customWidth="1"/>
    <col min="361" max="361" width="39.33203125" bestFit="1" customWidth="1"/>
    <col min="362" max="362" width="42.21875" bestFit="1" customWidth="1"/>
    <col min="363" max="363" width="32" bestFit="1" customWidth="1"/>
    <col min="364" max="364" width="34.77734375" bestFit="1" customWidth="1"/>
    <col min="365" max="365" width="28.33203125" bestFit="1" customWidth="1"/>
    <col min="366" max="366" width="10.33203125" bestFit="1" customWidth="1"/>
    <col min="367" max="367" width="9.5546875" bestFit="1" customWidth="1"/>
    <col min="368" max="368" width="11.21875" bestFit="1" customWidth="1"/>
    <col min="369" max="369" width="10.5546875" bestFit="1" customWidth="1"/>
    <col min="370" max="370" width="31.109375" bestFit="1" customWidth="1"/>
    <col min="371" max="371" width="82.109375" bestFit="1" customWidth="1"/>
    <col min="372" max="372" width="84.88671875" bestFit="1" customWidth="1"/>
    <col min="373" max="373" width="27.88671875" bestFit="1" customWidth="1"/>
    <col min="374" max="374" width="10.5546875" bestFit="1" customWidth="1"/>
    <col min="375" max="375" width="30.6640625" bestFit="1" customWidth="1"/>
    <col min="376" max="376" width="32.33203125" bestFit="1" customWidth="1"/>
    <col min="377" max="377" width="8.109375" bestFit="1" customWidth="1"/>
    <col min="378" max="378" width="10.33203125" bestFit="1" customWidth="1"/>
    <col min="379" max="379" width="9.5546875" bestFit="1" customWidth="1"/>
    <col min="380" max="380" width="11.21875" bestFit="1" customWidth="1"/>
    <col min="381" max="381" width="10.5546875" bestFit="1" customWidth="1"/>
    <col min="382" max="382" width="35.109375" bestFit="1" customWidth="1"/>
    <col min="383" max="383" width="51.6640625" bestFit="1" customWidth="1"/>
    <col min="384" max="384" width="8.109375" bestFit="1" customWidth="1"/>
    <col min="385" max="385" width="10.33203125" bestFit="1" customWidth="1"/>
    <col min="386" max="386" width="9.5546875" bestFit="1" customWidth="1"/>
    <col min="387" max="387" width="54.5546875" bestFit="1" customWidth="1"/>
    <col min="388" max="388" width="56.44140625" bestFit="1" customWidth="1"/>
    <col min="389" max="389" width="59.21875" bestFit="1" customWidth="1"/>
    <col min="390" max="390" width="79.33203125" bestFit="1" customWidth="1"/>
    <col min="391" max="391" width="82.109375" bestFit="1" customWidth="1"/>
    <col min="392" max="392" width="84.77734375" bestFit="1" customWidth="1"/>
    <col min="393" max="393" width="87.6640625" bestFit="1" customWidth="1"/>
    <col min="394" max="394" width="29.5546875" bestFit="1" customWidth="1"/>
    <col min="395" max="395" width="10.33203125" bestFit="1" customWidth="1"/>
    <col min="396" max="396" width="9.5546875" bestFit="1" customWidth="1"/>
    <col min="397" max="397" width="10.5546875" bestFit="1" customWidth="1"/>
    <col min="398" max="398" width="32.33203125" bestFit="1" customWidth="1"/>
    <col min="399" max="399" width="104.77734375" bestFit="1" customWidth="1"/>
    <col min="400" max="400" width="107.6640625" bestFit="1" customWidth="1"/>
    <col min="401" max="401" width="26.88671875" bestFit="1" customWidth="1"/>
    <col min="402" max="402" width="29.77734375" bestFit="1" customWidth="1"/>
    <col min="403" max="403" width="21.21875" bestFit="1" customWidth="1"/>
    <col min="404" max="404" width="10.33203125" bestFit="1" customWidth="1"/>
    <col min="405" max="405" width="9.5546875" bestFit="1" customWidth="1"/>
    <col min="406" max="406" width="11.21875" bestFit="1" customWidth="1"/>
    <col min="407" max="407" width="10.5546875" bestFit="1" customWidth="1"/>
    <col min="408" max="408" width="24" bestFit="1" customWidth="1"/>
    <col min="409" max="409" width="17.77734375" bestFit="1" customWidth="1"/>
    <col min="410" max="410" width="10.33203125" bestFit="1" customWidth="1"/>
    <col min="411" max="411" width="9.5546875" bestFit="1" customWidth="1"/>
    <col min="412" max="412" width="11.21875" bestFit="1" customWidth="1"/>
    <col min="413" max="413" width="10.5546875" bestFit="1" customWidth="1"/>
    <col min="414" max="414" width="20.5546875" bestFit="1" customWidth="1"/>
    <col min="415" max="415" width="43.21875" bestFit="1" customWidth="1"/>
    <col min="416" max="416" width="46.109375" bestFit="1" customWidth="1"/>
    <col min="417" max="417" width="17.77734375" bestFit="1" customWidth="1"/>
    <col min="418" max="418" width="10.33203125" bestFit="1" customWidth="1"/>
    <col min="419" max="419" width="9.5546875" bestFit="1" customWidth="1"/>
    <col min="420" max="420" width="11.21875" bestFit="1" customWidth="1"/>
    <col min="421" max="421" width="10.5546875" bestFit="1" customWidth="1"/>
    <col min="422" max="422" width="20.5546875" bestFit="1" customWidth="1"/>
    <col min="423" max="423" width="43.44140625" bestFit="1" customWidth="1"/>
    <col min="424" max="424" width="46.33203125" bestFit="1" customWidth="1"/>
    <col min="425" max="425" width="17.77734375" bestFit="1" customWidth="1"/>
    <col min="426" max="426" width="10.33203125" bestFit="1" customWidth="1"/>
    <col min="427" max="427" width="9.5546875" bestFit="1" customWidth="1"/>
    <col min="428" max="428" width="11.21875" bestFit="1" customWidth="1"/>
    <col min="429" max="429" width="10.5546875" bestFit="1" customWidth="1"/>
    <col min="430" max="430" width="20.5546875" bestFit="1" customWidth="1"/>
    <col min="431" max="431" width="42.21875" bestFit="1" customWidth="1"/>
    <col min="432" max="432" width="45" bestFit="1" customWidth="1"/>
    <col min="433" max="433" width="28.33203125" bestFit="1" customWidth="1"/>
    <col min="434" max="434" width="31.109375" bestFit="1" customWidth="1"/>
    <col min="435" max="435" width="48.109375" bestFit="1" customWidth="1"/>
    <col min="436" max="436" width="9.6640625" bestFit="1" customWidth="1"/>
    <col min="437" max="437" width="10.33203125" bestFit="1" customWidth="1"/>
    <col min="438" max="438" width="9.5546875" bestFit="1" customWidth="1"/>
    <col min="439" max="439" width="11.21875" bestFit="1" customWidth="1"/>
    <col min="440" max="440" width="10.5546875" bestFit="1" customWidth="1"/>
    <col min="441" max="441" width="50.88671875" bestFit="1" customWidth="1"/>
    <col min="442" max="442" width="87.77734375" bestFit="1" customWidth="1"/>
    <col min="443" max="443" width="90.5546875" bestFit="1" customWidth="1"/>
    <col min="444" max="444" width="55.5546875" bestFit="1" customWidth="1"/>
    <col min="445" max="445" width="9.5546875" bestFit="1" customWidth="1"/>
    <col min="446" max="446" width="11.21875" bestFit="1" customWidth="1"/>
    <col min="447" max="447" width="10.5546875" bestFit="1" customWidth="1"/>
    <col min="448" max="448" width="58.44140625" bestFit="1" customWidth="1"/>
    <col min="449" max="449" width="53.77734375" bestFit="1" customWidth="1"/>
    <col min="450" max="450" width="10.33203125" bestFit="1" customWidth="1"/>
    <col min="451" max="451" width="56.5546875" bestFit="1" customWidth="1"/>
    <col min="452" max="452" width="85.33203125" bestFit="1" customWidth="1"/>
    <col min="453" max="453" width="88.109375" bestFit="1" customWidth="1"/>
    <col min="454" max="454" width="17" bestFit="1" customWidth="1"/>
    <col min="455" max="455" width="9.5546875" bestFit="1" customWidth="1"/>
    <col min="456" max="456" width="11.21875" bestFit="1" customWidth="1"/>
    <col min="457" max="457" width="10.5546875" bestFit="1" customWidth="1"/>
    <col min="458" max="458" width="19.77734375" bestFit="1" customWidth="1"/>
    <col min="459" max="459" width="24.77734375" bestFit="1" customWidth="1"/>
    <col min="460" max="460" width="27.5546875" bestFit="1" customWidth="1"/>
    <col min="461" max="461" width="25.21875" bestFit="1" customWidth="1"/>
    <col min="462" max="462" width="8.109375" bestFit="1" customWidth="1"/>
    <col min="463" max="463" width="10.33203125" bestFit="1" customWidth="1"/>
    <col min="464" max="464" width="9.5546875" bestFit="1" customWidth="1"/>
    <col min="465" max="465" width="11.21875" bestFit="1" customWidth="1"/>
    <col min="466" max="466" width="10.5546875" bestFit="1" customWidth="1"/>
    <col min="467" max="467" width="28" bestFit="1" customWidth="1"/>
    <col min="468" max="468" width="25.6640625" bestFit="1" customWidth="1"/>
    <col min="469" max="469" width="28.44140625" bestFit="1" customWidth="1"/>
    <col min="470" max="470" width="26.21875" bestFit="1" customWidth="1"/>
    <col min="471" max="471" width="29" bestFit="1" customWidth="1"/>
    <col min="472" max="472" width="61.21875" bestFit="1" customWidth="1"/>
    <col min="473" max="473" width="64" bestFit="1" customWidth="1"/>
    <col min="474" max="474" width="100" bestFit="1" customWidth="1"/>
    <col min="475" max="475" width="102.77734375" bestFit="1" customWidth="1"/>
    <col min="476" max="476" width="100" bestFit="1" customWidth="1"/>
    <col min="477" max="477" width="102.77734375" bestFit="1" customWidth="1"/>
    <col min="478" max="478" width="32.21875" bestFit="1" customWidth="1"/>
    <col min="479" max="479" width="35" bestFit="1" customWidth="1"/>
    <col min="480" max="480" width="21.77734375" bestFit="1" customWidth="1"/>
    <col min="481" max="481" width="8.109375" bestFit="1" customWidth="1"/>
    <col min="482" max="482" width="10.33203125" bestFit="1" customWidth="1"/>
    <col min="483" max="483" width="9.5546875" bestFit="1" customWidth="1"/>
    <col min="484" max="484" width="11.21875" bestFit="1" customWidth="1"/>
    <col min="485" max="485" width="10.5546875" bestFit="1" customWidth="1"/>
    <col min="486" max="486" width="24.5546875" bestFit="1" customWidth="1"/>
    <col min="487" max="487" width="89.44140625" bestFit="1" customWidth="1"/>
    <col min="488" max="488" width="92.21875" bestFit="1" customWidth="1"/>
    <col min="489" max="489" width="24.109375" bestFit="1" customWidth="1"/>
    <col min="490" max="490" width="26.88671875" bestFit="1" customWidth="1"/>
    <col min="491" max="491" width="30" bestFit="1" customWidth="1"/>
    <col min="492" max="492" width="32.77734375" bestFit="1" customWidth="1"/>
    <col min="493" max="493" width="78.109375" bestFit="1" customWidth="1"/>
    <col min="494" max="494" width="80.88671875" bestFit="1" customWidth="1"/>
    <col min="495" max="495" width="9.44140625" bestFit="1" customWidth="1"/>
    <col min="496" max="496" width="12.109375" bestFit="1" customWidth="1"/>
    <col min="497" max="497" width="9.88671875" bestFit="1" customWidth="1"/>
    <col min="498" max="498" width="10.33203125" bestFit="1" customWidth="1"/>
    <col min="499" max="499" width="9.5546875" bestFit="1" customWidth="1"/>
    <col min="500" max="500" width="11.21875" bestFit="1" customWidth="1"/>
    <col min="501" max="501" width="12.5546875" bestFit="1" customWidth="1"/>
    <col min="502" max="502" width="14.77734375" bestFit="1" customWidth="1"/>
    <col min="503" max="503" width="10.33203125" bestFit="1" customWidth="1"/>
    <col min="504" max="504" width="9.5546875" bestFit="1" customWidth="1"/>
    <col min="505" max="505" width="11.21875" bestFit="1" customWidth="1"/>
    <col min="506" max="506" width="10.5546875" bestFit="1" customWidth="1"/>
    <col min="507" max="507" width="17.6640625" bestFit="1" customWidth="1"/>
    <col min="508" max="508" width="29.21875" bestFit="1" customWidth="1"/>
    <col min="509" max="509" width="32" bestFit="1" customWidth="1"/>
    <col min="510" max="510" width="35.44140625" bestFit="1" customWidth="1"/>
    <col min="511" max="511" width="38.33203125" bestFit="1" customWidth="1"/>
    <col min="512" max="512" width="31" bestFit="1" customWidth="1"/>
    <col min="513" max="513" width="33.88671875" bestFit="1" customWidth="1"/>
    <col min="514" max="514" width="47.21875" bestFit="1" customWidth="1"/>
    <col min="515" max="515" width="50.109375" bestFit="1" customWidth="1"/>
    <col min="516" max="516" width="27.6640625" bestFit="1" customWidth="1"/>
    <col min="517" max="517" width="30.44140625" bestFit="1" customWidth="1"/>
    <col min="518" max="518" width="33.77734375" bestFit="1" customWidth="1"/>
    <col min="519" max="519" width="36.5546875" bestFit="1" customWidth="1"/>
    <col min="520" max="520" width="29.21875" bestFit="1" customWidth="1"/>
    <col min="521" max="521" width="32" bestFit="1" customWidth="1"/>
    <col min="522" max="522" width="32.77734375" bestFit="1" customWidth="1"/>
    <col min="523" max="523" width="35.5546875" bestFit="1" customWidth="1"/>
    <col min="524" max="524" width="28.21875" bestFit="1" customWidth="1"/>
    <col min="525" max="525" width="31" bestFit="1" customWidth="1"/>
    <col min="526" max="526" width="27.109375" bestFit="1" customWidth="1"/>
    <col min="527" max="527" width="9.5546875" bestFit="1" customWidth="1"/>
    <col min="528" max="528" width="11.21875" bestFit="1" customWidth="1"/>
    <col min="529" max="529" width="10.5546875" bestFit="1" customWidth="1"/>
    <col min="530" max="530" width="30" bestFit="1" customWidth="1"/>
    <col min="531" max="531" width="26.44140625" bestFit="1" customWidth="1"/>
    <col min="532" max="532" width="29.21875" bestFit="1" customWidth="1"/>
    <col min="533" max="533" width="27.109375" bestFit="1" customWidth="1"/>
    <col min="534" max="534" width="30" bestFit="1" customWidth="1"/>
    <col min="535" max="535" width="45.77734375" bestFit="1" customWidth="1"/>
    <col min="536" max="536" width="48.5546875" bestFit="1" customWidth="1"/>
    <col min="537" max="537" width="54" bestFit="1" customWidth="1"/>
    <col min="538" max="538" width="56.77734375" bestFit="1" customWidth="1"/>
    <col min="539" max="539" width="65.33203125" bestFit="1" customWidth="1"/>
    <col min="540" max="540" width="68.109375" bestFit="1" customWidth="1"/>
    <col min="541" max="541" width="72.6640625" bestFit="1" customWidth="1"/>
    <col min="542" max="542" width="75.44140625" bestFit="1" customWidth="1"/>
    <col min="543" max="543" width="29" bestFit="1" customWidth="1"/>
    <col min="544" max="544" width="31.77734375" bestFit="1" customWidth="1"/>
    <col min="545" max="545" width="38.33203125" bestFit="1" customWidth="1"/>
    <col min="546" max="546" width="41.109375" bestFit="1" customWidth="1"/>
    <col min="547" max="547" width="29.109375" bestFit="1" customWidth="1"/>
    <col min="548" max="548" width="10.33203125" bestFit="1" customWidth="1"/>
    <col min="549" max="549" width="9.5546875" bestFit="1" customWidth="1"/>
    <col min="550" max="550" width="11.21875" bestFit="1" customWidth="1"/>
    <col min="551" max="551" width="10.5546875" bestFit="1" customWidth="1"/>
    <col min="552" max="552" width="31.88671875" bestFit="1" customWidth="1"/>
    <col min="553" max="553" width="16" bestFit="1" customWidth="1"/>
    <col min="554" max="554" width="10.33203125" bestFit="1" customWidth="1"/>
    <col min="555" max="555" width="9.5546875" bestFit="1" customWidth="1"/>
    <col min="556" max="556" width="10.5546875" bestFit="1" customWidth="1"/>
    <col min="557" max="557" width="18.77734375" bestFit="1" customWidth="1"/>
    <col min="558" max="558" width="16.44140625" bestFit="1" customWidth="1"/>
    <col min="559" max="559" width="19.21875" bestFit="1" customWidth="1"/>
    <col min="560" max="560" width="28.6640625" bestFit="1" customWidth="1"/>
    <col min="561" max="561" width="31.44140625" bestFit="1" customWidth="1"/>
    <col min="562" max="562" width="19.77734375" bestFit="1" customWidth="1"/>
    <col min="563" max="563" width="8.109375" bestFit="1" customWidth="1"/>
    <col min="564" max="564" width="10.33203125" bestFit="1" customWidth="1"/>
    <col min="565" max="565" width="9.5546875" bestFit="1" customWidth="1"/>
    <col min="566" max="566" width="11.21875" bestFit="1" customWidth="1"/>
    <col min="567" max="567" width="10.5546875" bestFit="1" customWidth="1"/>
    <col min="568" max="568" width="22.5546875" bestFit="1" customWidth="1"/>
    <col min="569" max="569" width="33.77734375" bestFit="1" customWidth="1"/>
    <col min="570" max="570" width="36.5546875" bestFit="1" customWidth="1"/>
    <col min="571" max="571" width="31.77734375" bestFit="1" customWidth="1"/>
    <col min="572" max="572" width="34.5546875" bestFit="1" customWidth="1"/>
    <col min="573" max="573" width="45.6640625" bestFit="1" customWidth="1"/>
    <col min="574" max="574" width="10.33203125" bestFit="1" customWidth="1"/>
    <col min="575" max="575" width="9.5546875" bestFit="1" customWidth="1"/>
    <col min="576" max="576" width="11.21875" bestFit="1" customWidth="1"/>
    <col min="577" max="577" width="10.5546875" bestFit="1" customWidth="1"/>
    <col min="578" max="578" width="48.44140625" bestFit="1" customWidth="1"/>
    <col min="579" max="579" width="64.88671875" bestFit="1" customWidth="1"/>
    <col min="580" max="580" width="67.6640625" bestFit="1" customWidth="1"/>
    <col min="581" max="581" width="20.6640625" bestFit="1" customWidth="1"/>
    <col min="582" max="582" width="8.109375" bestFit="1" customWidth="1"/>
    <col min="583" max="583" width="10.33203125" bestFit="1" customWidth="1"/>
    <col min="584" max="584" width="9.5546875" bestFit="1" customWidth="1"/>
    <col min="585" max="585" width="11.21875" bestFit="1" customWidth="1"/>
    <col min="586" max="586" width="10.5546875" bestFit="1" customWidth="1"/>
    <col min="587" max="587" width="23.44140625" bestFit="1" customWidth="1"/>
    <col min="588" max="588" width="7.5546875" bestFit="1" customWidth="1"/>
    <col min="589" max="589" width="8.109375" bestFit="1" customWidth="1"/>
    <col min="590" max="590" width="10.33203125" bestFit="1" customWidth="1"/>
    <col min="591" max="591" width="9.5546875" bestFit="1" customWidth="1"/>
    <col min="592" max="592" width="11.21875" bestFit="1" customWidth="1"/>
    <col min="593" max="593" width="10.5546875" bestFit="1" customWidth="1"/>
    <col min="594" max="594" width="10.21875" bestFit="1" customWidth="1"/>
    <col min="595" max="595" width="28.88671875" bestFit="1" customWidth="1"/>
    <col min="596" max="596" width="31.6640625" bestFit="1" customWidth="1"/>
    <col min="597" max="597" width="30.77734375" bestFit="1" customWidth="1"/>
    <col min="598" max="598" width="33.6640625" bestFit="1" customWidth="1"/>
    <col min="599" max="599" width="90.88671875" bestFit="1" customWidth="1"/>
    <col min="600" max="600" width="93.6640625" bestFit="1" customWidth="1"/>
    <col min="601" max="601" width="51.21875" bestFit="1" customWidth="1"/>
    <col min="602" max="602" width="54" bestFit="1" customWidth="1"/>
    <col min="603" max="603" width="38.33203125" bestFit="1" customWidth="1"/>
    <col min="604" max="604" width="41.109375" bestFit="1" customWidth="1"/>
    <col min="605" max="605" width="34.33203125" bestFit="1" customWidth="1"/>
    <col min="606" max="606" width="37.109375" bestFit="1" customWidth="1"/>
    <col min="607" max="607" width="28.21875" bestFit="1" customWidth="1"/>
    <col min="608" max="608" width="31" bestFit="1" customWidth="1"/>
    <col min="609" max="609" width="32.77734375" bestFit="1" customWidth="1"/>
    <col min="610" max="610" width="35.5546875" bestFit="1" customWidth="1"/>
    <col min="611" max="611" width="29" bestFit="1" customWidth="1"/>
    <col min="612" max="612" width="31.77734375" bestFit="1" customWidth="1"/>
    <col min="613" max="613" width="39.21875" bestFit="1" customWidth="1"/>
    <col min="614" max="614" width="42.109375" bestFit="1" customWidth="1"/>
    <col min="615" max="615" width="42" bestFit="1" customWidth="1"/>
    <col min="616" max="616" width="44.77734375" bestFit="1" customWidth="1"/>
    <col min="617" max="617" width="33.109375" bestFit="1" customWidth="1"/>
    <col min="618" max="618" width="35.88671875" bestFit="1" customWidth="1"/>
    <col min="619" max="619" width="27.21875" bestFit="1" customWidth="1"/>
    <col min="620" max="620" width="30.109375" bestFit="1" customWidth="1"/>
    <col min="621" max="621" width="36.77734375" bestFit="1" customWidth="1"/>
    <col min="622" max="622" width="39.5546875" bestFit="1" customWidth="1"/>
    <col min="623" max="623" width="26.21875" bestFit="1" customWidth="1"/>
    <col min="624" max="624" width="29" bestFit="1" customWidth="1"/>
    <col min="625" max="625" width="44.44140625" bestFit="1" customWidth="1"/>
    <col min="626" max="626" width="8.109375" bestFit="1" customWidth="1"/>
    <col min="627" max="627" width="10.33203125" bestFit="1" customWidth="1"/>
    <col min="628" max="628" width="9.5546875" bestFit="1" customWidth="1"/>
    <col min="629" max="629" width="11.21875" bestFit="1" customWidth="1"/>
    <col min="630" max="630" width="10.5546875" bestFit="1" customWidth="1"/>
    <col min="631" max="631" width="47.21875" bestFit="1" customWidth="1"/>
    <col min="632" max="632" width="51.88671875" bestFit="1" customWidth="1"/>
    <col min="633" max="633" width="8.109375" bestFit="1" customWidth="1"/>
    <col min="634" max="634" width="10.33203125" bestFit="1" customWidth="1"/>
    <col min="635" max="635" width="9.5546875" bestFit="1" customWidth="1"/>
    <col min="636" max="636" width="11.21875" bestFit="1" customWidth="1"/>
    <col min="637" max="637" width="10.5546875" bestFit="1" customWidth="1"/>
    <col min="638" max="638" width="54.77734375" bestFit="1" customWidth="1"/>
    <col min="639" max="639" width="75.5546875" bestFit="1" customWidth="1"/>
    <col min="640" max="640" width="78.33203125" bestFit="1" customWidth="1"/>
    <col min="641" max="641" width="51.21875" bestFit="1" customWidth="1"/>
    <col min="642" max="642" width="8.109375" bestFit="1" customWidth="1"/>
    <col min="643" max="643" width="10.33203125" bestFit="1" customWidth="1"/>
    <col min="644" max="644" width="9.5546875" bestFit="1" customWidth="1"/>
    <col min="645" max="645" width="11.21875" bestFit="1" customWidth="1"/>
    <col min="646" max="646" width="10.5546875" bestFit="1" customWidth="1"/>
    <col min="647" max="647" width="54" bestFit="1" customWidth="1"/>
    <col min="648" max="648" width="32.5546875" bestFit="1" customWidth="1"/>
    <col min="649" max="649" width="35.33203125" bestFit="1" customWidth="1"/>
    <col min="650" max="650" width="25.44140625" bestFit="1" customWidth="1"/>
    <col min="651" max="651" width="28.21875" bestFit="1" customWidth="1"/>
    <col min="652" max="652" width="53" bestFit="1" customWidth="1"/>
    <col min="653" max="653" width="8.109375" bestFit="1" customWidth="1"/>
    <col min="654" max="654" width="55.77734375" bestFit="1" customWidth="1"/>
    <col min="655" max="655" width="17" bestFit="1" customWidth="1"/>
    <col min="656" max="656" width="10.33203125" bestFit="1" customWidth="1"/>
    <col min="657" max="657" width="9.5546875" bestFit="1" customWidth="1"/>
    <col min="658" max="658" width="11.21875" bestFit="1" customWidth="1"/>
    <col min="659" max="659" width="10.5546875" bestFit="1" customWidth="1"/>
    <col min="660" max="660" width="19.77734375" bestFit="1" customWidth="1"/>
    <col min="661" max="661" width="63.5546875" bestFit="1" customWidth="1"/>
    <col min="662" max="662" width="66.33203125" bestFit="1" customWidth="1"/>
    <col min="663" max="663" width="59.109375" bestFit="1" customWidth="1"/>
    <col min="664" max="664" width="61.88671875" bestFit="1" customWidth="1"/>
    <col min="665" max="665" width="61.33203125" bestFit="1" customWidth="1"/>
    <col min="666" max="666" width="64.109375" bestFit="1" customWidth="1"/>
    <col min="667" max="667" width="63.5546875" bestFit="1" customWidth="1"/>
    <col min="668" max="668" width="66.33203125" bestFit="1" customWidth="1"/>
    <col min="669" max="669" width="49.33203125" bestFit="1" customWidth="1"/>
    <col min="670" max="670" width="52.109375" bestFit="1" customWidth="1"/>
    <col min="671" max="671" width="78.33203125" bestFit="1" customWidth="1"/>
    <col min="672" max="672" width="81.109375" bestFit="1" customWidth="1"/>
    <col min="673" max="673" width="55.109375" bestFit="1" customWidth="1"/>
    <col min="674" max="674" width="57.88671875" bestFit="1" customWidth="1"/>
    <col min="675" max="675" width="23.5546875" bestFit="1" customWidth="1"/>
    <col min="676" max="676" width="26.33203125" bestFit="1" customWidth="1"/>
    <col min="677" max="677" width="18.33203125" bestFit="1" customWidth="1"/>
    <col min="678" max="678" width="8.6640625" bestFit="1" customWidth="1"/>
    <col min="679" max="679" width="10.33203125" bestFit="1" customWidth="1"/>
    <col min="680" max="680" width="9.5546875" bestFit="1" customWidth="1"/>
    <col min="681" max="681" width="11.21875" bestFit="1" customWidth="1"/>
    <col min="682" max="682" width="10.5546875" bestFit="1" customWidth="1"/>
    <col min="683" max="683" width="21.109375" bestFit="1" customWidth="1"/>
    <col min="684" max="684" width="34.21875" bestFit="1" customWidth="1"/>
    <col min="685" max="685" width="8.109375" bestFit="1" customWidth="1"/>
    <col min="686" max="686" width="10.33203125" bestFit="1" customWidth="1"/>
    <col min="687" max="687" width="9.5546875" bestFit="1" customWidth="1"/>
    <col min="688" max="688" width="11.21875" bestFit="1" customWidth="1"/>
    <col min="689" max="689" width="10.5546875" bestFit="1" customWidth="1"/>
    <col min="690" max="690" width="37" bestFit="1" customWidth="1"/>
    <col min="691" max="691" width="53.5546875" bestFit="1" customWidth="1"/>
    <col min="692" max="692" width="56.33203125" bestFit="1" customWidth="1"/>
    <col min="693" max="693" width="36.44140625" bestFit="1" customWidth="1"/>
    <col min="694" max="694" width="10.33203125" bestFit="1" customWidth="1"/>
    <col min="695" max="695" width="9.5546875" bestFit="1" customWidth="1"/>
    <col min="696" max="696" width="10.5546875" bestFit="1" customWidth="1"/>
    <col min="697" max="697" width="39.21875" bestFit="1" customWidth="1"/>
    <col min="698" max="698" width="14.88671875" bestFit="1" customWidth="1"/>
    <col min="699" max="699" width="8.6640625" bestFit="1" customWidth="1"/>
    <col min="700" max="700" width="10.33203125" bestFit="1" customWidth="1"/>
    <col min="701" max="701" width="9.5546875" bestFit="1" customWidth="1"/>
    <col min="702" max="702" width="11.21875" bestFit="1" customWidth="1"/>
    <col min="703" max="703" width="10.5546875" bestFit="1" customWidth="1"/>
    <col min="704" max="704" width="17.77734375" bestFit="1" customWidth="1"/>
    <col min="705" max="705" width="27.44140625" bestFit="1" customWidth="1"/>
    <col min="706" max="706" width="30.21875" bestFit="1" customWidth="1"/>
    <col min="707" max="707" width="63.44140625" bestFit="1" customWidth="1"/>
    <col min="708" max="708" width="66.21875" bestFit="1" customWidth="1"/>
    <col min="709" max="709" width="43.88671875" bestFit="1" customWidth="1"/>
    <col min="710" max="710" width="46.6640625" bestFit="1" customWidth="1"/>
    <col min="711" max="711" width="28.33203125" bestFit="1" customWidth="1"/>
    <col min="712" max="712" width="9.5546875" bestFit="1" customWidth="1"/>
    <col min="713" max="713" width="11.21875" bestFit="1" customWidth="1"/>
    <col min="714" max="714" width="31.109375" bestFit="1" customWidth="1"/>
    <col min="715" max="715" width="114.109375" bestFit="1" customWidth="1"/>
    <col min="716" max="716" width="116.88671875" bestFit="1" customWidth="1"/>
    <col min="717" max="717" width="114.109375" bestFit="1" customWidth="1"/>
    <col min="718" max="718" width="116.88671875" bestFit="1" customWidth="1"/>
    <col min="719" max="719" width="31.77734375" bestFit="1" customWidth="1"/>
    <col min="720" max="720" width="8.109375" bestFit="1" customWidth="1"/>
    <col min="721" max="721" width="34.5546875" bestFit="1" customWidth="1"/>
    <col min="722" max="722" width="19.6640625" bestFit="1" customWidth="1"/>
    <col min="723" max="723" width="22.44140625" bestFit="1" customWidth="1"/>
    <col min="724" max="724" width="42.77734375" bestFit="1" customWidth="1"/>
    <col min="725" max="725" width="45.5546875" bestFit="1" customWidth="1"/>
    <col min="726" max="726" width="9.109375" bestFit="1" customWidth="1"/>
    <col min="727" max="727" width="10.33203125" bestFit="1" customWidth="1"/>
    <col min="728" max="728" width="9.5546875" bestFit="1" customWidth="1"/>
    <col min="729" max="729" width="11.21875" bestFit="1" customWidth="1"/>
    <col min="730" max="730" width="10.5546875" bestFit="1" customWidth="1"/>
    <col min="731" max="731" width="11.77734375" bestFit="1" customWidth="1"/>
    <col min="732" max="732" width="33.44140625" bestFit="1" customWidth="1"/>
    <col min="733" max="733" width="36.21875" bestFit="1" customWidth="1"/>
    <col min="734" max="734" width="34.5546875" bestFit="1" customWidth="1"/>
    <col min="735" max="735" width="37.33203125" bestFit="1" customWidth="1"/>
    <col min="736" max="736" width="32.44140625" bestFit="1" customWidth="1"/>
    <col min="737" max="737" width="35.21875" bestFit="1" customWidth="1"/>
    <col min="738" max="738" width="37.109375" bestFit="1" customWidth="1"/>
    <col min="739" max="739" width="39.88671875" bestFit="1" customWidth="1"/>
    <col min="740" max="740" width="17.6640625" bestFit="1" customWidth="1"/>
    <col min="741" max="741" width="10.33203125" bestFit="1" customWidth="1"/>
    <col min="742" max="742" width="9.5546875" bestFit="1" customWidth="1"/>
    <col min="743" max="743" width="11.21875" bestFit="1" customWidth="1"/>
    <col min="744" max="744" width="10.5546875" bestFit="1" customWidth="1"/>
    <col min="745" max="745" width="20.44140625" bestFit="1" customWidth="1"/>
    <col min="746" max="746" width="29" bestFit="1" customWidth="1"/>
    <col min="747" max="747" width="31.77734375" bestFit="1" customWidth="1"/>
    <col min="748" max="748" width="35.44140625" bestFit="1" customWidth="1"/>
    <col min="749" max="749" width="38.33203125" bestFit="1" customWidth="1"/>
    <col min="750" max="750" width="28.109375" bestFit="1" customWidth="1"/>
    <col min="751" max="751" width="8.109375" bestFit="1" customWidth="1"/>
    <col min="752" max="752" width="10.33203125" bestFit="1" customWidth="1"/>
    <col min="753" max="753" width="9.5546875" bestFit="1" customWidth="1"/>
    <col min="754" max="754" width="11.21875" bestFit="1" customWidth="1"/>
    <col min="755" max="755" width="10.5546875" bestFit="1" customWidth="1"/>
    <col min="756" max="756" width="30.88671875" bestFit="1" customWidth="1"/>
    <col min="757" max="757" width="50" bestFit="1" customWidth="1"/>
    <col min="758" max="758" width="52.77734375" bestFit="1" customWidth="1"/>
    <col min="759" max="759" width="27.88671875" bestFit="1" customWidth="1"/>
    <col min="760" max="760" width="30.6640625" bestFit="1" customWidth="1"/>
    <col min="761" max="761" width="28.77734375" bestFit="1" customWidth="1"/>
    <col min="762" max="762" width="31.5546875" bestFit="1" customWidth="1"/>
    <col min="763" max="763" width="92.6640625" bestFit="1" customWidth="1"/>
    <col min="764" max="764" width="95.5546875" bestFit="1" customWidth="1"/>
    <col min="765" max="765" width="92.109375" bestFit="1" customWidth="1"/>
    <col min="766" max="766" width="94.88671875" bestFit="1" customWidth="1"/>
    <col min="767" max="767" width="92.109375" bestFit="1" customWidth="1"/>
    <col min="768" max="768" width="94.88671875" bestFit="1" customWidth="1"/>
    <col min="769" max="769" width="92.109375" bestFit="1" customWidth="1"/>
    <col min="770" max="770" width="94.88671875" bestFit="1" customWidth="1"/>
    <col min="771" max="771" width="92.109375" bestFit="1" customWidth="1"/>
    <col min="772" max="772" width="94.88671875" bestFit="1" customWidth="1"/>
    <col min="773" max="773" width="92.109375" bestFit="1" customWidth="1"/>
    <col min="774" max="774" width="94.88671875" bestFit="1" customWidth="1"/>
    <col min="775" max="775" width="94.5546875" bestFit="1" customWidth="1"/>
    <col min="776" max="776" width="97.33203125" bestFit="1" customWidth="1"/>
    <col min="777" max="777" width="65.44140625" bestFit="1" customWidth="1"/>
    <col min="778" max="778" width="9.5546875" bestFit="1" customWidth="1"/>
    <col min="779" max="779" width="11.21875" bestFit="1" customWidth="1"/>
    <col min="780" max="780" width="68.21875" bestFit="1" customWidth="1"/>
    <col min="781" max="781" width="118.109375" bestFit="1" customWidth="1"/>
    <col min="782" max="782" width="120.88671875" bestFit="1" customWidth="1"/>
    <col min="783" max="783" width="118.109375" bestFit="1" customWidth="1"/>
    <col min="784" max="784" width="120.88671875" bestFit="1" customWidth="1"/>
    <col min="785" max="785" width="40.109375" bestFit="1" customWidth="1"/>
    <col min="786" max="786" width="42.88671875" bestFit="1" customWidth="1"/>
    <col min="787" max="787" width="22.109375" bestFit="1" customWidth="1"/>
    <col min="788" max="788" width="24.88671875" bestFit="1" customWidth="1"/>
    <col min="789" max="789" width="50.6640625" bestFit="1" customWidth="1"/>
    <col min="790" max="790" width="8.109375" bestFit="1" customWidth="1"/>
    <col min="791" max="791" width="53.44140625" bestFit="1" customWidth="1"/>
    <col min="792" max="792" width="88.44140625" bestFit="1" customWidth="1"/>
    <col min="793" max="793" width="91.33203125" bestFit="1" customWidth="1"/>
    <col min="794" max="794" width="32.33203125" bestFit="1" customWidth="1"/>
    <col min="795" max="795" width="35.109375" bestFit="1" customWidth="1"/>
    <col min="796" max="796" width="89.44140625" bestFit="1" customWidth="1"/>
    <col min="797" max="797" width="92.21875" bestFit="1" customWidth="1"/>
    <col min="798" max="798" width="62.33203125" bestFit="1" customWidth="1"/>
    <col min="799" max="799" width="65.109375" bestFit="1" customWidth="1"/>
    <col min="800" max="800" width="62.33203125" bestFit="1" customWidth="1"/>
    <col min="801" max="801" width="65.109375" bestFit="1" customWidth="1"/>
    <col min="802" max="802" width="62.33203125" bestFit="1" customWidth="1"/>
    <col min="803" max="803" width="65.109375" bestFit="1" customWidth="1"/>
    <col min="804" max="804" width="62.33203125" bestFit="1" customWidth="1"/>
    <col min="805" max="805" width="65.109375" bestFit="1" customWidth="1"/>
    <col min="806" max="806" width="62.33203125" bestFit="1" customWidth="1"/>
    <col min="807" max="807" width="65.109375" bestFit="1" customWidth="1"/>
    <col min="808" max="808" width="62.33203125" bestFit="1" customWidth="1"/>
    <col min="809" max="809" width="65.109375" bestFit="1" customWidth="1"/>
    <col min="810" max="810" width="62.33203125" bestFit="1" customWidth="1"/>
    <col min="811" max="811" width="65.109375" bestFit="1" customWidth="1"/>
    <col min="812" max="812" width="62.33203125" bestFit="1" customWidth="1"/>
    <col min="813" max="813" width="65.109375" bestFit="1" customWidth="1"/>
    <col min="814" max="814" width="62.33203125" bestFit="1" customWidth="1"/>
    <col min="815" max="815" width="65.109375" bestFit="1" customWidth="1"/>
    <col min="816" max="816" width="100.44140625" bestFit="1" customWidth="1"/>
    <col min="817" max="817" width="103.21875" bestFit="1" customWidth="1"/>
    <col min="818" max="818" width="100.44140625" bestFit="1" customWidth="1"/>
    <col min="819" max="819" width="103.21875" bestFit="1" customWidth="1"/>
    <col min="820" max="820" width="28" bestFit="1" customWidth="1"/>
    <col min="821" max="821" width="30.77734375" bestFit="1" customWidth="1"/>
    <col min="822" max="822" width="32" bestFit="1" customWidth="1"/>
    <col min="823" max="823" width="34.77734375" bestFit="1" customWidth="1"/>
    <col min="824" max="824" width="83.21875" bestFit="1" customWidth="1"/>
    <col min="825" max="825" width="86" bestFit="1" customWidth="1"/>
    <col min="826" max="826" width="25.88671875" bestFit="1" customWidth="1"/>
    <col min="827" max="827" width="28.6640625" bestFit="1" customWidth="1"/>
    <col min="828" max="828" width="20.6640625" bestFit="1" customWidth="1"/>
    <col min="829" max="829" width="9.5546875" bestFit="1" customWidth="1"/>
    <col min="830" max="830" width="11.21875" bestFit="1" customWidth="1"/>
    <col min="831" max="831" width="10.5546875" bestFit="1" customWidth="1"/>
    <col min="832" max="832" width="23.44140625" bestFit="1" customWidth="1"/>
    <col min="833" max="833" width="46" bestFit="1" customWidth="1"/>
    <col min="834" max="834" width="48.77734375" bestFit="1" customWidth="1"/>
    <col min="835" max="835" width="45.5546875" bestFit="1" customWidth="1"/>
    <col min="836" max="836" width="48.33203125" bestFit="1" customWidth="1"/>
    <col min="837" max="837" width="46" bestFit="1" customWidth="1"/>
    <col min="838" max="838" width="48.77734375" bestFit="1" customWidth="1"/>
    <col min="839" max="839" width="31.109375" bestFit="1" customWidth="1"/>
    <col min="840" max="840" width="34" bestFit="1" customWidth="1"/>
    <col min="841" max="841" width="70.109375" bestFit="1" customWidth="1"/>
    <col min="842" max="842" width="72.88671875" bestFit="1" customWidth="1"/>
    <col min="843" max="843" width="58.5546875" bestFit="1" customWidth="1"/>
    <col min="844" max="844" width="61.33203125" bestFit="1" customWidth="1"/>
    <col min="845" max="845" width="59.5546875" bestFit="1" customWidth="1"/>
    <col min="846" max="846" width="62.44140625" bestFit="1" customWidth="1"/>
    <col min="847" max="847" width="75.88671875" bestFit="1" customWidth="1"/>
    <col min="848" max="848" width="78.6640625" bestFit="1" customWidth="1"/>
    <col min="849" max="849" width="64.21875" bestFit="1" customWidth="1"/>
    <col min="850" max="850" width="67.109375" bestFit="1" customWidth="1"/>
    <col min="851" max="851" width="64.21875" bestFit="1" customWidth="1"/>
    <col min="852" max="852" width="67.109375" bestFit="1" customWidth="1"/>
    <col min="853" max="853" width="64.21875" bestFit="1" customWidth="1"/>
    <col min="854" max="854" width="67.109375" bestFit="1" customWidth="1"/>
    <col min="855" max="855" width="64.77734375" bestFit="1" customWidth="1"/>
    <col min="856" max="856" width="67.5546875" bestFit="1" customWidth="1"/>
    <col min="857" max="857" width="60.88671875" bestFit="1" customWidth="1"/>
    <col min="858" max="859" width="63.6640625" bestFit="1" customWidth="1"/>
    <col min="860" max="860" width="66.5546875" bestFit="1" customWidth="1"/>
    <col min="861" max="861" width="35.33203125" bestFit="1" customWidth="1"/>
    <col min="862" max="862" width="38.21875" bestFit="1" customWidth="1"/>
    <col min="863" max="863" width="43.5546875" bestFit="1" customWidth="1"/>
    <col min="864" max="864" width="46.44140625" bestFit="1" customWidth="1"/>
    <col min="865" max="865" width="36.77734375" bestFit="1" customWidth="1"/>
    <col min="866" max="866" width="39.5546875" bestFit="1" customWidth="1"/>
    <col min="867" max="867" width="112.5546875" bestFit="1" customWidth="1"/>
    <col min="868" max="868" width="115.33203125" bestFit="1" customWidth="1"/>
    <col min="869" max="869" width="50.6640625" bestFit="1" customWidth="1"/>
    <col min="870" max="870" width="8.6640625" bestFit="1" customWidth="1"/>
    <col min="871" max="871" width="53.44140625" bestFit="1" customWidth="1"/>
    <col min="872" max="872" width="69.77734375" bestFit="1" customWidth="1"/>
    <col min="873" max="873" width="72.5546875" bestFit="1" customWidth="1"/>
    <col min="874" max="874" width="96.5546875" bestFit="1" customWidth="1"/>
    <col min="875" max="875" width="99.44140625" bestFit="1" customWidth="1"/>
    <col min="876" max="876" width="22.44140625" bestFit="1" customWidth="1"/>
    <col min="877" max="877" width="9.5546875" bestFit="1" customWidth="1"/>
    <col min="878" max="878" width="11.21875" bestFit="1" customWidth="1"/>
    <col min="879" max="879" width="25.21875" bestFit="1" customWidth="1"/>
    <col min="880" max="880" width="87.33203125" bestFit="1" customWidth="1"/>
    <col min="881" max="881" width="90.109375" bestFit="1" customWidth="1"/>
    <col min="882" max="882" width="87.33203125" bestFit="1" customWidth="1"/>
    <col min="883" max="883" width="90.109375" bestFit="1" customWidth="1"/>
    <col min="884" max="884" width="39.33203125" bestFit="1" customWidth="1"/>
    <col min="885" max="885" width="9.5546875" bestFit="1" customWidth="1"/>
    <col min="886" max="886" width="11.21875" bestFit="1" customWidth="1"/>
    <col min="887" max="887" width="42.21875" bestFit="1" customWidth="1"/>
    <col min="888" max="888" width="115.33203125" bestFit="1" customWidth="1"/>
    <col min="889" max="889" width="118.109375" bestFit="1" customWidth="1"/>
    <col min="890" max="890" width="115.33203125" bestFit="1" customWidth="1"/>
    <col min="891" max="891" width="118.109375" bestFit="1" customWidth="1"/>
    <col min="892" max="892" width="65.77734375" bestFit="1" customWidth="1"/>
    <col min="893" max="893" width="68.5546875" bestFit="1" customWidth="1"/>
    <col min="894" max="894" width="20.6640625" bestFit="1" customWidth="1"/>
    <col min="895" max="895" width="23.44140625" bestFit="1" customWidth="1"/>
    <col min="896" max="896" width="95.44140625" bestFit="1" customWidth="1"/>
    <col min="897" max="897" width="98.21875" bestFit="1" customWidth="1"/>
    <col min="898" max="898" width="29.33203125" bestFit="1" customWidth="1"/>
    <col min="899" max="899" width="10.33203125" bestFit="1" customWidth="1"/>
    <col min="900" max="900" width="9.5546875" bestFit="1" customWidth="1"/>
    <col min="901" max="901" width="11.21875" bestFit="1" customWidth="1"/>
    <col min="902" max="902" width="10.5546875" bestFit="1" customWidth="1"/>
    <col min="903" max="903" width="32.109375" bestFit="1" customWidth="1"/>
    <col min="904" max="904" width="29.77734375" bestFit="1" customWidth="1"/>
    <col min="905" max="905" width="10.33203125" bestFit="1" customWidth="1"/>
    <col min="906" max="906" width="9.5546875" bestFit="1" customWidth="1"/>
    <col min="907" max="907" width="11.21875" bestFit="1" customWidth="1"/>
    <col min="908" max="908" width="10.5546875" bestFit="1" customWidth="1"/>
    <col min="909" max="909" width="32.5546875" bestFit="1" customWidth="1"/>
    <col min="910" max="910" width="67.6640625" bestFit="1" customWidth="1"/>
    <col min="911" max="911" width="70.44140625" bestFit="1" customWidth="1"/>
    <col min="912" max="912" width="37.33203125" bestFit="1" customWidth="1"/>
    <col min="913" max="913" width="40.109375" bestFit="1" customWidth="1"/>
    <col min="914" max="914" width="28.21875" bestFit="1" customWidth="1"/>
    <col min="915" max="915" width="31" bestFit="1" customWidth="1"/>
    <col min="916" max="916" width="23.109375" bestFit="1" customWidth="1"/>
    <col min="917" max="917" width="10.33203125" bestFit="1" customWidth="1"/>
    <col min="918" max="918" width="9.5546875" bestFit="1" customWidth="1"/>
    <col min="919" max="919" width="11.21875" bestFit="1" customWidth="1"/>
    <col min="920" max="920" width="10.5546875" bestFit="1" customWidth="1"/>
    <col min="921" max="921" width="26" bestFit="1" customWidth="1"/>
    <col min="922" max="922" width="32.6640625" bestFit="1" customWidth="1"/>
    <col min="923" max="923" width="35.44140625" bestFit="1" customWidth="1"/>
    <col min="924" max="924" width="26.21875" bestFit="1" customWidth="1"/>
    <col min="925" max="925" width="29" bestFit="1" customWidth="1"/>
    <col min="926" max="926" width="115.109375" bestFit="1" customWidth="1"/>
    <col min="927" max="927" width="117.88671875" bestFit="1" customWidth="1"/>
    <col min="928" max="928" width="92.6640625" bestFit="1" customWidth="1"/>
    <col min="929" max="929" width="95.5546875" bestFit="1" customWidth="1"/>
    <col min="930" max="930" width="107.77734375" bestFit="1" customWidth="1"/>
    <col min="931" max="931" width="110.5546875" bestFit="1" customWidth="1"/>
    <col min="932" max="932" width="107.77734375" bestFit="1" customWidth="1"/>
    <col min="933" max="933" width="110.5546875" bestFit="1" customWidth="1"/>
    <col min="934" max="934" width="24.6640625" bestFit="1" customWidth="1"/>
    <col min="935" max="935" width="27.44140625" bestFit="1" customWidth="1"/>
    <col min="936" max="936" width="32.6640625" bestFit="1" customWidth="1"/>
    <col min="937" max="937" width="35.44140625" bestFit="1" customWidth="1"/>
    <col min="938" max="938" width="29.33203125" bestFit="1" customWidth="1"/>
    <col min="939" max="939" width="32.109375" bestFit="1" customWidth="1"/>
    <col min="940" max="940" width="38.5546875" bestFit="1" customWidth="1"/>
    <col min="941" max="941" width="41.33203125" bestFit="1" customWidth="1"/>
    <col min="942" max="942" width="138" bestFit="1" customWidth="1"/>
    <col min="943" max="943" width="140.88671875" bestFit="1" customWidth="1"/>
    <col min="944" max="944" width="29.88671875" bestFit="1" customWidth="1"/>
    <col min="945" max="945" width="32.6640625" bestFit="1" customWidth="1"/>
    <col min="946" max="946" width="24.5546875" bestFit="1" customWidth="1"/>
    <col min="947" max="947" width="10.33203125" bestFit="1" customWidth="1"/>
    <col min="948" max="948" width="11.21875" bestFit="1" customWidth="1"/>
    <col min="949" max="949" width="10.5546875" bestFit="1" customWidth="1"/>
    <col min="950" max="950" width="27.33203125" bestFit="1" customWidth="1"/>
    <col min="951" max="951" width="22.33203125" bestFit="1" customWidth="1"/>
    <col min="952" max="952" width="25.109375" bestFit="1" customWidth="1"/>
    <col min="953" max="953" width="34.77734375" bestFit="1" customWidth="1"/>
    <col min="954" max="954" width="8.109375" bestFit="1" customWidth="1"/>
    <col min="955" max="955" width="10.33203125" bestFit="1" customWidth="1"/>
    <col min="956" max="956" width="9.5546875" bestFit="1" customWidth="1"/>
    <col min="957" max="957" width="11.21875" bestFit="1" customWidth="1"/>
    <col min="958" max="958" width="10.5546875" bestFit="1" customWidth="1"/>
    <col min="959" max="959" width="37.5546875" bestFit="1" customWidth="1"/>
    <col min="960" max="960" width="40.88671875" bestFit="1" customWidth="1"/>
    <col min="961" max="961" width="9" bestFit="1" customWidth="1"/>
    <col min="962" max="962" width="10.33203125" bestFit="1" customWidth="1"/>
    <col min="963" max="963" width="9.5546875" bestFit="1" customWidth="1"/>
    <col min="964" max="964" width="11.21875" bestFit="1" customWidth="1"/>
    <col min="965" max="965" width="10.5546875" bestFit="1" customWidth="1"/>
    <col min="966" max="966" width="43.6640625" bestFit="1" customWidth="1"/>
    <col min="967" max="967" width="56.44140625" bestFit="1" customWidth="1"/>
    <col min="968" max="968" width="59.21875" bestFit="1" customWidth="1"/>
    <col min="969" max="969" width="56.44140625" bestFit="1" customWidth="1"/>
    <col min="970" max="970" width="59.21875" bestFit="1" customWidth="1"/>
    <col min="971" max="971" width="88.44140625" bestFit="1" customWidth="1"/>
    <col min="972" max="972" width="91.33203125" bestFit="1" customWidth="1"/>
    <col min="973" max="973" width="55.33203125" bestFit="1" customWidth="1"/>
    <col min="974" max="974" width="58.109375" bestFit="1" customWidth="1"/>
    <col min="975" max="975" width="56.44140625" bestFit="1" customWidth="1"/>
    <col min="976" max="976" width="59.21875" bestFit="1" customWidth="1"/>
    <col min="977" max="977" width="50.88671875" bestFit="1" customWidth="1"/>
    <col min="978" max="978" width="53.6640625" bestFit="1" customWidth="1"/>
    <col min="979" max="979" width="50.88671875" bestFit="1" customWidth="1"/>
    <col min="980" max="980" width="53.6640625" bestFit="1" customWidth="1"/>
    <col min="981" max="981" width="50.88671875" bestFit="1" customWidth="1"/>
    <col min="982" max="982" width="53.6640625" bestFit="1" customWidth="1"/>
    <col min="983" max="983" width="28.44140625" bestFit="1" customWidth="1"/>
    <col min="984" max="984" width="10.33203125" bestFit="1" customWidth="1"/>
    <col min="985" max="985" width="9.5546875" bestFit="1" customWidth="1"/>
    <col min="986" max="986" width="11.21875" bestFit="1" customWidth="1"/>
    <col min="987" max="987" width="10.5546875" bestFit="1" customWidth="1"/>
    <col min="988" max="988" width="31.21875" bestFit="1" customWidth="1"/>
    <col min="989" max="989" width="29.109375" bestFit="1" customWidth="1"/>
    <col min="990" max="990" width="11.21875" bestFit="1" customWidth="1"/>
    <col min="991" max="991" width="10.5546875" bestFit="1" customWidth="1"/>
    <col min="992" max="992" width="31.88671875" bestFit="1" customWidth="1"/>
    <col min="993" max="993" width="51.33203125" bestFit="1" customWidth="1"/>
    <col min="994" max="994" width="54.21875" bestFit="1" customWidth="1"/>
    <col min="995" max="995" width="51.33203125" bestFit="1" customWidth="1"/>
    <col min="996" max="996" width="54.21875" bestFit="1" customWidth="1"/>
    <col min="997" max="997" width="51.33203125" bestFit="1" customWidth="1"/>
    <col min="998" max="998" width="54.21875" bestFit="1" customWidth="1"/>
    <col min="999" max="999" width="51.33203125" bestFit="1" customWidth="1"/>
    <col min="1000" max="1000" width="54.21875" bestFit="1" customWidth="1"/>
    <col min="1001" max="1001" width="51.33203125" bestFit="1" customWidth="1"/>
    <col min="1002" max="1002" width="54.21875" bestFit="1" customWidth="1"/>
    <col min="1003" max="1003" width="37.88671875" bestFit="1" customWidth="1"/>
    <col min="1004" max="1004" width="40.6640625" bestFit="1" customWidth="1"/>
    <col min="1005" max="1005" width="46.109375" bestFit="1" customWidth="1"/>
    <col min="1006" max="1006" width="48.88671875" bestFit="1" customWidth="1"/>
    <col min="1007" max="1007" width="17.5546875" bestFit="1" customWidth="1"/>
    <col min="1008" max="1008" width="10.33203125" bestFit="1" customWidth="1"/>
    <col min="1009" max="1009" width="9.5546875" bestFit="1" customWidth="1"/>
    <col min="1010" max="1010" width="11.21875" bestFit="1" customWidth="1"/>
    <col min="1011" max="1011" width="10.5546875" bestFit="1" customWidth="1"/>
    <col min="1012" max="1012" width="20.33203125" bestFit="1" customWidth="1"/>
    <col min="1013" max="1013" width="20.21875" bestFit="1" customWidth="1"/>
    <col min="1014" max="1014" width="23" bestFit="1" customWidth="1"/>
    <col min="1015" max="1015" width="41.88671875" bestFit="1" customWidth="1"/>
    <col min="1016" max="1016" width="8.6640625" bestFit="1" customWidth="1"/>
    <col min="1017" max="1017" width="10.33203125" bestFit="1" customWidth="1"/>
    <col min="1018" max="1018" width="9.5546875" bestFit="1" customWidth="1"/>
    <col min="1019" max="1019" width="11.21875" bestFit="1" customWidth="1"/>
    <col min="1020" max="1020" width="10.5546875" bestFit="1" customWidth="1"/>
    <col min="1021" max="1021" width="44.6640625" bestFit="1" customWidth="1"/>
    <col min="1022" max="1022" width="60.88671875" bestFit="1" customWidth="1"/>
    <col min="1023" max="1023" width="63.6640625" bestFit="1" customWidth="1"/>
    <col min="1024" max="1024" width="31.21875" bestFit="1" customWidth="1"/>
    <col min="1025" max="1025" width="10.33203125" bestFit="1" customWidth="1"/>
    <col min="1026" max="1026" width="34.109375" bestFit="1" customWidth="1"/>
    <col min="1027" max="1027" width="48.21875" bestFit="1" customWidth="1"/>
    <col min="1028" max="1028" width="51" bestFit="1" customWidth="1"/>
    <col min="1029" max="1029" width="48.6640625" bestFit="1" customWidth="1"/>
    <col min="1030" max="1030" width="51.44140625" bestFit="1" customWidth="1"/>
    <col min="1031" max="1031" width="44.77734375" bestFit="1" customWidth="1"/>
    <col min="1032" max="1032" width="47.5546875" bestFit="1" customWidth="1"/>
    <col min="1033" max="1033" width="97.44140625" bestFit="1" customWidth="1"/>
    <col min="1034" max="1034" width="100.21875" bestFit="1" customWidth="1"/>
    <col min="1035" max="1035" width="115" bestFit="1" customWidth="1"/>
    <col min="1036" max="1036" width="117.77734375" bestFit="1" customWidth="1"/>
    <col min="1037" max="1037" width="115" bestFit="1" customWidth="1"/>
    <col min="1038" max="1038" width="117.77734375" bestFit="1" customWidth="1"/>
    <col min="1039" max="1039" width="115" bestFit="1" customWidth="1"/>
    <col min="1040" max="1040" width="117.77734375" bestFit="1" customWidth="1"/>
    <col min="1041" max="1041" width="114" bestFit="1" customWidth="1"/>
    <col min="1042" max="1042" width="116.77734375" bestFit="1" customWidth="1"/>
    <col min="1043" max="1043" width="114" bestFit="1" customWidth="1"/>
    <col min="1044" max="1044" width="116.77734375" bestFit="1" customWidth="1"/>
    <col min="1045" max="1045" width="114" bestFit="1" customWidth="1"/>
    <col min="1046" max="1046" width="116.77734375" bestFit="1" customWidth="1"/>
    <col min="1047" max="1047" width="114" bestFit="1" customWidth="1"/>
    <col min="1048" max="1048" width="116.77734375" bestFit="1" customWidth="1"/>
    <col min="1049" max="1049" width="22.5546875" bestFit="1" customWidth="1"/>
    <col min="1050" max="1050" width="8.6640625" bestFit="1" customWidth="1"/>
    <col min="1051" max="1051" width="10.33203125" bestFit="1" customWidth="1"/>
    <col min="1052" max="1052" width="9.5546875" bestFit="1" customWidth="1"/>
    <col min="1053" max="1053" width="11.21875" bestFit="1" customWidth="1"/>
    <col min="1054" max="1054" width="10.5546875" bestFit="1" customWidth="1"/>
    <col min="1055" max="1055" width="25.44140625" bestFit="1" customWidth="1"/>
    <col min="1056" max="1056" width="16.44140625" bestFit="1" customWidth="1"/>
    <col min="1057" max="1057" width="10.33203125" bestFit="1" customWidth="1"/>
    <col min="1058" max="1058" width="9.5546875" bestFit="1" customWidth="1"/>
    <col min="1059" max="1059" width="11.21875" bestFit="1" customWidth="1"/>
    <col min="1060" max="1060" width="10.5546875" bestFit="1" customWidth="1"/>
    <col min="1061" max="1061" width="19.21875" bestFit="1" customWidth="1"/>
    <col min="1062" max="1062" width="28" bestFit="1" customWidth="1"/>
    <col min="1063" max="1063" width="30.77734375" bestFit="1" customWidth="1"/>
    <col min="1064" max="1064" width="28" bestFit="1" customWidth="1"/>
    <col min="1065" max="1065" width="30.77734375" bestFit="1" customWidth="1"/>
    <col min="1066" max="1066" width="43.88671875" bestFit="1" customWidth="1"/>
    <col min="1067" max="1067" width="46.6640625" bestFit="1" customWidth="1"/>
    <col min="1068" max="1068" width="32.6640625" bestFit="1" customWidth="1"/>
    <col min="1069" max="1069" width="35.44140625" bestFit="1" customWidth="1"/>
    <col min="1070" max="1070" width="43.109375" bestFit="1" customWidth="1"/>
    <col min="1071" max="1071" width="9.5546875" bestFit="1" customWidth="1"/>
    <col min="1072" max="1072" width="11.21875" bestFit="1" customWidth="1"/>
    <col min="1073" max="1073" width="10.5546875" bestFit="1" customWidth="1"/>
    <col min="1074" max="1074" width="46" bestFit="1" customWidth="1"/>
    <col min="1075" max="1075" width="34.6640625" bestFit="1" customWidth="1"/>
    <col min="1076" max="1076" width="37.44140625" bestFit="1" customWidth="1"/>
    <col min="1077" max="1077" width="35.21875" bestFit="1" customWidth="1"/>
    <col min="1078" max="1078" width="38.109375" bestFit="1" customWidth="1"/>
    <col min="1079" max="1079" width="13.109375" bestFit="1" customWidth="1"/>
    <col min="1080" max="1080" width="8.109375" bestFit="1" customWidth="1"/>
    <col min="1081" max="1081" width="10.33203125" bestFit="1" customWidth="1"/>
    <col min="1082" max="1082" width="9.5546875" bestFit="1" customWidth="1"/>
    <col min="1083" max="1083" width="11.21875" bestFit="1" customWidth="1"/>
    <col min="1084" max="1084" width="10.5546875" bestFit="1" customWidth="1"/>
    <col min="1085" max="1085" width="15.88671875" bestFit="1" customWidth="1"/>
    <col min="1086" max="1086" width="48.21875" bestFit="1" customWidth="1"/>
    <col min="1087" max="1087" width="8.6640625" bestFit="1" customWidth="1"/>
    <col min="1088" max="1088" width="10.33203125" bestFit="1" customWidth="1"/>
    <col min="1089" max="1089" width="9.5546875" bestFit="1" customWidth="1"/>
    <col min="1090" max="1090" width="11.21875" bestFit="1" customWidth="1"/>
    <col min="1091" max="1091" width="10.5546875" bestFit="1" customWidth="1"/>
    <col min="1092" max="1092" width="51" bestFit="1" customWidth="1"/>
    <col min="1093" max="1093" width="41.44140625" bestFit="1" customWidth="1"/>
    <col min="1094" max="1094" width="8.109375" bestFit="1" customWidth="1"/>
    <col min="1095" max="1095" width="10.33203125" bestFit="1" customWidth="1"/>
    <col min="1096" max="1096" width="9.5546875" bestFit="1" customWidth="1"/>
    <col min="1097" max="1097" width="11.21875" bestFit="1" customWidth="1"/>
    <col min="1098" max="1098" width="10.5546875" bestFit="1" customWidth="1"/>
    <col min="1099" max="1099" width="44.21875" bestFit="1" customWidth="1"/>
    <col min="1100" max="1100" width="91.6640625" bestFit="1" customWidth="1"/>
    <col min="1101" max="1101" width="94.44140625" bestFit="1" customWidth="1"/>
    <col min="1102" max="1102" width="87.33203125" bestFit="1" customWidth="1"/>
    <col min="1103" max="1103" width="90.109375" bestFit="1" customWidth="1"/>
    <col min="1104" max="1104" width="95.109375" bestFit="1" customWidth="1"/>
    <col min="1105" max="1105" width="97.88671875" bestFit="1" customWidth="1"/>
    <col min="1106" max="1106" width="91.6640625" bestFit="1" customWidth="1"/>
    <col min="1107" max="1107" width="94.44140625" bestFit="1" customWidth="1"/>
    <col min="1108" max="1108" width="98.21875" bestFit="1" customWidth="1"/>
    <col min="1109" max="1109" width="101" bestFit="1" customWidth="1"/>
    <col min="1110" max="1110" width="89.5546875" bestFit="1" customWidth="1"/>
    <col min="1111" max="1111" width="92.33203125" bestFit="1" customWidth="1"/>
    <col min="1112" max="1112" width="45.77734375" bestFit="1" customWidth="1"/>
    <col min="1113" max="1113" width="48.5546875" bestFit="1" customWidth="1"/>
    <col min="1114" max="1114" width="56.44140625" bestFit="1" customWidth="1"/>
    <col min="1115" max="1115" width="59.21875" bestFit="1" customWidth="1"/>
    <col min="1116" max="1116" width="20.77734375" bestFit="1" customWidth="1"/>
    <col min="1117" max="1117" width="9.5546875" bestFit="1" customWidth="1"/>
    <col min="1118" max="1118" width="11.21875" bestFit="1" customWidth="1"/>
    <col min="1119" max="1119" width="23.5546875" bestFit="1" customWidth="1"/>
    <col min="1120" max="1120" width="89.33203125" bestFit="1" customWidth="1"/>
    <col min="1121" max="1121" width="92.109375" bestFit="1" customWidth="1"/>
    <col min="1122" max="1122" width="89.33203125" bestFit="1" customWidth="1"/>
    <col min="1123" max="1123" width="92.109375" bestFit="1" customWidth="1"/>
    <col min="1124" max="1124" width="111.6640625" bestFit="1" customWidth="1"/>
    <col min="1125" max="1125" width="114.44140625" bestFit="1" customWidth="1"/>
    <col min="1126" max="1126" width="113.33203125" bestFit="1" customWidth="1"/>
    <col min="1127" max="1127" width="116.21875" bestFit="1" customWidth="1"/>
    <col min="1128" max="1128" width="113.33203125" bestFit="1" customWidth="1"/>
    <col min="1129" max="1129" width="116.21875" bestFit="1" customWidth="1"/>
    <col min="1130" max="1130" width="113.33203125" bestFit="1" customWidth="1"/>
    <col min="1131" max="1131" width="10.33203125" bestFit="1" customWidth="1"/>
    <col min="1132" max="1132" width="116.21875" bestFit="1" customWidth="1"/>
    <col min="1133" max="1133" width="37.5546875" bestFit="1" customWidth="1"/>
    <col min="1134" max="1134" width="9" bestFit="1" customWidth="1"/>
    <col min="1135" max="1135" width="10.33203125" bestFit="1" customWidth="1"/>
    <col min="1136" max="1136" width="9.5546875" bestFit="1" customWidth="1"/>
    <col min="1137" max="1137" width="11.21875" bestFit="1" customWidth="1"/>
    <col min="1138" max="1138" width="10.5546875" bestFit="1" customWidth="1"/>
    <col min="1139" max="1139" width="40.33203125" bestFit="1" customWidth="1"/>
    <col min="1140" max="1140" width="23.5546875" bestFit="1" customWidth="1"/>
    <col min="1141" max="1141" width="26.33203125" bestFit="1" customWidth="1"/>
    <col min="1142" max="1142" width="28.33203125" bestFit="1" customWidth="1"/>
    <col min="1143" max="1143" width="31.109375" bestFit="1" customWidth="1"/>
    <col min="1144" max="1144" width="27.77734375" bestFit="1" customWidth="1"/>
    <col min="1145" max="1145" width="30.5546875" bestFit="1" customWidth="1"/>
    <col min="1146" max="1146" width="85.6640625" bestFit="1" customWidth="1"/>
    <col min="1147" max="1147" width="88.44140625" bestFit="1" customWidth="1"/>
    <col min="1148" max="1148" width="41.109375" bestFit="1" customWidth="1"/>
    <col min="1149" max="1149" width="10.33203125" bestFit="1" customWidth="1"/>
    <col min="1150" max="1150" width="9.5546875" bestFit="1" customWidth="1"/>
    <col min="1151" max="1151" width="11.21875" bestFit="1" customWidth="1"/>
    <col min="1152" max="1152" width="10.5546875" bestFit="1" customWidth="1"/>
    <col min="1153" max="1153" width="43.88671875" bestFit="1" customWidth="1"/>
    <col min="1154" max="1154" width="46.109375" bestFit="1" customWidth="1"/>
    <col min="1155" max="1155" width="48.88671875" bestFit="1" customWidth="1"/>
    <col min="1156" max="1156" width="37" bestFit="1" customWidth="1"/>
    <col min="1157" max="1157" width="39.77734375" bestFit="1" customWidth="1"/>
    <col min="1158" max="1158" width="28.77734375" bestFit="1" customWidth="1"/>
    <col min="1159" max="1159" width="31.5546875" bestFit="1" customWidth="1"/>
    <col min="1160" max="1160" width="16.6640625" bestFit="1" customWidth="1"/>
    <col min="1161" max="1161" width="10.33203125" bestFit="1" customWidth="1"/>
    <col min="1162" max="1162" width="9.5546875" bestFit="1" customWidth="1"/>
    <col min="1163" max="1163" width="11.21875" bestFit="1" customWidth="1"/>
    <col min="1164" max="1164" width="10.5546875" bestFit="1" customWidth="1"/>
    <col min="1165" max="1165" width="19.44140625" bestFit="1" customWidth="1"/>
    <col min="1166" max="1166" width="18.44140625" bestFit="1" customWidth="1"/>
    <col min="1167" max="1167" width="21.33203125" bestFit="1" customWidth="1"/>
    <col min="1168" max="1168" width="14.5546875" bestFit="1" customWidth="1"/>
    <col min="1169" max="1169" width="8.109375" bestFit="1" customWidth="1"/>
    <col min="1170" max="1170" width="10.33203125" bestFit="1" customWidth="1"/>
    <col min="1171" max="1171" width="9.5546875" bestFit="1" customWidth="1"/>
    <col min="1172" max="1172" width="11.21875" bestFit="1" customWidth="1"/>
    <col min="1173" max="1173" width="10.5546875" bestFit="1" customWidth="1"/>
    <col min="1174" max="1174" width="17.44140625" bestFit="1" customWidth="1"/>
    <col min="1175" max="1175" width="12.109375" bestFit="1" customWidth="1"/>
    <col min="1176" max="1176" width="10.33203125" bestFit="1" customWidth="1"/>
    <col min="1177" max="1177" width="9.5546875" bestFit="1" customWidth="1"/>
    <col min="1178" max="1178" width="11.21875" bestFit="1" customWidth="1"/>
    <col min="1179" max="1179" width="10.5546875" bestFit="1" customWidth="1"/>
    <col min="1180" max="1180" width="14.88671875" bestFit="1" customWidth="1"/>
    <col min="1181" max="1181" width="24.44140625" bestFit="1" customWidth="1"/>
    <col min="1182" max="1182" width="10.33203125" bestFit="1" customWidth="1"/>
    <col min="1183" max="1183" width="9.5546875" bestFit="1" customWidth="1"/>
    <col min="1184" max="1184" width="11.21875" bestFit="1" customWidth="1"/>
    <col min="1185" max="1185" width="10.5546875" bestFit="1" customWidth="1"/>
    <col min="1186" max="1186" width="27.21875" bestFit="1" customWidth="1"/>
    <col min="1187" max="1187" width="28.88671875" bestFit="1" customWidth="1"/>
    <col min="1188" max="1188" width="31.6640625" bestFit="1" customWidth="1"/>
    <col min="1189" max="1189" width="34.21875" bestFit="1" customWidth="1"/>
    <col min="1190" max="1190" width="37" bestFit="1" customWidth="1"/>
    <col min="1191" max="1191" width="38.88671875" bestFit="1" customWidth="1"/>
    <col min="1192" max="1192" width="41.6640625" bestFit="1" customWidth="1"/>
    <col min="1193" max="1193" width="9.44140625" bestFit="1" customWidth="1"/>
    <col min="1194" max="1194" width="9" bestFit="1" customWidth="1"/>
    <col min="1195" max="1195" width="10.33203125" bestFit="1" customWidth="1"/>
    <col min="1196" max="1196" width="9.5546875" bestFit="1" customWidth="1"/>
    <col min="1197" max="1197" width="11.21875" bestFit="1" customWidth="1"/>
    <col min="1198" max="1198" width="10.5546875" bestFit="1" customWidth="1"/>
    <col min="1199" max="1199" width="12.109375" bestFit="1" customWidth="1"/>
    <col min="1200" max="1200" width="18.109375" bestFit="1" customWidth="1"/>
    <col min="1201" max="1201" width="10.33203125" bestFit="1" customWidth="1"/>
    <col min="1202" max="1202" width="9.5546875" bestFit="1" customWidth="1"/>
    <col min="1203" max="1203" width="11.21875" bestFit="1" customWidth="1"/>
    <col min="1204" max="1204" width="10.5546875" bestFit="1" customWidth="1"/>
    <col min="1205" max="1205" width="20.88671875" bestFit="1" customWidth="1"/>
    <col min="1206" max="1206" width="28.5546875" bestFit="1" customWidth="1"/>
    <col min="1207" max="1207" width="31.33203125" bestFit="1" customWidth="1"/>
    <col min="1208" max="1208" width="36.6640625" bestFit="1" customWidth="1"/>
    <col min="1209" max="1209" width="39.44140625" bestFit="1" customWidth="1"/>
    <col min="1210" max="1210" width="31.88671875" bestFit="1" customWidth="1"/>
    <col min="1211" max="1211" width="34.6640625" bestFit="1" customWidth="1"/>
    <col min="1212" max="1212" width="26.33203125" bestFit="1" customWidth="1"/>
    <col min="1213" max="1213" width="29.109375" bestFit="1" customWidth="1"/>
    <col min="1214" max="1214" width="28" bestFit="1" customWidth="1"/>
    <col min="1215" max="1215" width="8.109375" bestFit="1" customWidth="1"/>
    <col min="1216" max="1216" width="10.33203125" bestFit="1" customWidth="1"/>
    <col min="1217" max="1217" width="9.5546875" bestFit="1" customWidth="1"/>
    <col min="1218" max="1218" width="11.21875" bestFit="1" customWidth="1"/>
    <col min="1219" max="1219" width="10.5546875" bestFit="1" customWidth="1"/>
    <col min="1220" max="1220" width="30.77734375" bestFit="1" customWidth="1"/>
    <col min="1221" max="1221" width="21" bestFit="1" customWidth="1"/>
    <col min="1222" max="1222" width="23.77734375" bestFit="1" customWidth="1"/>
    <col min="1223" max="1223" width="36.77734375" bestFit="1" customWidth="1"/>
    <col min="1224" max="1224" width="39.5546875" bestFit="1" customWidth="1"/>
    <col min="1225" max="1225" width="15.5546875" bestFit="1" customWidth="1"/>
    <col min="1226" max="1226" width="8.109375" bestFit="1" customWidth="1"/>
    <col min="1227" max="1227" width="10.33203125" bestFit="1" customWidth="1"/>
    <col min="1228" max="1228" width="9.5546875" bestFit="1" customWidth="1"/>
    <col min="1229" max="1229" width="11.21875" bestFit="1" customWidth="1"/>
    <col min="1230" max="1230" width="10.5546875" bestFit="1" customWidth="1"/>
    <col min="1231" max="1231" width="18.33203125" bestFit="1" customWidth="1"/>
    <col min="1232" max="1232" width="16.77734375" bestFit="1" customWidth="1"/>
    <col min="1233" max="1233" width="8.109375" bestFit="1" customWidth="1"/>
    <col min="1234" max="1234" width="10.33203125" bestFit="1" customWidth="1"/>
    <col min="1235" max="1235" width="9.5546875" bestFit="1" customWidth="1"/>
    <col min="1236" max="1236" width="11.21875" bestFit="1" customWidth="1"/>
    <col min="1237" max="1237" width="10.5546875" bestFit="1" customWidth="1"/>
    <col min="1238" max="1238" width="19.5546875" bestFit="1" customWidth="1"/>
    <col min="1239" max="1239" width="16.77734375" bestFit="1" customWidth="1"/>
    <col min="1240" max="1240" width="8.109375" bestFit="1" customWidth="1"/>
    <col min="1241" max="1241" width="10.33203125" bestFit="1" customWidth="1"/>
    <col min="1242" max="1242" width="9.5546875" bestFit="1" customWidth="1"/>
    <col min="1243" max="1243" width="11.21875" bestFit="1" customWidth="1"/>
    <col min="1244" max="1244" width="10.5546875" bestFit="1" customWidth="1"/>
    <col min="1245" max="1245" width="19.5546875" bestFit="1" customWidth="1"/>
    <col min="1246" max="1246" width="16.77734375" bestFit="1" customWidth="1"/>
    <col min="1247" max="1247" width="8.109375" bestFit="1" customWidth="1"/>
    <col min="1248" max="1248" width="10.33203125" bestFit="1" customWidth="1"/>
    <col min="1249" max="1249" width="9.5546875" bestFit="1" customWidth="1"/>
    <col min="1250" max="1250" width="11.21875" bestFit="1" customWidth="1"/>
    <col min="1251" max="1251" width="10.5546875" bestFit="1" customWidth="1"/>
    <col min="1252" max="1252" width="19.5546875" bestFit="1" customWidth="1"/>
    <col min="1253" max="1253" width="42" bestFit="1" customWidth="1"/>
    <col min="1254" max="1254" width="8.109375" bestFit="1" customWidth="1"/>
    <col min="1255" max="1255" width="10.33203125" bestFit="1" customWidth="1"/>
    <col min="1256" max="1256" width="9.5546875" bestFit="1" customWidth="1"/>
    <col min="1257" max="1257" width="11.21875" bestFit="1" customWidth="1"/>
    <col min="1258" max="1258" width="10.5546875" bestFit="1" customWidth="1"/>
    <col min="1259" max="1259" width="44.77734375" bestFit="1" customWidth="1"/>
    <col min="1260" max="1260" width="15.21875" bestFit="1" customWidth="1"/>
    <col min="1261" max="1261" width="8.109375" bestFit="1" customWidth="1"/>
    <col min="1262" max="1262" width="18" bestFit="1" customWidth="1"/>
    <col min="1263" max="1263" width="16.109375" bestFit="1" customWidth="1"/>
    <col min="1264" max="1264" width="18.88671875" bestFit="1" customWidth="1"/>
    <col min="1265" max="1265" width="111.77734375" bestFit="1" customWidth="1"/>
    <col min="1266" max="1266" width="114.5546875" bestFit="1" customWidth="1"/>
    <col min="1267" max="1267" width="111.77734375" bestFit="1" customWidth="1"/>
    <col min="1268" max="1268" width="114.5546875" bestFit="1" customWidth="1"/>
    <col min="1269" max="1269" width="111.77734375" bestFit="1" customWidth="1"/>
    <col min="1270" max="1270" width="114.5546875" bestFit="1" customWidth="1"/>
    <col min="1271" max="1271" width="113.77734375" bestFit="1" customWidth="1"/>
    <col min="1272" max="1272" width="116.5546875" bestFit="1" customWidth="1"/>
    <col min="1273" max="1273" width="34" bestFit="1" customWidth="1"/>
    <col min="1274" max="1274" width="36.77734375" bestFit="1" customWidth="1"/>
    <col min="1275" max="1275" width="42.6640625" bestFit="1" customWidth="1"/>
    <col min="1276" max="1276" width="8.109375" bestFit="1" customWidth="1"/>
    <col min="1277" max="1277" width="10.33203125" bestFit="1" customWidth="1"/>
    <col min="1278" max="1278" width="9.5546875" bestFit="1" customWidth="1"/>
    <col min="1279" max="1279" width="11.21875" bestFit="1" customWidth="1"/>
    <col min="1280" max="1280" width="10.5546875" bestFit="1" customWidth="1"/>
    <col min="1281" max="1281" width="45.44140625" bestFit="1" customWidth="1"/>
    <col min="1282" max="1282" width="95" bestFit="1" customWidth="1"/>
    <col min="1283" max="1283" width="97.77734375" bestFit="1" customWidth="1"/>
    <col min="1284" max="1284" width="120.44140625" bestFit="1" customWidth="1"/>
    <col min="1285" max="1285" width="123.21875" bestFit="1" customWidth="1"/>
    <col min="1286" max="1286" width="120.44140625" bestFit="1" customWidth="1"/>
    <col min="1287" max="1287" width="123.21875" bestFit="1" customWidth="1"/>
    <col min="1288" max="1288" width="120.44140625" bestFit="1" customWidth="1"/>
    <col min="1289" max="1289" width="123.21875" bestFit="1" customWidth="1"/>
    <col min="1290" max="1290" width="120.44140625" bestFit="1" customWidth="1"/>
    <col min="1291" max="1291" width="123.21875" bestFit="1" customWidth="1"/>
    <col min="1292" max="1292" width="14.109375" bestFit="1" customWidth="1"/>
    <col min="1293" max="1293" width="8.109375" bestFit="1" customWidth="1"/>
    <col min="1294" max="1294" width="10.33203125" bestFit="1" customWidth="1"/>
    <col min="1295" max="1295" width="9.5546875" bestFit="1" customWidth="1"/>
    <col min="1296" max="1296" width="11.21875" bestFit="1" customWidth="1"/>
    <col min="1297" max="1297" width="10.5546875" bestFit="1" customWidth="1"/>
    <col min="1298" max="1298" width="16.88671875" bestFit="1" customWidth="1"/>
    <col min="1299" max="1299" width="21.88671875" bestFit="1" customWidth="1"/>
    <col min="1300" max="1300" width="8.109375" bestFit="1" customWidth="1"/>
    <col min="1301" max="1301" width="10.33203125" bestFit="1" customWidth="1"/>
    <col min="1302" max="1302" width="9.5546875" bestFit="1" customWidth="1"/>
    <col min="1303" max="1303" width="11.21875" bestFit="1" customWidth="1"/>
    <col min="1304" max="1304" width="10.5546875" bestFit="1" customWidth="1"/>
    <col min="1305" max="1305" width="24.6640625" bestFit="1" customWidth="1"/>
    <col min="1306" max="1306" width="54.44140625" bestFit="1" customWidth="1"/>
    <col min="1307" max="1307" width="8.6640625" bestFit="1" customWidth="1"/>
    <col min="1308" max="1308" width="10.33203125" bestFit="1" customWidth="1"/>
    <col min="1309" max="1309" width="9.5546875" bestFit="1" customWidth="1"/>
    <col min="1310" max="1310" width="11.21875" bestFit="1" customWidth="1"/>
    <col min="1311" max="1311" width="10.5546875" bestFit="1" customWidth="1"/>
    <col min="1312" max="1312" width="57.21875" bestFit="1" customWidth="1"/>
    <col min="1313" max="1313" width="56.21875" bestFit="1" customWidth="1"/>
    <col min="1314" max="1314" width="59" bestFit="1" customWidth="1"/>
    <col min="1315" max="1315" width="54" bestFit="1" customWidth="1"/>
    <col min="1316" max="1316" width="8.109375" bestFit="1" customWidth="1"/>
    <col min="1317" max="1317" width="10.33203125" bestFit="1" customWidth="1"/>
    <col min="1318" max="1318" width="9.5546875" bestFit="1" customWidth="1"/>
    <col min="1319" max="1319" width="11.21875" bestFit="1" customWidth="1"/>
    <col min="1320" max="1320" width="56.77734375" bestFit="1" customWidth="1"/>
    <col min="1321" max="1321" width="28.33203125" bestFit="1" customWidth="1"/>
    <col min="1322" max="1322" width="8.109375" bestFit="1" customWidth="1"/>
    <col min="1323" max="1323" width="10.33203125" bestFit="1" customWidth="1"/>
    <col min="1324" max="1324" width="9.5546875" bestFit="1" customWidth="1"/>
    <col min="1325" max="1325" width="11.21875" bestFit="1" customWidth="1"/>
    <col min="1326" max="1326" width="10.5546875" bestFit="1" customWidth="1"/>
    <col min="1327" max="1327" width="31.109375" bestFit="1" customWidth="1"/>
    <col min="1328" max="1328" width="35.109375" bestFit="1" customWidth="1"/>
    <col min="1329" max="1329" width="8.109375" bestFit="1" customWidth="1"/>
    <col min="1330" max="1330" width="10.33203125" bestFit="1" customWidth="1"/>
    <col min="1331" max="1331" width="9.5546875" bestFit="1" customWidth="1"/>
    <col min="1332" max="1332" width="11.21875" bestFit="1" customWidth="1"/>
    <col min="1333" max="1333" width="10.5546875" bestFit="1" customWidth="1"/>
    <col min="1334" max="1334" width="38" bestFit="1" customWidth="1"/>
    <col min="1335" max="1335" width="54.109375" bestFit="1" customWidth="1"/>
    <col min="1336" max="1336" width="56.88671875" bestFit="1" customWidth="1"/>
    <col min="1337" max="1337" width="52.33203125" bestFit="1" customWidth="1"/>
    <col min="1338" max="1338" width="55.109375" bestFit="1" customWidth="1"/>
    <col min="1339" max="1339" width="38.6640625" bestFit="1" customWidth="1"/>
    <col min="1340" max="1340" width="9.5546875" bestFit="1" customWidth="1"/>
    <col min="1341" max="1341" width="11.21875" bestFit="1" customWidth="1"/>
    <col min="1342" max="1342" width="10.5546875" bestFit="1" customWidth="1"/>
    <col min="1343" max="1343" width="41.44140625" bestFit="1" customWidth="1"/>
    <col min="1344" max="1344" width="39.109375" bestFit="1" customWidth="1"/>
    <col min="1345" max="1345" width="8.109375" bestFit="1" customWidth="1"/>
    <col min="1346" max="1346" width="10.33203125" bestFit="1" customWidth="1"/>
    <col min="1347" max="1347" width="9.5546875" bestFit="1" customWidth="1"/>
    <col min="1348" max="1348" width="11.21875" bestFit="1" customWidth="1"/>
    <col min="1349" max="1349" width="10.5546875" bestFit="1" customWidth="1"/>
    <col min="1350" max="1350" width="42" bestFit="1" customWidth="1"/>
    <col min="1351" max="1351" width="67.5546875" bestFit="1" customWidth="1"/>
    <col min="1352" max="1352" width="70.33203125" bestFit="1" customWidth="1"/>
    <col min="1353" max="1353" width="15.21875" bestFit="1" customWidth="1"/>
    <col min="1354" max="1354" width="10.33203125" bestFit="1" customWidth="1"/>
    <col min="1355" max="1355" width="9.5546875" bestFit="1" customWidth="1"/>
    <col min="1356" max="1356" width="11.21875" bestFit="1" customWidth="1"/>
    <col min="1357" max="1357" width="18" bestFit="1" customWidth="1"/>
    <col min="1358" max="1358" width="34.33203125" bestFit="1" customWidth="1"/>
    <col min="1359" max="1359" width="37.109375" bestFit="1" customWidth="1"/>
    <col min="1360" max="1360" width="57.33203125" bestFit="1" customWidth="1"/>
    <col min="1361" max="1361" width="60.109375" bestFit="1" customWidth="1"/>
    <col min="1362" max="1362" width="37.21875" bestFit="1" customWidth="1"/>
    <col min="1363" max="1363" width="9.5546875" bestFit="1" customWidth="1"/>
    <col min="1364" max="1364" width="11.21875" bestFit="1" customWidth="1"/>
    <col min="1365" max="1365" width="10.5546875" bestFit="1" customWidth="1"/>
    <col min="1366" max="1366" width="40" bestFit="1" customWidth="1"/>
    <col min="1367" max="1367" width="51" bestFit="1" customWidth="1"/>
    <col min="1368" max="1368" width="53.77734375" bestFit="1" customWidth="1"/>
    <col min="1369" max="1369" width="51.21875" bestFit="1" customWidth="1"/>
    <col min="1370" max="1370" width="54" bestFit="1" customWidth="1"/>
    <col min="1371" max="1371" width="32" bestFit="1" customWidth="1"/>
    <col min="1372" max="1372" width="8.109375" bestFit="1" customWidth="1"/>
    <col min="1373" max="1373" width="10.33203125" bestFit="1" customWidth="1"/>
    <col min="1374" max="1374" width="34.77734375" bestFit="1" customWidth="1"/>
    <col min="1375" max="1375" width="51.5546875" bestFit="1" customWidth="1"/>
    <col min="1376" max="1376" width="54.44140625" bestFit="1" customWidth="1"/>
    <col min="1377" max="1377" width="45.33203125" bestFit="1" customWidth="1"/>
    <col min="1378" max="1378" width="9.6640625" bestFit="1" customWidth="1"/>
    <col min="1379" max="1379" width="48.109375" bestFit="1" customWidth="1"/>
    <col min="1380" max="1380" width="63.21875" bestFit="1" customWidth="1"/>
    <col min="1381" max="1381" width="66" bestFit="1" customWidth="1"/>
    <col min="1382" max="1382" width="64.109375" bestFit="1" customWidth="1"/>
    <col min="1383" max="1383" width="67" bestFit="1" customWidth="1"/>
    <col min="1384" max="1384" width="68.5546875" bestFit="1" customWidth="1"/>
    <col min="1385" max="1385" width="71.33203125" bestFit="1" customWidth="1"/>
    <col min="1386" max="1386" width="65.33203125" bestFit="1" customWidth="1"/>
    <col min="1387" max="1387" width="68.109375" bestFit="1" customWidth="1"/>
    <col min="1388" max="1388" width="49.77734375" bestFit="1" customWidth="1"/>
    <col min="1389" max="1389" width="52.5546875" bestFit="1" customWidth="1"/>
    <col min="1390" max="1390" width="113.77734375" bestFit="1" customWidth="1"/>
    <col min="1391" max="1391" width="116.5546875" bestFit="1" customWidth="1"/>
    <col min="1392" max="1392" width="113.77734375" bestFit="1" customWidth="1"/>
    <col min="1393" max="1393" width="116.5546875" bestFit="1" customWidth="1"/>
    <col min="1394" max="1394" width="113.77734375" bestFit="1" customWidth="1"/>
    <col min="1395" max="1395" width="116.5546875" bestFit="1" customWidth="1"/>
    <col min="1396" max="1396" width="31.33203125" bestFit="1" customWidth="1"/>
    <col min="1397" max="1397" width="34.21875" bestFit="1" customWidth="1"/>
    <col min="1398" max="1398" width="26" bestFit="1" customWidth="1"/>
    <col min="1399" max="1399" width="8.109375" bestFit="1" customWidth="1"/>
    <col min="1400" max="1400" width="10.33203125" bestFit="1" customWidth="1"/>
    <col min="1401" max="1401" width="9.5546875" bestFit="1" customWidth="1"/>
    <col min="1402" max="1402" width="11.21875" bestFit="1" customWidth="1"/>
    <col min="1403" max="1403" width="10.5546875" bestFit="1" customWidth="1"/>
    <col min="1404" max="1404" width="28.77734375" bestFit="1" customWidth="1"/>
    <col min="1405" max="1405" width="26" bestFit="1" customWidth="1"/>
    <col min="1406" max="1406" width="28.77734375" bestFit="1" customWidth="1"/>
    <col min="1407" max="1407" width="26.33203125" bestFit="1" customWidth="1"/>
    <col min="1408" max="1408" width="8.109375" bestFit="1" customWidth="1"/>
    <col min="1409" max="1409" width="10.33203125" bestFit="1" customWidth="1"/>
    <col min="1410" max="1410" width="9.5546875" bestFit="1" customWidth="1"/>
    <col min="1411" max="1411" width="11.21875" bestFit="1" customWidth="1"/>
    <col min="1412" max="1412" width="10.5546875" bestFit="1" customWidth="1"/>
    <col min="1413" max="1413" width="29.109375" bestFit="1" customWidth="1"/>
    <col min="1414" max="1414" width="45.88671875" bestFit="1" customWidth="1"/>
    <col min="1415" max="1415" width="10.33203125" bestFit="1" customWidth="1"/>
    <col min="1416" max="1416" width="9.5546875" bestFit="1" customWidth="1"/>
    <col min="1417" max="1417" width="10.5546875" bestFit="1" customWidth="1"/>
    <col min="1418" max="1418" width="48.6640625" bestFit="1" customWidth="1"/>
    <col min="1419" max="1419" width="24.77734375" bestFit="1" customWidth="1"/>
    <col min="1420" max="1420" width="9" bestFit="1" customWidth="1"/>
    <col min="1421" max="1421" width="10.33203125" bestFit="1" customWidth="1"/>
    <col min="1422" max="1422" width="9.5546875" bestFit="1" customWidth="1"/>
    <col min="1423" max="1423" width="11.21875" bestFit="1" customWidth="1"/>
    <col min="1424" max="1424" width="10.5546875" bestFit="1" customWidth="1"/>
    <col min="1425" max="1425" width="27.5546875" bestFit="1" customWidth="1"/>
    <col min="1426" max="1426" width="26.6640625" bestFit="1" customWidth="1"/>
    <col min="1427" max="1427" width="9.5546875" bestFit="1" customWidth="1"/>
    <col min="1428" max="1428" width="29.5546875" bestFit="1" customWidth="1"/>
    <col min="1429" max="1429" width="27" bestFit="1" customWidth="1"/>
    <col min="1430" max="1430" width="29.88671875" bestFit="1" customWidth="1"/>
    <col min="1431" max="1431" width="31.5546875" bestFit="1" customWidth="1"/>
    <col min="1432" max="1432" width="9.5546875" bestFit="1" customWidth="1"/>
    <col min="1433" max="1433" width="11.21875" bestFit="1" customWidth="1"/>
    <col min="1434" max="1434" width="34.33203125" bestFit="1" customWidth="1"/>
    <col min="1435" max="1435" width="104.88671875" bestFit="1" customWidth="1"/>
    <col min="1436" max="1436" width="107.77734375" bestFit="1" customWidth="1"/>
    <col min="1437" max="1437" width="104.88671875" bestFit="1" customWidth="1"/>
    <col min="1438" max="1438" width="107.77734375" bestFit="1" customWidth="1"/>
    <col min="1439" max="1439" width="44.77734375" bestFit="1" customWidth="1"/>
    <col min="1440" max="1440" width="8.109375" bestFit="1" customWidth="1"/>
    <col min="1441" max="1441" width="10.33203125" bestFit="1" customWidth="1"/>
    <col min="1442" max="1442" width="9.5546875" bestFit="1" customWidth="1"/>
    <col min="1443" max="1443" width="11.21875" bestFit="1" customWidth="1"/>
    <col min="1444" max="1444" width="10.5546875" bestFit="1" customWidth="1"/>
    <col min="1445" max="1445" width="47.5546875" bestFit="1" customWidth="1"/>
    <col min="1446" max="1446" width="57.77734375" bestFit="1" customWidth="1"/>
    <col min="1447" max="1447" width="60.5546875" bestFit="1" customWidth="1"/>
    <col min="1448" max="1448" width="29.6640625" bestFit="1" customWidth="1"/>
    <col min="1449" max="1449" width="10.33203125" bestFit="1" customWidth="1"/>
    <col min="1450" max="1450" width="9.5546875" bestFit="1" customWidth="1"/>
    <col min="1451" max="1451" width="11.21875" bestFit="1" customWidth="1"/>
    <col min="1452" max="1452" width="10.5546875" bestFit="1" customWidth="1"/>
    <col min="1453" max="1453" width="32.44140625" bestFit="1" customWidth="1"/>
    <col min="1454" max="1454" width="37.33203125" bestFit="1" customWidth="1"/>
    <col min="1455" max="1455" width="40.109375" bestFit="1" customWidth="1"/>
    <col min="1456" max="1456" width="42.109375" bestFit="1" customWidth="1"/>
    <col min="1457" max="1457" width="44.88671875" bestFit="1" customWidth="1"/>
    <col min="1458" max="1458" width="44.33203125" bestFit="1" customWidth="1"/>
    <col min="1459" max="1459" width="10.33203125" bestFit="1" customWidth="1"/>
    <col min="1460" max="1460" width="9.5546875" bestFit="1" customWidth="1"/>
    <col min="1461" max="1461" width="11.21875" bestFit="1" customWidth="1"/>
    <col min="1462" max="1462" width="10.5546875" bestFit="1" customWidth="1"/>
    <col min="1463" max="1463" width="47.109375" bestFit="1" customWidth="1"/>
    <col min="1464" max="1464" width="32.33203125" bestFit="1" customWidth="1"/>
    <col min="1465" max="1465" width="35.109375" bestFit="1" customWidth="1"/>
    <col min="1466" max="1466" width="42.33203125" bestFit="1" customWidth="1"/>
    <col min="1467" max="1467" width="45.109375" bestFit="1" customWidth="1"/>
    <col min="1468" max="1468" width="42.44140625" bestFit="1" customWidth="1"/>
    <col min="1469" max="1469" width="11.21875" bestFit="1" customWidth="1"/>
    <col min="1470" max="1470" width="10.5546875" bestFit="1" customWidth="1"/>
    <col min="1471" max="1471" width="45.21875" bestFit="1" customWidth="1"/>
    <col min="1472" max="1472" width="19.6640625" bestFit="1" customWidth="1"/>
    <col min="1473" max="1473" width="10.33203125" bestFit="1" customWidth="1"/>
    <col min="1474" max="1474" width="9.5546875" bestFit="1" customWidth="1"/>
    <col min="1475" max="1475" width="11.21875" bestFit="1" customWidth="1"/>
    <col min="1476" max="1476" width="10.5546875" bestFit="1" customWidth="1"/>
    <col min="1477" max="1477" width="22.44140625" bestFit="1" customWidth="1"/>
    <col min="1478" max="1478" width="24.109375" bestFit="1" customWidth="1"/>
    <col min="1479" max="1479" width="8.109375" bestFit="1" customWidth="1"/>
    <col min="1480" max="1480" width="10.33203125" bestFit="1" customWidth="1"/>
    <col min="1481" max="1481" width="9.5546875" bestFit="1" customWidth="1"/>
    <col min="1482" max="1482" width="11.21875" bestFit="1" customWidth="1"/>
    <col min="1483" max="1483" width="10.5546875" bestFit="1" customWidth="1"/>
    <col min="1484" max="1484" width="26.88671875" bestFit="1" customWidth="1"/>
    <col min="1485" max="1485" width="35.109375" bestFit="1" customWidth="1"/>
    <col min="1486" max="1486" width="8.109375" bestFit="1" customWidth="1"/>
    <col min="1487" max="1487" width="10.33203125" bestFit="1" customWidth="1"/>
    <col min="1488" max="1488" width="9.5546875" bestFit="1" customWidth="1"/>
    <col min="1489" max="1489" width="11.21875" bestFit="1" customWidth="1"/>
    <col min="1490" max="1490" width="10.5546875" bestFit="1" customWidth="1"/>
    <col min="1491" max="1491" width="38" bestFit="1" customWidth="1"/>
    <col min="1492" max="1492" width="24" bestFit="1" customWidth="1"/>
    <col min="1493" max="1493" width="26.77734375" bestFit="1" customWidth="1"/>
    <col min="1494" max="1494" width="41.44140625" bestFit="1" customWidth="1"/>
    <col min="1495" max="1495" width="44.21875" bestFit="1" customWidth="1"/>
    <col min="1496" max="1496" width="32.44140625" bestFit="1" customWidth="1"/>
    <col min="1497" max="1497" width="9.5546875" bestFit="1" customWidth="1"/>
    <col min="1498" max="1498" width="11.21875" bestFit="1" customWidth="1"/>
    <col min="1499" max="1499" width="35.21875" bestFit="1" customWidth="1"/>
    <col min="1500" max="1500" width="95.5546875" bestFit="1" customWidth="1"/>
    <col min="1501" max="1501" width="98.33203125" bestFit="1" customWidth="1"/>
    <col min="1502" max="1502" width="95.5546875" bestFit="1" customWidth="1"/>
    <col min="1503" max="1503" width="98.33203125" bestFit="1" customWidth="1"/>
    <col min="1504" max="1504" width="21.33203125" bestFit="1" customWidth="1"/>
    <col min="1505" max="1505" width="24.109375" bestFit="1" customWidth="1"/>
    <col min="1506" max="1506" width="50.5546875" bestFit="1" customWidth="1"/>
    <col min="1507" max="1507" width="53.33203125" bestFit="1" customWidth="1"/>
    <col min="1508" max="1508" width="38.5546875" bestFit="1" customWidth="1"/>
    <col min="1509" max="1509" width="10.33203125" bestFit="1" customWidth="1"/>
    <col min="1510" max="1510" width="10" bestFit="1" customWidth="1"/>
    <col min="1511" max="1511" width="10.5546875" bestFit="1" customWidth="1"/>
    <col min="1512" max="1512" width="41.33203125" bestFit="1" customWidth="1"/>
    <col min="1513" max="1513" width="28.109375" bestFit="1" customWidth="1"/>
    <col min="1514" max="1514" width="30.88671875" bestFit="1" customWidth="1"/>
    <col min="1515" max="1515" width="42" bestFit="1" customWidth="1"/>
    <col min="1516" max="1516" width="44.77734375" bestFit="1" customWidth="1"/>
    <col min="1517" max="1517" width="20.44140625" bestFit="1" customWidth="1"/>
    <col min="1518" max="1518" width="8.109375" bestFit="1" customWidth="1"/>
    <col min="1519" max="1519" width="10.33203125" bestFit="1" customWidth="1"/>
    <col min="1520" max="1520" width="9.5546875" bestFit="1" customWidth="1"/>
    <col min="1521" max="1521" width="11.21875" bestFit="1" customWidth="1"/>
    <col min="1522" max="1522" width="10.5546875" bestFit="1" customWidth="1"/>
    <col min="1523" max="1523" width="23.21875" bestFit="1" customWidth="1"/>
    <col min="1524" max="1524" width="27.5546875" bestFit="1" customWidth="1"/>
    <col min="1525" max="1525" width="30.33203125" bestFit="1" customWidth="1"/>
    <col min="1526" max="1526" width="18.109375" bestFit="1" customWidth="1"/>
    <col min="1527" max="1527" width="20.88671875" bestFit="1" customWidth="1"/>
    <col min="1528" max="1528" width="58" bestFit="1" customWidth="1"/>
    <col min="1529" max="1529" width="60.77734375" bestFit="1" customWidth="1"/>
    <col min="1530" max="1530" width="47.109375" bestFit="1" customWidth="1"/>
    <col min="1531" max="1531" width="49.88671875" bestFit="1" customWidth="1"/>
    <col min="1532" max="1532" width="90.109375" bestFit="1" customWidth="1"/>
    <col min="1533" max="1533" width="92.88671875" bestFit="1" customWidth="1"/>
    <col min="1534" max="1534" width="94" bestFit="1" customWidth="1"/>
    <col min="1535" max="1535" width="96.77734375" bestFit="1" customWidth="1"/>
    <col min="1536" max="1536" width="41" bestFit="1" customWidth="1"/>
    <col min="1537" max="1537" width="43.77734375" bestFit="1" customWidth="1"/>
    <col min="1538" max="1538" width="23.5546875" bestFit="1" customWidth="1"/>
    <col min="1539" max="1539" width="26.33203125" bestFit="1" customWidth="1"/>
    <col min="1540" max="1540" width="51.88671875" bestFit="1" customWidth="1"/>
    <col min="1541" max="1541" width="54.77734375" bestFit="1" customWidth="1"/>
    <col min="1542" max="1542" width="110.88671875" bestFit="1" customWidth="1"/>
    <col min="1543" max="1543" width="113.6640625" bestFit="1" customWidth="1"/>
    <col min="1544" max="1544" width="110.88671875" bestFit="1" customWidth="1"/>
    <col min="1545" max="1545" width="113.6640625" bestFit="1" customWidth="1"/>
    <col min="1546" max="1546" width="110.88671875" bestFit="1" customWidth="1"/>
    <col min="1547" max="1547" width="113.6640625" bestFit="1" customWidth="1"/>
    <col min="1548" max="1548" width="110.88671875" bestFit="1" customWidth="1"/>
    <col min="1549" max="1549" width="113.6640625" bestFit="1" customWidth="1"/>
    <col min="1550" max="1550" width="109.77734375" bestFit="1" customWidth="1"/>
    <col min="1551" max="1551" width="112.5546875" bestFit="1" customWidth="1"/>
    <col min="1552" max="1552" width="10.33203125" bestFit="1" customWidth="1"/>
    <col min="1553" max="1553" width="11.33203125" bestFit="1" customWidth="1"/>
    <col min="1554" max="1554" width="12.6640625" bestFit="1" customWidth="1"/>
  </cols>
  <sheetData>
    <row r="1" spans="1:8" x14ac:dyDescent="0.3">
      <c r="A1" s="41" t="s">
        <v>4</v>
      </c>
      <c r="B1" s="42" t="s">
        <v>164</v>
      </c>
    </row>
    <row r="3" spans="1:8" x14ac:dyDescent="0.3">
      <c r="A3" s="41" t="s">
        <v>226</v>
      </c>
      <c r="B3" s="450" t="s">
        <v>228</v>
      </c>
      <c r="C3" s="44"/>
      <c r="D3" s="44"/>
      <c r="E3" s="44"/>
      <c r="F3" s="44"/>
      <c r="G3" s="44"/>
      <c r="H3" s="44"/>
    </row>
    <row r="4" spans="1:8" x14ac:dyDescent="0.3">
      <c r="A4" s="41" t="s">
        <v>225</v>
      </c>
      <c r="B4" s="44" t="s">
        <v>211</v>
      </c>
      <c r="C4" s="44" t="s">
        <v>212</v>
      </c>
      <c r="D4" s="44" t="s">
        <v>213</v>
      </c>
      <c r="E4" s="44" t="s">
        <v>216</v>
      </c>
      <c r="F4" s="44" t="s">
        <v>217</v>
      </c>
      <c r="G4" s="44" t="s">
        <v>221</v>
      </c>
      <c r="H4" s="44" t="s">
        <v>227</v>
      </c>
    </row>
    <row r="5" spans="1:8" s="459" customFormat="1" x14ac:dyDescent="0.3">
      <c r="A5" s="457" t="s">
        <v>183</v>
      </c>
      <c r="B5" s="458"/>
      <c r="C5" s="458">
        <v>345280</v>
      </c>
      <c r="D5" s="458">
        <v>345280</v>
      </c>
      <c r="E5" s="458">
        <v>345280</v>
      </c>
      <c r="F5" s="458">
        <v>345280</v>
      </c>
      <c r="G5" s="458">
        <v>345280</v>
      </c>
      <c r="H5" s="458">
        <v>1726400</v>
      </c>
    </row>
    <row r="6" spans="1:8" s="459" customFormat="1" x14ac:dyDescent="0.3">
      <c r="A6" s="457" t="s">
        <v>422</v>
      </c>
      <c r="B6" s="458">
        <v>352449.65</v>
      </c>
      <c r="C6" s="458"/>
      <c r="D6" s="458"/>
      <c r="E6" s="458"/>
      <c r="F6" s="458"/>
      <c r="G6" s="458"/>
      <c r="H6" s="458">
        <v>352449.65</v>
      </c>
    </row>
    <row r="7" spans="1:8" x14ac:dyDescent="0.3">
      <c r="A7" s="448" t="s">
        <v>185</v>
      </c>
      <c r="B7" s="44">
        <v>17956.39</v>
      </c>
      <c r="C7" s="44">
        <v>17956.39</v>
      </c>
      <c r="D7" s="44">
        <v>17956.39</v>
      </c>
      <c r="E7" s="44">
        <v>17956.39</v>
      </c>
      <c r="F7" s="44">
        <v>17956.39</v>
      </c>
      <c r="G7" s="44">
        <v>17956.39</v>
      </c>
      <c r="H7" s="44">
        <v>107738.34</v>
      </c>
    </row>
    <row r="8" spans="1:8" x14ac:dyDescent="0.3">
      <c r="A8" s="448" t="s">
        <v>188</v>
      </c>
      <c r="B8" s="44"/>
      <c r="C8" s="44">
        <v>816717.89</v>
      </c>
      <c r="D8" s="44">
        <v>816717.89</v>
      </c>
      <c r="E8" s="44">
        <v>816717.89</v>
      </c>
      <c r="F8" s="44">
        <v>816717.89</v>
      </c>
      <c r="G8" s="44">
        <v>816717.89</v>
      </c>
      <c r="H8" s="44">
        <v>4083589.45</v>
      </c>
    </row>
    <row r="9" spans="1:8" ht="15" customHeight="1" x14ac:dyDescent="0.3">
      <c r="A9" s="448" t="s">
        <v>175</v>
      </c>
      <c r="B9" s="44">
        <v>4880.1400000000003</v>
      </c>
      <c r="C9" s="44">
        <v>4880.1400000000003</v>
      </c>
      <c r="D9" s="44">
        <v>4880.1400000000003</v>
      </c>
      <c r="E9" s="44">
        <v>4880.1400000000003</v>
      </c>
      <c r="F9" s="44">
        <v>4880.1400000000003</v>
      </c>
      <c r="G9" s="44">
        <v>4880.1400000000003</v>
      </c>
      <c r="H9" s="44">
        <v>29280.84</v>
      </c>
    </row>
    <row r="10" spans="1:8" x14ac:dyDescent="0.3">
      <c r="A10" s="448" t="s">
        <v>178</v>
      </c>
      <c r="B10" s="44">
        <v>257.81</v>
      </c>
      <c r="C10" s="44">
        <v>257.81</v>
      </c>
      <c r="D10" s="44">
        <v>257.81</v>
      </c>
      <c r="E10" s="44">
        <v>257.81</v>
      </c>
      <c r="F10" s="44">
        <v>257.81</v>
      </c>
      <c r="G10" s="44">
        <v>257.81</v>
      </c>
      <c r="H10" s="44">
        <v>1546.86</v>
      </c>
    </row>
    <row r="11" spans="1:8" x14ac:dyDescent="0.3">
      <c r="A11" s="448" t="s">
        <v>167</v>
      </c>
      <c r="B11" s="44">
        <v>39864</v>
      </c>
      <c r="C11" s="44"/>
      <c r="D11" s="44">
        <v>19332</v>
      </c>
      <c r="E11" s="44">
        <v>38664</v>
      </c>
      <c r="F11" s="44"/>
      <c r="G11" s="44">
        <v>19332</v>
      </c>
      <c r="H11" s="44">
        <v>117192</v>
      </c>
    </row>
    <row r="12" spans="1:8" x14ac:dyDescent="0.3">
      <c r="A12" s="448" t="s">
        <v>179</v>
      </c>
      <c r="B12" s="44">
        <v>680.03</v>
      </c>
      <c r="C12" s="44">
        <v>680.03</v>
      </c>
      <c r="D12" s="44">
        <v>680.03</v>
      </c>
      <c r="E12" s="44">
        <v>680.03</v>
      </c>
      <c r="F12" s="44">
        <v>680.03</v>
      </c>
      <c r="G12" s="44">
        <v>680.03</v>
      </c>
      <c r="H12" s="44">
        <v>4080.1799999999994</v>
      </c>
    </row>
    <row r="13" spans="1:8" x14ac:dyDescent="0.3">
      <c r="A13" s="448" t="s">
        <v>182</v>
      </c>
      <c r="B13" s="44">
        <v>8346.9599999999991</v>
      </c>
      <c r="C13" s="44">
        <v>7850</v>
      </c>
      <c r="D13" s="44">
        <v>7850</v>
      </c>
      <c r="E13" s="44">
        <v>7850</v>
      </c>
      <c r="F13" s="44">
        <v>7850</v>
      </c>
      <c r="G13" s="44">
        <v>7850</v>
      </c>
      <c r="H13" s="44">
        <v>47596.959999999999</v>
      </c>
    </row>
    <row r="14" spans="1:8" ht="13.2" customHeight="1" x14ac:dyDescent="0.3">
      <c r="A14" s="448" t="s">
        <v>163</v>
      </c>
      <c r="B14" s="44">
        <v>50877.34</v>
      </c>
      <c r="C14" s="44"/>
      <c r="D14" s="44">
        <v>23638.67</v>
      </c>
      <c r="E14" s="44">
        <v>47277.34</v>
      </c>
      <c r="F14" s="44"/>
      <c r="G14" s="44">
        <v>23638.67</v>
      </c>
      <c r="H14" s="44">
        <v>145432.01999999999</v>
      </c>
    </row>
    <row r="15" spans="1:8" s="459" customFormat="1" x14ac:dyDescent="0.3">
      <c r="A15" s="457" t="s">
        <v>683</v>
      </c>
      <c r="B15" s="458">
        <v>908006.92</v>
      </c>
      <c r="C15" s="458"/>
      <c r="D15" s="458"/>
      <c r="E15" s="458"/>
      <c r="F15" s="458"/>
      <c r="G15" s="458"/>
      <c r="H15" s="458">
        <v>908006.92</v>
      </c>
    </row>
    <row r="16" spans="1:8" s="459" customFormat="1" x14ac:dyDescent="0.3">
      <c r="A16" s="457" t="s">
        <v>421</v>
      </c>
      <c r="B16" s="458">
        <v>297539.47000000003</v>
      </c>
      <c r="C16" s="458"/>
      <c r="D16" s="458"/>
      <c r="E16" s="458"/>
      <c r="F16" s="458"/>
      <c r="G16" s="458"/>
      <c r="H16" s="458">
        <v>297539.47000000003</v>
      </c>
    </row>
    <row r="17" spans="1:8" x14ac:dyDescent="0.3">
      <c r="A17" s="448" t="s">
        <v>186</v>
      </c>
      <c r="B17" s="44">
        <v>36795.81</v>
      </c>
      <c r="C17" s="44">
        <v>36795.81</v>
      </c>
      <c r="D17" s="44">
        <v>36795.81</v>
      </c>
      <c r="E17" s="44">
        <v>36795.81</v>
      </c>
      <c r="F17" s="44">
        <v>36795.81</v>
      </c>
      <c r="G17" s="44">
        <v>36795.81</v>
      </c>
      <c r="H17" s="44">
        <v>220774.86</v>
      </c>
    </row>
    <row r="18" spans="1:8" x14ac:dyDescent="0.3">
      <c r="A18" s="448" t="s">
        <v>804</v>
      </c>
      <c r="B18" s="44">
        <v>42961.04</v>
      </c>
      <c r="C18" s="44">
        <v>42921.04</v>
      </c>
      <c r="D18" s="44">
        <v>42921.04</v>
      </c>
      <c r="E18" s="44">
        <v>42921.04</v>
      </c>
      <c r="F18" s="44">
        <v>42921.04</v>
      </c>
      <c r="G18" s="44">
        <v>42921.04</v>
      </c>
      <c r="H18" s="44">
        <v>257566.24000000002</v>
      </c>
    </row>
    <row r="19" spans="1:8" x14ac:dyDescent="0.3">
      <c r="A19" s="448" t="s">
        <v>187</v>
      </c>
      <c r="B19" s="44">
        <v>41481.22</v>
      </c>
      <c r="C19" s="44">
        <v>41481.22</v>
      </c>
      <c r="D19" s="44">
        <v>41481.22</v>
      </c>
      <c r="E19" s="44">
        <v>41481.22</v>
      </c>
      <c r="F19" s="44">
        <v>41481.22</v>
      </c>
      <c r="G19" s="44">
        <v>41481.22</v>
      </c>
      <c r="H19" s="44">
        <v>248887.32</v>
      </c>
    </row>
    <row r="20" spans="1:8" x14ac:dyDescent="0.3">
      <c r="A20" s="448" t="s">
        <v>489</v>
      </c>
      <c r="B20" s="44">
        <v>15077.75</v>
      </c>
      <c r="C20" s="44">
        <v>15077.75</v>
      </c>
      <c r="D20" s="44">
        <v>15077.75</v>
      </c>
      <c r="E20" s="44">
        <v>15077.75</v>
      </c>
      <c r="F20" s="44">
        <v>15077.75</v>
      </c>
      <c r="G20" s="44">
        <v>15077.75</v>
      </c>
      <c r="H20" s="44">
        <v>90466.5</v>
      </c>
    </row>
    <row r="21" spans="1:8" x14ac:dyDescent="0.3">
      <c r="A21" s="448" t="s">
        <v>803</v>
      </c>
      <c r="B21" s="44"/>
      <c r="C21" s="44">
        <v>4935</v>
      </c>
      <c r="D21" s="44">
        <v>4935</v>
      </c>
      <c r="E21" s="44">
        <v>4935</v>
      </c>
      <c r="F21" s="44">
        <v>4935</v>
      </c>
      <c r="G21" s="44">
        <v>4935</v>
      </c>
      <c r="H21" s="44">
        <v>24675</v>
      </c>
    </row>
    <row r="22" spans="1:8" x14ac:dyDescent="0.3">
      <c r="A22" s="448" t="s">
        <v>181</v>
      </c>
      <c r="B22" s="44">
        <v>59891.68</v>
      </c>
      <c r="C22" s="44">
        <v>56835.229999999996</v>
      </c>
      <c r="D22" s="44">
        <v>56835.23</v>
      </c>
      <c r="E22" s="44">
        <v>56835.23</v>
      </c>
      <c r="F22" s="44">
        <v>56835.23</v>
      </c>
      <c r="G22" s="44">
        <v>56835.23</v>
      </c>
      <c r="H22" s="44">
        <v>344067.83</v>
      </c>
    </row>
    <row r="23" spans="1:8" x14ac:dyDescent="0.3">
      <c r="A23" s="448" t="s">
        <v>805</v>
      </c>
      <c r="B23" s="44"/>
      <c r="C23" s="44">
        <v>7440</v>
      </c>
      <c r="D23" s="44">
        <v>7440</v>
      </c>
      <c r="E23" s="44">
        <v>7440</v>
      </c>
      <c r="F23" s="44">
        <v>7440</v>
      </c>
      <c r="G23" s="44">
        <v>7440</v>
      </c>
      <c r="H23" s="44">
        <v>37200</v>
      </c>
    </row>
    <row r="24" spans="1:8" x14ac:dyDescent="0.3">
      <c r="A24" s="448" t="s">
        <v>515</v>
      </c>
      <c r="B24" s="44">
        <v>25730.33</v>
      </c>
      <c r="C24" s="44">
        <v>22930</v>
      </c>
      <c r="D24" s="44">
        <v>22930</v>
      </c>
      <c r="E24" s="44">
        <v>22930</v>
      </c>
      <c r="F24" s="44">
        <v>22930</v>
      </c>
      <c r="G24" s="44">
        <v>22930</v>
      </c>
      <c r="H24" s="44">
        <v>140380.33000000002</v>
      </c>
    </row>
    <row r="25" spans="1:8" x14ac:dyDescent="0.3">
      <c r="A25" s="448" t="s">
        <v>169</v>
      </c>
      <c r="B25" s="44">
        <v>44903.82</v>
      </c>
      <c r="C25" s="44"/>
      <c r="D25" s="44">
        <v>22451.91</v>
      </c>
      <c r="E25" s="44">
        <v>44903.82</v>
      </c>
      <c r="F25" s="44"/>
      <c r="G25" s="44">
        <v>22451.91</v>
      </c>
      <c r="H25" s="44">
        <v>134711.46</v>
      </c>
    </row>
    <row r="26" spans="1:8" x14ac:dyDescent="0.3">
      <c r="A26" s="448" t="s">
        <v>174</v>
      </c>
      <c r="B26" s="44">
        <v>40231.050000000003</v>
      </c>
      <c r="C26" s="44">
        <v>41789.379999999997</v>
      </c>
      <c r="D26" s="44">
        <v>41789.379999999997</v>
      </c>
      <c r="E26" s="44">
        <v>41789</v>
      </c>
      <c r="F26" s="44">
        <v>41789.379999999997</v>
      </c>
      <c r="G26" s="44">
        <v>41789</v>
      </c>
      <c r="H26" s="44">
        <v>249177.19</v>
      </c>
    </row>
    <row r="27" spans="1:8" x14ac:dyDescent="0.3">
      <c r="A27" s="448" t="s">
        <v>176</v>
      </c>
      <c r="B27" s="44">
        <v>11340.4</v>
      </c>
      <c r="C27" s="44">
        <v>11340.4</v>
      </c>
      <c r="D27" s="44">
        <v>11340.4</v>
      </c>
      <c r="E27" s="44">
        <v>11340.4</v>
      </c>
      <c r="F27" s="44">
        <v>11340.4</v>
      </c>
      <c r="G27" s="44">
        <v>11340.4</v>
      </c>
      <c r="H27" s="44">
        <v>68042.399999999994</v>
      </c>
    </row>
    <row r="28" spans="1:8" x14ac:dyDescent="0.3">
      <c r="A28" s="448" t="s">
        <v>375</v>
      </c>
      <c r="B28" s="44">
        <v>54271.799999999996</v>
      </c>
      <c r="C28" s="44"/>
      <c r="D28" s="44"/>
      <c r="E28" s="44"/>
      <c r="F28" s="44"/>
      <c r="G28" s="44"/>
      <c r="H28" s="44">
        <v>54271.799999999996</v>
      </c>
    </row>
    <row r="29" spans="1:8" x14ac:dyDescent="0.3">
      <c r="A29" s="448" t="s">
        <v>171</v>
      </c>
      <c r="B29" s="44">
        <v>78742.739999999991</v>
      </c>
      <c r="C29" s="44"/>
      <c r="D29" s="44">
        <v>65157.27</v>
      </c>
      <c r="E29" s="44">
        <v>130314.54000000001</v>
      </c>
      <c r="F29" s="44"/>
      <c r="G29" s="44">
        <v>65157.27</v>
      </c>
      <c r="H29" s="44">
        <v>339371.82</v>
      </c>
    </row>
    <row r="30" spans="1:8" x14ac:dyDescent="0.3">
      <c r="A30" s="448" t="s">
        <v>818</v>
      </c>
      <c r="B30" s="44">
        <v>2800.33</v>
      </c>
      <c r="C30" s="44"/>
      <c r="D30" s="44"/>
      <c r="E30" s="44"/>
      <c r="F30" s="44"/>
      <c r="G30" s="44"/>
      <c r="H30" s="44">
        <v>2800.33</v>
      </c>
    </row>
    <row r="31" spans="1:8" x14ac:dyDescent="0.3">
      <c r="A31" s="448" t="s">
        <v>817</v>
      </c>
      <c r="B31" s="44">
        <v>11639.67</v>
      </c>
      <c r="C31" s="44"/>
      <c r="D31" s="44"/>
      <c r="E31" s="44"/>
      <c r="F31" s="44"/>
      <c r="G31" s="44"/>
      <c r="H31" s="44">
        <v>11639.67</v>
      </c>
    </row>
    <row r="32" spans="1:8" x14ac:dyDescent="0.3">
      <c r="A32" s="448" t="s">
        <v>819</v>
      </c>
      <c r="B32" s="44">
        <v>1709.15</v>
      </c>
      <c r="C32" s="44"/>
      <c r="D32" s="44"/>
      <c r="E32" s="44"/>
      <c r="F32" s="44"/>
      <c r="G32" s="44"/>
      <c r="H32" s="44">
        <v>1709.15</v>
      </c>
    </row>
    <row r="33" spans="1:8" x14ac:dyDescent="0.3">
      <c r="A33" s="448" t="s">
        <v>227</v>
      </c>
      <c r="B33" s="44">
        <v>2148435.5000000005</v>
      </c>
      <c r="C33" s="44">
        <v>1475168.0899999999</v>
      </c>
      <c r="D33" s="44">
        <v>1605747.9399999997</v>
      </c>
      <c r="E33" s="44">
        <v>1736327.4100000001</v>
      </c>
      <c r="F33" s="44">
        <v>1475168.0899999999</v>
      </c>
      <c r="G33" s="44">
        <v>1605747.5599999998</v>
      </c>
      <c r="H33" s="44">
        <v>10046594.590000002</v>
      </c>
    </row>
    <row r="34" spans="1:8" x14ac:dyDescent="0.3">
      <c r="A34" s="447" t="s">
        <v>225</v>
      </c>
      <c r="B34" t="s">
        <v>226</v>
      </c>
      <c r="C34"/>
      <c r="D34"/>
      <c r="E34"/>
      <c r="F34"/>
      <c r="G34"/>
      <c r="H34"/>
    </row>
    <row r="35" spans="1:8" x14ac:dyDescent="0.3">
      <c r="A35" s="464" t="s">
        <v>189</v>
      </c>
      <c r="B35" s="9">
        <v>-701551.95</v>
      </c>
      <c r="C35"/>
      <c r="D35"/>
      <c r="E35"/>
      <c r="F35"/>
      <c r="G35"/>
      <c r="H35"/>
    </row>
    <row r="36" spans="1:8" x14ac:dyDescent="0.3">
      <c r="A36" s="464" t="s">
        <v>101</v>
      </c>
      <c r="B36" s="9">
        <v>-4280.8799999999974</v>
      </c>
      <c r="C36"/>
      <c r="D36"/>
      <c r="E36"/>
      <c r="F36"/>
      <c r="G36"/>
      <c r="H36"/>
    </row>
    <row r="37" spans="1:8" x14ac:dyDescent="0.3">
      <c r="A37" s="464" t="s">
        <v>53</v>
      </c>
      <c r="B37" s="9">
        <v>-36003.009999999995</v>
      </c>
      <c r="C37"/>
      <c r="D37"/>
      <c r="E37"/>
      <c r="F37"/>
      <c r="G37"/>
      <c r="H37"/>
    </row>
    <row r="38" spans="1:8" x14ac:dyDescent="0.3">
      <c r="A38" s="464" t="s">
        <v>74</v>
      </c>
      <c r="B38" s="9">
        <v>-179767.85000000003</v>
      </c>
      <c r="C38"/>
      <c r="D38"/>
      <c r="E38"/>
      <c r="F38"/>
      <c r="G38"/>
      <c r="H38"/>
    </row>
    <row r="39" spans="1:8" x14ac:dyDescent="0.3">
      <c r="A39" s="464" t="s">
        <v>156</v>
      </c>
      <c r="B39" s="9">
        <v>-326700.43000000005</v>
      </c>
      <c r="C39"/>
      <c r="D39"/>
      <c r="E39"/>
      <c r="F39"/>
      <c r="G39"/>
      <c r="H39"/>
    </row>
    <row r="40" spans="1:8" x14ac:dyDescent="0.3">
      <c r="A40" s="464" t="s">
        <v>79</v>
      </c>
      <c r="B40" s="9">
        <v>-209212</v>
      </c>
      <c r="C40"/>
      <c r="D40"/>
      <c r="E40"/>
      <c r="F40"/>
      <c r="G40"/>
      <c r="H40"/>
    </row>
    <row r="41" spans="1:8" x14ac:dyDescent="0.3">
      <c r="A41" s="464" t="s">
        <v>15</v>
      </c>
      <c r="B41" s="9">
        <v>-35000</v>
      </c>
      <c r="C41"/>
      <c r="D41"/>
      <c r="E41"/>
      <c r="F41"/>
      <c r="G41"/>
      <c r="H41"/>
    </row>
    <row r="42" spans="1:8" x14ac:dyDescent="0.3">
      <c r="A42" s="464" t="s">
        <v>93</v>
      </c>
      <c r="B42" s="9">
        <v>-106183.24</v>
      </c>
      <c r="C42"/>
      <c r="D42"/>
      <c r="E42"/>
      <c r="F42"/>
      <c r="G42"/>
      <c r="H42">
        <v>93.5</v>
      </c>
    </row>
    <row r="43" spans="1:8" x14ac:dyDescent="0.3">
      <c r="A43" s="464" t="s">
        <v>86</v>
      </c>
      <c r="B43" s="9">
        <v>-192366.43000000008</v>
      </c>
      <c r="C43"/>
      <c r="D43"/>
      <c r="E43"/>
      <c r="F43"/>
      <c r="G43"/>
      <c r="H43">
        <v>930.5</v>
      </c>
    </row>
    <row r="44" spans="1:8" x14ac:dyDescent="0.3">
      <c r="A44" s="464" t="s">
        <v>411</v>
      </c>
      <c r="B44" s="9">
        <v>-4721.7</v>
      </c>
      <c r="C44"/>
      <c r="D44"/>
      <c r="E44"/>
      <c r="F44"/>
      <c r="G44"/>
      <c r="H44">
        <v>930.5</v>
      </c>
    </row>
    <row r="45" spans="1:8" x14ac:dyDescent="0.3">
      <c r="A45" s="464" t="s">
        <v>64</v>
      </c>
      <c r="B45" s="9">
        <v>-128002.82</v>
      </c>
      <c r="C45"/>
      <c r="D45"/>
      <c r="E45"/>
      <c r="F45"/>
      <c r="G45"/>
      <c r="H45">
        <v>300</v>
      </c>
    </row>
    <row r="46" spans="1:8" x14ac:dyDescent="0.3">
      <c r="A46" s="464" t="s">
        <v>55</v>
      </c>
      <c r="B46" s="9">
        <v>-12804.87</v>
      </c>
      <c r="C46"/>
      <c r="D46"/>
      <c r="E46"/>
      <c r="F46"/>
      <c r="G46"/>
      <c r="H46"/>
    </row>
    <row r="47" spans="1:8" x14ac:dyDescent="0.3">
      <c r="A47" s="464" t="s">
        <v>37</v>
      </c>
      <c r="B47" s="9">
        <v>-30877.47</v>
      </c>
      <c r="C47"/>
      <c r="D47"/>
      <c r="E47"/>
      <c r="F47"/>
      <c r="G47"/>
      <c r="H47"/>
    </row>
    <row r="48" spans="1:8" x14ac:dyDescent="0.3">
      <c r="A48" s="464" t="s">
        <v>122</v>
      </c>
      <c r="B48" s="9">
        <v>-95721.300000000017</v>
      </c>
      <c r="C48"/>
      <c r="D48"/>
      <c r="E48"/>
      <c r="F48"/>
      <c r="G48"/>
      <c r="H48"/>
    </row>
    <row r="49" spans="1:8" x14ac:dyDescent="0.3">
      <c r="A49" s="464" t="s">
        <v>62</v>
      </c>
      <c r="B49" s="9">
        <v>-52270.95</v>
      </c>
      <c r="C49"/>
      <c r="D49"/>
      <c r="E49"/>
      <c r="F49"/>
      <c r="G49"/>
      <c r="H49"/>
    </row>
    <row r="50" spans="1:8" x14ac:dyDescent="0.3">
      <c r="A50" s="464" t="s">
        <v>231</v>
      </c>
      <c r="B50" s="9">
        <v>-479420.48</v>
      </c>
      <c r="C50"/>
      <c r="D50"/>
      <c r="E50"/>
      <c r="F50"/>
      <c r="G50"/>
      <c r="H50"/>
    </row>
    <row r="51" spans="1:8" x14ac:dyDescent="0.3">
      <c r="A51" s="464" t="s">
        <v>8</v>
      </c>
      <c r="B51" s="9">
        <v>-635</v>
      </c>
      <c r="C51"/>
      <c r="D51"/>
      <c r="E51"/>
      <c r="F51"/>
      <c r="G51"/>
      <c r="H51"/>
    </row>
    <row r="52" spans="1:8" x14ac:dyDescent="0.3">
      <c r="A52" s="464" t="s">
        <v>46</v>
      </c>
      <c r="B52" s="9">
        <v>-421210.04000000004</v>
      </c>
      <c r="C52"/>
      <c r="D52"/>
      <c r="E52"/>
      <c r="F52"/>
      <c r="G52"/>
      <c r="H52"/>
    </row>
    <row r="53" spans="1:8" x14ac:dyDescent="0.3">
      <c r="A53" s="464" t="s">
        <v>22</v>
      </c>
      <c r="B53" s="9">
        <v>-3951.73</v>
      </c>
      <c r="C53"/>
      <c r="D53"/>
      <c r="E53"/>
      <c r="F53"/>
      <c r="G53"/>
      <c r="H53"/>
    </row>
    <row r="54" spans="1:8" x14ac:dyDescent="0.3">
      <c r="A54" s="464" t="s">
        <v>9</v>
      </c>
      <c r="B54" s="9">
        <v>-6762.6200000000008</v>
      </c>
      <c r="C54"/>
      <c r="D54"/>
      <c r="E54"/>
      <c r="F54"/>
      <c r="G54"/>
      <c r="H54"/>
    </row>
    <row r="55" spans="1:8" x14ac:dyDescent="0.3">
      <c r="A55" s="464" t="s">
        <v>358</v>
      </c>
      <c r="B55" s="9">
        <v>-35.299999999999997</v>
      </c>
      <c r="C55"/>
      <c r="D55"/>
      <c r="E55"/>
      <c r="F55"/>
      <c r="G55"/>
      <c r="H55"/>
    </row>
    <row r="56" spans="1:8" x14ac:dyDescent="0.3">
      <c r="A56" s="464" t="s">
        <v>114</v>
      </c>
      <c r="B56" s="9">
        <v>-30690.510000000002</v>
      </c>
      <c r="C56"/>
      <c r="D56"/>
      <c r="E56"/>
      <c r="F56"/>
      <c r="G56"/>
      <c r="H56"/>
    </row>
    <row r="57" spans="1:8" x14ac:dyDescent="0.3">
      <c r="A57" s="464" t="s">
        <v>155</v>
      </c>
      <c r="B57" s="9">
        <v>-204431.24</v>
      </c>
      <c r="C57"/>
      <c r="D57"/>
      <c r="E57"/>
      <c r="F57"/>
      <c r="G57"/>
      <c r="H57"/>
    </row>
    <row r="58" spans="1:8" x14ac:dyDescent="0.3">
      <c r="A58" s="464" t="s">
        <v>24</v>
      </c>
      <c r="B58" s="9">
        <v>-22859.88</v>
      </c>
      <c r="C58"/>
      <c r="D58"/>
      <c r="E58"/>
      <c r="F58"/>
      <c r="G58"/>
      <c r="H58"/>
    </row>
    <row r="59" spans="1:8" ht="16.2" customHeight="1" x14ac:dyDescent="0.3">
      <c r="A59" s="464" t="s">
        <v>355</v>
      </c>
      <c r="B59" s="9">
        <v>-127.65</v>
      </c>
      <c r="C59"/>
      <c r="D59"/>
      <c r="E59"/>
      <c r="F59"/>
      <c r="G59"/>
      <c r="H59"/>
    </row>
    <row r="60" spans="1:8" x14ac:dyDescent="0.3">
      <c r="A60" s="464" t="s">
        <v>27</v>
      </c>
      <c r="B60" s="9">
        <v>-983201.92999999982</v>
      </c>
      <c r="C60"/>
      <c r="D60"/>
      <c r="E60"/>
      <c r="F60"/>
      <c r="G60"/>
      <c r="H60"/>
    </row>
    <row r="61" spans="1:8" x14ac:dyDescent="0.3">
      <c r="A61" s="464" t="s">
        <v>127</v>
      </c>
      <c r="B61" s="9">
        <v>-1246194.8999999994</v>
      </c>
      <c r="C61"/>
      <c r="D61"/>
      <c r="E61"/>
      <c r="F61"/>
      <c r="G61"/>
      <c r="H61"/>
    </row>
    <row r="62" spans="1:8" x14ac:dyDescent="0.3">
      <c r="A62" s="464" t="s">
        <v>139</v>
      </c>
      <c r="B62" s="9">
        <v>-1768.8</v>
      </c>
      <c r="C62"/>
      <c r="D62"/>
      <c r="E62"/>
      <c r="F62"/>
      <c r="G62"/>
      <c r="H62"/>
    </row>
    <row r="63" spans="1:8" x14ac:dyDescent="0.3">
      <c r="A63" s="464" t="s">
        <v>207</v>
      </c>
      <c r="B63" s="9">
        <v>-18919.86</v>
      </c>
      <c r="C63"/>
      <c r="D63"/>
      <c r="E63"/>
      <c r="F63"/>
      <c r="G63"/>
      <c r="H63"/>
    </row>
    <row r="64" spans="1:8" x14ac:dyDescent="0.3">
      <c r="A64" s="464" t="s">
        <v>49</v>
      </c>
      <c r="B64" s="9">
        <v>-4521.3899999999994</v>
      </c>
      <c r="C64"/>
      <c r="D64"/>
      <c r="E64"/>
      <c r="F64"/>
      <c r="G64"/>
      <c r="H64"/>
    </row>
    <row r="65" spans="1:8" x14ac:dyDescent="0.3">
      <c r="A65" s="464" t="s">
        <v>233</v>
      </c>
      <c r="B65" s="9">
        <v>-166917.38020600006</v>
      </c>
      <c r="C65"/>
      <c r="D65"/>
      <c r="E65"/>
      <c r="F65"/>
      <c r="G65"/>
      <c r="H65"/>
    </row>
    <row r="66" spans="1:8" x14ac:dyDescent="0.3">
      <c r="A66" s="464" t="s">
        <v>59</v>
      </c>
      <c r="B66" s="9">
        <v>-428274.74</v>
      </c>
      <c r="C66"/>
      <c r="D66"/>
      <c r="E66"/>
      <c r="F66"/>
      <c r="G66"/>
      <c r="H66"/>
    </row>
    <row r="67" spans="1:8" x14ac:dyDescent="0.3">
      <c r="A67" s="464" t="s">
        <v>153</v>
      </c>
      <c r="B67" s="9">
        <v>-5041.83</v>
      </c>
      <c r="C67"/>
      <c r="D67"/>
      <c r="E67"/>
      <c r="F67"/>
      <c r="G67"/>
      <c r="H67"/>
    </row>
    <row r="68" spans="1:8" x14ac:dyDescent="0.3">
      <c r="A68" s="464" t="s">
        <v>76</v>
      </c>
      <c r="B68" s="9">
        <v>-259916.76</v>
      </c>
      <c r="C68"/>
      <c r="D68"/>
      <c r="E68"/>
      <c r="F68"/>
      <c r="G68"/>
      <c r="H68"/>
    </row>
    <row r="69" spans="1:8" x14ac:dyDescent="0.3">
      <c r="A69" s="464" t="s">
        <v>39</v>
      </c>
      <c r="B69" s="9">
        <v>-95589.36</v>
      </c>
      <c r="C69"/>
      <c r="D69"/>
      <c r="E69"/>
      <c r="F69"/>
      <c r="G69"/>
      <c r="H69"/>
    </row>
    <row r="70" spans="1:8" x14ac:dyDescent="0.3">
      <c r="A70" s="464" t="s">
        <v>679</v>
      </c>
      <c r="B70" s="9">
        <v>-127.27</v>
      </c>
      <c r="C70"/>
      <c r="D70"/>
      <c r="E70"/>
      <c r="F70"/>
      <c r="G70"/>
      <c r="H70"/>
    </row>
    <row r="71" spans="1:8" x14ac:dyDescent="0.3">
      <c r="A71" s="464" t="s">
        <v>41</v>
      </c>
      <c r="B71" s="9">
        <v>-3421051.5100000002</v>
      </c>
      <c r="C71"/>
      <c r="D71"/>
      <c r="E71"/>
      <c r="F71"/>
      <c r="G71"/>
      <c r="H71"/>
    </row>
    <row r="72" spans="1:8" x14ac:dyDescent="0.3">
      <c r="A72" s="464" t="s">
        <v>389</v>
      </c>
      <c r="B72" s="9">
        <v>-3757.1099999999997</v>
      </c>
      <c r="C72"/>
      <c r="D72"/>
      <c r="E72"/>
      <c r="F72"/>
      <c r="G72"/>
      <c r="H72"/>
    </row>
    <row r="73" spans="1:8" x14ac:dyDescent="0.3">
      <c r="A73" s="464" t="s">
        <v>57</v>
      </c>
      <c r="B73" s="9">
        <v>-63000</v>
      </c>
      <c r="C73"/>
      <c r="D73"/>
      <c r="E73"/>
      <c r="F73"/>
      <c r="G73"/>
      <c r="H73"/>
    </row>
    <row r="74" spans="1:8" x14ac:dyDescent="0.3">
      <c r="A74" s="464" t="s">
        <v>71</v>
      </c>
      <c r="B74" s="9">
        <v>-2361.91</v>
      </c>
      <c r="C74"/>
      <c r="D74"/>
      <c r="E74"/>
      <c r="F74"/>
      <c r="G74"/>
      <c r="H74"/>
    </row>
    <row r="75" spans="1:8" x14ac:dyDescent="0.3">
      <c r="A75" s="464" t="s">
        <v>51</v>
      </c>
      <c r="B75" s="9">
        <v>-166243.31</v>
      </c>
      <c r="C75"/>
      <c r="D75"/>
      <c r="E75"/>
      <c r="F75"/>
      <c r="G75"/>
      <c r="H75"/>
    </row>
    <row r="76" spans="1:8" x14ac:dyDescent="0.3">
      <c r="A76" s="464" t="s">
        <v>69</v>
      </c>
      <c r="B76" s="9">
        <v>-61042.910000000018</v>
      </c>
      <c r="C76"/>
      <c r="D76"/>
      <c r="E76"/>
      <c r="F76"/>
      <c r="G76"/>
      <c r="H76"/>
    </row>
    <row r="77" spans="1:8" x14ac:dyDescent="0.3">
      <c r="A77" s="464" t="s">
        <v>29</v>
      </c>
      <c r="B77" s="9">
        <v>-25281.679999999971</v>
      </c>
      <c r="C77"/>
      <c r="D77"/>
      <c r="E77"/>
      <c r="F77"/>
      <c r="G77"/>
      <c r="H77"/>
    </row>
    <row r="78" spans="1:8" x14ac:dyDescent="0.3">
      <c r="A78" s="464" t="s">
        <v>135</v>
      </c>
      <c r="B78" s="9">
        <v>-9921.36</v>
      </c>
      <c r="C78"/>
      <c r="D78"/>
      <c r="E78"/>
      <c r="F78"/>
      <c r="G78"/>
      <c r="H78"/>
    </row>
    <row r="79" spans="1:8" x14ac:dyDescent="0.3">
      <c r="A79" s="464" t="s">
        <v>150</v>
      </c>
      <c r="B79" s="9">
        <v>-11500</v>
      </c>
      <c r="C79"/>
      <c r="D79"/>
      <c r="E79"/>
      <c r="F79"/>
      <c r="G79"/>
      <c r="H79"/>
    </row>
    <row r="80" spans="1:8" x14ac:dyDescent="0.3">
      <c r="A80" s="464" t="s">
        <v>142</v>
      </c>
      <c r="B80" s="9">
        <v>-40831.808719000001</v>
      </c>
      <c r="C80"/>
      <c r="D80"/>
      <c r="E80"/>
      <c r="F80"/>
      <c r="G80"/>
      <c r="H80"/>
    </row>
    <row r="81" spans="1:8" x14ac:dyDescent="0.3">
      <c r="A81" s="464" t="s">
        <v>394</v>
      </c>
      <c r="B81" s="9">
        <v>-4535.38</v>
      </c>
      <c r="C81"/>
      <c r="D81"/>
      <c r="E81"/>
      <c r="F81"/>
      <c r="G81"/>
      <c r="H81"/>
    </row>
    <row r="82" spans="1:8" x14ac:dyDescent="0.3">
      <c r="A82" s="464" t="s">
        <v>19</v>
      </c>
      <c r="B82" s="9">
        <v>-997491.28</v>
      </c>
      <c r="C82"/>
      <c r="D82"/>
      <c r="E82"/>
      <c r="F82"/>
      <c r="G82"/>
      <c r="H82"/>
    </row>
    <row r="83" spans="1:8" x14ac:dyDescent="0.3">
      <c r="A83" s="464" t="s">
        <v>99</v>
      </c>
      <c r="B83" s="9">
        <v>-90264.01999999999</v>
      </c>
      <c r="C83"/>
      <c r="D83"/>
      <c r="E83"/>
      <c r="F83"/>
      <c r="G83"/>
      <c r="H83"/>
    </row>
    <row r="84" spans="1:8" x14ac:dyDescent="0.3">
      <c r="A84" s="464" t="s">
        <v>83</v>
      </c>
      <c r="B84" s="9">
        <v>-415598.09984899982</v>
      </c>
      <c r="C84"/>
      <c r="D84"/>
      <c r="E84"/>
      <c r="F84"/>
      <c r="G84"/>
      <c r="H84"/>
    </row>
    <row r="85" spans="1:8" x14ac:dyDescent="0.3">
      <c r="A85" s="464" t="s">
        <v>227</v>
      </c>
      <c r="B85" s="9">
        <v>-11808943.948773999</v>
      </c>
      <c r="C85"/>
      <c r="D85"/>
      <c r="E85"/>
      <c r="F85"/>
      <c r="G85"/>
      <c r="H85"/>
    </row>
    <row r="86" spans="1:8" x14ac:dyDescent="0.3">
      <c r="B86"/>
      <c r="C86"/>
      <c r="D86"/>
      <c r="E86"/>
      <c r="F86"/>
      <c r="G86"/>
      <c r="H86"/>
    </row>
    <row r="87" spans="1:8" x14ac:dyDescent="0.3">
      <c r="B87"/>
      <c r="C87"/>
      <c r="D87"/>
      <c r="E87"/>
      <c r="F87"/>
      <c r="G87"/>
      <c r="H87"/>
    </row>
    <row r="88" spans="1:8" x14ac:dyDescent="0.3">
      <c r="B88"/>
      <c r="C88"/>
      <c r="D88"/>
      <c r="E88"/>
      <c r="F88"/>
      <c r="G88"/>
      <c r="H88"/>
    </row>
    <row r="89" spans="1:8" x14ac:dyDescent="0.3">
      <c r="B89"/>
      <c r="C89"/>
      <c r="D89"/>
      <c r="E89"/>
      <c r="F89"/>
      <c r="G89"/>
      <c r="H89"/>
    </row>
    <row r="90" spans="1:8" x14ac:dyDescent="0.3">
      <c r="B90"/>
      <c r="C90"/>
      <c r="D90"/>
      <c r="E90"/>
      <c r="F90"/>
      <c r="G90"/>
      <c r="H90"/>
    </row>
    <row r="91" spans="1:8" x14ac:dyDescent="0.3">
      <c r="B91"/>
      <c r="C91"/>
      <c r="D91"/>
      <c r="E91"/>
      <c r="F91"/>
      <c r="G91"/>
      <c r="H91"/>
    </row>
    <row r="92" spans="1:8" x14ac:dyDescent="0.3">
      <c r="B92"/>
      <c r="C92"/>
      <c r="D92"/>
      <c r="E92"/>
      <c r="F92"/>
      <c r="G92"/>
      <c r="H92"/>
    </row>
    <row r="93" spans="1:8" x14ac:dyDescent="0.3">
      <c r="B93"/>
      <c r="C93"/>
      <c r="D93"/>
      <c r="E93"/>
      <c r="F93"/>
      <c r="G93"/>
      <c r="H93"/>
    </row>
    <row r="94" spans="1:8" x14ac:dyDescent="0.3">
      <c r="B94"/>
      <c r="C94"/>
      <c r="D94"/>
      <c r="E94"/>
      <c r="F94"/>
      <c r="G94"/>
      <c r="H94"/>
    </row>
    <row r="95" spans="1:8" x14ac:dyDescent="0.3">
      <c r="B95"/>
      <c r="C95"/>
      <c r="D95"/>
      <c r="E95"/>
      <c r="F95"/>
      <c r="G95"/>
      <c r="H95"/>
    </row>
    <row r="96" spans="1:8" x14ac:dyDescent="0.3">
      <c r="B96"/>
      <c r="C96"/>
      <c r="D96"/>
      <c r="E96"/>
      <c r="F96"/>
      <c r="G96"/>
      <c r="H96"/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3445-B8B0-4C11-9177-073A14E8544C}">
  <dimension ref="A3:D12"/>
  <sheetViews>
    <sheetView showGridLines="0" workbookViewId="0">
      <selection activeCell="C30" sqref="C30"/>
    </sheetView>
  </sheetViews>
  <sheetFormatPr defaultRowHeight="14.4" x14ac:dyDescent="0.3"/>
  <cols>
    <col min="1" max="1" width="14.6640625" bestFit="1" customWidth="1"/>
    <col min="2" max="2" width="20" style="9" bestFit="1" customWidth="1"/>
    <col min="3" max="3" width="16.6640625" style="9" bestFit="1" customWidth="1"/>
    <col min="4" max="4" width="15.6640625" style="9" bestFit="1" customWidth="1"/>
    <col min="5" max="5" width="15.6640625" bestFit="1" customWidth="1"/>
  </cols>
  <sheetData>
    <row r="3" spans="1:4" x14ac:dyDescent="0.3">
      <c r="B3" s="460" t="s">
        <v>228</v>
      </c>
      <c r="C3" s="461"/>
    </row>
    <row r="4" spans="1:4" x14ac:dyDescent="0.3">
      <c r="B4" s="462" t="s">
        <v>8</v>
      </c>
      <c r="C4" s="463" t="s">
        <v>164</v>
      </c>
      <c r="D4" s="9" t="s">
        <v>227</v>
      </c>
    </row>
    <row r="5" spans="1:4" x14ac:dyDescent="0.3">
      <c r="A5" s="42" t="s">
        <v>226</v>
      </c>
      <c r="B5" s="444">
        <v>-11978295.55877398</v>
      </c>
      <c r="C5" s="449">
        <v>10313494.380000003</v>
      </c>
      <c r="D5" s="44">
        <v>-1664801.1787739769</v>
      </c>
    </row>
    <row r="6" spans="1:4" x14ac:dyDescent="0.3">
      <c r="B6"/>
      <c r="C6"/>
      <c r="D6"/>
    </row>
    <row r="7" spans="1:4" x14ac:dyDescent="0.3">
      <c r="B7"/>
      <c r="C7"/>
      <c r="D7"/>
    </row>
    <row r="8" spans="1:4" x14ac:dyDescent="0.3">
      <c r="B8"/>
      <c r="C8"/>
      <c r="D8"/>
    </row>
    <row r="9" spans="1:4" x14ac:dyDescent="0.3">
      <c r="B9"/>
      <c r="C9"/>
      <c r="D9"/>
    </row>
    <row r="10" spans="1:4" x14ac:dyDescent="0.3">
      <c r="B10"/>
      <c r="C10"/>
      <c r="D10"/>
    </row>
    <row r="11" spans="1:4" x14ac:dyDescent="0.3">
      <c r="B11"/>
      <c r="C11"/>
      <c r="D11"/>
    </row>
    <row r="12" spans="1:4" x14ac:dyDescent="0.3">
      <c r="B12"/>
      <c r="C12"/>
      <c r="D12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95314-72E5-4180-8A4C-20C578BDE071}">
  <sheetPr filterMode="1"/>
  <dimension ref="A2:G33"/>
  <sheetViews>
    <sheetView workbookViewId="0">
      <selection activeCell="C46" sqref="C46"/>
    </sheetView>
  </sheetViews>
  <sheetFormatPr defaultRowHeight="14.4" x14ac:dyDescent="0.3"/>
  <cols>
    <col min="1" max="1" width="10.5546875" bestFit="1" customWidth="1"/>
    <col min="2" max="2" width="11.77734375" style="48" customWidth="1"/>
    <col min="3" max="3" width="24" style="48" customWidth="1"/>
    <col min="4" max="4" width="108.109375" style="48" customWidth="1"/>
    <col min="5" max="5" width="12.109375" customWidth="1"/>
    <col min="6" max="6" width="13.21875" customWidth="1"/>
    <col min="7" max="7" width="21.77734375" customWidth="1"/>
  </cols>
  <sheetData>
    <row r="2" spans="1:7" s="250" customFormat="1" ht="12" customHeight="1" x14ac:dyDescent="0.3">
      <c r="A2" s="250" t="s">
        <v>0</v>
      </c>
      <c r="B2" s="251" t="s">
        <v>210</v>
      </c>
      <c r="C2" s="251" t="s">
        <v>1</v>
      </c>
      <c r="D2" s="251" t="s">
        <v>603</v>
      </c>
      <c r="E2" s="250" t="s">
        <v>604</v>
      </c>
      <c r="F2" s="250" t="s">
        <v>4</v>
      </c>
      <c r="G2" s="250" t="s">
        <v>5</v>
      </c>
    </row>
    <row r="3" spans="1:7" hidden="1" x14ac:dyDescent="0.3">
      <c r="A3" s="245">
        <v>45859</v>
      </c>
      <c r="B3" s="211" t="s">
        <v>211</v>
      </c>
      <c r="C3" s="246" t="s">
        <v>6</v>
      </c>
      <c r="D3" s="247" t="s">
        <v>566</v>
      </c>
      <c r="E3" s="248">
        <v>-50000</v>
      </c>
      <c r="F3" s="61" t="s">
        <v>8</v>
      </c>
      <c r="G3" s="249" t="s">
        <v>189</v>
      </c>
    </row>
    <row r="4" spans="1:7" ht="27.6" hidden="1" x14ac:dyDescent="0.3">
      <c r="A4" s="205">
        <v>45848</v>
      </c>
      <c r="B4" s="10" t="s">
        <v>211</v>
      </c>
      <c r="C4" s="17" t="s">
        <v>31</v>
      </c>
      <c r="D4" s="26" t="s">
        <v>514</v>
      </c>
      <c r="E4" s="19">
        <v>-2333</v>
      </c>
      <c r="F4" s="20" t="s">
        <v>8</v>
      </c>
      <c r="G4" s="20" t="s">
        <v>189</v>
      </c>
    </row>
    <row r="5" spans="1:7" ht="27.6" hidden="1" x14ac:dyDescent="0.3">
      <c r="A5" s="205">
        <v>45848</v>
      </c>
      <c r="B5" s="10" t="s">
        <v>211</v>
      </c>
      <c r="C5" s="17" t="s">
        <v>31</v>
      </c>
      <c r="D5" s="26" t="s">
        <v>513</v>
      </c>
      <c r="E5" s="19">
        <v>-1000</v>
      </c>
      <c r="F5" s="20" t="s">
        <v>8</v>
      </c>
      <c r="G5" s="20" t="s">
        <v>189</v>
      </c>
    </row>
    <row r="6" spans="1:7" x14ac:dyDescent="0.3">
      <c r="A6" s="226">
        <v>45853</v>
      </c>
      <c r="B6" s="46" t="s">
        <v>211</v>
      </c>
      <c r="C6" s="227" t="s">
        <v>31</v>
      </c>
      <c r="D6" s="238" t="s">
        <v>541</v>
      </c>
      <c r="E6" s="229">
        <v>-1000</v>
      </c>
      <c r="F6" s="168" t="s">
        <v>8</v>
      </c>
      <c r="G6" s="168" t="s">
        <v>189</v>
      </c>
    </row>
    <row r="7" spans="1:7" ht="27.6" hidden="1" x14ac:dyDescent="0.3">
      <c r="A7" s="205">
        <v>45868</v>
      </c>
      <c r="B7" s="10" t="s">
        <v>211</v>
      </c>
      <c r="C7" s="17" t="s">
        <v>6</v>
      </c>
      <c r="D7" s="26" t="s">
        <v>581</v>
      </c>
      <c r="E7" s="19">
        <v>-6298.6</v>
      </c>
      <c r="F7" s="215" t="s">
        <v>8</v>
      </c>
      <c r="G7" s="230" t="s">
        <v>189</v>
      </c>
    </row>
    <row r="8" spans="1:7" x14ac:dyDescent="0.3">
      <c r="A8" s="201">
        <v>45853</v>
      </c>
      <c r="B8" s="50" t="s">
        <v>211</v>
      </c>
      <c r="C8" s="231" t="s">
        <v>6</v>
      </c>
      <c r="D8" s="243" t="s">
        <v>540</v>
      </c>
      <c r="E8" s="204">
        <v>-10000</v>
      </c>
      <c r="F8" s="232" t="s">
        <v>8</v>
      </c>
      <c r="G8" s="232" t="s">
        <v>189</v>
      </c>
    </row>
    <row r="9" spans="1:7" hidden="1" x14ac:dyDescent="0.3">
      <c r="A9" s="205">
        <v>45845</v>
      </c>
      <c r="B9" s="10" t="s">
        <v>211</v>
      </c>
      <c r="C9" s="17" t="s">
        <v>6</v>
      </c>
      <c r="D9" s="26" t="s">
        <v>192</v>
      </c>
      <c r="E9" s="19">
        <v>-1000</v>
      </c>
      <c r="F9" s="20" t="s">
        <v>8</v>
      </c>
      <c r="G9" s="20" t="s">
        <v>189</v>
      </c>
    </row>
    <row r="10" spans="1:7" x14ac:dyDescent="0.3">
      <c r="A10" s="205">
        <v>45853</v>
      </c>
      <c r="B10" s="10" t="s">
        <v>211</v>
      </c>
      <c r="C10" s="220" t="s">
        <v>6</v>
      </c>
      <c r="D10" s="26" t="s">
        <v>538</v>
      </c>
      <c r="E10" s="19">
        <v>-2644</v>
      </c>
      <c r="F10" s="20" t="s">
        <v>8</v>
      </c>
      <c r="G10" s="20" t="s">
        <v>189</v>
      </c>
    </row>
    <row r="11" spans="1:7" ht="27.6" hidden="1" x14ac:dyDescent="0.3">
      <c r="A11" s="205">
        <v>45860</v>
      </c>
      <c r="B11" s="10" t="s">
        <v>211</v>
      </c>
      <c r="C11" s="17" t="s">
        <v>6</v>
      </c>
      <c r="D11" s="26" t="s">
        <v>564</v>
      </c>
      <c r="E11" s="19">
        <v>-960</v>
      </c>
      <c r="F11" s="20" t="s">
        <v>8</v>
      </c>
      <c r="G11" s="20" t="s">
        <v>189</v>
      </c>
    </row>
    <row r="12" spans="1:7" ht="27.6" hidden="1" x14ac:dyDescent="0.3">
      <c r="A12" s="205">
        <v>45866</v>
      </c>
      <c r="B12" s="10" t="s">
        <v>211</v>
      </c>
      <c r="C12" s="17" t="s">
        <v>6</v>
      </c>
      <c r="D12" s="244" t="s">
        <v>576</v>
      </c>
      <c r="E12" s="19">
        <v>-2000</v>
      </c>
      <c r="F12" s="20" t="s">
        <v>8</v>
      </c>
      <c r="G12" s="20" t="s">
        <v>189</v>
      </c>
    </row>
    <row r="13" spans="1:7" ht="27.6" hidden="1" x14ac:dyDescent="0.3">
      <c r="A13" s="205">
        <v>45854</v>
      </c>
      <c r="B13" s="10" t="s">
        <v>211</v>
      </c>
      <c r="C13" s="220" t="s">
        <v>6</v>
      </c>
      <c r="D13" s="26" t="s">
        <v>552</v>
      </c>
      <c r="E13" s="19">
        <v>-1551.29</v>
      </c>
      <c r="F13" s="20" t="s">
        <v>8</v>
      </c>
      <c r="G13" s="20" t="s">
        <v>189</v>
      </c>
    </row>
    <row r="14" spans="1:7" ht="28.8" hidden="1" x14ac:dyDescent="0.3">
      <c r="A14" s="167">
        <v>45868</v>
      </c>
      <c r="B14" s="34" t="s">
        <v>211</v>
      </c>
      <c r="C14" s="69" t="s">
        <v>6</v>
      </c>
      <c r="D14" s="69" t="s">
        <v>585</v>
      </c>
      <c r="E14" s="70">
        <v>-1000</v>
      </c>
      <c r="F14" s="215" t="s">
        <v>8</v>
      </c>
      <c r="G14" s="230" t="s">
        <v>189</v>
      </c>
    </row>
    <row r="15" spans="1:7" ht="27.6" hidden="1" x14ac:dyDescent="0.3">
      <c r="A15" s="205">
        <v>45868</v>
      </c>
      <c r="B15" s="10" t="s">
        <v>211</v>
      </c>
      <c r="C15" s="17" t="s">
        <v>6</v>
      </c>
      <c r="D15" s="26" t="s">
        <v>586</v>
      </c>
      <c r="E15" s="19">
        <v>-501.54</v>
      </c>
      <c r="F15" s="233" t="s">
        <v>8</v>
      </c>
      <c r="G15" s="230" t="s">
        <v>189</v>
      </c>
    </row>
    <row r="16" spans="1:7" ht="27.6" hidden="1" x14ac:dyDescent="0.3">
      <c r="A16" s="205">
        <v>45868</v>
      </c>
      <c r="B16" s="10" t="s">
        <v>211</v>
      </c>
      <c r="C16" s="17" t="s">
        <v>44</v>
      </c>
      <c r="D16" s="26" t="s">
        <v>587</v>
      </c>
      <c r="E16" s="19">
        <v>-2500</v>
      </c>
      <c r="F16" s="233" t="s">
        <v>8</v>
      </c>
      <c r="G16" s="230" t="s">
        <v>189</v>
      </c>
    </row>
    <row r="17" spans="1:7" x14ac:dyDescent="0.3">
      <c r="A17" s="10">
        <v>45853</v>
      </c>
      <c r="B17" s="10" t="s">
        <v>211</v>
      </c>
      <c r="C17" s="234" t="s">
        <v>106</v>
      </c>
      <c r="D17" s="30" t="s">
        <v>542</v>
      </c>
      <c r="E17" s="235">
        <v>-2000</v>
      </c>
      <c r="F17" s="236" t="s">
        <v>8</v>
      </c>
      <c r="G17" s="236" t="s">
        <v>189</v>
      </c>
    </row>
    <row r="18" spans="1:7" ht="27.6" hidden="1" x14ac:dyDescent="0.3">
      <c r="A18" s="205">
        <v>45846</v>
      </c>
      <c r="B18" s="10" t="s">
        <v>211</v>
      </c>
      <c r="C18" s="17" t="s">
        <v>106</v>
      </c>
      <c r="D18" s="26" t="s">
        <v>484</v>
      </c>
      <c r="E18" s="19">
        <v>-2000</v>
      </c>
      <c r="F18" s="20" t="s">
        <v>8</v>
      </c>
      <c r="G18" s="20" t="s">
        <v>189</v>
      </c>
    </row>
    <row r="19" spans="1:7" ht="27.6" hidden="1" x14ac:dyDescent="0.3">
      <c r="A19" s="205">
        <v>45868</v>
      </c>
      <c r="B19" s="10" t="s">
        <v>211</v>
      </c>
      <c r="C19" s="17" t="s">
        <v>17</v>
      </c>
      <c r="D19" s="26" t="s">
        <v>591</v>
      </c>
      <c r="E19" s="19">
        <v>-1916.67</v>
      </c>
      <c r="F19" s="233" t="s">
        <v>8</v>
      </c>
      <c r="G19" s="20" t="s">
        <v>189</v>
      </c>
    </row>
    <row r="20" spans="1:7" ht="27.6" hidden="1" x14ac:dyDescent="0.3">
      <c r="A20" s="205">
        <v>45868</v>
      </c>
      <c r="B20" s="10" t="s">
        <v>211</v>
      </c>
      <c r="C20" s="26" t="s">
        <v>6</v>
      </c>
      <c r="D20" s="26" t="s">
        <v>582</v>
      </c>
      <c r="E20" s="19">
        <v>-2200</v>
      </c>
      <c r="F20" s="233" t="s">
        <v>8</v>
      </c>
      <c r="G20" s="20" t="s">
        <v>189</v>
      </c>
    </row>
    <row r="21" spans="1:7" ht="27.6" hidden="1" x14ac:dyDescent="0.3">
      <c r="A21" s="205">
        <v>45868</v>
      </c>
      <c r="B21" s="10" t="s">
        <v>211</v>
      </c>
      <c r="C21" s="26" t="s">
        <v>6</v>
      </c>
      <c r="D21" s="26" t="s">
        <v>579</v>
      </c>
      <c r="E21" s="19">
        <v>-3836.54</v>
      </c>
      <c r="F21" s="233" t="s">
        <v>8</v>
      </c>
      <c r="G21" s="20" t="s">
        <v>189</v>
      </c>
    </row>
    <row r="22" spans="1:7" ht="27.6" hidden="1" x14ac:dyDescent="0.3">
      <c r="A22" s="205">
        <v>45868</v>
      </c>
      <c r="B22" s="10" t="s">
        <v>211</v>
      </c>
      <c r="C22" s="26" t="s">
        <v>6</v>
      </c>
      <c r="D22" s="26" t="s">
        <v>583</v>
      </c>
      <c r="E22" s="19">
        <v>-3200</v>
      </c>
      <c r="F22" s="233" t="s">
        <v>8</v>
      </c>
      <c r="G22" s="20" t="s">
        <v>189</v>
      </c>
    </row>
    <row r="23" spans="1:7" ht="27.6" hidden="1" x14ac:dyDescent="0.3">
      <c r="A23" s="205">
        <v>45868</v>
      </c>
      <c r="B23" s="10" t="s">
        <v>211</v>
      </c>
      <c r="C23" s="26" t="s">
        <v>6</v>
      </c>
      <c r="D23" s="26" t="s">
        <v>580</v>
      </c>
      <c r="E23" s="19">
        <v>-2000</v>
      </c>
      <c r="F23" s="20" t="s">
        <v>8</v>
      </c>
      <c r="G23" s="20" t="s">
        <v>189</v>
      </c>
    </row>
    <row r="24" spans="1:7" ht="27.6" hidden="1" x14ac:dyDescent="0.3">
      <c r="A24" s="205">
        <v>45868</v>
      </c>
      <c r="B24" s="10" t="s">
        <v>211</v>
      </c>
      <c r="C24" s="26" t="s">
        <v>17</v>
      </c>
      <c r="D24" s="26" t="s">
        <v>590</v>
      </c>
      <c r="E24" s="19">
        <v>-2864.92</v>
      </c>
      <c r="F24" s="20" t="s">
        <v>8</v>
      </c>
      <c r="G24" s="20" t="s">
        <v>189</v>
      </c>
    </row>
    <row r="25" spans="1:7" ht="27.6" hidden="1" x14ac:dyDescent="0.3">
      <c r="A25" s="205">
        <v>45868</v>
      </c>
      <c r="B25" s="10" t="s">
        <v>211</v>
      </c>
      <c r="C25" s="63" t="s">
        <v>6</v>
      </c>
      <c r="D25" s="63" t="s">
        <v>584</v>
      </c>
      <c r="E25" s="67">
        <v>-2500</v>
      </c>
      <c r="F25" s="20" t="s">
        <v>8</v>
      </c>
      <c r="G25" s="20" t="s">
        <v>189</v>
      </c>
    </row>
    <row r="26" spans="1:7" ht="27.6" hidden="1" x14ac:dyDescent="0.3">
      <c r="A26" s="205">
        <v>45868</v>
      </c>
      <c r="B26" s="10" t="s">
        <v>211</v>
      </c>
      <c r="C26" s="63" t="s">
        <v>33</v>
      </c>
      <c r="D26" s="63" t="s">
        <v>588</v>
      </c>
      <c r="E26" s="67">
        <v>-1000</v>
      </c>
      <c r="F26" s="20" t="s">
        <v>8</v>
      </c>
      <c r="G26" s="20" t="s">
        <v>189</v>
      </c>
    </row>
    <row r="27" spans="1:7" ht="27.6" hidden="1" x14ac:dyDescent="0.3">
      <c r="A27" s="226">
        <v>45868</v>
      </c>
      <c r="B27" s="46" t="s">
        <v>211</v>
      </c>
      <c r="C27" s="237" t="s">
        <v>17</v>
      </c>
      <c r="D27" s="238" t="s">
        <v>589</v>
      </c>
      <c r="E27" s="229">
        <v>-1400</v>
      </c>
      <c r="F27" s="168" t="s">
        <v>8</v>
      </c>
      <c r="G27" s="168" t="s">
        <v>189</v>
      </c>
    </row>
    <row r="28" spans="1:7" hidden="1" x14ac:dyDescent="0.3">
      <c r="A28" s="201">
        <v>45839</v>
      </c>
      <c r="B28" s="50" t="s">
        <v>211</v>
      </c>
      <c r="C28" s="202" t="s">
        <v>17</v>
      </c>
      <c r="D28" s="243" t="s">
        <v>196</v>
      </c>
      <c r="E28" s="204">
        <v>-1848.63</v>
      </c>
      <c r="F28" s="232" t="s">
        <v>8</v>
      </c>
      <c r="G28" s="232" t="s">
        <v>189</v>
      </c>
    </row>
    <row r="29" spans="1:7" ht="27.6" hidden="1" x14ac:dyDescent="0.3">
      <c r="A29" s="218">
        <v>45863</v>
      </c>
      <c r="B29" s="45" t="s">
        <v>211</v>
      </c>
      <c r="C29" s="29" t="s">
        <v>6</v>
      </c>
      <c r="D29" s="29" t="s">
        <v>573</v>
      </c>
      <c r="E29" s="219">
        <v>-2688.37</v>
      </c>
      <c r="F29" s="23" t="s">
        <v>8</v>
      </c>
      <c r="G29" s="16" t="s">
        <v>189</v>
      </c>
    </row>
    <row r="30" spans="1:7" x14ac:dyDescent="0.3">
      <c r="A30" s="39">
        <v>45853</v>
      </c>
      <c r="B30" s="39" t="s">
        <v>211</v>
      </c>
      <c r="C30" s="239" t="s">
        <v>6</v>
      </c>
      <c r="D30" s="240" t="s">
        <v>539</v>
      </c>
      <c r="E30" s="241">
        <v>-3500</v>
      </c>
      <c r="F30" s="236" t="s">
        <v>8</v>
      </c>
      <c r="G30" s="242" t="s">
        <v>189</v>
      </c>
    </row>
    <row r="31" spans="1:7" ht="27.6" hidden="1" x14ac:dyDescent="0.3">
      <c r="A31" s="217">
        <v>45839</v>
      </c>
      <c r="B31" s="210" t="s">
        <v>211</v>
      </c>
      <c r="C31" s="29" t="s">
        <v>44</v>
      </c>
      <c r="D31" s="29" t="s">
        <v>417</v>
      </c>
      <c r="E31" s="219">
        <v>-6069.71</v>
      </c>
      <c r="F31" s="232" t="s">
        <v>8</v>
      </c>
      <c r="G31" s="232" t="s">
        <v>189</v>
      </c>
    </row>
    <row r="32" spans="1:7" ht="27.6" hidden="1" x14ac:dyDescent="0.3">
      <c r="A32" s="217">
        <v>45839</v>
      </c>
      <c r="B32" s="210" t="s">
        <v>211</v>
      </c>
      <c r="C32" s="29" t="s">
        <v>44</v>
      </c>
      <c r="D32" s="29" t="s">
        <v>418</v>
      </c>
      <c r="E32" s="219">
        <v>3968.99</v>
      </c>
      <c r="F32" s="232" t="s">
        <v>8</v>
      </c>
      <c r="G32" s="232" t="s">
        <v>189</v>
      </c>
    </row>
    <row r="33" spans="1:7" ht="27.6" hidden="1" x14ac:dyDescent="0.3">
      <c r="A33" s="217">
        <v>45846</v>
      </c>
      <c r="B33" s="45" t="s">
        <v>211</v>
      </c>
      <c r="C33" s="63" t="s">
        <v>25</v>
      </c>
      <c r="D33" s="63" t="s">
        <v>362</v>
      </c>
      <c r="E33" s="67">
        <v>-5600</v>
      </c>
      <c r="F33" s="60" t="s">
        <v>8</v>
      </c>
      <c r="G33" s="16" t="s">
        <v>189</v>
      </c>
    </row>
  </sheetData>
  <autoFilter ref="A2:G33" xr:uid="{E6295314-72E5-4180-8A4C-20C578BDE071}">
    <filterColumn colId="0">
      <filters>
        <dateGroupItem year="2025" month="7" day="15" dateTimeGrouping="day"/>
      </filters>
    </filterColumn>
  </autoFilter>
  <conditionalFormatting sqref="F3:F33">
    <cfRule type="colorScale" priority="8">
      <colorScale>
        <cfvo type="min"/>
        <cfvo type="max"/>
        <color rgb="FFF8696B"/>
        <color rgb="FFFCFCFF"/>
      </colorScale>
    </cfRule>
  </conditionalFormatting>
  <conditionalFormatting sqref="G3">
    <cfRule type="colorScale" priority="7">
      <colorScale>
        <cfvo type="min"/>
        <cfvo type="max"/>
        <color rgb="FFF8696B"/>
        <color rgb="FFFCFCFF"/>
      </colorScale>
    </cfRule>
  </conditionalFormatting>
  <conditionalFormatting sqref="G4:G28">
    <cfRule type="colorScale" priority="6">
      <colorScale>
        <cfvo type="min"/>
        <cfvo type="max"/>
        <color rgb="FFF8696B"/>
        <color rgb="FFFCFCFF"/>
      </colorScale>
    </cfRule>
  </conditionalFormatting>
  <conditionalFormatting sqref="G29">
    <cfRule type="colorScale" priority="5">
      <colorScale>
        <cfvo type="min"/>
        <cfvo type="max"/>
        <color rgb="FFF8696B"/>
        <color rgb="FFFCFCFF"/>
      </colorScale>
    </cfRule>
  </conditionalFormatting>
  <conditionalFormatting sqref="G30">
    <cfRule type="colorScale" priority="4">
      <colorScale>
        <cfvo type="min"/>
        <cfvo type="max"/>
        <color rgb="FFF8696B"/>
        <color rgb="FFFCFCFF"/>
      </colorScale>
    </cfRule>
  </conditionalFormatting>
  <conditionalFormatting sqref="G31">
    <cfRule type="colorScale" priority="3">
      <colorScale>
        <cfvo type="min"/>
        <cfvo type="max"/>
        <color rgb="FFF8696B"/>
        <color rgb="FFFCFCFF"/>
      </colorScale>
    </cfRule>
  </conditionalFormatting>
  <conditionalFormatting sqref="G32">
    <cfRule type="colorScale" priority="2">
      <colorScale>
        <cfvo type="min"/>
        <cfvo type="max"/>
        <color rgb="FFF8696B"/>
        <color rgb="FFFCFCFF"/>
      </colorScale>
    </cfRule>
  </conditionalFormatting>
  <conditionalFormatting sqref="G33">
    <cfRule type="colorScale" priority="1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2EB6C-3C37-4ECB-82D7-BACB135B4546}">
  <dimension ref="A3:B4"/>
  <sheetViews>
    <sheetView workbookViewId="0">
      <selection activeCell="E21" sqref="E21"/>
    </sheetView>
  </sheetViews>
  <sheetFormatPr defaultRowHeight="14.4" x14ac:dyDescent="0.3"/>
  <cols>
    <col min="2" max="2" width="11.44140625" bestFit="1" customWidth="1"/>
  </cols>
  <sheetData>
    <row r="3" spans="1:2" x14ac:dyDescent="0.3">
      <c r="A3" t="s">
        <v>577</v>
      </c>
      <c r="B3" s="11">
        <v>-2530.4299999999998</v>
      </c>
    </row>
    <row r="4" spans="1:2" x14ac:dyDescent="0.3">
      <c r="A4" t="s">
        <v>577</v>
      </c>
      <c r="B4" s="11">
        <v>-1339.5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1E36-4D0C-4DA1-8F6F-BEFA96F9A703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8512-37DB-4D24-858D-1E0E3D18C0C5}">
  <sheetPr codeName="Planilha2"/>
  <dimension ref="C4:O136"/>
  <sheetViews>
    <sheetView topLeftCell="B112" workbookViewId="0">
      <selection activeCell="B111" sqref="A111:XFD111"/>
    </sheetView>
  </sheetViews>
  <sheetFormatPr defaultRowHeight="14.4" x14ac:dyDescent="0.3"/>
  <cols>
    <col min="6" max="6" width="36.6640625" customWidth="1"/>
    <col min="7" max="7" width="30" customWidth="1"/>
    <col min="8" max="8" width="12" bestFit="1" customWidth="1"/>
    <col min="11" max="12" width="10.5546875" bestFit="1" customWidth="1"/>
    <col min="13" max="14" width="9" bestFit="1" customWidth="1"/>
    <col min="15" max="15" width="32" customWidth="1"/>
  </cols>
  <sheetData>
    <row r="4" spans="3:15" ht="15" thickBot="1" x14ac:dyDescent="0.35"/>
    <row r="5" spans="3:15" x14ac:dyDescent="0.3">
      <c r="C5" s="32"/>
      <c r="D5" s="931"/>
      <c r="E5" s="921" t="s">
        <v>712</v>
      </c>
      <c r="F5" s="922" t="s">
        <v>713</v>
      </c>
      <c r="G5" s="921" t="s">
        <v>714</v>
      </c>
      <c r="H5" s="921" t="s">
        <v>715</v>
      </c>
      <c r="I5" s="921" t="s">
        <v>716</v>
      </c>
      <c r="J5" s="921" t="s">
        <v>717</v>
      </c>
      <c r="K5" s="32" t="s">
        <v>718</v>
      </c>
      <c r="L5" s="922" t="s">
        <v>721</v>
      </c>
      <c r="M5" s="923"/>
      <c r="N5" s="924"/>
    </row>
    <row r="6" spans="3:15" x14ac:dyDescent="0.3">
      <c r="C6" s="32"/>
      <c r="D6" s="932"/>
      <c r="E6" s="921"/>
      <c r="F6" s="925"/>
      <c r="G6" s="921"/>
      <c r="H6" s="921"/>
      <c r="I6" s="921"/>
      <c r="J6" s="921"/>
      <c r="K6" s="32" t="s">
        <v>719</v>
      </c>
      <c r="L6" s="925"/>
      <c r="M6" s="926"/>
      <c r="N6" s="927"/>
    </row>
    <row r="7" spans="3:15" ht="15" thickBot="1" x14ac:dyDescent="0.35">
      <c r="C7" s="32"/>
      <c r="D7" s="932"/>
      <c r="E7" s="921"/>
      <c r="F7" s="928"/>
      <c r="G7" s="921"/>
      <c r="H7" s="921"/>
      <c r="I7" s="921"/>
      <c r="J7" s="921"/>
      <c r="K7" s="378" t="s">
        <v>720</v>
      </c>
      <c r="L7" s="928"/>
      <c r="M7" s="929"/>
      <c r="N7" s="930"/>
    </row>
    <row r="8" spans="3:15" x14ac:dyDescent="0.3">
      <c r="C8" s="32"/>
      <c r="D8" s="932"/>
      <c r="E8" s="921"/>
      <c r="F8" s="921" t="s">
        <v>722</v>
      </c>
      <c r="G8" s="921"/>
      <c r="H8" s="921"/>
      <c r="I8" s="921"/>
      <c r="J8" s="921"/>
      <c r="K8" s="378"/>
      <c r="L8" s="921" t="s">
        <v>723</v>
      </c>
      <c r="M8" s="921" t="s">
        <v>724</v>
      </c>
      <c r="N8" s="377"/>
    </row>
    <row r="9" spans="3:15" ht="15" thickBot="1" x14ac:dyDescent="0.35">
      <c r="C9" s="32"/>
      <c r="D9" s="933"/>
      <c r="E9" s="921"/>
      <c r="F9" s="921"/>
      <c r="G9" s="921"/>
      <c r="H9" s="921"/>
      <c r="I9" s="921"/>
      <c r="J9" s="921"/>
      <c r="K9" s="379"/>
      <c r="L9" s="921"/>
      <c r="M9" s="921"/>
      <c r="N9" s="377"/>
    </row>
    <row r="10" spans="3:15" s="207" customFormat="1" x14ac:dyDescent="0.3">
      <c r="C10" s="35"/>
      <c r="D10" s="395"/>
      <c r="E10" s="394"/>
      <c r="F10" s="393" t="s">
        <v>725</v>
      </c>
      <c r="G10" s="35" t="s">
        <v>726</v>
      </c>
      <c r="H10" s="394">
        <v>47209318000140</v>
      </c>
      <c r="I10" s="395" t="s">
        <v>690</v>
      </c>
      <c r="J10" s="393" t="s">
        <v>691</v>
      </c>
      <c r="K10" s="396">
        <v>45787</v>
      </c>
      <c r="L10" s="396">
        <v>45862</v>
      </c>
      <c r="M10" s="397">
        <v>8231.36</v>
      </c>
      <c r="N10" s="398">
        <v>0</v>
      </c>
    </row>
    <row r="11" spans="3:15" x14ac:dyDescent="0.3">
      <c r="C11" s="32"/>
      <c r="D11" s="384"/>
      <c r="E11" s="385"/>
      <c r="F11" s="400" t="s">
        <v>687</v>
      </c>
      <c r="G11" s="33" t="s">
        <v>727</v>
      </c>
      <c r="H11" s="401">
        <v>91315184</v>
      </c>
      <c r="I11" s="402" t="s">
        <v>690</v>
      </c>
      <c r="J11" s="400" t="s">
        <v>691</v>
      </c>
      <c r="K11" s="403">
        <v>45789</v>
      </c>
      <c r="L11" s="403">
        <v>49441</v>
      </c>
      <c r="M11" s="404">
        <v>367.08</v>
      </c>
      <c r="N11" s="404">
        <v>418.18</v>
      </c>
      <c r="O11" t="s">
        <v>758</v>
      </c>
    </row>
    <row r="12" spans="3:15" x14ac:dyDescent="0.3">
      <c r="C12" s="32"/>
      <c r="D12" s="380"/>
      <c r="E12" s="381"/>
      <c r="F12" s="400" t="s">
        <v>692</v>
      </c>
      <c r="G12" s="33" t="s">
        <v>727</v>
      </c>
      <c r="H12" s="401">
        <v>70308918</v>
      </c>
      <c r="I12" s="402" t="s">
        <v>690</v>
      </c>
      <c r="J12" s="400" t="s">
        <v>691</v>
      </c>
      <c r="K12" s="403">
        <v>45789</v>
      </c>
      <c r="L12" s="403">
        <v>49441</v>
      </c>
      <c r="M12" s="404">
        <v>845.88</v>
      </c>
      <c r="N12" s="404">
        <v>964.06</v>
      </c>
      <c r="O12" t="s">
        <v>758</v>
      </c>
    </row>
    <row r="13" spans="3:15" x14ac:dyDescent="0.3">
      <c r="C13" s="32"/>
      <c r="D13" s="384"/>
      <c r="E13" s="385"/>
      <c r="F13" s="400" t="s">
        <v>698</v>
      </c>
      <c r="G13" s="33" t="s">
        <v>727</v>
      </c>
      <c r="H13" s="401">
        <v>55917047</v>
      </c>
      <c r="I13" s="402" t="s">
        <v>690</v>
      </c>
      <c r="J13" s="400" t="s">
        <v>691</v>
      </c>
      <c r="K13" s="403">
        <v>45789</v>
      </c>
      <c r="L13" s="403">
        <v>49441</v>
      </c>
      <c r="M13" s="404">
        <v>303.24</v>
      </c>
      <c r="N13" s="404">
        <v>345.56</v>
      </c>
      <c r="O13" t="s">
        <v>758</v>
      </c>
    </row>
    <row r="14" spans="3:15" x14ac:dyDescent="0.3">
      <c r="C14" s="32"/>
      <c r="D14" s="380"/>
      <c r="E14" s="381"/>
      <c r="F14" s="400" t="s">
        <v>706</v>
      </c>
      <c r="G14" s="33" t="s">
        <v>727</v>
      </c>
      <c r="H14" s="401">
        <v>54121761</v>
      </c>
      <c r="I14" s="402" t="s">
        <v>690</v>
      </c>
      <c r="J14" s="400" t="s">
        <v>691</v>
      </c>
      <c r="K14" s="403">
        <v>45789</v>
      </c>
      <c r="L14" s="403">
        <v>49441</v>
      </c>
      <c r="M14" s="404">
        <v>143.63999999999999</v>
      </c>
      <c r="N14" s="404">
        <v>163.4</v>
      </c>
      <c r="O14" t="s">
        <v>758</v>
      </c>
    </row>
    <row r="15" spans="3:15" x14ac:dyDescent="0.3">
      <c r="C15" s="32"/>
      <c r="D15" s="384"/>
      <c r="E15" s="385"/>
      <c r="F15" s="400" t="s">
        <v>702</v>
      </c>
      <c r="G15" s="33" t="s">
        <v>727</v>
      </c>
      <c r="H15" s="401">
        <v>58596579</v>
      </c>
      <c r="I15" s="402" t="s">
        <v>690</v>
      </c>
      <c r="J15" s="400" t="s">
        <v>691</v>
      </c>
      <c r="K15" s="403">
        <v>45789</v>
      </c>
      <c r="L15" s="403">
        <v>49441</v>
      </c>
      <c r="M15" s="404">
        <v>95.76</v>
      </c>
      <c r="N15" s="404">
        <v>108.93</v>
      </c>
      <c r="O15" t="s">
        <v>758</v>
      </c>
    </row>
    <row r="16" spans="3:15" x14ac:dyDescent="0.3">
      <c r="C16" s="32"/>
      <c r="D16" s="380"/>
      <c r="E16" s="381"/>
      <c r="F16" s="400" t="s">
        <v>694</v>
      </c>
      <c r="G16" s="33" t="s">
        <v>727</v>
      </c>
      <c r="H16" s="401">
        <v>88955286</v>
      </c>
      <c r="I16" s="402" t="s">
        <v>690</v>
      </c>
      <c r="J16" s="400" t="s">
        <v>691</v>
      </c>
      <c r="K16" s="403">
        <v>45789</v>
      </c>
      <c r="L16" s="403">
        <v>49441</v>
      </c>
      <c r="M16" s="404">
        <v>462.84</v>
      </c>
      <c r="N16" s="404">
        <v>527.12</v>
      </c>
      <c r="O16" t="s">
        <v>758</v>
      </c>
    </row>
    <row r="17" spans="3:15" x14ac:dyDescent="0.3">
      <c r="C17" s="32"/>
      <c r="D17" s="384"/>
      <c r="E17" s="385"/>
      <c r="F17" s="400" t="s">
        <v>696</v>
      </c>
      <c r="G17" s="33" t="s">
        <v>727</v>
      </c>
      <c r="H17" s="401">
        <v>24399254</v>
      </c>
      <c r="I17" s="402" t="s">
        <v>690</v>
      </c>
      <c r="J17" s="400" t="s">
        <v>691</v>
      </c>
      <c r="K17" s="403">
        <v>45789</v>
      </c>
      <c r="L17" s="403">
        <v>49441</v>
      </c>
      <c r="M17" s="404">
        <v>957.6</v>
      </c>
      <c r="N17" s="406">
        <v>1091.1600000000001</v>
      </c>
      <c r="O17" t="s">
        <v>758</v>
      </c>
    </row>
    <row r="18" spans="3:15" x14ac:dyDescent="0.3">
      <c r="C18" s="32"/>
      <c r="D18" s="380"/>
      <c r="E18" s="381"/>
      <c r="F18" s="400" t="s">
        <v>704</v>
      </c>
      <c r="G18" s="33" t="s">
        <v>727</v>
      </c>
      <c r="H18" s="401">
        <v>23521375</v>
      </c>
      <c r="I18" s="402" t="s">
        <v>690</v>
      </c>
      <c r="J18" s="400" t="s">
        <v>691</v>
      </c>
      <c r="K18" s="403">
        <v>45789</v>
      </c>
      <c r="L18" s="403">
        <v>49441</v>
      </c>
      <c r="M18" s="404">
        <v>63.84</v>
      </c>
      <c r="N18" s="404">
        <v>72.62</v>
      </c>
      <c r="O18" t="s">
        <v>758</v>
      </c>
    </row>
    <row r="19" spans="3:15" x14ac:dyDescent="0.3">
      <c r="C19" s="32"/>
      <c r="D19" s="384"/>
      <c r="E19" s="385"/>
      <c r="F19" s="400" t="s">
        <v>700</v>
      </c>
      <c r="G19" s="33" t="s">
        <v>727</v>
      </c>
      <c r="H19" s="401">
        <v>34374596</v>
      </c>
      <c r="I19" s="402" t="s">
        <v>690</v>
      </c>
      <c r="J19" s="400" t="s">
        <v>691</v>
      </c>
      <c r="K19" s="403">
        <v>45789</v>
      </c>
      <c r="L19" s="403">
        <v>49441</v>
      </c>
      <c r="M19" s="404">
        <v>223.44</v>
      </c>
      <c r="N19" s="404">
        <v>254.18</v>
      </c>
      <c r="O19" t="s">
        <v>758</v>
      </c>
    </row>
    <row r="20" spans="3:15" s="207" customFormat="1" x14ac:dyDescent="0.3">
      <c r="C20" s="35"/>
      <c r="D20" s="395"/>
      <c r="E20" s="394"/>
      <c r="F20" s="393" t="s">
        <v>44</v>
      </c>
      <c r="G20" s="35" t="s">
        <v>728</v>
      </c>
      <c r="H20" s="394">
        <v>40398</v>
      </c>
      <c r="I20" s="395" t="s">
        <v>690</v>
      </c>
      <c r="J20" s="393" t="s">
        <v>691</v>
      </c>
      <c r="K20" s="396">
        <v>45797</v>
      </c>
      <c r="L20" s="396">
        <v>49439</v>
      </c>
      <c r="M20" s="398">
        <v>40</v>
      </c>
      <c r="N20" s="398">
        <v>41.32</v>
      </c>
    </row>
    <row r="21" spans="3:15" s="207" customFormat="1" x14ac:dyDescent="0.3">
      <c r="C21" s="35"/>
      <c r="D21" s="390"/>
      <c r="E21" s="389"/>
      <c r="F21" s="388" t="s">
        <v>706</v>
      </c>
      <c r="G21" s="35" t="s">
        <v>729</v>
      </c>
      <c r="H21" s="389">
        <v>30271314</v>
      </c>
      <c r="I21" s="390" t="s">
        <v>690</v>
      </c>
      <c r="J21" s="388" t="s">
        <v>691</v>
      </c>
      <c r="K21" s="391">
        <v>45797</v>
      </c>
      <c r="L21" s="391">
        <v>45857</v>
      </c>
      <c r="M21" s="399">
        <v>89</v>
      </c>
      <c r="N21" s="399">
        <v>90.79</v>
      </c>
    </row>
    <row r="22" spans="3:15" x14ac:dyDescent="0.3">
      <c r="C22" s="32"/>
      <c r="D22" s="380"/>
      <c r="E22" s="381"/>
      <c r="F22" s="375" t="s">
        <v>698</v>
      </c>
      <c r="G22" s="32" t="s">
        <v>688</v>
      </c>
      <c r="H22" s="381" t="s">
        <v>730</v>
      </c>
      <c r="I22" s="380" t="s">
        <v>690</v>
      </c>
      <c r="J22" s="375" t="s">
        <v>691</v>
      </c>
      <c r="K22" s="382">
        <v>45797</v>
      </c>
      <c r="L22" s="382">
        <v>45976</v>
      </c>
      <c r="M22" s="383">
        <v>6095</v>
      </c>
      <c r="N22" s="383">
        <v>7272.31</v>
      </c>
    </row>
    <row r="23" spans="3:15" s="207" customFormat="1" x14ac:dyDescent="0.3">
      <c r="C23" s="35"/>
      <c r="D23" s="390"/>
      <c r="E23" s="389"/>
      <c r="F23" s="388" t="s">
        <v>704</v>
      </c>
      <c r="G23" s="35" t="s">
        <v>731</v>
      </c>
      <c r="H23" s="389"/>
      <c r="I23" s="390" t="s">
        <v>690</v>
      </c>
      <c r="J23" s="388" t="s">
        <v>691</v>
      </c>
      <c r="K23" s="390" t="s">
        <v>732</v>
      </c>
      <c r="L23" s="391">
        <v>45897</v>
      </c>
      <c r="M23" s="399">
        <v>615.39</v>
      </c>
      <c r="N23" s="399">
        <v>660.19</v>
      </c>
      <c r="O23" s="207" t="s">
        <v>754</v>
      </c>
    </row>
    <row r="24" spans="3:15" s="207" customFormat="1" x14ac:dyDescent="0.3">
      <c r="C24" s="35"/>
      <c r="D24" s="395"/>
      <c r="E24" s="394"/>
      <c r="F24" s="393" t="s">
        <v>733</v>
      </c>
      <c r="G24" s="35" t="s">
        <v>729</v>
      </c>
      <c r="H24" s="394">
        <v>29994091</v>
      </c>
      <c r="I24" s="395" t="s">
        <v>690</v>
      </c>
      <c r="J24" s="393" t="s">
        <v>691</v>
      </c>
      <c r="K24" s="396">
        <v>45813</v>
      </c>
      <c r="L24" s="396">
        <v>45873</v>
      </c>
      <c r="M24" s="398">
        <v>89</v>
      </c>
      <c r="N24" s="398">
        <v>90.79</v>
      </c>
      <c r="O24" s="207" t="s">
        <v>754</v>
      </c>
    </row>
    <row r="25" spans="3:15" s="207" customFormat="1" x14ac:dyDescent="0.3">
      <c r="C25" s="35"/>
      <c r="D25" s="390"/>
      <c r="E25" s="389"/>
      <c r="F25" s="388" t="s">
        <v>733</v>
      </c>
      <c r="G25" s="35" t="s">
        <v>729</v>
      </c>
      <c r="H25" s="389">
        <v>29994103</v>
      </c>
      <c r="I25" s="390" t="s">
        <v>690</v>
      </c>
      <c r="J25" s="388" t="s">
        <v>691</v>
      </c>
      <c r="K25" s="391">
        <v>45813</v>
      </c>
      <c r="L25" s="391">
        <v>45873</v>
      </c>
      <c r="M25" s="399">
        <v>89</v>
      </c>
      <c r="N25" s="399">
        <v>90.79</v>
      </c>
      <c r="O25" s="207" t="s">
        <v>754</v>
      </c>
    </row>
    <row r="26" spans="3:15" s="207" customFormat="1" x14ac:dyDescent="0.3">
      <c r="C26" s="35"/>
      <c r="D26" s="395"/>
      <c r="E26" s="394"/>
      <c r="F26" s="393" t="s">
        <v>733</v>
      </c>
      <c r="G26" s="35" t="s">
        <v>729</v>
      </c>
      <c r="H26" s="394">
        <v>29994115</v>
      </c>
      <c r="I26" s="395" t="s">
        <v>690</v>
      </c>
      <c r="J26" s="393" t="s">
        <v>691</v>
      </c>
      <c r="K26" s="396">
        <v>45813</v>
      </c>
      <c r="L26" s="396">
        <v>45873</v>
      </c>
      <c r="M26" s="398">
        <v>89</v>
      </c>
      <c r="N26" s="398">
        <v>90.79</v>
      </c>
      <c r="O26" s="207" t="s">
        <v>754</v>
      </c>
    </row>
    <row r="27" spans="3:15" s="207" customFormat="1" x14ac:dyDescent="0.3">
      <c r="C27" s="35"/>
      <c r="D27" s="390"/>
      <c r="E27" s="389"/>
      <c r="F27" s="388" t="s">
        <v>733</v>
      </c>
      <c r="G27" s="35" t="s">
        <v>729</v>
      </c>
      <c r="H27" s="389">
        <v>29994139</v>
      </c>
      <c r="I27" s="390" t="s">
        <v>690</v>
      </c>
      <c r="J27" s="388" t="s">
        <v>691</v>
      </c>
      <c r="K27" s="391">
        <v>45813</v>
      </c>
      <c r="L27" s="391">
        <v>45873</v>
      </c>
      <c r="M27" s="399">
        <v>89</v>
      </c>
      <c r="N27" s="399">
        <v>90.79</v>
      </c>
      <c r="O27" s="207" t="s">
        <v>754</v>
      </c>
    </row>
    <row r="28" spans="3:15" s="207" customFormat="1" x14ac:dyDescent="0.3">
      <c r="C28" s="35"/>
      <c r="D28" s="395"/>
      <c r="E28" s="394"/>
      <c r="F28" s="393" t="s">
        <v>733</v>
      </c>
      <c r="G28" s="35" t="s">
        <v>729</v>
      </c>
      <c r="H28" s="394">
        <v>29994151</v>
      </c>
      <c r="I28" s="395" t="s">
        <v>690</v>
      </c>
      <c r="J28" s="393" t="s">
        <v>691</v>
      </c>
      <c r="K28" s="396">
        <v>45813</v>
      </c>
      <c r="L28" s="396">
        <v>45873</v>
      </c>
      <c r="M28" s="398">
        <v>89</v>
      </c>
      <c r="N28" s="398">
        <v>90.79</v>
      </c>
      <c r="O28" s="207" t="s">
        <v>754</v>
      </c>
    </row>
    <row r="29" spans="3:15" s="207" customFormat="1" x14ac:dyDescent="0.3">
      <c r="C29" s="35"/>
      <c r="D29" s="390"/>
      <c r="E29" s="389"/>
      <c r="F29" s="388" t="s">
        <v>733</v>
      </c>
      <c r="G29" s="35" t="s">
        <v>729</v>
      </c>
      <c r="H29" s="389">
        <v>29994163</v>
      </c>
      <c r="I29" s="390" t="s">
        <v>690</v>
      </c>
      <c r="J29" s="388" t="s">
        <v>691</v>
      </c>
      <c r="K29" s="391">
        <v>45813</v>
      </c>
      <c r="L29" s="391">
        <v>45873</v>
      </c>
      <c r="M29" s="399">
        <v>89</v>
      </c>
      <c r="N29" s="399">
        <v>90.79</v>
      </c>
      <c r="O29" s="207" t="s">
        <v>754</v>
      </c>
    </row>
    <row r="30" spans="3:15" s="207" customFormat="1" x14ac:dyDescent="0.3">
      <c r="C30" s="35"/>
      <c r="D30" s="395"/>
      <c r="E30" s="394"/>
      <c r="F30" s="393" t="s">
        <v>733</v>
      </c>
      <c r="G30" s="35" t="s">
        <v>729</v>
      </c>
      <c r="H30" s="394">
        <v>29994175</v>
      </c>
      <c r="I30" s="395" t="s">
        <v>690</v>
      </c>
      <c r="J30" s="393" t="s">
        <v>691</v>
      </c>
      <c r="K30" s="396">
        <v>45813</v>
      </c>
      <c r="L30" s="396">
        <v>45873</v>
      </c>
      <c r="M30" s="398">
        <v>89</v>
      </c>
      <c r="N30" s="398">
        <v>90.79</v>
      </c>
      <c r="O30" s="207" t="s">
        <v>754</v>
      </c>
    </row>
    <row r="31" spans="3:15" s="207" customFormat="1" x14ac:dyDescent="0.3">
      <c r="C31" s="35"/>
      <c r="D31" s="390"/>
      <c r="E31" s="389"/>
      <c r="F31" s="388" t="s">
        <v>733</v>
      </c>
      <c r="G31" s="35" t="s">
        <v>729</v>
      </c>
      <c r="H31" s="389">
        <v>29994127</v>
      </c>
      <c r="I31" s="390" t="s">
        <v>690</v>
      </c>
      <c r="J31" s="388" t="s">
        <v>691</v>
      </c>
      <c r="K31" s="391">
        <v>45813</v>
      </c>
      <c r="L31" s="391">
        <v>45873</v>
      </c>
      <c r="M31" s="399">
        <v>89</v>
      </c>
      <c r="N31" s="399">
        <v>90.79</v>
      </c>
      <c r="O31" s="207" t="s">
        <v>754</v>
      </c>
    </row>
    <row r="32" spans="3:15" s="207" customFormat="1" x14ac:dyDescent="0.3">
      <c r="C32" s="35"/>
      <c r="D32" s="395"/>
      <c r="E32" s="394"/>
      <c r="F32" s="393" t="s">
        <v>733</v>
      </c>
      <c r="G32" s="35" t="s">
        <v>729</v>
      </c>
      <c r="H32" s="394">
        <v>29994187</v>
      </c>
      <c r="I32" s="395" t="s">
        <v>690</v>
      </c>
      <c r="J32" s="393" t="s">
        <v>691</v>
      </c>
      <c r="K32" s="396">
        <v>45813</v>
      </c>
      <c r="L32" s="396">
        <v>45873</v>
      </c>
      <c r="M32" s="398">
        <v>89</v>
      </c>
      <c r="N32" s="398">
        <v>90.79</v>
      </c>
      <c r="O32" s="207" t="s">
        <v>754</v>
      </c>
    </row>
    <row r="33" spans="3:15" s="207" customFormat="1" x14ac:dyDescent="0.3">
      <c r="C33" s="35"/>
      <c r="D33" s="390"/>
      <c r="E33" s="389"/>
      <c r="F33" s="388" t="s">
        <v>704</v>
      </c>
      <c r="G33" s="35" t="s">
        <v>734</v>
      </c>
      <c r="H33" s="389">
        <v>15743853</v>
      </c>
      <c r="I33" s="390" t="s">
        <v>690</v>
      </c>
      <c r="J33" s="388" t="s">
        <v>691</v>
      </c>
      <c r="K33" s="391">
        <v>45813</v>
      </c>
      <c r="L33" s="391">
        <v>45842</v>
      </c>
      <c r="M33" s="392">
        <v>1807.87</v>
      </c>
      <c r="N33" s="390" t="s">
        <v>431</v>
      </c>
      <c r="O33" s="207" t="s">
        <v>754</v>
      </c>
    </row>
    <row r="34" spans="3:15" s="207" customFormat="1" x14ac:dyDescent="0.3">
      <c r="C34" s="35"/>
      <c r="D34" s="395"/>
      <c r="E34" s="394"/>
      <c r="F34" s="393" t="s">
        <v>704</v>
      </c>
      <c r="G34" s="35" t="s">
        <v>734</v>
      </c>
      <c r="H34" s="394">
        <v>15743853</v>
      </c>
      <c r="I34" s="395" t="s">
        <v>690</v>
      </c>
      <c r="J34" s="393" t="s">
        <v>691</v>
      </c>
      <c r="K34" s="396">
        <v>45813</v>
      </c>
      <c r="L34" s="396">
        <v>45842</v>
      </c>
      <c r="M34" s="397">
        <v>1807.87</v>
      </c>
      <c r="N34" s="395" t="s">
        <v>431</v>
      </c>
      <c r="O34" s="207" t="s">
        <v>754</v>
      </c>
    </row>
    <row r="35" spans="3:15" s="207" customFormat="1" x14ac:dyDescent="0.3">
      <c r="C35" s="35"/>
      <c r="D35" s="390"/>
      <c r="E35" s="389"/>
      <c r="F35" s="388" t="s">
        <v>704</v>
      </c>
      <c r="G35" s="35" t="s">
        <v>734</v>
      </c>
      <c r="H35" s="389">
        <v>15743853</v>
      </c>
      <c r="I35" s="390" t="s">
        <v>690</v>
      </c>
      <c r="J35" s="388" t="s">
        <v>691</v>
      </c>
      <c r="K35" s="391">
        <v>45813</v>
      </c>
      <c r="L35" s="391">
        <v>45842</v>
      </c>
      <c r="M35" s="392">
        <v>1807.87</v>
      </c>
      <c r="N35" s="390" t="s">
        <v>431</v>
      </c>
      <c r="O35" s="207" t="s">
        <v>754</v>
      </c>
    </row>
    <row r="36" spans="3:15" s="207" customFormat="1" x14ac:dyDescent="0.3">
      <c r="C36" s="35"/>
      <c r="D36" s="395"/>
      <c r="E36" s="394"/>
      <c r="F36" s="393" t="s">
        <v>704</v>
      </c>
      <c r="G36" s="35" t="s">
        <v>734</v>
      </c>
      <c r="H36" s="394">
        <v>15743853</v>
      </c>
      <c r="I36" s="395" t="s">
        <v>690</v>
      </c>
      <c r="J36" s="393" t="s">
        <v>691</v>
      </c>
      <c r="K36" s="396">
        <v>45813</v>
      </c>
      <c r="L36" s="396">
        <v>45842</v>
      </c>
      <c r="M36" s="397">
        <v>1807.87</v>
      </c>
      <c r="N36" s="395" t="s">
        <v>431</v>
      </c>
      <c r="O36" s="207" t="s">
        <v>754</v>
      </c>
    </row>
    <row r="37" spans="3:15" s="207" customFormat="1" x14ac:dyDescent="0.3">
      <c r="C37" s="35"/>
      <c r="D37" s="390"/>
      <c r="E37" s="389"/>
      <c r="F37" s="388" t="s">
        <v>704</v>
      </c>
      <c r="G37" s="35" t="s">
        <v>734</v>
      </c>
      <c r="H37" s="389">
        <v>15743853</v>
      </c>
      <c r="I37" s="390" t="s">
        <v>690</v>
      </c>
      <c r="J37" s="388" t="s">
        <v>691</v>
      </c>
      <c r="K37" s="391">
        <v>45813</v>
      </c>
      <c r="L37" s="391">
        <v>45842</v>
      </c>
      <c r="M37" s="392">
        <v>1807.87</v>
      </c>
      <c r="N37" s="390" t="s">
        <v>431</v>
      </c>
      <c r="O37" s="207" t="s">
        <v>754</v>
      </c>
    </row>
    <row r="38" spans="3:15" s="207" customFormat="1" x14ac:dyDescent="0.3">
      <c r="C38" s="35"/>
      <c r="D38" s="395"/>
      <c r="E38" s="394"/>
      <c r="F38" s="393" t="s">
        <v>704</v>
      </c>
      <c r="G38" s="35" t="s">
        <v>734</v>
      </c>
      <c r="H38" s="394">
        <v>15743853</v>
      </c>
      <c r="I38" s="395" t="s">
        <v>690</v>
      </c>
      <c r="J38" s="393" t="s">
        <v>691</v>
      </c>
      <c r="K38" s="396">
        <v>45813</v>
      </c>
      <c r="L38" s="396">
        <v>45842</v>
      </c>
      <c r="M38" s="397">
        <v>1807.87</v>
      </c>
      <c r="N38" s="395" t="s">
        <v>431</v>
      </c>
      <c r="O38" s="207" t="s">
        <v>754</v>
      </c>
    </row>
    <row r="39" spans="3:15" s="207" customFormat="1" x14ac:dyDescent="0.3">
      <c r="C39" s="35"/>
      <c r="D39" s="390"/>
      <c r="E39" s="389"/>
      <c r="F39" s="388" t="s">
        <v>704</v>
      </c>
      <c r="G39" s="35" t="s">
        <v>734</v>
      </c>
      <c r="H39" s="389">
        <v>15743853</v>
      </c>
      <c r="I39" s="390" t="s">
        <v>690</v>
      </c>
      <c r="J39" s="388" t="s">
        <v>691</v>
      </c>
      <c r="K39" s="391">
        <v>45813</v>
      </c>
      <c r="L39" s="391">
        <v>45842</v>
      </c>
      <c r="M39" s="392">
        <v>1807.87</v>
      </c>
      <c r="N39" s="390" t="s">
        <v>431</v>
      </c>
      <c r="O39" s="207" t="s">
        <v>754</v>
      </c>
    </row>
    <row r="40" spans="3:15" s="207" customFormat="1" x14ac:dyDescent="0.3">
      <c r="C40" s="35"/>
      <c r="D40" s="395"/>
      <c r="E40" s="394"/>
      <c r="F40" s="393" t="s">
        <v>704</v>
      </c>
      <c r="G40" s="35" t="s">
        <v>734</v>
      </c>
      <c r="H40" s="394">
        <v>15743853</v>
      </c>
      <c r="I40" s="395" t="s">
        <v>690</v>
      </c>
      <c r="J40" s="393" t="s">
        <v>691</v>
      </c>
      <c r="K40" s="396">
        <v>45813</v>
      </c>
      <c r="L40" s="396">
        <v>45842</v>
      </c>
      <c r="M40" s="397">
        <v>1807.87</v>
      </c>
      <c r="N40" s="395" t="s">
        <v>431</v>
      </c>
      <c r="O40" s="207" t="s">
        <v>754</v>
      </c>
    </row>
    <row r="41" spans="3:15" s="207" customFormat="1" x14ac:dyDescent="0.3">
      <c r="C41" s="35"/>
      <c r="D41" s="390"/>
      <c r="E41" s="389"/>
      <c r="F41" s="388" t="s">
        <v>704</v>
      </c>
      <c r="G41" s="35" t="s">
        <v>734</v>
      </c>
      <c r="H41" s="389">
        <v>15743853</v>
      </c>
      <c r="I41" s="390" t="s">
        <v>690</v>
      </c>
      <c r="J41" s="388" t="s">
        <v>691</v>
      </c>
      <c r="K41" s="391">
        <v>45813</v>
      </c>
      <c r="L41" s="391">
        <v>45842</v>
      </c>
      <c r="M41" s="392">
        <v>1807.87</v>
      </c>
      <c r="N41" s="390" t="s">
        <v>431</v>
      </c>
      <c r="O41" s="207" t="s">
        <v>754</v>
      </c>
    </row>
    <row r="42" spans="3:15" s="207" customFormat="1" x14ac:dyDescent="0.3">
      <c r="C42" s="35"/>
      <c r="D42" s="395"/>
      <c r="E42" s="394"/>
      <c r="F42" s="393" t="s">
        <v>704</v>
      </c>
      <c r="G42" s="35" t="s">
        <v>734</v>
      </c>
      <c r="H42" s="394">
        <v>15743853</v>
      </c>
      <c r="I42" s="395" t="s">
        <v>690</v>
      </c>
      <c r="J42" s="393" t="s">
        <v>691</v>
      </c>
      <c r="K42" s="396">
        <v>45813</v>
      </c>
      <c r="L42" s="396">
        <v>45842</v>
      </c>
      <c r="M42" s="397">
        <v>1807.87</v>
      </c>
      <c r="N42" s="395" t="s">
        <v>431</v>
      </c>
      <c r="O42" s="207" t="s">
        <v>754</v>
      </c>
    </row>
    <row r="43" spans="3:15" s="207" customFormat="1" x14ac:dyDescent="0.3">
      <c r="C43" s="35"/>
      <c r="D43" s="390"/>
      <c r="E43" s="389"/>
      <c r="F43" s="388" t="s">
        <v>704</v>
      </c>
      <c r="G43" s="35" t="s">
        <v>734</v>
      </c>
      <c r="H43" s="389">
        <v>15743853</v>
      </c>
      <c r="I43" s="390" t="s">
        <v>690</v>
      </c>
      <c r="J43" s="388" t="s">
        <v>691</v>
      </c>
      <c r="K43" s="391">
        <v>45813</v>
      </c>
      <c r="L43" s="391">
        <v>45842</v>
      </c>
      <c r="M43" s="392">
        <v>1807.87</v>
      </c>
      <c r="N43" s="390" t="s">
        <v>431</v>
      </c>
      <c r="O43" s="207" t="s">
        <v>754</v>
      </c>
    </row>
    <row r="44" spans="3:15" s="207" customFormat="1" x14ac:dyDescent="0.3">
      <c r="C44" s="35"/>
      <c r="D44" s="395"/>
      <c r="E44" s="394"/>
      <c r="F44" s="393" t="s">
        <v>704</v>
      </c>
      <c r="G44" s="35" t="s">
        <v>734</v>
      </c>
      <c r="H44" s="394">
        <v>15743853</v>
      </c>
      <c r="I44" s="395" t="s">
        <v>690</v>
      </c>
      <c r="J44" s="393" t="s">
        <v>691</v>
      </c>
      <c r="K44" s="396">
        <v>45813</v>
      </c>
      <c r="L44" s="396">
        <v>45842</v>
      </c>
      <c r="M44" s="397">
        <v>1807.87</v>
      </c>
      <c r="N44" s="395" t="s">
        <v>431</v>
      </c>
      <c r="O44" s="207" t="s">
        <v>754</v>
      </c>
    </row>
    <row r="45" spans="3:15" s="207" customFormat="1" x14ac:dyDescent="0.3">
      <c r="C45" s="35"/>
      <c r="D45" s="390"/>
      <c r="E45" s="389"/>
      <c r="F45" s="388" t="s">
        <v>704</v>
      </c>
      <c r="G45" s="35" t="s">
        <v>734</v>
      </c>
      <c r="H45" s="389">
        <v>15743853</v>
      </c>
      <c r="I45" s="390" t="s">
        <v>690</v>
      </c>
      <c r="J45" s="388" t="s">
        <v>691</v>
      </c>
      <c r="K45" s="391">
        <v>45813</v>
      </c>
      <c r="L45" s="391">
        <v>45842</v>
      </c>
      <c r="M45" s="392">
        <v>1807.87</v>
      </c>
      <c r="N45" s="390" t="s">
        <v>431</v>
      </c>
      <c r="O45" s="207" t="s">
        <v>754</v>
      </c>
    </row>
    <row r="46" spans="3:15" s="207" customFormat="1" x14ac:dyDescent="0.3">
      <c r="C46" s="35"/>
      <c r="D46" s="395"/>
      <c r="E46" s="394"/>
      <c r="F46" s="393" t="s">
        <v>704</v>
      </c>
      <c r="G46" s="35" t="s">
        <v>734</v>
      </c>
      <c r="H46" s="394">
        <v>15743853</v>
      </c>
      <c r="I46" s="395" t="s">
        <v>690</v>
      </c>
      <c r="J46" s="393" t="s">
        <v>691</v>
      </c>
      <c r="K46" s="396">
        <v>45813</v>
      </c>
      <c r="L46" s="396">
        <v>45842</v>
      </c>
      <c r="M46" s="397">
        <v>1807.87</v>
      </c>
      <c r="N46" s="395" t="s">
        <v>431</v>
      </c>
      <c r="O46" s="207" t="s">
        <v>754</v>
      </c>
    </row>
    <row r="47" spans="3:15" s="207" customFormat="1" x14ac:dyDescent="0.3">
      <c r="C47" s="35"/>
      <c r="D47" s="390"/>
      <c r="E47" s="389"/>
      <c r="F47" s="388" t="s">
        <v>704</v>
      </c>
      <c r="G47" s="35" t="s">
        <v>734</v>
      </c>
      <c r="H47" s="389">
        <v>15743853</v>
      </c>
      <c r="I47" s="390" t="s">
        <v>690</v>
      </c>
      <c r="J47" s="388" t="s">
        <v>691</v>
      </c>
      <c r="K47" s="391">
        <v>45813</v>
      </c>
      <c r="L47" s="391">
        <v>45842</v>
      </c>
      <c r="M47" s="392">
        <v>1807.87</v>
      </c>
      <c r="N47" s="390" t="s">
        <v>431</v>
      </c>
      <c r="O47" s="207" t="s">
        <v>754</v>
      </c>
    </row>
    <row r="48" spans="3:15" s="207" customFormat="1" x14ac:dyDescent="0.3">
      <c r="C48" s="35"/>
      <c r="D48" s="395"/>
      <c r="E48" s="394"/>
      <c r="F48" s="393" t="s">
        <v>704</v>
      </c>
      <c r="G48" s="35" t="s">
        <v>734</v>
      </c>
      <c r="H48" s="394">
        <v>15743853</v>
      </c>
      <c r="I48" s="395" t="s">
        <v>690</v>
      </c>
      <c r="J48" s="393" t="s">
        <v>691</v>
      </c>
      <c r="K48" s="396">
        <v>45813</v>
      </c>
      <c r="L48" s="396">
        <v>45842</v>
      </c>
      <c r="M48" s="397">
        <v>1807.87</v>
      </c>
      <c r="N48" s="395" t="s">
        <v>431</v>
      </c>
      <c r="O48" s="207" t="s">
        <v>754</v>
      </c>
    </row>
    <row r="49" spans="3:15" s="207" customFormat="1" x14ac:dyDescent="0.3">
      <c r="C49" s="35"/>
      <c r="D49" s="390"/>
      <c r="E49" s="389"/>
      <c r="F49" s="388" t="s">
        <v>704</v>
      </c>
      <c r="G49" s="35" t="s">
        <v>734</v>
      </c>
      <c r="H49" s="389">
        <v>15743853</v>
      </c>
      <c r="I49" s="390" t="s">
        <v>690</v>
      </c>
      <c r="J49" s="388" t="s">
        <v>691</v>
      </c>
      <c r="K49" s="391">
        <v>45813</v>
      </c>
      <c r="L49" s="391">
        <v>45842</v>
      </c>
      <c r="M49" s="392">
        <v>1807.87</v>
      </c>
      <c r="N49" s="390" t="s">
        <v>431</v>
      </c>
      <c r="O49" s="207" t="s">
        <v>754</v>
      </c>
    </row>
    <row r="50" spans="3:15" s="207" customFormat="1" x14ac:dyDescent="0.3">
      <c r="C50" s="35"/>
      <c r="D50" s="395"/>
      <c r="E50" s="394"/>
      <c r="F50" s="393" t="s">
        <v>704</v>
      </c>
      <c r="G50" s="35" t="s">
        <v>734</v>
      </c>
      <c r="H50" s="394">
        <v>15743853</v>
      </c>
      <c r="I50" s="395" t="s">
        <v>690</v>
      </c>
      <c r="J50" s="393" t="s">
        <v>691</v>
      </c>
      <c r="K50" s="396">
        <v>45813</v>
      </c>
      <c r="L50" s="396">
        <v>45842</v>
      </c>
      <c r="M50" s="397">
        <v>1807.87</v>
      </c>
      <c r="N50" s="395" t="s">
        <v>431</v>
      </c>
      <c r="O50" s="207" t="s">
        <v>754</v>
      </c>
    </row>
    <row r="51" spans="3:15" s="207" customFormat="1" x14ac:dyDescent="0.3">
      <c r="C51" s="35"/>
      <c r="D51" s="390"/>
      <c r="E51" s="389"/>
      <c r="F51" s="388" t="s">
        <v>704</v>
      </c>
      <c r="G51" s="35" t="s">
        <v>734</v>
      </c>
      <c r="H51" s="389">
        <v>15743853</v>
      </c>
      <c r="I51" s="390" t="s">
        <v>690</v>
      </c>
      <c r="J51" s="388" t="s">
        <v>691</v>
      </c>
      <c r="K51" s="391">
        <v>45813</v>
      </c>
      <c r="L51" s="391">
        <v>45842</v>
      </c>
      <c r="M51" s="392">
        <v>1807.87</v>
      </c>
      <c r="N51" s="390" t="s">
        <v>431</v>
      </c>
      <c r="O51" s="207" t="s">
        <v>754</v>
      </c>
    </row>
    <row r="52" spans="3:15" s="207" customFormat="1" x14ac:dyDescent="0.3">
      <c r="C52" s="35"/>
      <c r="D52" s="395"/>
      <c r="E52" s="394"/>
      <c r="F52" s="393" t="s">
        <v>704</v>
      </c>
      <c r="G52" s="35" t="s">
        <v>734</v>
      </c>
      <c r="H52" s="394">
        <v>15743853</v>
      </c>
      <c r="I52" s="395" t="s">
        <v>690</v>
      </c>
      <c r="J52" s="393" t="s">
        <v>691</v>
      </c>
      <c r="K52" s="396">
        <v>45813</v>
      </c>
      <c r="L52" s="396">
        <v>45842</v>
      </c>
      <c r="M52" s="397">
        <v>1807.87</v>
      </c>
      <c r="N52" s="395" t="s">
        <v>431</v>
      </c>
      <c r="O52" s="207" t="s">
        <v>754</v>
      </c>
    </row>
    <row r="53" spans="3:15" s="207" customFormat="1" x14ac:dyDescent="0.3">
      <c r="C53" s="35"/>
      <c r="D53" s="390"/>
      <c r="E53" s="389"/>
      <c r="F53" s="388" t="s">
        <v>704</v>
      </c>
      <c r="G53" s="35" t="s">
        <v>734</v>
      </c>
      <c r="H53" s="389">
        <v>15743853</v>
      </c>
      <c r="I53" s="390" t="s">
        <v>690</v>
      </c>
      <c r="J53" s="388" t="s">
        <v>691</v>
      </c>
      <c r="K53" s="391">
        <v>45813</v>
      </c>
      <c r="L53" s="391">
        <v>45842</v>
      </c>
      <c r="M53" s="392">
        <v>1807.87</v>
      </c>
      <c r="N53" s="390" t="s">
        <v>431</v>
      </c>
      <c r="O53" s="207" t="s">
        <v>754</v>
      </c>
    </row>
    <row r="54" spans="3:15" s="207" customFormat="1" x14ac:dyDescent="0.3">
      <c r="C54" s="35"/>
      <c r="D54" s="395"/>
      <c r="E54" s="394"/>
      <c r="F54" s="393" t="s">
        <v>704</v>
      </c>
      <c r="G54" s="35" t="s">
        <v>734</v>
      </c>
      <c r="H54" s="394">
        <v>15743853</v>
      </c>
      <c r="I54" s="395" t="s">
        <v>690</v>
      </c>
      <c r="J54" s="393" t="s">
        <v>691</v>
      </c>
      <c r="K54" s="396">
        <v>45813</v>
      </c>
      <c r="L54" s="396">
        <v>45842</v>
      </c>
      <c r="M54" s="397">
        <v>1807.87</v>
      </c>
      <c r="N54" s="395" t="s">
        <v>431</v>
      </c>
      <c r="O54" s="207" t="s">
        <v>754</v>
      </c>
    </row>
    <row r="55" spans="3:15" s="207" customFormat="1" x14ac:dyDescent="0.3">
      <c r="C55" s="35"/>
      <c r="D55" s="390"/>
      <c r="E55" s="389"/>
      <c r="F55" s="388" t="s">
        <v>704</v>
      </c>
      <c r="G55" s="35" t="s">
        <v>734</v>
      </c>
      <c r="H55" s="389">
        <v>15743853</v>
      </c>
      <c r="I55" s="390" t="s">
        <v>690</v>
      </c>
      <c r="J55" s="388" t="s">
        <v>691</v>
      </c>
      <c r="K55" s="391">
        <v>45813</v>
      </c>
      <c r="L55" s="391">
        <v>45842</v>
      </c>
      <c r="M55" s="392">
        <v>1807.87</v>
      </c>
      <c r="N55" s="390" t="s">
        <v>431</v>
      </c>
      <c r="O55" s="207" t="s">
        <v>754</v>
      </c>
    </row>
    <row r="56" spans="3:15" s="207" customFormat="1" x14ac:dyDescent="0.3">
      <c r="C56" s="35"/>
      <c r="D56" s="395"/>
      <c r="E56" s="394"/>
      <c r="F56" s="393" t="s">
        <v>704</v>
      </c>
      <c r="G56" s="35" t="s">
        <v>734</v>
      </c>
      <c r="H56" s="394">
        <v>15743853</v>
      </c>
      <c r="I56" s="395" t="s">
        <v>690</v>
      </c>
      <c r="J56" s="393" t="s">
        <v>691</v>
      </c>
      <c r="K56" s="396">
        <v>45813</v>
      </c>
      <c r="L56" s="396">
        <v>45842</v>
      </c>
      <c r="M56" s="397">
        <v>1807.87</v>
      </c>
      <c r="N56" s="395" t="s">
        <v>431</v>
      </c>
      <c r="O56" s="207" t="s">
        <v>754</v>
      </c>
    </row>
    <row r="57" spans="3:15" s="207" customFormat="1" x14ac:dyDescent="0.3">
      <c r="C57" s="35"/>
      <c r="D57" s="390"/>
      <c r="E57" s="389"/>
      <c r="F57" s="388" t="s">
        <v>704</v>
      </c>
      <c r="G57" s="35" t="s">
        <v>734</v>
      </c>
      <c r="H57" s="389">
        <v>15743853</v>
      </c>
      <c r="I57" s="390" t="s">
        <v>690</v>
      </c>
      <c r="J57" s="388" t="s">
        <v>691</v>
      </c>
      <c r="K57" s="391">
        <v>45813</v>
      </c>
      <c r="L57" s="391">
        <v>45842</v>
      </c>
      <c r="M57" s="392">
        <v>1807.87</v>
      </c>
      <c r="N57" s="390" t="s">
        <v>431</v>
      </c>
      <c r="O57" s="207" t="s">
        <v>754</v>
      </c>
    </row>
    <row r="58" spans="3:15" x14ac:dyDescent="0.3">
      <c r="C58" s="32"/>
      <c r="D58" s="380"/>
      <c r="E58" s="381"/>
      <c r="F58" s="400" t="s">
        <v>687</v>
      </c>
      <c r="G58" s="33" t="s">
        <v>727</v>
      </c>
      <c r="H58" s="401">
        <v>9059440</v>
      </c>
      <c r="I58" s="402" t="s">
        <v>690</v>
      </c>
      <c r="J58" s="400" t="s">
        <v>691</v>
      </c>
      <c r="K58" s="403">
        <v>45818</v>
      </c>
      <c r="L58" s="403">
        <v>49470</v>
      </c>
      <c r="M58" s="404">
        <v>367.08</v>
      </c>
      <c r="N58" s="404">
        <v>411.22</v>
      </c>
      <c r="O58" s="414" t="s">
        <v>766</v>
      </c>
    </row>
    <row r="59" spans="3:15" x14ac:dyDescent="0.3">
      <c r="C59" s="32"/>
      <c r="D59" s="384"/>
      <c r="E59" s="385"/>
      <c r="F59" s="400" t="s">
        <v>698</v>
      </c>
      <c r="G59" s="33" t="s">
        <v>727</v>
      </c>
      <c r="H59" s="401">
        <v>54010552</v>
      </c>
      <c r="I59" s="402" t="s">
        <v>690</v>
      </c>
      <c r="J59" s="400" t="s">
        <v>691</v>
      </c>
      <c r="K59" s="403">
        <v>45818</v>
      </c>
      <c r="L59" s="403">
        <v>49470</v>
      </c>
      <c r="M59" s="404">
        <v>303.24</v>
      </c>
      <c r="N59" s="404">
        <v>339.76</v>
      </c>
      <c r="O59" s="414" t="s">
        <v>766</v>
      </c>
    </row>
    <row r="60" spans="3:15" x14ac:dyDescent="0.3">
      <c r="C60" s="32"/>
      <c r="D60" s="380"/>
      <c r="E60" s="381"/>
      <c r="F60" s="400" t="s">
        <v>692</v>
      </c>
      <c r="G60" s="33" t="s">
        <v>727</v>
      </c>
      <c r="H60" s="401">
        <v>1895930</v>
      </c>
      <c r="I60" s="402" t="s">
        <v>690</v>
      </c>
      <c r="J60" s="400" t="s">
        <v>691</v>
      </c>
      <c r="K60" s="403">
        <v>45818</v>
      </c>
      <c r="L60" s="403">
        <v>49470</v>
      </c>
      <c r="M60" s="404">
        <v>845.88</v>
      </c>
      <c r="N60" s="404">
        <v>947.82</v>
      </c>
      <c r="O60" s="414" t="s">
        <v>766</v>
      </c>
    </row>
    <row r="61" spans="3:15" x14ac:dyDescent="0.3">
      <c r="C61" s="32"/>
      <c r="D61" s="384"/>
      <c r="E61" s="385"/>
      <c r="F61" s="400" t="s">
        <v>706</v>
      </c>
      <c r="G61" s="33" t="s">
        <v>727</v>
      </c>
      <c r="H61" s="401">
        <v>24693737</v>
      </c>
      <c r="I61" s="402" t="s">
        <v>690</v>
      </c>
      <c r="J61" s="400" t="s">
        <v>691</v>
      </c>
      <c r="K61" s="403">
        <v>45818</v>
      </c>
      <c r="L61" s="403">
        <v>49470</v>
      </c>
      <c r="M61" s="404">
        <v>143.63999999999999</v>
      </c>
      <c r="N61" s="404">
        <v>160.79</v>
      </c>
      <c r="O61" s="414" t="s">
        <v>766</v>
      </c>
    </row>
    <row r="62" spans="3:15" x14ac:dyDescent="0.3">
      <c r="C62" s="32"/>
      <c r="D62" s="380"/>
      <c r="E62" s="381"/>
      <c r="F62" s="400" t="s">
        <v>694</v>
      </c>
      <c r="G62" s="33" t="s">
        <v>727</v>
      </c>
      <c r="H62" s="401">
        <v>52953672</v>
      </c>
      <c r="I62" s="402" t="s">
        <v>690</v>
      </c>
      <c r="J62" s="400" t="s">
        <v>691</v>
      </c>
      <c r="K62" s="403">
        <v>45818</v>
      </c>
      <c r="L62" s="403">
        <v>49470</v>
      </c>
      <c r="M62" s="404">
        <v>462.84</v>
      </c>
      <c r="N62" s="404">
        <v>518.41999999999996</v>
      </c>
      <c r="O62" s="414" t="s">
        <v>766</v>
      </c>
    </row>
    <row r="63" spans="3:15" x14ac:dyDescent="0.3">
      <c r="C63" s="32"/>
      <c r="D63" s="384"/>
      <c r="E63" s="385"/>
      <c r="F63" s="400" t="s">
        <v>702</v>
      </c>
      <c r="G63" s="33" t="s">
        <v>727</v>
      </c>
      <c r="H63" s="401">
        <v>50980245</v>
      </c>
      <c r="I63" s="402" t="s">
        <v>690</v>
      </c>
      <c r="J63" s="400" t="s">
        <v>691</v>
      </c>
      <c r="K63" s="403">
        <v>45818</v>
      </c>
      <c r="L63" s="403">
        <v>49470</v>
      </c>
      <c r="M63" s="404">
        <v>95.76</v>
      </c>
      <c r="N63" s="404">
        <v>107.19</v>
      </c>
      <c r="O63" s="414" t="s">
        <v>766</v>
      </c>
    </row>
    <row r="64" spans="3:15" x14ac:dyDescent="0.3">
      <c r="C64" s="32"/>
      <c r="D64" s="380"/>
      <c r="E64" s="381"/>
      <c r="F64" s="400" t="s">
        <v>696</v>
      </c>
      <c r="G64" s="33" t="s">
        <v>727</v>
      </c>
      <c r="H64" s="401">
        <v>92469277</v>
      </c>
      <c r="I64" s="402" t="s">
        <v>690</v>
      </c>
      <c r="J64" s="400" t="s">
        <v>691</v>
      </c>
      <c r="K64" s="403">
        <v>45818</v>
      </c>
      <c r="L64" s="403">
        <v>49470</v>
      </c>
      <c r="M64" s="404">
        <v>957.6</v>
      </c>
      <c r="N64" s="406">
        <v>1072.8900000000001</v>
      </c>
      <c r="O64" s="414" t="s">
        <v>766</v>
      </c>
    </row>
    <row r="65" spans="3:15" x14ac:dyDescent="0.3">
      <c r="C65" s="32"/>
      <c r="D65" s="384"/>
      <c r="E65" s="385"/>
      <c r="F65" s="400" t="s">
        <v>704</v>
      </c>
      <c r="G65" s="33" t="s">
        <v>727</v>
      </c>
      <c r="H65" s="401">
        <v>10662166</v>
      </c>
      <c r="I65" s="402" t="s">
        <v>690</v>
      </c>
      <c r="J65" s="400" t="s">
        <v>691</v>
      </c>
      <c r="K65" s="403">
        <v>45818</v>
      </c>
      <c r="L65" s="403">
        <v>49470</v>
      </c>
      <c r="M65" s="404">
        <v>63.84</v>
      </c>
      <c r="N65" s="404">
        <v>71.459999999999994</v>
      </c>
      <c r="O65" s="414" t="s">
        <v>766</v>
      </c>
    </row>
    <row r="66" spans="3:15" x14ac:dyDescent="0.3">
      <c r="C66" s="32"/>
      <c r="D66" s="380"/>
      <c r="E66" s="381"/>
      <c r="F66" s="400" t="s">
        <v>700</v>
      </c>
      <c r="G66" s="33" t="s">
        <v>727</v>
      </c>
      <c r="H66" s="401">
        <v>31028391</v>
      </c>
      <c r="I66" s="402" t="s">
        <v>690</v>
      </c>
      <c r="J66" s="400" t="s">
        <v>691</v>
      </c>
      <c r="K66" s="403">
        <v>45818</v>
      </c>
      <c r="L66" s="403">
        <v>49470</v>
      </c>
      <c r="M66" s="404">
        <v>223.44</v>
      </c>
      <c r="N66" s="404">
        <v>250.12</v>
      </c>
      <c r="O66" s="414" t="s">
        <v>766</v>
      </c>
    </row>
    <row r="67" spans="3:15" x14ac:dyDescent="0.3">
      <c r="C67" s="32"/>
      <c r="D67" s="384"/>
      <c r="E67" s="385"/>
      <c r="F67" s="407" t="s">
        <v>735</v>
      </c>
      <c r="G67" s="408" t="s">
        <v>736</v>
      </c>
      <c r="H67" s="409">
        <v>156154725</v>
      </c>
      <c r="I67" s="410" t="s">
        <v>690</v>
      </c>
      <c r="J67" s="407" t="s">
        <v>691</v>
      </c>
      <c r="K67" s="411">
        <v>45820</v>
      </c>
      <c r="L67" s="411">
        <v>45849</v>
      </c>
      <c r="M67" s="412">
        <v>187.42</v>
      </c>
      <c r="N67" s="412">
        <v>192.98</v>
      </c>
    </row>
    <row r="68" spans="3:15" x14ac:dyDescent="0.3">
      <c r="C68" s="32"/>
      <c r="D68" s="380"/>
      <c r="E68" s="381"/>
      <c r="F68" s="407" t="s">
        <v>735</v>
      </c>
      <c r="G68" s="408" t="s">
        <v>736</v>
      </c>
      <c r="H68" s="409">
        <v>216178215</v>
      </c>
      <c r="I68" s="410" t="s">
        <v>690</v>
      </c>
      <c r="J68" s="407" t="s">
        <v>691</v>
      </c>
      <c r="K68" s="411">
        <v>45821</v>
      </c>
      <c r="L68" s="411">
        <v>45850</v>
      </c>
      <c r="M68" s="413">
        <v>4375.75</v>
      </c>
      <c r="N68" s="413">
        <v>4504.1000000000004</v>
      </c>
    </row>
    <row r="69" spans="3:15" x14ac:dyDescent="0.3">
      <c r="C69" s="32"/>
      <c r="D69" s="384"/>
      <c r="E69" s="385"/>
      <c r="F69" s="407" t="s">
        <v>735</v>
      </c>
      <c r="G69" s="408" t="s">
        <v>736</v>
      </c>
      <c r="H69" s="409">
        <v>216262998</v>
      </c>
      <c r="I69" s="410" t="s">
        <v>690</v>
      </c>
      <c r="J69" s="407" t="s">
        <v>691</v>
      </c>
      <c r="K69" s="411">
        <v>45824</v>
      </c>
      <c r="L69" s="411">
        <v>45853</v>
      </c>
      <c r="M69" s="413">
        <v>4831.96</v>
      </c>
      <c r="N69" s="413">
        <v>4968.8599999999997</v>
      </c>
    </row>
    <row r="70" spans="3:15" x14ac:dyDescent="0.3">
      <c r="C70" s="32"/>
      <c r="D70" s="380"/>
      <c r="E70" s="381"/>
      <c r="F70" s="407" t="s">
        <v>735</v>
      </c>
      <c r="G70" s="408" t="s">
        <v>736</v>
      </c>
      <c r="H70" s="409">
        <v>216262998</v>
      </c>
      <c r="I70" s="410" t="s">
        <v>690</v>
      </c>
      <c r="J70" s="407" t="s">
        <v>691</v>
      </c>
      <c r="K70" s="411">
        <v>45825</v>
      </c>
      <c r="L70" s="411">
        <v>45854</v>
      </c>
      <c r="M70" s="413">
        <v>4831.96</v>
      </c>
      <c r="N70" s="413">
        <v>4967.25</v>
      </c>
    </row>
    <row r="71" spans="3:15" x14ac:dyDescent="0.3">
      <c r="C71" s="32"/>
      <c r="D71" s="384"/>
      <c r="E71" s="385"/>
      <c r="F71" s="407" t="s">
        <v>735</v>
      </c>
      <c r="G71" s="408" t="s">
        <v>736</v>
      </c>
      <c r="H71" s="409">
        <v>46445801</v>
      </c>
      <c r="I71" s="410" t="s">
        <v>690</v>
      </c>
      <c r="J71" s="407" t="s">
        <v>691</v>
      </c>
      <c r="K71" s="411">
        <v>45826</v>
      </c>
      <c r="L71" s="411">
        <v>45855</v>
      </c>
      <c r="M71" s="413">
        <v>4691.8100000000004</v>
      </c>
      <c r="N71" s="413">
        <v>4691.8100000000004</v>
      </c>
    </row>
    <row r="72" spans="3:15" s="207" customFormat="1" x14ac:dyDescent="0.3">
      <c r="C72" s="35"/>
      <c r="D72" s="395"/>
      <c r="E72" s="394"/>
      <c r="F72" s="393" t="s">
        <v>44</v>
      </c>
      <c r="G72" s="35" t="s">
        <v>728</v>
      </c>
      <c r="H72" s="394">
        <v>40506</v>
      </c>
      <c r="I72" s="395" t="s">
        <v>690</v>
      </c>
      <c r="J72" s="393" t="s">
        <v>691</v>
      </c>
      <c r="K72" s="396">
        <v>45828</v>
      </c>
      <c r="L72" s="396">
        <v>49467</v>
      </c>
      <c r="M72" s="398">
        <v>45</v>
      </c>
      <c r="N72" s="398">
        <v>46.11</v>
      </c>
    </row>
    <row r="73" spans="3:15" s="207" customFormat="1" x14ac:dyDescent="0.3">
      <c r="C73" s="35"/>
      <c r="D73" s="390"/>
      <c r="E73" s="389"/>
      <c r="F73" s="388" t="s">
        <v>706</v>
      </c>
      <c r="G73" s="35" t="s">
        <v>729</v>
      </c>
      <c r="H73" s="389">
        <v>30271315</v>
      </c>
      <c r="I73" s="390" t="s">
        <v>690</v>
      </c>
      <c r="J73" s="388" t="s">
        <v>691</v>
      </c>
      <c r="K73" s="391">
        <v>45828</v>
      </c>
      <c r="L73" s="391">
        <v>45888</v>
      </c>
      <c r="M73" s="399">
        <v>89</v>
      </c>
      <c r="N73" s="399">
        <v>90.78</v>
      </c>
    </row>
    <row r="74" spans="3:15" x14ac:dyDescent="0.3">
      <c r="C74" s="32"/>
      <c r="D74" s="380"/>
      <c r="E74" s="381"/>
      <c r="F74" s="400" t="s">
        <v>687</v>
      </c>
      <c r="G74" s="33" t="s">
        <v>688</v>
      </c>
      <c r="H74" s="401" t="s">
        <v>689</v>
      </c>
      <c r="I74" s="402" t="s">
        <v>690</v>
      </c>
      <c r="J74" s="400" t="s">
        <v>691</v>
      </c>
      <c r="K74" s="403">
        <v>45828</v>
      </c>
      <c r="L74" s="403">
        <v>46007</v>
      </c>
      <c r="M74" s="404">
        <v>201.18</v>
      </c>
      <c r="N74" s="404">
        <v>219.26</v>
      </c>
      <c r="O74" t="s">
        <v>752</v>
      </c>
    </row>
    <row r="75" spans="3:15" x14ac:dyDescent="0.3">
      <c r="C75" s="32"/>
      <c r="D75" s="384"/>
      <c r="E75" s="385"/>
      <c r="F75" s="400" t="s">
        <v>692</v>
      </c>
      <c r="G75" s="33" t="s">
        <v>688</v>
      </c>
      <c r="H75" s="401" t="s">
        <v>693</v>
      </c>
      <c r="I75" s="402" t="s">
        <v>690</v>
      </c>
      <c r="J75" s="400" t="s">
        <v>691</v>
      </c>
      <c r="K75" s="403">
        <v>45828</v>
      </c>
      <c r="L75" s="403">
        <v>46007</v>
      </c>
      <c r="M75" s="404">
        <v>643.38</v>
      </c>
      <c r="N75" s="404">
        <v>701.23</v>
      </c>
      <c r="O75" t="s">
        <v>752</v>
      </c>
    </row>
    <row r="76" spans="3:15" x14ac:dyDescent="0.3">
      <c r="C76" s="32"/>
      <c r="D76" s="380"/>
      <c r="E76" s="381"/>
      <c r="F76" s="400" t="s">
        <v>694</v>
      </c>
      <c r="G76" s="33" t="s">
        <v>688</v>
      </c>
      <c r="H76" s="401" t="s">
        <v>695</v>
      </c>
      <c r="I76" s="402" t="s">
        <v>690</v>
      </c>
      <c r="J76" s="400" t="s">
        <v>691</v>
      </c>
      <c r="K76" s="403">
        <v>45828</v>
      </c>
      <c r="L76" s="403">
        <v>46007</v>
      </c>
      <c r="M76" s="404">
        <v>222.57</v>
      </c>
      <c r="N76" s="404">
        <v>242.58</v>
      </c>
      <c r="O76" t="s">
        <v>752</v>
      </c>
    </row>
    <row r="77" spans="3:15" x14ac:dyDescent="0.3">
      <c r="C77" s="32"/>
      <c r="D77" s="384"/>
      <c r="E77" s="385"/>
      <c r="F77" s="400" t="s">
        <v>696</v>
      </c>
      <c r="G77" s="33" t="s">
        <v>688</v>
      </c>
      <c r="H77" s="401" t="s">
        <v>697</v>
      </c>
      <c r="I77" s="402" t="s">
        <v>690</v>
      </c>
      <c r="J77" s="400" t="s">
        <v>691</v>
      </c>
      <c r="K77" s="403">
        <v>45828</v>
      </c>
      <c r="L77" s="403">
        <v>46007</v>
      </c>
      <c r="M77" s="404">
        <v>769.26</v>
      </c>
      <c r="N77" s="404">
        <v>838.43</v>
      </c>
      <c r="O77" t="s">
        <v>752</v>
      </c>
    </row>
    <row r="78" spans="3:15" x14ac:dyDescent="0.3">
      <c r="C78" s="32"/>
      <c r="D78" s="380"/>
      <c r="E78" s="381"/>
      <c r="F78" s="400" t="s">
        <v>698</v>
      </c>
      <c r="G78" s="33" t="s">
        <v>688</v>
      </c>
      <c r="H78" s="401" t="s">
        <v>699</v>
      </c>
      <c r="I78" s="402" t="s">
        <v>690</v>
      </c>
      <c r="J78" s="400" t="s">
        <v>691</v>
      </c>
      <c r="K78" s="403">
        <v>45828</v>
      </c>
      <c r="L78" s="403">
        <v>46007</v>
      </c>
      <c r="M78" s="404">
        <v>659.5</v>
      </c>
      <c r="N78" s="404">
        <v>718.8</v>
      </c>
      <c r="O78" t="s">
        <v>752</v>
      </c>
    </row>
    <row r="79" spans="3:15" x14ac:dyDescent="0.3">
      <c r="C79" s="32"/>
      <c r="D79" s="384"/>
      <c r="E79" s="385"/>
      <c r="F79" s="400" t="s">
        <v>698</v>
      </c>
      <c r="G79" s="33" t="s">
        <v>688</v>
      </c>
      <c r="H79" s="401" t="s">
        <v>699</v>
      </c>
      <c r="I79" s="402" t="s">
        <v>690</v>
      </c>
      <c r="J79" s="400" t="s">
        <v>691</v>
      </c>
      <c r="K79" s="403">
        <v>45828</v>
      </c>
      <c r="L79" s="403">
        <v>46007</v>
      </c>
      <c r="M79" s="404">
        <v>659.5</v>
      </c>
      <c r="N79" s="404">
        <v>718.8</v>
      </c>
      <c r="O79" t="s">
        <v>752</v>
      </c>
    </row>
    <row r="80" spans="3:15" x14ac:dyDescent="0.3">
      <c r="C80" s="32"/>
      <c r="D80" s="380"/>
      <c r="E80" s="381"/>
      <c r="F80" s="400" t="s">
        <v>700</v>
      </c>
      <c r="G80" s="33" t="s">
        <v>688</v>
      </c>
      <c r="H80" s="401" t="s">
        <v>701</v>
      </c>
      <c r="I80" s="402" t="s">
        <v>690</v>
      </c>
      <c r="J80" s="400" t="s">
        <v>691</v>
      </c>
      <c r="K80" s="403">
        <v>45828</v>
      </c>
      <c r="L80" s="403">
        <v>46007</v>
      </c>
      <c r="M80" s="404">
        <v>365</v>
      </c>
      <c r="N80" s="404">
        <v>397.82</v>
      </c>
      <c r="O80" t="s">
        <v>752</v>
      </c>
    </row>
    <row r="81" spans="3:15" x14ac:dyDescent="0.3">
      <c r="C81" s="32"/>
      <c r="D81" s="384"/>
      <c r="E81" s="385"/>
      <c r="F81" s="400" t="s">
        <v>702</v>
      </c>
      <c r="G81" s="33" t="s">
        <v>688</v>
      </c>
      <c r="H81" s="401" t="s">
        <v>703</v>
      </c>
      <c r="I81" s="402" t="s">
        <v>690</v>
      </c>
      <c r="J81" s="400" t="s">
        <v>691</v>
      </c>
      <c r="K81" s="403">
        <v>45828</v>
      </c>
      <c r="L81" s="403">
        <v>46007</v>
      </c>
      <c r="M81" s="404">
        <v>410</v>
      </c>
      <c r="N81" s="404">
        <v>446.87</v>
      </c>
      <c r="O81" t="s">
        <v>752</v>
      </c>
    </row>
    <row r="82" spans="3:15" x14ac:dyDescent="0.3">
      <c r="C82" s="32"/>
      <c r="D82" s="380"/>
      <c r="E82" s="381"/>
      <c r="F82" s="400" t="s">
        <v>704</v>
      </c>
      <c r="G82" s="33" t="s">
        <v>688</v>
      </c>
      <c r="H82" s="401" t="s">
        <v>705</v>
      </c>
      <c r="I82" s="402" t="s">
        <v>690</v>
      </c>
      <c r="J82" s="400" t="s">
        <v>691</v>
      </c>
      <c r="K82" s="403">
        <v>45828</v>
      </c>
      <c r="L82" s="403">
        <v>46007</v>
      </c>
      <c r="M82" s="404">
        <v>455</v>
      </c>
      <c r="N82" s="404">
        <v>495.91</v>
      </c>
      <c r="O82" t="s">
        <v>752</v>
      </c>
    </row>
    <row r="83" spans="3:15" x14ac:dyDescent="0.3">
      <c r="C83" s="32"/>
      <c r="D83" s="384"/>
      <c r="E83" s="385"/>
      <c r="F83" s="400" t="s">
        <v>706</v>
      </c>
      <c r="G83" s="33" t="s">
        <v>688</v>
      </c>
      <c r="H83" s="401" t="s">
        <v>707</v>
      </c>
      <c r="I83" s="402" t="s">
        <v>690</v>
      </c>
      <c r="J83" s="400" t="s">
        <v>691</v>
      </c>
      <c r="K83" s="403">
        <v>45828</v>
      </c>
      <c r="L83" s="403">
        <v>46007</v>
      </c>
      <c r="M83" s="404">
        <v>42.79</v>
      </c>
      <c r="N83" s="404">
        <v>46.63</v>
      </c>
      <c r="O83" t="s">
        <v>752</v>
      </c>
    </row>
    <row r="84" spans="3:15" s="207" customFormat="1" x14ac:dyDescent="0.3">
      <c r="C84" s="35"/>
      <c r="D84" s="395"/>
      <c r="E84" s="394"/>
      <c r="F84" s="393" t="s">
        <v>696</v>
      </c>
      <c r="G84" s="35" t="s">
        <v>737</v>
      </c>
      <c r="H84" s="394">
        <v>62892144</v>
      </c>
      <c r="I84" s="395" t="s">
        <v>690</v>
      </c>
      <c r="J84" s="393" t="s">
        <v>691</v>
      </c>
      <c r="K84" s="396">
        <v>45834</v>
      </c>
      <c r="L84" s="396">
        <v>45863</v>
      </c>
      <c r="M84" s="398">
        <v>459</v>
      </c>
      <c r="N84" s="398">
        <v>459</v>
      </c>
      <c r="O84" s="207" t="s">
        <v>753</v>
      </c>
    </row>
    <row r="85" spans="3:15" s="207" customFormat="1" x14ac:dyDescent="0.3">
      <c r="C85" s="35"/>
      <c r="D85" s="390"/>
      <c r="E85" s="389"/>
      <c r="F85" s="388" t="s">
        <v>738</v>
      </c>
      <c r="G85" s="35" t="s">
        <v>737</v>
      </c>
      <c r="H85" s="389">
        <v>63295650</v>
      </c>
      <c r="I85" s="390" t="s">
        <v>690</v>
      </c>
      <c r="J85" s="388" t="s">
        <v>691</v>
      </c>
      <c r="K85" s="391">
        <v>45834</v>
      </c>
      <c r="L85" s="391">
        <v>45863</v>
      </c>
      <c r="M85" s="399">
        <v>459</v>
      </c>
      <c r="N85" s="399">
        <v>459</v>
      </c>
      <c r="O85" s="207" t="s">
        <v>753</v>
      </c>
    </row>
    <row r="86" spans="3:15" s="207" customFormat="1" x14ac:dyDescent="0.3">
      <c r="C86" s="35"/>
      <c r="D86" s="395"/>
      <c r="E86" s="394"/>
      <c r="F86" s="393" t="s">
        <v>692</v>
      </c>
      <c r="G86" s="35" t="s">
        <v>739</v>
      </c>
      <c r="H86" s="394">
        <v>377581</v>
      </c>
      <c r="I86" s="395" t="s">
        <v>690</v>
      </c>
      <c r="J86" s="393" t="s">
        <v>691</v>
      </c>
      <c r="K86" s="396">
        <v>45835</v>
      </c>
      <c r="L86" s="396">
        <v>45865</v>
      </c>
      <c r="M86" s="397">
        <v>1729.66</v>
      </c>
      <c r="N86" s="397">
        <v>1729.66</v>
      </c>
    </row>
    <row r="87" spans="3:15" s="207" customFormat="1" x14ac:dyDescent="0.3">
      <c r="C87" s="35"/>
      <c r="D87" s="390"/>
      <c r="E87" s="389"/>
      <c r="F87" s="388" t="s">
        <v>694</v>
      </c>
      <c r="G87" s="35" t="s">
        <v>739</v>
      </c>
      <c r="H87" s="389">
        <v>377579</v>
      </c>
      <c r="I87" s="390" t="s">
        <v>690</v>
      </c>
      <c r="J87" s="388" t="s">
        <v>691</v>
      </c>
      <c r="K87" s="391">
        <v>45835</v>
      </c>
      <c r="L87" s="391">
        <v>45865</v>
      </c>
      <c r="M87" s="392">
        <v>1061.3800000000001</v>
      </c>
      <c r="N87" s="392">
        <v>1061.3800000000001</v>
      </c>
    </row>
    <row r="88" spans="3:15" s="207" customFormat="1" x14ac:dyDescent="0.3">
      <c r="C88" s="35"/>
      <c r="D88" s="395"/>
      <c r="E88" s="394"/>
      <c r="F88" s="393" t="s">
        <v>696</v>
      </c>
      <c r="G88" s="35" t="s">
        <v>739</v>
      </c>
      <c r="H88" s="394">
        <v>377580</v>
      </c>
      <c r="I88" s="395" t="s">
        <v>690</v>
      </c>
      <c r="J88" s="393" t="s">
        <v>691</v>
      </c>
      <c r="K88" s="396">
        <v>45835</v>
      </c>
      <c r="L88" s="396">
        <v>45865</v>
      </c>
      <c r="M88" s="397">
        <v>2319.3200000000002</v>
      </c>
      <c r="N88" s="397">
        <v>2319.3200000000002</v>
      </c>
    </row>
    <row r="89" spans="3:15" s="207" customFormat="1" x14ac:dyDescent="0.3">
      <c r="C89" s="35"/>
      <c r="D89" s="390"/>
      <c r="E89" s="389"/>
      <c r="F89" s="388" t="s">
        <v>687</v>
      </c>
      <c r="G89" s="35" t="s">
        <v>739</v>
      </c>
      <c r="H89" s="389">
        <v>377685</v>
      </c>
      <c r="I89" s="390" t="s">
        <v>690</v>
      </c>
      <c r="J89" s="388" t="s">
        <v>691</v>
      </c>
      <c r="K89" s="391">
        <v>45835</v>
      </c>
      <c r="L89" s="391">
        <v>45865</v>
      </c>
      <c r="M89" s="399">
        <v>786.92</v>
      </c>
      <c r="N89" s="399">
        <v>786.92</v>
      </c>
    </row>
    <row r="90" spans="3:15" s="207" customFormat="1" x14ac:dyDescent="0.3">
      <c r="C90" s="35"/>
      <c r="D90" s="395"/>
      <c r="E90" s="394"/>
      <c r="F90" s="393" t="s">
        <v>700</v>
      </c>
      <c r="G90" s="35" t="s">
        <v>739</v>
      </c>
      <c r="H90" s="394">
        <v>377675</v>
      </c>
      <c r="I90" s="395" t="s">
        <v>690</v>
      </c>
      <c r="J90" s="393" t="s">
        <v>691</v>
      </c>
      <c r="K90" s="396">
        <v>45835</v>
      </c>
      <c r="L90" s="396">
        <v>45865</v>
      </c>
      <c r="M90" s="398">
        <v>791.16</v>
      </c>
      <c r="N90" s="398">
        <v>791.16</v>
      </c>
    </row>
    <row r="91" spans="3:15" s="207" customFormat="1" x14ac:dyDescent="0.3">
      <c r="C91" s="35"/>
      <c r="D91" s="390"/>
      <c r="E91" s="389"/>
      <c r="F91" s="388" t="s">
        <v>698</v>
      </c>
      <c r="G91" s="35" t="s">
        <v>739</v>
      </c>
      <c r="H91" s="389">
        <v>377672</v>
      </c>
      <c r="I91" s="390" t="s">
        <v>690</v>
      </c>
      <c r="J91" s="388" t="s">
        <v>691</v>
      </c>
      <c r="K91" s="391">
        <v>45835</v>
      </c>
      <c r="L91" s="391">
        <v>45865</v>
      </c>
      <c r="M91" s="399">
        <v>590.19000000000005</v>
      </c>
      <c r="N91" s="399">
        <v>590.19000000000005</v>
      </c>
    </row>
    <row r="92" spans="3:15" s="207" customFormat="1" x14ac:dyDescent="0.3">
      <c r="C92" s="35"/>
      <c r="D92" s="395"/>
      <c r="E92" s="394"/>
      <c r="F92" s="393" t="s">
        <v>702</v>
      </c>
      <c r="G92" s="35" t="s">
        <v>739</v>
      </c>
      <c r="H92" s="394">
        <v>377681</v>
      </c>
      <c r="I92" s="395" t="s">
        <v>690</v>
      </c>
      <c r="J92" s="393" t="s">
        <v>691</v>
      </c>
      <c r="K92" s="396">
        <v>45835</v>
      </c>
      <c r="L92" s="396">
        <v>45865</v>
      </c>
      <c r="M92" s="398">
        <v>629.54</v>
      </c>
      <c r="N92" s="398">
        <v>629.54</v>
      </c>
    </row>
    <row r="93" spans="3:15" s="207" customFormat="1" x14ac:dyDescent="0.3">
      <c r="C93" s="35"/>
      <c r="D93" s="390"/>
      <c r="E93" s="389"/>
      <c r="F93" s="388" t="s">
        <v>704</v>
      </c>
      <c r="G93" s="35" t="s">
        <v>739</v>
      </c>
      <c r="H93" s="389">
        <v>377678</v>
      </c>
      <c r="I93" s="390" t="s">
        <v>690</v>
      </c>
      <c r="J93" s="388" t="s">
        <v>691</v>
      </c>
      <c r="K93" s="391">
        <v>45835</v>
      </c>
      <c r="L93" s="391">
        <v>45865</v>
      </c>
      <c r="M93" s="399">
        <v>157.38</v>
      </c>
      <c r="N93" s="399">
        <v>157.38</v>
      </c>
    </row>
    <row r="94" spans="3:15" x14ac:dyDescent="0.3">
      <c r="C94" s="32"/>
      <c r="D94" s="380"/>
      <c r="E94" s="381"/>
      <c r="F94" s="407" t="s">
        <v>735</v>
      </c>
      <c r="G94" s="408" t="s">
        <v>736</v>
      </c>
      <c r="H94" s="409">
        <v>156400259</v>
      </c>
      <c r="I94" s="410" t="s">
        <v>690</v>
      </c>
      <c r="J94" s="407" t="s">
        <v>691</v>
      </c>
      <c r="K94" s="411">
        <v>45836</v>
      </c>
      <c r="L94" s="411">
        <v>45865</v>
      </c>
      <c r="M94" s="413">
        <v>1408.66</v>
      </c>
      <c r="N94" s="413">
        <v>1442.93</v>
      </c>
    </row>
    <row r="95" spans="3:15" s="405" customFormat="1" x14ac:dyDescent="0.3">
      <c r="C95" s="33"/>
      <c r="D95" s="402"/>
      <c r="E95" s="401"/>
      <c r="F95" s="400" t="s">
        <v>706</v>
      </c>
      <c r="G95" s="33" t="s">
        <v>740</v>
      </c>
      <c r="H95" s="401"/>
      <c r="I95" s="402" t="s">
        <v>690</v>
      </c>
      <c r="J95" s="400" t="s">
        <v>691</v>
      </c>
      <c r="K95" s="403">
        <v>45837</v>
      </c>
      <c r="L95" s="403">
        <v>45867</v>
      </c>
      <c r="M95" s="404">
        <v>535.1</v>
      </c>
      <c r="N95" s="404">
        <v>547.84</v>
      </c>
      <c r="O95" s="405" t="s">
        <v>755</v>
      </c>
    </row>
    <row r="96" spans="3:15" s="405" customFormat="1" ht="13.2" customHeight="1" x14ac:dyDescent="0.3">
      <c r="C96" s="33"/>
      <c r="D96" s="402"/>
      <c r="E96" s="401"/>
      <c r="F96" s="400" t="s">
        <v>706</v>
      </c>
      <c r="G96" s="33" t="s">
        <v>741</v>
      </c>
      <c r="H96" s="401" t="s">
        <v>742</v>
      </c>
      <c r="I96" s="402" t="s">
        <v>690</v>
      </c>
      <c r="J96" s="400" t="s">
        <v>691</v>
      </c>
      <c r="K96" s="403">
        <v>45838</v>
      </c>
      <c r="L96" s="403">
        <v>49490</v>
      </c>
      <c r="M96" s="406">
        <v>1408.84</v>
      </c>
      <c r="N96" s="406">
        <v>1460.54</v>
      </c>
      <c r="O96" s="405" t="s">
        <v>755</v>
      </c>
    </row>
    <row r="97" spans="3:15" s="405" customFormat="1" x14ac:dyDescent="0.3">
      <c r="C97" s="33"/>
      <c r="D97" s="402"/>
      <c r="E97" s="401"/>
      <c r="F97" s="400" t="s">
        <v>706</v>
      </c>
      <c r="G97" s="33" t="s">
        <v>741</v>
      </c>
      <c r="H97" s="401" t="s">
        <v>743</v>
      </c>
      <c r="I97" s="402" t="s">
        <v>690</v>
      </c>
      <c r="J97" s="400" t="s">
        <v>691</v>
      </c>
      <c r="K97" s="403">
        <v>45838</v>
      </c>
      <c r="L97" s="403">
        <v>49490</v>
      </c>
      <c r="M97" s="406">
        <v>3312.86</v>
      </c>
      <c r="N97" s="406">
        <v>3434.3</v>
      </c>
      <c r="O97" s="405" t="s">
        <v>755</v>
      </c>
    </row>
    <row r="98" spans="3:15" x14ac:dyDescent="0.3">
      <c r="C98" s="32"/>
      <c r="D98" s="380"/>
      <c r="E98" s="381"/>
      <c r="F98" s="375" t="s">
        <v>744</v>
      </c>
      <c r="G98" s="32" t="s">
        <v>202</v>
      </c>
      <c r="H98" s="381"/>
      <c r="I98" s="380" t="s">
        <v>690</v>
      </c>
      <c r="J98" s="375" t="s">
        <v>691</v>
      </c>
      <c r="K98" s="382">
        <v>45838</v>
      </c>
      <c r="L98" s="382">
        <v>45936</v>
      </c>
      <c r="M98" s="383">
        <v>4169.6000000000004</v>
      </c>
      <c r="N98" s="383">
        <v>4268.17</v>
      </c>
    </row>
    <row r="99" spans="3:15" x14ac:dyDescent="0.3">
      <c r="C99" s="32"/>
      <c r="D99" s="384"/>
      <c r="E99" s="385"/>
      <c r="F99" s="373" t="s">
        <v>706</v>
      </c>
      <c r="G99" s="32" t="s">
        <v>202</v>
      </c>
      <c r="H99" s="385"/>
      <c r="I99" s="384" t="s">
        <v>690</v>
      </c>
      <c r="J99" s="373" t="s">
        <v>691</v>
      </c>
      <c r="K99" s="386">
        <v>45838</v>
      </c>
      <c r="L99" s="386">
        <v>45936</v>
      </c>
      <c r="M99" s="387">
        <v>6274.7</v>
      </c>
      <c r="N99" s="387">
        <v>6423.18</v>
      </c>
    </row>
    <row r="100" spans="3:15" x14ac:dyDescent="0.3">
      <c r="C100" s="32"/>
      <c r="D100" s="380"/>
      <c r="E100" s="381"/>
      <c r="F100" s="415" t="s">
        <v>694</v>
      </c>
      <c r="G100" s="416" t="s">
        <v>727</v>
      </c>
      <c r="H100" s="417">
        <v>621683</v>
      </c>
      <c r="I100" s="418" t="s">
        <v>690</v>
      </c>
      <c r="J100" s="415" t="s">
        <v>691</v>
      </c>
      <c r="K100" s="419">
        <v>45838</v>
      </c>
      <c r="L100" s="419">
        <v>45898</v>
      </c>
      <c r="M100" s="420">
        <v>509.12</v>
      </c>
      <c r="N100" s="420">
        <v>516.07000000000005</v>
      </c>
    </row>
    <row r="101" spans="3:15" x14ac:dyDescent="0.3">
      <c r="C101" s="32"/>
      <c r="D101" s="384"/>
      <c r="E101" s="385"/>
      <c r="F101" s="415" t="s">
        <v>687</v>
      </c>
      <c r="G101" s="416" t="s">
        <v>727</v>
      </c>
      <c r="H101" s="417">
        <v>7411</v>
      </c>
      <c r="I101" s="418" t="s">
        <v>690</v>
      </c>
      <c r="J101" s="415" t="s">
        <v>691</v>
      </c>
      <c r="K101" s="419">
        <v>45838</v>
      </c>
      <c r="L101" s="419">
        <v>45898</v>
      </c>
      <c r="M101" s="420">
        <v>333.56</v>
      </c>
      <c r="N101" s="420">
        <v>338.11</v>
      </c>
    </row>
    <row r="102" spans="3:15" x14ac:dyDescent="0.3">
      <c r="C102" s="32"/>
      <c r="D102" s="380"/>
      <c r="E102" s="381"/>
      <c r="F102" s="415" t="s">
        <v>706</v>
      </c>
      <c r="G102" s="416" t="s">
        <v>727</v>
      </c>
      <c r="H102" s="417">
        <v>844922</v>
      </c>
      <c r="I102" s="418" t="s">
        <v>690</v>
      </c>
      <c r="J102" s="415" t="s">
        <v>691</v>
      </c>
      <c r="K102" s="419">
        <v>45838</v>
      </c>
      <c r="L102" s="419">
        <v>45898</v>
      </c>
      <c r="M102" s="420">
        <v>351.12</v>
      </c>
      <c r="N102" s="420">
        <v>355.91</v>
      </c>
    </row>
    <row r="103" spans="3:15" x14ac:dyDescent="0.3">
      <c r="C103" s="32"/>
      <c r="D103" s="384"/>
      <c r="E103" s="385"/>
      <c r="F103" s="415" t="s">
        <v>696</v>
      </c>
      <c r="G103" s="416" t="s">
        <v>727</v>
      </c>
      <c r="H103" s="417">
        <v>839495</v>
      </c>
      <c r="I103" s="418" t="s">
        <v>690</v>
      </c>
      <c r="J103" s="415" t="s">
        <v>691</v>
      </c>
      <c r="K103" s="419">
        <v>45838</v>
      </c>
      <c r="L103" s="419">
        <v>45898</v>
      </c>
      <c r="M103" s="420">
        <v>895.36</v>
      </c>
      <c r="N103" s="420">
        <v>907.59</v>
      </c>
    </row>
    <row r="104" spans="3:15" x14ac:dyDescent="0.3">
      <c r="C104" s="32"/>
      <c r="D104" s="380"/>
      <c r="E104" s="381"/>
      <c r="F104" s="415" t="s">
        <v>692</v>
      </c>
      <c r="G104" s="416" t="s">
        <v>727</v>
      </c>
      <c r="H104" s="417">
        <v>252164</v>
      </c>
      <c r="I104" s="418" t="s">
        <v>690</v>
      </c>
      <c r="J104" s="415" t="s">
        <v>691</v>
      </c>
      <c r="K104" s="419">
        <v>45838</v>
      </c>
      <c r="L104" s="419">
        <v>45898</v>
      </c>
      <c r="M104" s="420">
        <v>912.91</v>
      </c>
      <c r="N104" s="420">
        <v>925.37</v>
      </c>
    </row>
    <row r="105" spans="3:15" x14ac:dyDescent="0.3">
      <c r="C105" s="32"/>
      <c r="D105" s="384"/>
      <c r="E105" s="385"/>
      <c r="F105" s="415" t="s">
        <v>704</v>
      </c>
      <c r="G105" s="416" t="s">
        <v>727</v>
      </c>
      <c r="H105" s="417">
        <v>370336</v>
      </c>
      <c r="I105" s="418" t="s">
        <v>690</v>
      </c>
      <c r="J105" s="415" t="s">
        <v>691</v>
      </c>
      <c r="K105" s="419">
        <v>45838</v>
      </c>
      <c r="L105" s="419">
        <v>45898</v>
      </c>
      <c r="M105" s="420">
        <v>70.22</v>
      </c>
      <c r="N105" s="420">
        <v>71.17</v>
      </c>
    </row>
    <row r="106" spans="3:15" x14ac:dyDescent="0.3">
      <c r="C106" s="32"/>
      <c r="D106" s="380"/>
      <c r="E106" s="381"/>
      <c r="F106" s="415" t="s">
        <v>700</v>
      </c>
      <c r="G106" s="416" t="s">
        <v>727</v>
      </c>
      <c r="H106" s="417">
        <v>983651</v>
      </c>
      <c r="I106" s="418" t="s">
        <v>690</v>
      </c>
      <c r="J106" s="415" t="s">
        <v>691</v>
      </c>
      <c r="K106" s="419">
        <v>45838</v>
      </c>
      <c r="L106" s="419">
        <v>45898</v>
      </c>
      <c r="M106" s="420">
        <v>228.23</v>
      </c>
      <c r="N106" s="420">
        <v>231.34</v>
      </c>
    </row>
    <row r="107" spans="3:15" x14ac:dyDescent="0.3">
      <c r="C107" s="32"/>
      <c r="D107" s="384"/>
      <c r="E107" s="385"/>
      <c r="F107" s="415" t="s">
        <v>698</v>
      </c>
      <c r="G107" s="416" t="s">
        <v>727</v>
      </c>
      <c r="H107" s="417">
        <v>658444</v>
      </c>
      <c r="I107" s="418" t="s">
        <v>690</v>
      </c>
      <c r="J107" s="415" t="s">
        <v>691</v>
      </c>
      <c r="K107" s="419">
        <v>45838</v>
      </c>
      <c r="L107" s="419">
        <v>45898</v>
      </c>
      <c r="M107" s="420">
        <v>228.23</v>
      </c>
      <c r="N107" s="420">
        <v>231.34</v>
      </c>
    </row>
    <row r="108" spans="3:15" x14ac:dyDescent="0.3">
      <c r="C108" s="32"/>
      <c r="D108" s="380"/>
      <c r="E108" s="381"/>
      <c r="F108" s="415" t="s">
        <v>702</v>
      </c>
      <c r="G108" s="416" t="s">
        <v>727</v>
      </c>
      <c r="H108" s="417">
        <v>799349</v>
      </c>
      <c r="I108" s="418" t="s">
        <v>690</v>
      </c>
      <c r="J108" s="415" t="s">
        <v>691</v>
      </c>
      <c r="K108" s="419">
        <v>45838</v>
      </c>
      <c r="L108" s="419">
        <v>45898</v>
      </c>
      <c r="M108" s="420">
        <v>122.89</v>
      </c>
      <c r="N108" s="420">
        <v>124.56</v>
      </c>
    </row>
    <row r="109" spans="3:15" x14ac:dyDescent="0.3">
      <c r="C109" s="32"/>
      <c r="D109" s="380"/>
      <c r="E109" s="381"/>
      <c r="F109" s="375"/>
      <c r="G109" s="32"/>
      <c r="H109" s="381"/>
      <c r="I109" s="380"/>
      <c r="J109" s="375"/>
      <c r="K109" s="382"/>
      <c r="L109" s="382"/>
      <c r="M109" s="376"/>
      <c r="N109" s="376"/>
    </row>
    <row r="110" spans="3:15" s="920" customFormat="1" ht="22.8" customHeight="1" x14ac:dyDescent="0.3"/>
    <row r="111" spans="3:15" s="405" customFormat="1" x14ac:dyDescent="0.3">
      <c r="C111" s="33"/>
      <c r="D111" s="402"/>
      <c r="E111" s="401"/>
      <c r="F111" s="400" t="s">
        <v>735</v>
      </c>
      <c r="G111" s="33" t="s">
        <v>736</v>
      </c>
      <c r="H111" s="401">
        <v>156388442</v>
      </c>
      <c r="I111" s="402" t="s">
        <v>690</v>
      </c>
      <c r="J111" s="400" t="s">
        <v>691</v>
      </c>
      <c r="K111" s="403">
        <v>45840</v>
      </c>
      <c r="L111" s="403">
        <v>45869</v>
      </c>
      <c r="M111" s="404">
        <v>130.16</v>
      </c>
      <c r="N111" s="404">
        <v>133.15</v>
      </c>
    </row>
    <row r="112" spans="3:15" s="207" customFormat="1" x14ac:dyDescent="0.3">
      <c r="C112" s="35"/>
      <c r="D112" s="395"/>
      <c r="E112" s="394"/>
      <c r="F112" s="393" t="s">
        <v>700</v>
      </c>
      <c r="G112" s="35" t="s">
        <v>737</v>
      </c>
      <c r="H112" s="394">
        <v>65158384</v>
      </c>
      <c r="I112" s="395" t="s">
        <v>690</v>
      </c>
      <c r="J112" s="393" t="s">
        <v>691</v>
      </c>
      <c r="K112" s="396">
        <v>45841</v>
      </c>
      <c r="L112" s="396">
        <v>45870</v>
      </c>
      <c r="M112" s="398">
        <v>459</v>
      </c>
      <c r="N112" s="398">
        <v>459</v>
      </c>
    </row>
    <row r="113" spans="3:14" s="207" customFormat="1" x14ac:dyDescent="0.3">
      <c r="C113" s="35"/>
      <c r="D113" s="390"/>
      <c r="E113" s="389"/>
      <c r="F113" s="388" t="s">
        <v>702</v>
      </c>
      <c r="G113" s="35" t="s">
        <v>737</v>
      </c>
      <c r="H113" s="389">
        <v>65158379</v>
      </c>
      <c r="I113" s="390" t="s">
        <v>690</v>
      </c>
      <c r="J113" s="388" t="s">
        <v>691</v>
      </c>
      <c r="K113" s="391">
        <v>45841</v>
      </c>
      <c r="L113" s="391">
        <v>45870</v>
      </c>
      <c r="M113" s="399">
        <v>459</v>
      </c>
      <c r="N113" s="399">
        <v>459</v>
      </c>
    </row>
    <row r="114" spans="3:14" s="207" customFormat="1" x14ac:dyDescent="0.3">
      <c r="C114" s="35"/>
      <c r="D114" s="395"/>
      <c r="E114" s="394"/>
      <c r="F114" s="393" t="s">
        <v>704</v>
      </c>
      <c r="G114" s="35" t="s">
        <v>737</v>
      </c>
      <c r="H114" s="394">
        <v>65158380</v>
      </c>
      <c r="I114" s="395" t="s">
        <v>690</v>
      </c>
      <c r="J114" s="393" t="s">
        <v>691</v>
      </c>
      <c r="K114" s="396">
        <v>45841</v>
      </c>
      <c r="L114" s="396">
        <v>45870</v>
      </c>
      <c r="M114" s="398">
        <v>459</v>
      </c>
      <c r="N114" s="398">
        <v>459</v>
      </c>
    </row>
    <row r="115" spans="3:14" s="207" customFormat="1" x14ac:dyDescent="0.3">
      <c r="C115" s="35"/>
      <c r="D115" s="390"/>
      <c r="E115" s="389"/>
      <c r="F115" s="388" t="s">
        <v>733</v>
      </c>
      <c r="G115" s="35" t="s">
        <v>729</v>
      </c>
      <c r="H115" s="389">
        <v>29994104</v>
      </c>
      <c r="I115" s="390" t="s">
        <v>690</v>
      </c>
      <c r="J115" s="388" t="s">
        <v>691</v>
      </c>
      <c r="K115" s="391">
        <v>45843</v>
      </c>
      <c r="L115" s="391">
        <v>45903</v>
      </c>
      <c r="M115" s="399">
        <v>89</v>
      </c>
      <c r="N115" s="399">
        <v>90.78</v>
      </c>
    </row>
    <row r="116" spans="3:14" s="207" customFormat="1" x14ac:dyDescent="0.3">
      <c r="C116" s="35"/>
      <c r="D116" s="395"/>
      <c r="E116" s="394"/>
      <c r="F116" s="393" t="s">
        <v>733</v>
      </c>
      <c r="G116" s="35" t="s">
        <v>729</v>
      </c>
      <c r="H116" s="394">
        <v>29994116</v>
      </c>
      <c r="I116" s="395" t="s">
        <v>690</v>
      </c>
      <c r="J116" s="393" t="s">
        <v>691</v>
      </c>
      <c r="K116" s="396">
        <v>45843</v>
      </c>
      <c r="L116" s="396">
        <v>45903</v>
      </c>
      <c r="M116" s="398">
        <v>89</v>
      </c>
      <c r="N116" s="398">
        <v>90.78</v>
      </c>
    </row>
    <row r="117" spans="3:14" s="207" customFormat="1" x14ac:dyDescent="0.3">
      <c r="C117" s="35"/>
      <c r="D117" s="390"/>
      <c r="E117" s="389"/>
      <c r="F117" s="388" t="s">
        <v>733</v>
      </c>
      <c r="G117" s="35" t="s">
        <v>729</v>
      </c>
      <c r="H117" s="389">
        <v>29994092</v>
      </c>
      <c r="I117" s="390" t="s">
        <v>690</v>
      </c>
      <c r="J117" s="388" t="s">
        <v>691</v>
      </c>
      <c r="K117" s="391">
        <v>45843</v>
      </c>
      <c r="L117" s="391">
        <v>45903</v>
      </c>
      <c r="M117" s="399">
        <v>89</v>
      </c>
      <c r="N117" s="399">
        <v>90.78</v>
      </c>
    </row>
    <row r="118" spans="3:14" s="207" customFormat="1" x14ac:dyDescent="0.3">
      <c r="C118" s="35"/>
      <c r="D118" s="395"/>
      <c r="E118" s="394"/>
      <c r="F118" s="393" t="s">
        <v>733</v>
      </c>
      <c r="G118" s="35" t="s">
        <v>729</v>
      </c>
      <c r="H118" s="394">
        <v>29994128</v>
      </c>
      <c r="I118" s="395" t="s">
        <v>690</v>
      </c>
      <c r="J118" s="393" t="s">
        <v>691</v>
      </c>
      <c r="K118" s="396">
        <v>45843</v>
      </c>
      <c r="L118" s="396">
        <v>45903</v>
      </c>
      <c r="M118" s="398">
        <v>89</v>
      </c>
      <c r="N118" s="398">
        <v>90.78</v>
      </c>
    </row>
    <row r="119" spans="3:14" s="207" customFormat="1" x14ac:dyDescent="0.3">
      <c r="C119" s="35"/>
      <c r="D119" s="390"/>
      <c r="E119" s="389"/>
      <c r="F119" s="388" t="s">
        <v>733</v>
      </c>
      <c r="G119" s="35" t="s">
        <v>729</v>
      </c>
      <c r="H119" s="389">
        <v>29994140</v>
      </c>
      <c r="I119" s="390" t="s">
        <v>690</v>
      </c>
      <c r="J119" s="388" t="s">
        <v>691</v>
      </c>
      <c r="K119" s="391">
        <v>45843</v>
      </c>
      <c r="L119" s="391">
        <v>45903</v>
      </c>
      <c r="M119" s="399">
        <v>89</v>
      </c>
      <c r="N119" s="399">
        <v>90.78</v>
      </c>
    </row>
    <row r="120" spans="3:14" s="207" customFormat="1" x14ac:dyDescent="0.3">
      <c r="C120" s="35"/>
      <c r="D120" s="395"/>
      <c r="E120" s="394"/>
      <c r="F120" s="393" t="s">
        <v>733</v>
      </c>
      <c r="G120" s="35" t="s">
        <v>729</v>
      </c>
      <c r="H120" s="394">
        <v>29994176</v>
      </c>
      <c r="I120" s="395" t="s">
        <v>690</v>
      </c>
      <c r="J120" s="393" t="s">
        <v>691</v>
      </c>
      <c r="K120" s="396">
        <v>45843</v>
      </c>
      <c r="L120" s="396">
        <v>45903</v>
      </c>
      <c r="M120" s="398">
        <v>89</v>
      </c>
      <c r="N120" s="398">
        <v>90.78</v>
      </c>
    </row>
    <row r="121" spans="3:14" s="207" customFormat="1" x14ac:dyDescent="0.3">
      <c r="C121" s="35"/>
      <c r="D121" s="390"/>
      <c r="E121" s="389"/>
      <c r="F121" s="388" t="s">
        <v>733</v>
      </c>
      <c r="G121" s="35" t="s">
        <v>729</v>
      </c>
      <c r="H121" s="389">
        <v>29994164</v>
      </c>
      <c r="I121" s="390" t="s">
        <v>690</v>
      </c>
      <c r="J121" s="388" t="s">
        <v>691</v>
      </c>
      <c r="K121" s="391">
        <v>45843</v>
      </c>
      <c r="L121" s="391">
        <v>45903</v>
      </c>
      <c r="M121" s="399">
        <v>89</v>
      </c>
      <c r="N121" s="399">
        <v>90.78</v>
      </c>
    </row>
    <row r="122" spans="3:14" s="207" customFormat="1" x14ac:dyDescent="0.3">
      <c r="C122" s="35"/>
      <c r="D122" s="395"/>
      <c r="E122" s="394"/>
      <c r="F122" s="393" t="s">
        <v>733</v>
      </c>
      <c r="G122" s="35" t="s">
        <v>729</v>
      </c>
      <c r="H122" s="394">
        <v>29994188</v>
      </c>
      <c r="I122" s="395" t="s">
        <v>690</v>
      </c>
      <c r="J122" s="393" t="s">
        <v>691</v>
      </c>
      <c r="K122" s="396">
        <v>45843</v>
      </c>
      <c r="L122" s="396">
        <v>45903</v>
      </c>
      <c r="M122" s="398">
        <v>89</v>
      </c>
      <c r="N122" s="398">
        <v>90.78</v>
      </c>
    </row>
    <row r="123" spans="3:14" s="207" customFormat="1" x14ac:dyDescent="0.3">
      <c r="C123" s="35"/>
      <c r="D123" s="390"/>
      <c r="E123" s="389"/>
      <c r="F123" s="388" t="s">
        <v>733</v>
      </c>
      <c r="G123" s="35" t="s">
        <v>729</v>
      </c>
      <c r="H123" s="389">
        <v>29994152</v>
      </c>
      <c r="I123" s="390" t="s">
        <v>690</v>
      </c>
      <c r="J123" s="388" t="s">
        <v>691</v>
      </c>
      <c r="K123" s="391">
        <v>45843</v>
      </c>
      <c r="L123" s="391">
        <v>45903</v>
      </c>
      <c r="M123" s="399">
        <v>89</v>
      </c>
      <c r="N123" s="399">
        <v>90.78</v>
      </c>
    </row>
    <row r="124" spans="3:14" x14ac:dyDescent="0.3">
      <c r="C124" s="32"/>
      <c r="D124" s="380"/>
      <c r="E124" s="381"/>
      <c r="F124" s="400" t="s">
        <v>735</v>
      </c>
      <c r="G124" s="33" t="s">
        <v>736</v>
      </c>
      <c r="H124" s="401">
        <v>156381414</v>
      </c>
      <c r="I124" s="402" t="s">
        <v>690</v>
      </c>
      <c r="J124" s="400" t="s">
        <v>691</v>
      </c>
      <c r="K124" s="403">
        <v>45843</v>
      </c>
      <c r="L124" s="403">
        <v>45872</v>
      </c>
      <c r="M124" s="404">
        <v>130.16</v>
      </c>
      <c r="N124" s="404">
        <v>133.02000000000001</v>
      </c>
    </row>
    <row r="125" spans="3:14" ht="16.8" customHeight="1" x14ac:dyDescent="0.3">
      <c r="C125" s="32"/>
      <c r="D125" s="384"/>
      <c r="E125" s="385"/>
      <c r="F125" s="400" t="s">
        <v>735</v>
      </c>
      <c r="G125" s="33" t="s">
        <v>736</v>
      </c>
      <c r="H125" s="401">
        <v>216471554</v>
      </c>
      <c r="I125" s="402" t="s">
        <v>690</v>
      </c>
      <c r="J125" s="400" t="s">
        <v>691</v>
      </c>
      <c r="K125" s="403">
        <v>45845</v>
      </c>
      <c r="L125" s="403">
        <v>45874</v>
      </c>
      <c r="M125" s="404">
        <v>826.19</v>
      </c>
      <c r="N125" s="404">
        <v>843.81</v>
      </c>
    </row>
    <row r="126" spans="3:14" x14ac:dyDescent="0.3">
      <c r="C126" s="32"/>
      <c r="D126" s="380"/>
      <c r="E126" s="32" t="s">
        <v>745</v>
      </c>
      <c r="F126" s="375" t="s">
        <v>687</v>
      </c>
      <c r="G126" s="32" t="s">
        <v>746</v>
      </c>
      <c r="H126" s="381" t="s">
        <v>747</v>
      </c>
      <c r="I126" s="380" t="s">
        <v>690</v>
      </c>
      <c r="J126" s="375" t="s">
        <v>691</v>
      </c>
      <c r="K126" s="382">
        <v>45847</v>
      </c>
      <c r="L126" s="382">
        <v>46207</v>
      </c>
      <c r="M126" s="383">
        <v>1709.15</v>
      </c>
      <c r="N126" s="383">
        <v>1720.55</v>
      </c>
    </row>
    <row r="127" spans="3:14" x14ac:dyDescent="0.3">
      <c r="C127" s="32"/>
      <c r="D127" s="384"/>
      <c r="E127" s="385"/>
      <c r="F127" s="373" t="s">
        <v>748</v>
      </c>
      <c r="G127" s="32" t="s">
        <v>749</v>
      </c>
      <c r="H127" s="385">
        <v>1220941</v>
      </c>
      <c r="I127" s="384" t="s">
        <v>690</v>
      </c>
      <c r="J127" s="373" t="s">
        <v>691</v>
      </c>
      <c r="K127" s="386">
        <v>45848</v>
      </c>
      <c r="L127" s="386">
        <v>49500</v>
      </c>
      <c r="M127" s="374">
        <v>755.27</v>
      </c>
      <c r="N127" s="374">
        <v>831.04</v>
      </c>
    </row>
    <row r="128" spans="3:14" x14ac:dyDescent="0.3">
      <c r="C128" s="32"/>
      <c r="D128" s="380"/>
      <c r="E128" s="381"/>
      <c r="F128" s="375" t="s">
        <v>733</v>
      </c>
      <c r="G128" s="32" t="s">
        <v>749</v>
      </c>
      <c r="H128" s="381">
        <v>1220942</v>
      </c>
      <c r="I128" s="380" t="s">
        <v>690</v>
      </c>
      <c r="J128" s="375" t="s">
        <v>691</v>
      </c>
      <c r="K128" s="382">
        <v>45848</v>
      </c>
      <c r="L128" s="382">
        <v>49500</v>
      </c>
      <c r="M128" s="376">
        <v>647.79999999999995</v>
      </c>
      <c r="N128" s="376">
        <v>712.8</v>
      </c>
    </row>
    <row r="129" spans="3:14" x14ac:dyDescent="0.3">
      <c r="C129" s="32"/>
      <c r="D129" s="384"/>
      <c r="E129" s="385"/>
      <c r="F129" s="373" t="s">
        <v>750</v>
      </c>
      <c r="G129" s="32" t="s">
        <v>749</v>
      </c>
      <c r="H129" s="385">
        <v>1220943</v>
      </c>
      <c r="I129" s="384" t="s">
        <v>690</v>
      </c>
      <c r="J129" s="373" t="s">
        <v>691</v>
      </c>
      <c r="K129" s="386">
        <v>45848</v>
      </c>
      <c r="L129" s="386">
        <v>49500</v>
      </c>
      <c r="M129" s="374">
        <v>775.99</v>
      </c>
      <c r="N129" s="374">
        <v>853.84</v>
      </c>
    </row>
    <row r="130" spans="3:14" x14ac:dyDescent="0.3">
      <c r="C130" s="32"/>
      <c r="D130" s="380"/>
      <c r="E130" s="381"/>
      <c r="F130" s="375" t="s">
        <v>692</v>
      </c>
      <c r="G130" s="32" t="s">
        <v>749</v>
      </c>
      <c r="H130" s="381">
        <v>1220944</v>
      </c>
      <c r="I130" s="380" t="s">
        <v>690</v>
      </c>
      <c r="J130" s="375" t="s">
        <v>691</v>
      </c>
      <c r="K130" s="382">
        <v>45848</v>
      </c>
      <c r="L130" s="382">
        <v>49500</v>
      </c>
      <c r="M130" s="376">
        <v>469.69</v>
      </c>
      <c r="N130" s="376">
        <v>516.80999999999995</v>
      </c>
    </row>
    <row r="131" spans="3:14" x14ac:dyDescent="0.3">
      <c r="C131" s="32"/>
      <c r="D131" s="384"/>
      <c r="E131" s="385"/>
      <c r="F131" s="373" t="s">
        <v>696</v>
      </c>
      <c r="G131" s="32" t="s">
        <v>749</v>
      </c>
      <c r="H131" s="385">
        <v>1220945</v>
      </c>
      <c r="I131" s="384" t="s">
        <v>690</v>
      </c>
      <c r="J131" s="373" t="s">
        <v>691</v>
      </c>
      <c r="K131" s="386">
        <v>45848</v>
      </c>
      <c r="L131" s="386">
        <v>49500</v>
      </c>
      <c r="M131" s="387">
        <v>2553.7600000000002</v>
      </c>
      <c r="N131" s="387">
        <v>2809.98</v>
      </c>
    </row>
    <row r="132" spans="3:14" x14ac:dyDescent="0.3">
      <c r="C132" s="32"/>
      <c r="D132" s="380"/>
      <c r="E132" s="381"/>
      <c r="F132" s="375" t="s">
        <v>698</v>
      </c>
      <c r="G132" s="32" t="s">
        <v>749</v>
      </c>
      <c r="H132" s="381">
        <v>1220946</v>
      </c>
      <c r="I132" s="380" t="s">
        <v>690</v>
      </c>
      <c r="J132" s="375" t="s">
        <v>691</v>
      </c>
      <c r="K132" s="382">
        <v>45848</v>
      </c>
      <c r="L132" s="382">
        <v>49500</v>
      </c>
      <c r="M132" s="376">
        <v>582.41</v>
      </c>
      <c r="N132" s="376">
        <v>640.84</v>
      </c>
    </row>
    <row r="133" spans="3:14" x14ac:dyDescent="0.3">
      <c r="C133" s="32"/>
      <c r="D133" s="384"/>
      <c r="E133" s="385"/>
      <c r="F133" s="373" t="s">
        <v>702</v>
      </c>
      <c r="G133" s="32" t="s">
        <v>749</v>
      </c>
      <c r="H133" s="385">
        <v>1220947</v>
      </c>
      <c r="I133" s="384" t="s">
        <v>690</v>
      </c>
      <c r="J133" s="373" t="s">
        <v>691</v>
      </c>
      <c r="K133" s="386">
        <v>45848</v>
      </c>
      <c r="L133" s="386">
        <v>49500</v>
      </c>
      <c r="M133" s="374">
        <v>766.08</v>
      </c>
      <c r="N133" s="374">
        <v>842.94</v>
      </c>
    </row>
    <row r="134" spans="3:14" x14ac:dyDescent="0.3">
      <c r="C134" s="32"/>
      <c r="D134" s="380"/>
      <c r="E134" s="381"/>
      <c r="F134" s="375" t="s">
        <v>700</v>
      </c>
      <c r="G134" s="32" t="s">
        <v>749</v>
      </c>
      <c r="H134" s="381">
        <v>1220948</v>
      </c>
      <c r="I134" s="380" t="s">
        <v>690</v>
      </c>
      <c r="J134" s="375" t="s">
        <v>691</v>
      </c>
      <c r="K134" s="382">
        <v>45848</v>
      </c>
      <c r="L134" s="382">
        <v>49500</v>
      </c>
      <c r="M134" s="376">
        <v>786.62</v>
      </c>
      <c r="N134" s="376">
        <v>865.54</v>
      </c>
    </row>
    <row r="135" spans="3:14" x14ac:dyDescent="0.3">
      <c r="C135" s="32"/>
      <c r="D135" s="384"/>
      <c r="E135" s="385"/>
      <c r="F135" s="373" t="s">
        <v>704</v>
      </c>
      <c r="G135" s="32" t="s">
        <v>749</v>
      </c>
      <c r="H135" s="385">
        <v>1220949</v>
      </c>
      <c r="I135" s="384" t="s">
        <v>690</v>
      </c>
      <c r="J135" s="373" t="s">
        <v>691</v>
      </c>
      <c r="K135" s="386">
        <v>45848</v>
      </c>
      <c r="L135" s="386">
        <v>49500</v>
      </c>
      <c r="M135" s="387">
        <v>2121.83</v>
      </c>
      <c r="N135" s="387">
        <v>2334.7199999999998</v>
      </c>
    </row>
    <row r="136" spans="3:14" s="207" customFormat="1" x14ac:dyDescent="0.3">
      <c r="C136" s="35"/>
      <c r="D136" s="395"/>
      <c r="E136" s="394"/>
      <c r="F136" s="393" t="s">
        <v>706</v>
      </c>
      <c r="G136" s="35" t="s">
        <v>751</v>
      </c>
      <c r="H136" s="394">
        <v>4000616447</v>
      </c>
      <c r="I136" s="395" t="s">
        <v>690</v>
      </c>
      <c r="J136" s="393" t="s">
        <v>691</v>
      </c>
      <c r="K136" s="396">
        <v>45848</v>
      </c>
      <c r="L136" s="396">
        <v>45968</v>
      </c>
      <c r="M136" s="397">
        <v>3508.97</v>
      </c>
      <c r="N136" s="397">
        <v>3580.32</v>
      </c>
    </row>
  </sheetData>
  <mergeCells count="12">
    <mergeCell ref="A110:XFD110"/>
    <mergeCell ref="J5:J9"/>
    <mergeCell ref="L5:N7"/>
    <mergeCell ref="F8:F9"/>
    <mergeCell ref="L8:L9"/>
    <mergeCell ref="M8:M9"/>
    <mergeCell ref="D5:D9"/>
    <mergeCell ref="E5:E9"/>
    <mergeCell ref="F5:F7"/>
    <mergeCell ref="G5:G9"/>
    <mergeCell ref="H5:H9"/>
    <mergeCell ref="I5:I9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2400" r:id="rId3" name="Control 112">
          <controlPr defaultSize="0" r:id="rId4">
            <anchor moveWithCells="1">
              <from>
                <xdr:col>3</xdr:col>
                <xdr:colOff>0</xdr:colOff>
                <xdr:row>9</xdr:row>
                <xdr:rowOff>0</xdr:rowOff>
              </from>
              <to>
                <xdr:col>3</xdr:col>
                <xdr:colOff>228600</xdr:colOff>
                <xdr:row>10</xdr:row>
                <xdr:rowOff>60960</xdr:rowOff>
              </to>
            </anchor>
          </controlPr>
        </control>
      </mc:Choice>
      <mc:Fallback>
        <control shapeId="12400" r:id="rId3" name="Control 112"/>
      </mc:Fallback>
    </mc:AlternateContent>
    <mc:AlternateContent xmlns:mc="http://schemas.openxmlformats.org/markup-compatibility/2006">
      <mc:Choice Requires="x14">
        <control shapeId="12401" r:id="rId5" name="Control 113">
          <controlPr defaultSize="0" r:id="rId4">
            <anchor moveWithCells="1">
              <from>
                <xdr:col>3</xdr:col>
                <xdr:colOff>0</xdr:colOff>
                <xdr:row>10</xdr:row>
                <xdr:rowOff>0</xdr:rowOff>
              </from>
              <to>
                <xdr:col>3</xdr:col>
                <xdr:colOff>228600</xdr:colOff>
                <xdr:row>11</xdr:row>
                <xdr:rowOff>60960</xdr:rowOff>
              </to>
            </anchor>
          </controlPr>
        </control>
      </mc:Choice>
      <mc:Fallback>
        <control shapeId="12401" r:id="rId5" name="Control 113"/>
      </mc:Fallback>
    </mc:AlternateContent>
    <mc:AlternateContent xmlns:mc="http://schemas.openxmlformats.org/markup-compatibility/2006">
      <mc:Choice Requires="x14">
        <control shapeId="12402" r:id="rId6" name="Control 114">
          <controlPr defaultSize="0" r:id="rId4">
            <anchor moveWithCells="1">
              <from>
                <xdr:col>3</xdr:col>
                <xdr:colOff>0</xdr:colOff>
                <xdr:row>11</xdr:row>
                <xdr:rowOff>0</xdr:rowOff>
              </from>
              <to>
                <xdr:col>3</xdr:col>
                <xdr:colOff>228600</xdr:colOff>
                <xdr:row>12</xdr:row>
                <xdr:rowOff>60960</xdr:rowOff>
              </to>
            </anchor>
          </controlPr>
        </control>
      </mc:Choice>
      <mc:Fallback>
        <control shapeId="12402" r:id="rId6" name="Control 114"/>
      </mc:Fallback>
    </mc:AlternateContent>
    <mc:AlternateContent xmlns:mc="http://schemas.openxmlformats.org/markup-compatibility/2006">
      <mc:Choice Requires="x14">
        <control shapeId="12403" r:id="rId7" name="Control 115">
          <controlPr defaultSize="0" r:id="rId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228600</xdr:colOff>
                <xdr:row>13</xdr:row>
                <xdr:rowOff>60960</xdr:rowOff>
              </to>
            </anchor>
          </controlPr>
        </control>
      </mc:Choice>
      <mc:Fallback>
        <control shapeId="12403" r:id="rId7" name="Control 115"/>
      </mc:Fallback>
    </mc:AlternateContent>
    <mc:AlternateContent xmlns:mc="http://schemas.openxmlformats.org/markup-compatibility/2006">
      <mc:Choice Requires="x14">
        <control shapeId="12404" r:id="rId8" name="Control 116">
          <controlPr defaultSize="0" r:id="rId4">
            <anchor moveWithCells="1">
              <from>
                <xdr:col>3</xdr:col>
                <xdr:colOff>0</xdr:colOff>
                <xdr:row>13</xdr:row>
                <xdr:rowOff>0</xdr:rowOff>
              </from>
              <to>
                <xdr:col>3</xdr:col>
                <xdr:colOff>228600</xdr:colOff>
                <xdr:row>14</xdr:row>
                <xdr:rowOff>60960</xdr:rowOff>
              </to>
            </anchor>
          </controlPr>
        </control>
      </mc:Choice>
      <mc:Fallback>
        <control shapeId="12404" r:id="rId8" name="Control 116"/>
      </mc:Fallback>
    </mc:AlternateContent>
    <mc:AlternateContent xmlns:mc="http://schemas.openxmlformats.org/markup-compatibility/2006">
      <mc:Choice Requires="x14">
        <control shapeId="12405" r:id="rId9" name="Control 117">
          <controlPr defaultSize="0" r:id="rId4">
            <anchor moveWithCells="1">
              <from>
                <xdr:col>3</xdr:col>
                <xdr:colOff>0</xdr:colOff>
                <xdr:row>14</xdr:row>
                <xdr:rowOff>0</xdr:rowOff>
              </from>
              <to>
                <xdr:col>3</xdr:col>
                <xdr:colOff>228600</xdr:colOff>
                <xdr:row>15</xdr:row>
                <xdr:rowOff>60960</xdr:rowOff>
              </to>
            </anchor>
          </controlPr>
        </control>
      </mc:Choice>
      <mc:Fallback>
        <control shapeId="12405" r:id="rId9" name="Control 117"/>
      </mc:Fallback>
    </mc:AlternateContent>
    <mc:AlternateContent xmlns:mc="http://schemas.openxmlformats.org/markup-compatibility/2006">
      <mc:Choice Requires="x14">
        <control shapeId="12406" r:id="rId10" name="Control 118">
          <controlPr defaultSize="0" r:id="rId4">
            <anchor moveWithCells="1">
              <from>
                <xdr:col>3</xdr:col>
                <xdr:colOff>0</xdr:colOff>
                <xdr:row>15</xdr:row>
                <xdr:rowOff>0</xdr:rowOff>
              </from>
              <to>
                <xdr:col>3</xdr:col>
                <xdr:colOff>228600</xdr:colOff>
                <xdr:row>16</xdr:row>
                <xdr:rowOff>60960</xdr:rowOff>
              </to>
            </anchor>
          </controlPr>
        </control>
      </mc:Choice>
      <mc:Fallback>
        <control shapeId="12406" r:id="rId10" name="Control 118"/>
      </mc:Fallback>
    </mc:AlternateContent>
    <mc:AlternateContent xmlns:mc="http://schemas.openxmlformats.org/markup-compatibility/2006">
      <mc:Choice Requires="x14">
        <control shapeId="12407" r:id="rId11" name="Control 119">
          <controlPr defaultSize="0" r:id="rId4">
            <anchor moveWithCells="1">
              <from>
                <xdr:col>3</xdr:col>
                <xdr:colOff>0</xdr:colOff>
                <xdr:row>16</xdr:row>
                <xdr:rowOff>0</xdr:rowOff>
              </from>
              <to>
                <xdr:col>3</xdr:col>
                <xdr:colOff>228600</xdr:colOff>
                <xdr:row>17</xdr:row>
                <xdr:rowOff>60960</xdr:rowOff>
              </to>
            </anchor>
          </controlPr>
        </control>
      </mc:Choice>
      <mc:Fallback>
        <control shapeId="12407" r:id="rId11" name="Control 119"/>
      </mc:Fallback>
    </mc:AlternateContent>
    <mc:AlternateContent xmlns:mc="http://schemas.openxmlformats.org/markup-compatibility/2006">
      <mc:Choice Requires="x14">
        <control shapeId="12408" r:id="rId12" name="Control 120">
          <controlPr defaultSize="0" r:id="rId4">
            <anchor moveWithCells="1">
              <from>
                <xdr:col>3</xdr:col>
                <xdr:colOff>0</xdr:colOff>
                <xdr:row>17</xdr:row>
                <xdr:rowOff>0</xdr:rowOff>
              </from>
              <to>
                <xdr:col>3</xdr:col>
                <xdr:colOff>228600</xdr:colOff>
                <xdr:row>18</xdr:row>
                <xdr:rowOff>60960</xdr:rowOff>
              </to>
            </anchor>
          </controlPr>
        </control>
      </mc:Choice>
      <mc:Fallback>
        <control shapeId="12408" r:id="rId12" name="Control 120"/>
      </mc:Fallback>
    </mc:AlternateContent>
    <mc:AlternateContent xmlns:mc="http://schemas.openxmlformats.org/markup-compatibility/2006">
      <mc:Choice Requires="x14">
        <control shapeId="12409" r:id="rId13" name="Control 121">
          <controlPr defaultSize="0" r:id="rId4">
            <anchor moveWithCells="1">
              <from>
                <xdr:col>3</xdr:col>
                <xdr:colOff>0</xdr:colOff>
                <xdr:row>18</xdr:row>
                <xdr:rowOff>0</xdr:rowOff>
              </from>
              <to>
                <xdr:col>3</xdr:col>
                <xdr:colOff>228600</xdr:colOff>
                <xdr:row>19</xdr:row>
                <xdr:rowOff>60960</xdr:rowOff>
              </to>
            </anchor>
          </controlPr>
        </control>
      </mc:Choice>
      <mc:Fallback>
        <control shapeId="12409" r:id="rId13" name="Control 121"/>
      </mc:Fallback>
    </mc:AlternateContent>
    <mc:AlternateContent xmlns:mc="http://schemas.openxmlformats.org/markup-compatibility/2006">
      <mc:Choice Requires="x14">
        <control shapeId="12410" r:id="rId14" name="Control 122">
          <controlPr defaultSize="0" r:id="rId4">
            <anchor moveWithCells="1">
              <from>
                <xdr:col>3</xdr:col>
                <xdr:colOff>0</xdr:colOff>
                <xdr:row>19</xdr:row>
                <xdr:rowOff>0</xdr:rowOff>
              </from>
              <to>
                <xdr:col>3</xdr:col>
                <xdr:colOff>228600</xdr:colOff>
                <xdr:row>20</xdr:row>
                <xdr:rowOff>60960</xdr:rowOff>
              </to>
            </anchor>
          </controlPr>
        </control>
      </mc:Choice>
      <mc:Fallback>
        <control shapeId="12410" r:id="rId14" name="Control 122"/>
      </mc:Fallback>
    </mc:AlternateContent>
    <mc:AlternateContent xmlns:mc="http://schemas.openxmlformats.org/markup-compatibility/2006">
      <mc:Choice Requires="x14">
        <control shapeId="12411" r:id="rId15" name="Control 123">
          <controlPr defaultSize="0" r:id="rId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3</xdr:col>
                <xdr:colOff>228600</xdr:colOff>
                <xdr:row>21</xdr:row>
                <xdr:rowOff>60960</xdr:rowOff>
              </to>
            </anchor>
          </controlPr>
        </control>
      </mc:Choice>
      <mc:Fallback>
        <control shapeId="12411" r:id="rId15" name="Control 123"/>
      </mc:Fallback>
    </mc:AlternateContent>
    <mc:AlternateContent xmlns:mc="http://schemas.openxmlformats.org/markup-compatibility/2006">
      <mc:Choice Requires="x14">
        <control shapeId="12412" r:id="rId16" name="Control 124">
          <controlPr defaultSize="0" r:id="rId4">
            <anchor moveWithCells="1">
              <from>
                <xdr:col>3</xdr:col>
                <xdr:colOff>0</xdr:colOff>
                <xdr:row>21</xdr:row>
                <xdr:rowOff>0</xdr:rowOff>
              </from>
              <to>
                <xdr:col>3</xdr:col>
                <xdr:colOff>228600</xdr:colOff>
                <xdr:row>22</xdr:row>
                <xdr:rowOff>60960</xdr:rowOff>
              </to>
            </anchor>
          </controlPr>
        </control>
      </mc:Choice>
      <mc:Fallback>
        <control shapeId="12412" r:id="rId16" name="Control 124"/>
      </mc:Fallback>
    </mc:AlternateContent>
    <mc:AlternateContent xmlns:mc="http://schemas.openxmlformats.org/markup-compatibility/2006">
      <mc:Choice Requires="x14">
        <control shapeId="12413" r:id="rId17" name="Control 125">
          <controlPr defaultSize="0" r:id="rId4">
            <anchor moveWithCells="1">
              <from>
                <xdr:col>3</xdr:col>
                <xdr:colOff>0</xdr:colOff>
                <xdr:row>22</xdr:row>
                <xdr:rowOff>0</xdr:rowOff>
              </from>
              <to>
                <xdr:col>3</xdr:col>
                <xdr:colOff>228600</xdr:colOff>
                <xdr:row>23</xdr:row>
                <xdr:rowOff>60960</xdr:rowOff>
              </to>
            </anchor>
          </controlPr>
        </control>
      </mc:Choice>
      <mc:Fallback>
        <control shapeId="12413" r:id="rId17" name="Control 125"/>
      </mc:Fallback>
    </mc:AlternateContent>
    <mc:AlternateContent xmlns:mc="http://schemas.openxmlformats.org/markup-compatibility/2006">
      <mc:Choice Requires="x14">
        <control shapeId="12414" r:id="rId18" name="Control 126">
          <controlPr defaultSize="0" r:id="rId4">
            <anchor moveWithCells="1">
              <from>
                <xdr:col>3</xdr:col>
                <xdr:colOff>0</xdr:colOff>
                <xdr:row>23</xdr:row>
                <xdr:rowOff>0</xdr:rowOff>
              </from>
              <to>
                <xdr:col>3</xdr:col>
                <xdr:colOff>228600</xdr:colOff>
                <xdr:row>24</xdr:row>
                <xdr:rowOff>60960</xdr:rowOff>
              </to>
            </anchor>
          </controlPr>
        </control>
      </mc:Choice>
      <mc:Fallback>
        <control shapeId="12414" r:id="rId18" name="Control 126"/>
      </mc:Fallback>
    </mc:AlternateContent>
    <mc:AlternateContent xmlns:mc="http://schemas.openxmlformats.org/markup-compatibility/2006">
      <mc:Choice Requires="x14">
        <control shapeId="12415" r:id="rId19" name="Control 127">
          <controlPr defaultSize="0" r:id="rId4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3</xdr:col>
                <xdr:colOff>228600</xdr:colOff>
                <xdr:row>25</xdr:row>
                <xdr:rowOff>60960</xdr:rowOff>
              </to>
            </anchor>
          </controlPr>
        </control>
      </mc:Choice>
      <mc:Fallback>
        <control shapeId="12415" r:id="rId19" name="Control 127"/>
      </mc:Fallback>
    </mc:AlternateContent>
    <mc:AlternateContent xmlns:mc="http://schemas.openxmlformats.org/markup-compatibility/2006">
      <mc:Choice Requires="x14">
        <control shapeId="12416" r:id="rId20" name="Control 128">
          <controlPr defaultSize="0" r:id="rId4">
            <anchor moveWithCells="1">
              <from>
                <xdr:col>3</xdr:col>
                <xdr:colOff>0</xdr:colOff>
                <xdr:row>25</xdr:row>
                <xdr:rowOff>0</xdr:rowOff>
              </from>
              <to>
                <xdr:col>3</xdr:col>
                <xdr:colOff>228600</xdr:colOff>
                <xdr:row>26</xdr:row>
                <xdr:rowOff>60960</xdr:rowOff>
              </to>
            </anchor>
          </controlPr>
        </control>
      </mc:Choice>
      <mc:Fallback>
        <control shapeId="12416" r:id="rId20" name="Control 128"/>
      </mc:Fallback>
    </mc:AlternateContent>
    <mc:AlternateContent xmlns:mc="http://schemas.openxmlformats.org/markup-compatibility/2006">
      <mc:Choice Requires="x14">
        <control shapeId="12417" r:id="rId21" name="Control 129">
          <controlPr defaultSize="0" r:id="rId4">
            <anchor moveWithCells="1">
              <from>
                <xdr:col>3</xdr:col>
                <xdr:colOff>0</xdr:colOff>
                <xdr:row>26</xdr:row>
                <xdr:rowOff>0</xdr:rowOff>
              </from>
              <to>
                <xdr:col>3</xdr:col>
                <xdr:colOff>228600</xdr:colOff>
                <xdr:row>27</xdr:row>
                <xdr:rowOff>60960</xdr:rowOff>
              </to>
            </anchor>
          </controlPr>
        </control>
      </mc:Choice>
      <mc:Fallback>
        <control shapeId="12417" r:id="rId21" name="Control 129"/>
      </mc:Fallback>
    </mc:AlternateContent>
    <mc:AlternateContent xmlns:mc="http://schemas.openxmlformats.org/markup-compatibility/2006">
      <mc:Choice Requires="x14">
        <control shapeId="12418" r:id="rId22" name="Control 130">
          <controlPr defaultSize="0" r:id="rId4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228600</xdr:colOff>
                <xdr:row>28</xdr:row>
                <xdr:rowOff>60960</xdr:rowOff>
              </to>
            </anchor>
          </controlPr>
        </control>
      </mc:Choice>
      <mc:Fallback>
        <control shapeId="12418" r:id="rId22" name="Control 130"/>
      </mc:Fallback>
    </mc:AlternateContent>
    <mc:AlternateContent xmlns:mc="http://schemas.openxmlformats.org/markup-compatibility/2006">
      <mc:Choice Requires="x14">
        <control shapeId="12419" r:id="rId23" name="Control 131">
          <controlPr defaultSize="0" r:id="rId4">
            <anchor moveWithCells="1">
              <from>
                <xdr:col>3</xdr:col>
                <xdr:colOff>0</xdr:colOff>
                <xdr:row>28</xdr:row>
                <xdr:rowOff>0</xdr:rowOff>
              </from>
              <to>
                <xdr:col>3</xdr:col>
                <xdr:colOff>228600</xdr:colOff>
                <xdr:row>29</xdr:row>
                <xdr:rowOff>60960</xdr:rowOff>
              </to>
            </anchor>
          </controlPr>
        </control>
      </mc:Choice>
      <mc:Fallback>
        <control shapeId="12419" r:id="rId23" name="Control 131"/>
      </mc:Fallback>
    </mc:AlternateContent>
    <mc:AlternateContent xmlns:mc="http://schemas.openxmlformats.org/markup-compatibility/2006">
      <mc:Choice Requires="x14">
        <control shapeId="12420" r:id="rId24" name="Control 132">
          <controlPr defaultSize="0" r:id="rId4">
            <anchor moveWithCells="1">
              <from>
                <xdr:col>3</xdr:col>
                <xdr:colOff>0</xdr:colOff>
                <xdr:row>29</xdr:row>
                <xdr:rowOff>0</xdr:rowOff>
              </from>
              <to>
                <xdr:col>3</xdr:col>
                <xdr:colOff>228600</xdr:colOff>
                <xdr:row>30</xdr:row>
                <xdr:rowOff>60960</xdr:rowOff>
              </to>
            </anchor>
          </controlPr>
        </control>
      </mc:Choice>
      <mc:Fallback>
        <control shapeId="12420" r:id="rId24" name="Control 132"/>
      </mc:Fallback>
    </mc:AlternateContent>
    <mc:AlternateContent xmlns:mc="http://schemas.openxmlformats.org/markup-compatibility/2006">
      <mc:Choice Requires="x14">
        <control shapeId="12421" r:id="rId25" name="Control 133">
          <controlPr defaultSize="0" r:id="rId4">
            <anchor moveWithCells="1">
              <from>
                <xdr:col>3</xdr:col>
                <xdr:colOff>0</xdr:colOff>
                <xdr:row>30</xdr:row>
                <xdr:rowOff>0</xdr:rowOff>
              </from>
              <to>
                <xdr:col>3</xdr:col>
                <xdr:colOff>228600</xdr:colOff>
                <xdr:row>31</xdr:row>
                <xdr:rowOff>60960</xdr:rowOff>
              </to>
            </anchor>
          </controlPr>
        </control>
      </mc:Choice>
      <mc:Fallback>
        <control shapeId="12421" r:id="rId25" name="Control 133"/>
      </mc:Fallback>
    </mc:AlternateContent>
    <mc:AlternateContent xmlns:mc="http://schemas.openxmlformats.org/markup-compatibility/2006">
      <mc:Choice Requires="x14">
        <control shapeId="12422" r:id="rId26" name="Control 134">
          <controlPr defaultSize="0" r:id="rId4">
            <anchor moveWithCells="1">
              <from>
                <xdr:col>3</xdr:col>
                <xdr:colOff>0</xdr:colOff>
                <xdr:row>31</xdr:row>
                <xdr:rowOff>0</xdr:rowOff>
              </from>
              <to>
                <xdr:col>3</xdr:col>
                <xdr:colOff>228600</xdr:colOff>
                <xdr:row>32</xdr:row>
                <xdr:rowOff>60960</xdr:rowOff>
              </to>
            </anchor>
          </controlPr>
        </control>
      </mc:Choice>
      <mc:Fallback>
        <control shapeId="12422" r:id="rId26" name="Control 134"/>
      </mc:Fallback>
    </mc:AlternateContent>
    <mc:AlternateContent xmlns:mc="http://schemas.openxmlformats.org/markup-compatibility/2006">
      <mc:Choice Requires="x14">
        <control shapeId="12423" r:id="rId27" name="Control 135">
          <controlPr defaultSize="0" r:id="rId4">
            <anchor moveWithCells="1">
              <from>
                <xdr:col>3</xdr:col>
                <xdr:colOff>0</xdr:colOff>
                <xdr:row>57</xdr:row>
                <xdr:rowOff>0</xdr:rowOff>
              </from>
              <to>
                <xdr:col>3</xdr:col>
                <xdr:colOff>228600</xdr:colOff>
                <xdr:row>58</xdr:row>
                <xdr:rowOff>60960</xdr:rowOff>
              </to>
            </anchor>
          </controlPr>
        </control>
      </mc:Choice>
      <mc:Fallback>
        <control shapeId="12423" r:id="rId27" name="Control 135"/>
      </mc:Fallback>
    </mc:AlternateContent>
    <mc:AlternateContent xmlns:mc="http://schemas.openxmlformats.org/markup-compatibility/2006">
      <mc:Choice Requires="x14">
        <control shapeId="12424" r:id="rId28" name="Control 136">
          <controlPr defaultSize="0" r:id="rId4">
            <anchor moveWithCells="1">
              <from>
                <xdr:col>3</xdr:col>
                <xdr:colOff>0</xdr:colOff>
                <xdr:row>58</xdr:row>
                <xdr:rowOff>0</xdr:rowOff>
              </from>
              <to>
                <xdr:col>3</xdr:col>
                <xdr:colOff>228600</xdr:colOff>
                <xdr:row>59</xdr:row>
                <xdr:rowOff>60960</xdr:rowOff>
              </to>
            </anchor>
          </controlPr>
        </control>
      </mc:Choice>
      <mc:Fallback>
        <control shapeId="12424" r:id="rId28" name="Control 136"/>
      </mc:Fallback>
    </mc:AlternateContent>
    <mc:AlternateContent xmlns:mc="http://schemas.openxmlformats.org/markup-compatibility/2006">
      <mc:Choice Requires="x14">
        <control shapeId="12425" r:id="rId29" name="Control 137">
          <controlPr defaultSize="0" r:id="rId4">
            <anchor moveWithCells="1">
              <from>
                <xdr:col>3</xdr:col>
                <xdr:colOff>0</xdr:colOff>
                <xdr:row>59</xdr:row>
                <xdr:rowOff>0</xdr:rowOff>
              </from>
              <to>
                <xdr:col>3</xdr:col>
                <xdr:colOff>228600</xdr:colOff>
                <xdr:row>60</xdr:row>
                <xdr:rowOff>60960</xdr:rowOff>
              </to>
            </anchor>
          </controlPr>
        </control>
      </mc:Choice>
      <mc:Fallback>
        <control shapeId="12425" r:id="rId29" name="Control 137"/>
      </mc:Fallback>
    </mc:AlternateContent>
    <mc:AlternateContent xmlns:mc="http://schemas.openxmlformats.org/markup-compatibility/2006">
      <mc:Choice Requires="x14">
        <control shapeId="12426" r:id="rId30" name="Control 138">
          <controlPr defaultSize="0" r:id="rId4">
            <anchor moveWithCells="1">
              <from>
                <xdr:col>3</xdr:col>
                <xdr:colOff>0</xdr:colOff>
                <xdr:row>60</xdr:row>
                <xdr:rowOff>0</xdr:rowOff>
              </from>
              <to>
                <xdr:col>3</xdr:col>
                <xdr:colOff>228600</xdr:colOff>
                <xdr:row>61</xdr:row>
                <xdr:rowOff>60960</xdr:rowOff>
              </to>
            </anchor>
          </controlPr>
        </control>
      </mc:Choice>
      <mc:Fallback>
        <control shapeId="12426" r:id="rId30" name="Control 138"/>
      </mc:Fallback>
    </mc:AlternateContent>
    <mc:AlternateContent xmlns:mc="http://schemas.openxmlformats.org/markup-compatibility/2006">
      <mc:Choice Requires="x14">
        <control shapeId="12427" r:id="rId31" name="Control 139">
          <controlPr defaultSize="0" r:id="rId4">
            <anchor moveWithCells="1">
              <from>
                <xdr:col>3</xdr:col>
                <xdr:colOff>0</xdr:colOff>
                <xdr:row>61</xdr:row>
                <xdr:rowOff>0</xdr:rowOff>
              </from>
              <to>
                <xdr:col>3</xdr:col>
                <xdr:colOff>228600</xdr:colOff>
                <xdr:row>62</xdr:row>
                <xdr:rowOff>60960</xdr:rowOff>
              </to>
            </anchor>
          </controlPr>
        </control>
      </mc:Choice>
      <mc:Fallback>
        <control shapeId="12427" r:id="rId31" name="Control 139"/>
      </mc:Fallback>
    </mc:AlternateContent>
    <mc:AlternateContent xmlns:mc="http://schemas.openxmlformats.org/markup-compatibility/2006">
      <mc:Choice Requires="x14">
        <control shapeId="12428" r:id="rId32" name="Control 140">
          <controlPr defaultSize="0" r:id="rId4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3</xdr:col>
                <xdr:colOff>228600</xdr:colOff>
                <xdr:row>63</xdr:row>
                <xdr:rowOff>60960</xdr:rowOff>
              </to>
            </anchor>
          </controlPr>
        </control>
      </mc:Choice>
      <mc:Fallback>
        <control shapeId="12428" r:id="rId32" name="Control 140"/>
      </mc:Fallback>
    </mc:AlternateContent>
    <mc:AlternateContent xmlns:mc="http://schemas.openxmlformats.org/markup-compatibility/2006">
      <mc:Choice Requires="x14">
        <control shapeId="12429" r:id="rId33" name="Control 141">
          <controlPr defaultSize="0" r:id="rId4">
            <anchor moveWithCells="1">
              <from>
                <xdr:col>3</xdr:col>
                <xdr:colOff>0</xdr:colOff>
                <xdr:row>63</xdr:row>
                <xdr:rowOff>0</xdr:rowOff>
              </from>
              <to>
                <xdr:col>3</xdr:col>
                <xdr:colOff>228600</xdr:colOff>
                <xdr:row>64</xdr:row>
                <xdr:rowOff>60960</xdr:rowOff>
              </to>
            </anchor>
          </controlPr>
        </control>
      </mc:Choice>
      <mc:Fallback>
        <control shapeId="12429" r:id="rId33" name="Control 141"/>
      </mc:Fallback>
    </mc:AlternateContent>
    <mc:AlternateContent xmlns:mc="http://schemas.openxmlformats.org/markup-compatibility/2006">
      <mc:Choice Requires="x14">
        <control shapeId="12430" r:id="rId34" name="Control 142">
          <controlPr defaultSize="0" r:id="rId4">
            <anchor moveWithCells="1">
              <from>
                <xdr:col>3</xdr:col>
                <xdr:colOff>0</xdr:colOff>
                <xdr:row>64</xdr:row>
                <xdr:rowOff>0</xdr:rowOff>
              </from>
              <to>
                <xdr:col>3</xdr:col>
                <xdr:colOff>228600</xdr:colOff>
                <xdr:row>65</xdr:row>
                <xdr:rowOff>60960</xdr:rowOff>
              </to>
            </anchor>
          </controlPr>
        </control>
      </mc:Choice>
      <mc:Fallback>
        <control shapeId="12430" r:id="rId34" name="Control 142"/>
      </mc:Fallback>
    </mc:AlternateContent>
    <mc:AlternateContent xmlns:mc="http://schemas.openxmlformats.org/markup-compatibility/2006">
      <mc:Choice Requires="x14">
        <control shapeId="12431" r:id="rId35" name="Control 143">
          <controlPr defaultSize="0" r:id="rId4">
            <anchor moveWithCells="1">
              <from>
                <xdr:col>3</xdr:col>
                <xdr:colOff>0</xdr:colOff>
                <xdr:row>65</xdr:row>
                <xdr:rowOff>0</xdr:rowOff>
              </from>
              <to>
                <xdr:col>3</xdr:col>
                <xdr:colOff>228600</xdr:colOff>
                <xdr:row>66</xdr:row>
                <xdr:rowOff>60960</xdr:rowOff>
              </to>
            </anchor>
          </controlPr>
        </control>
      </mc:Choice>
      <mc:Fallback>
        <control shapeId="12431" r:id="rId35" name="Control 143"/>
      </mc:Fallback>
    </mc:AlternateContent>
    <mc:AlternateContent xmlns:mc="http://schemas.openxmlformats.org/markup-compatibility/2006">
      <mc:Choice Requires="x14">
        <control shapeId="12432" r:id="rId36" name="Control 144">
          <controlPr defaultSize="0" r:id="rId4">
            <anchor moveWithCells="1">
              <from>
                <xdr:col>3</xdr:col>
                <xdr:colOff>0</xdr:colOff>
                <xdr:row>66</xdr:row>
                <xdr:rowOff>0</xdr:rowOff>
              </from>
              <to>
                <xdr:col>3</xdr:col>
                <xdr:colOff>228600</xdr:colOff>
                <xdr:row>67</xdr:row>
                <xdr:rowOff>60960</xdr:rowOff>
              </to>
            </anchor>
          </controlPr>
        </control>
      </mc:Choice>
      <mc:Fallback>
        <control shapeId="12432" r:id="rId36" name="Control 144"/>
      </mc:Fallback>
    </mc:AlternateContent>
    <mc:AlternateContent xmlns:mc="http://schemas.openxmlformats.org/markup-compatibility/2006">
      <mc:Choice Requires="x14">
        <control shapeId="12433" r:id="rId37" name="Control 145">
          <controlPr defaultSize="0" r:id="rId4">
            <anchor moveWithCells="1">
              <from>
                <xdr:col>3</xdr:col>
                <xdr:colOff>0</xdr:colOff>
                <xdr:row>67</xdr:row>
                <xdr:rowOff>0</xdr:rowOff>
              </from>
              <to>
                <xdr:col>3</xdr:col>
                <xdr:colOff>228600</xdr:colOff>
                <xdr:row>68</xdr:row>
                <xdr:rowOff>60960</xdr:rowOff>
              </to>
            </anchor>
          </controlPr>
        </control>
      </mc:Choice>
      <mc:Fallback>
        <control shapeId="12433" r:id="rId37" name="Control 145"/>
      </mc:Fallback>
    </mc:AlternateContent>
    <mc:AlternateContent xmlns:mc="http://schemas.openxmlformats.org/markup-compatibility/2006">
      <mc:Choice Requires="x14">
        <control shapeId="12434" r:id="rId38" name="Control 146">
          <controlPr defaultSize="0" r:id="rId4">
            <anchor moveWithCells="1">
              <from>
                <xdr:col>3</xdr:col>
                <xdr:colOff>0</xdr:colOff>
                <xdr:row>68</xdr:row>
                <xdr:rowOff>0</xdr:rowOff>
              </from>
              <to>
                <xdr:col>3</xdr:col>
                <xdr:colOff>228600</xdr:colOff>
                <xdr:row>69</xdr:row>
                <xdr:rowOff>60960</xdr:rowOff>
              </to>
            </anchor>
          </controlPr>
        </control>
      </mc:Choice>
      <mc:Fallback>
        <control shapeId="12434" r:id="rId38" name="Control 146"/>
      </mc:Fallback>
    </mc:AlternateContent>
    <mc:AlternateContent xmlns:mc="http://schemas.openxmlformats.org/markup-compatibility/2006">
      <mc:Choice Requires="x14">
        <control shapeId="12435" r:id="rId39" name="Control 147">
          <controlPr defaultSize="0" r:id="rId4">
            <anchor moveWithCells="1">
              <from>
                <xdr:col>3</xdr:col>
                <xdr:colOff>0</xdr:colOff>
                <xdr:row>69</xdr:row>
                <xdr:rowOff>0</xdr:rowOff>
              </from>
              <to>
                <xdr:col>3</xdr:col>
                <xdr:colOff>228600</xdr:colOff>
                <xdr:row>70</xdr:row>
                <xdr:rowOff>60960</xdr:rowOff>
              </to>
            </anchor>
          </controlPr>
        </control>
      </mc:Choice>
      <mc:Fallback>
        <control shapeId="12435" r:id="rId39" name="Control 147"/>
      </mc:Fallback>
    </mc:AlternateContent>
    <mc:AlternateContent xmlns:mc="http://schemas.openxmlformats.org/markup-compatibility/2006">
      <mc:Choice Requires="x14">
        <control shapeId="12436" r:id="rId40" name="Control 148">
          <controlPr defaultSize="0" r:id="rId4">
            <anchor moveWithCells="1">
              <from>
                <xdr:col>3</xdr:col>
                <xdr:colOff>0</xdr:colOff>
                <xdr:row>70</xdr:row>
                <xdr:rowOff>0</xdr:rowOff>
              </from>
              <to>
                <xdr:col>3</xdr:col>
                <xdr:colOff>228600</xdr:colOff>
                <xdr:row>71</xdr:row>
                <xdr:rowOff>60960</xdr:rowOff>
              </to>
            </anchor>
          </controlPr>
        </control>
      </mc:Choice>
      <mc:Fallback>
        <control shapeId="12436" r:id="rId40" name="Control 148"/>
      </mc:Fallback>
    </mc:AlternateContent>
    <mc:AlternateContent xmlns:mc="http://schemas.openxmlformats.org/markup-compatibility/2006">
      <mc:Choice Requires="x14">
        <control shapeId="12437" r:id="rId41" name="Control 149">
          <controlPr defaultSize="0" r:id="rId4">
            <anchor moveWithCells="1">
              <from>
                <xdr:col>3</xdr:col>
                <xdr:colOff>0</xdr:colOff>
                <xdr:row>71</xdr:row>
                <xdr:rowOff>0</xdr:rowOff>
              </from>
              <to>
                <xdr:col>3</xdr:col>
                <xdr:colOff>228600</xdr:colOff>
                <xdr:row>72</xdr:row>
                <xdr:rowOff>60960</xdr:rowOff>
              </to>
            </anchor>
          </controlPr>
        </control>
      </mc:Choice>
      <mc:Fallback>
        <control shapeId="12437" r:id="rId41" name="Control 149"/>
      </mc:Fallback>
    </mc:AlternateContent>
    <mc:AlternateContent xmlns:mc="http://schemas.openxmlformats.org/markup-compatibility/2006">
      <mc:Choice Requires="x14">
        <control shapeId="12438" r:id="rId42" name="Control 150">
          <controlPr defaultSize="0" r:id="rId4">
            <anchor moveWithCells="1">
              <from>
                <xdr:col>3</xdr:col>
                <xdr:colOff>0</xdr:colOff>
                <xdr:row>72</xdr:row>
                <xdr:rowOff>0</xdr:rowOff>
              </from>
              <to>
                <xdr:col>3</xdr:col>
                <xdr:colOff>228600</xdr:colOff>
                <xdr:row>73</xdr:row>
                <xdr:rowOff>60960</xdr:rowOff>
              </to>
            </anchor>
          </controlPr>
        </control>
      </mc:Choice>
      <mc:Fallback>
        <control shapeId="12438" r:id="rId42" name="Control 150"/>
      </mc:Fallback>
    </mc:AlternateContent>
    <mc:AlternateContent xmlns:mc="http://schemas.openxmlformats.org/markup-compatibility/2006">
      <mc:Choice Requires="x14">
        <control shapeId="12439" r:id="rId43" name="Control 151">
          <controlPr defaultSize="0" r:id="rId4">
            <anchor moveWithCells="1">
              <from>
                <xdr:col>3</xdr:col>
                <xdr:colOff>0</xdr:colOff>
                <xdr:row>73</xdr:row>
                <xdr:rowOff>0</xdr:rowOff>
              </from>
              <to>
                <xdr:col>3</xdr:col>
                <xdr:colOff>228600</xdr:colOff>
                <xdr:row>74</xdr:row>
                <xdr:rowOff>60960</xdr:rowOff>
              </to>
            </anchor>
          </controlPr>
        </control>
      </mc:Choice>
      <mc:Fallback>
        <control shapeId="12439" r:id="rId43" name="Control 151"/>
      </mc:Fallback>
    </mc:AlternateContent>
    <mc:AlternateContent xmlns:mc="http://schemas.openxmlformats.org/markup-compatibility/2006">
      <mc:Choice Requires="x14">
        <control shapeId="12440" r:id="rId44" name="Control 152">
          <controlPr defaultSize="0" r:id="rId4">
            <anchor moveWithCells="1">
              <from>
                <xdr:col>3</xdr:col>
                <xdr:colOff>0</xdr:colOff>
                <xdr:row>74</xdr:row>
                <xdr:rowOff>0</xdr:rowOff>
              </from>
              <to>
                <xdr:col>3</xdr:col>
                <xdr:colOff>228600</xdr:colOff>
                <xdr:row>75</xdr:row>
                <xdr:rowOff>60960</xdr:rowOff>
              </to>
            </anchor>
          </controlPr>
        </control>
      </mc:Choice>
      <mc:Fallback>
        <control shapeId="12440" r:id="rId44" name="Control 152"/>
      </mc:Fallback>
    </mc:AlternateContent>
    <mc:AlternateContent xmlns:mc="http://schemas.openxmlformats.org/markup-compatibility/2006">
      <mc:Choice Requires="x14">
        <control shapeId="12441" r:id="rId45" name="Control 153">
          <controlPr defaultSize="0" r:id="rId4">
            <anchor moveWithCells="1">
              <from>
                <xdr:col>3</xdr:col>
                <xdr:colOff>0</xdr:colOff>
                <xdr:row>75</xdr:row>
                <xdr:rowOff>0</xdr:rowOff>
              </from>
              <to>
                <xdr:col>3</xdr:col>
                <xdr:colOff>228600</xdr:colOff>
                <xdr:row>76</xdr:row>
                <xdr:rowOff>60960</xdr:rowOff>
              </to>
            </anchor>
          </controlPr>
        </control>
      </mc:Choice>
      <mc:Fallback>
        <control shapeId="12441" r:id="rId45" name="Control 153"/>
      </mc:Fallback>
    </mc:AlternateContent>
    <mc:AlternateContent xmlns:mc="http://schemas.openxmlformats.org/markup-compatibility/2006">
      <mc:Choice Requires="x14">
        <control shapeId="12442" r:id="rId46" name="Control 154">
          <controlPr defaultSize="0" r:id="rId4">
            <anchor moveWithCells="1">
              <from>
                <xdr:col>3</xdr:col>
                <xdr:colOff>0</xdr:colOff>
                <xdr:row>76</xdr:row>
                <xdr:rowOff>0</xdr:rowOff>
              </from>
              <to>
                <xdr:col>3</xdr:col>
                <xdr:colOff>228600</xdr:colOff>
                <xdr:row>77</xdr:row>
                <xdr:rowOff>60960</xdr:rowOff>
              </to>
            </anchor>
          </controlPr>
        </control>
      </mc:Choice>
      <mc:Fallback>
        <control shapeId="12442" r:id="rId46" name="Control 154"/>
      </mc:Fallback>
    </mc:AlternateContent>
    <mc:AlternateContent xmlns:mc="http://schemas.openxmlformats.org/markup-compatibility/2006">
      <mc:Choice Requires="x14">
        <control shapeId="12443" r:id="rId47" name="Control 155">
          <controlPr defaultSize="0" r:id="rId4">
            <anchor moveWithCells="1">
              <from>
                <xdr:col>3</xdr:col>
                <xdr:colOff>0</xdr:colOff>
                <xdr:row>77</xdr:row>
                <xdr:rowOff>0</xdr:rowOff>
              </from>
              <to>
                <xdr:col>3</xdr:col>
                <xdr:colOff>228600</xdr:colOff>
                <xdr:row>78</xdr:row>
                <xdr:rowOff>60960</xdr:rowOff>
              </to>
            </anchor>
          </controlPr>
        </control>
      </mc:Choice>
      <mc:Fallback>
        <control shapeId="12443" r:id="rId47" name="Control 155"/>
      </mc:Fallback>
    </mc:AlternateContent>
    <mc:AlternateContent xmlns:mc="http://schemas.openxmlformats.org/markup-compatibility/2006">
      <mc:Choice Requires="x14">
        <control shapeId="12444" r:id="rId48" name="Control 156">
          <controlPr defaultSize="0" r:id="rId4">
            <anchor moveWithCells="1">
              <from>
                <xdr:col>3</xdr:col>
                <xdr:colOff>0</xdr:colOff>
                <xdr:row>78</xdr:row>
                <xdr:rowOff>0</xdr:rowOff>
              </from>
              <to>
                <xdr:col>3</xdr:col>
                <xdr:colOff>228600</xdr:colOff>
                <xdr:row>79</xdr:row>
                <xdr:rowOff>60960</xdr:rowOff>
              </to>
            </anchor>
          </controlPr>
        </control>
      </mc:Choice>
      <mc:Fallback>
        <control shapeId="12444" r:id="rId48" name="Control 156"/>
      </mc:Fallback>
    </mc:AlternateContent>
    <mc:AlternateContent xmlns:mc="http://schemas.openxmlformats.org/markup-compatibility/2006">
      <mc:Choice Requires="x14">
        <control shapeId="12445" r:id="rId49" name="Control 157">
          <controlPr defaultSize="0" r:id="rId4">
            <anchor moveWithCells="1">
              <from>
                <xdr:col>3</xdr:col>
                <xdr:colOff>0</xdr:colOff>
                <xdr:row>79</xdr:row>
                <xdr:rowOff>0</xdr:rowOff>
              </from>
              <to>
                <xdr:col>3</xdr:col>
                <xdr:colOff>228600</xdr:colOff>
                <xdr:row>80</xdr:row>
                <xdr:rowOff>60960</xdr:rowOff>
              </to>
            </anchor>
          </controlPr>
        </control>
      </mc:Choice>
      <mc:Fallback>
        <control shapeId="12445" r:id="rId49" name="Control 157"/>
      </mc:Fallback>
    </mc:AlternateContent>
    <mc:AlternateContent xmlns:mc="http://schemas.openxmlformats.org/markup-compatibility/2006">
      <mc:Choice Requires="x14">
        <control shapeId="12446" r:id="rId50" name="Control 158">
          <controlPr defaultSize="0" r:id="rId4">
            <anchor moveWithCells="1">
              <from>
                <xdr:col>3</xdr:col>
                <xdr:colOff>0</xdr:colOff>
                <xdr:row>80</xdr:row>
                <xdr:rowOff>0</xdr:rowOff>
              </from>
              <to>
                <xdr:col>3</xdr:col>
                <xdr:colOff>228600</xdr:colOff>
                <xdr:row>81</xdr:row>
                <xdr:rowOff>60960</xdr:rowOff>
              </to>
            </anchor>
          </controlPr>
        </control>
      </mc:Choice>
      <mc:Fallback>
        <control shapeId="12446" r:id="rId50" name="Control 158"/>
      </mc:Fallback>
    </mc:AlternateContent>
    <mc:AlternateContent xmlns:mc="http://schemas.openxmlformats.org/markup-compatibility/2006">
      <mc:Choice Requires="x14">
        <control shapeId="12447" r:id="rId51" name="Control 159">
          <controlPr defaultSize="0" r:id="rId4">
            <anchor moveWithCells="1">
              <from>
                <xdr:col>3</xdr:col>
                <xdr:colOff>0</xdr:colOff>
                <xdr:row>81</xdr:row>
                <xdr:rowOff>0</xdr:rowOff>
              </from>
              <to>
                <xdr:col>3</xdr:col>
                <xdr:colOff>228600</xdr:colOff>
                <xdr:row>82</xdr:row>
                <xdr:rowOff>60960</xdr:rowOff>
              </to>
            </anchor>
          </controlPr>
        </control>
      </mc:Choice>
      <mc:Fallback>
        <control shapeId="12447" r:id="rId51" name="Control 159"/>
      </mc:Fallback>
    </mc:AlternateContent>
    <mc:AlternateContent xmlns:mc="http://schemas.openxmlformats.org/markup-compatibility/2006">
      <mc:Choice Requires="x14">
        <control shapeId="12448" r:id="rId52" name="Control 160">
          <controlPr defaultSize="0" r:id="rId4">
            <anchor moveWithCells="1">
              <from>
                <xdr:col>3</xdr:col>
                <xdr:colOff>0</xdr:colOff>
                <xdr:row>82</xdr:row>
                <xdr:rowOff>0</xdr:rowOff>
              </from>
              <to>
                <xdr:col>3</xdr:col>
                <xdr:colOff>228600</xdr:colOff>
                <xdr:row>83</xdr:row>
                <xdr:rowOff>60960</xdr:rowOff>
              </to>
            </anchor>
          </controlPr>
        </control>
      </mc:Choice>
      <mc:Fallback>
        <control shapeId="12448" r:id="rId52" name="Control 160"/>
      </mc:Fallback>
    </mc:AlternateContent>
    <mc:AlternateContent xmlns:mc="http://schemas.openxmlformats.org/markup-compatibility/2006">
      <mc:Choice Requires="x14">
        <control shapeId="12449" r:id="rId53" name="Control 161">
          <controlPr defaultSize="0" r:id="rId4">
            <anchor moveWithCells="1">
              <from>
                <xdr:col>3</xdr:col>
                <xdr:colOff>0</xdr:colOff>
                <xdr:row>83</xdr:row>
                <xdr:rowOff>0</xdr:rowOff>
              </from>
              <to>
                <xdr:col>3</xdr:col>
                <xdr:colOff>228600</xdr:colOff>
                <xdr:row>84</xdr:row>
                <xdr:rowOff>60960</xdr:rowOff>
              </to>
            </anchor>
          </controlPr>
        </control>
      </mc:Choice>
      <mc:Fallback>
        <control shapeId="12449" r:id="rId53" name="Control 161"/>
      </mc:Fallback>
    </mc:AlternateContent>
    <mc:AlternateContent xmlns:mc="http://schemas.openxmlformats.org/markup-compatibility/2006">
      <mc:Choice Requires="x14">
        <control shapeId="12450" r:id="rId54" name="Control 162">
          <controlPr defaultSize="0" r:id="rId4">
            <anchor moveWithCells="1">
              <from>
                <xdr:col>3</xdr:col>
                <xdr:colOff>0</xdr:colOff>
                <xdr:row>84</xdr:row>
                <xdr:rowOff>0</xdr:rowOff>
              </from>
              <to>
                <xdr:col>3</xdr:col>
                <xdr:colOff>228600</xdr:colOff>
                <xdr:row>85</xdr:row>
                <xdr:rowOff>60960</xdr:rowOff>
              </to>
            </anchor>
          </controlPr>
        </control>
      </mc:Choice>
      <mc:Fallback>
        <control shapeId="12450" r:id="rId54" name="Control 162"/>
      </mc:Fallback>
    </mc:AlternateContent>
    <mc:AlternateContent xmlns:mc="http://schemas.openxmlformats.org/markup-compatibility/2006">
      <mc:Choice Requires="x14">
        <control shapeId="12451" r:id="rId55" name="Control 163">
          <controlPr defaultSize="0" r:id="rId4">
            <anchor moveWithCells="1">
              <from>
                <xdr:col>3</xdr:col>
                <xdr:colOff>0</xdr:colOff>
                <xdr:row>85</xdr:row>
                <xdr:rowOff>0</xdr:rowOff>
              </from>
              <to>
                <xdr:col>3</xdr:col>
                <xdr:colOff>228600</xdr:colOff>
                <xdr:row>86</xdr:row>
                <xdr:rowOff>60960</xdr:rowOff>
              </to>
            </anchor>
          </controlPr>
        </control>
      </mc:Choice>
      <mc:Fallback>
        <control shapeId="12451" r:id="rId55" name="Control 163"/>
      </mc:Fallback>
    </mc:AlternateContent>
    <mc:AlternateContent xmlns:mc="http://schemas.openxmlformats.org/markup-compatibility/2006">
      <mc:Choice Requires="x14">
        <control shapeId="12452" r:id="rId56" name="Control 164">
          <controlPr defaultSize="0" r:id="rId4">
            <anchor moveWithCells="1">
              <from>
                <xdr:col>3</xdr:col>
                <xdr:colOff>0</xdr:colOff>
                <xdr:row>86</xdr:row>
                <xdr:rowOff>0</xdr:rowOff>
              </from>
              <to>
                <xdr:col>3</xdr:col>
                <xdr:colOff>228600</xdr:colOff>
                <xdr:row>87</xdr:row>
                <xdr:rowOff>60960</xdr:rowOff>
              </to>
            </anchor>
          </controlPr>
        </control>
      </mc:Choice>
      <mc:Fallback>
        <control shapeId="12452" r:id="rId56" name="Control 164"/>
      </mc:Fallback>
    </mc:AlternateContent>
    <mc:AlternateContent xmlns:mc="http://schemas.openxmlformats.org/markup-compatibility/2006">
      <mc:Choice Requires="x14">
        <control shapeId="12453" r:id="rId57" name="Control 165">
          <controlPr defaultSize="0" r:id="rId4">
            <anchor moveWithCells="1">
              <from>
                <xdr:col>3</xdr:col>
                <xdr:colOff>0</xdr:colOff>
                <xdr:row>87</xdr:row>
                <xdr:rowOff>0</xdr:rowOff>
              </from>
              <to>
                <xdr:col>3</xdr:col>
                <xdr:colOff>228600</xdr:colOff>
                <xdr:row>88</xdr:row>
                <xdr:rowOff>60960</xdr:rowOff>
              </to>
            </anchor>
          </controlPr>
        </control>
      </mc:Choice>
      <mc:Fallback>
        <control shapeId="12453" r:id="rId57" name="Control 165"/>
      </mc:Fallback>
    </mc:AlternateContent>
    <mc:AlternateContent xmlns:mc="http://schemas.openxmlformats.org/markup-compatibility/2006">
      <mc:Choice Requires="x14">
        <control shapeId="12454" r:id="rId58" name="Control 166">
          <controlPr defaultSize="0" r:id="rId4">
            <anchor moveWithCells="1">
              <from>
                <xdr:col>3</xdr:col>
                <xdr:colOff>0</xdr:colOff>
                <xdr:row>88</xdr:row>
                <xdr:rowOff>0</xdr:rowOff>
              </from>
              <to>
                <xdr:col>3</xdr:col>
                <xdr:colOff>228600</xdr:colOff>
                <xdr:row>89</xdr:row>
                <xdr:rowOff>60960</xdr:rowOff>
              </to>
            </anchor>
          </controlPr>
        </control>
      </mc:Choice>
      <mc:Fallback>
        <control shapeId="12454" r:id="rId58" name="Control 166"/>
      </mc:Fallback>
    </mc:AlternateContent>
    <mc:AlternateContent xmlns:mc="http://schemas.openxmlformats.org/markup-compatibility/2006">
      <mc:Choice Requires="x14">
        <control shapeId="12455" r:id="rId59" name="Control 167">
          <controlPr defaultSize="0" r:id="rId4">
            <anchor moveWithCells="1">
              <from>
                <xdr:col>3</xdr:col>
                <xdr:colOff>0</xdr:colOff>
                <xdr:row>89</xdr:row>
                <xdr:rowOff>0</xdr:rowOff>
              </from>
              <to>
                <xdr:col>3</xdr:col>
                <xdr:colOff>228600</xdr:colOff>
                <xdr:row>90</xdr:row>
                <xdr:rowOff>60960</xdr:rowOff>
              </to>
            </anchor>
          </controlPr>
        </control>
      </mc:Choice>
      <mc:Fallback>
        <control shapeId="12455" r:id="rId59" name="Control 167"/>
      </mc:Fallback>
    </mc:AlternateContent>
    <mc:AlternateContent xmlns:mc="http://schemas.openxmlformats.org/markup-compatibility/2006">
      <mc:Choice Requires="x14">
        <control shapeId="12456" r:id="rId60" name="Control 168">
          <controlPr defaultSize="0" r:id="rId4">
            <anchor moveWithCells="1">
              <from>
                <xdr:col>3</xdr:col>
                <xdr:colOff>0</xdr:colOff>
                <xdr:row>90</xdr:row>
                <xdr:rowOff>0</xdr:rowOff>
              </from>
              <to>
                <xdr:col>3</xdr:col>
                <xdr:colOff>228600</xdr:colOff>
                <xdr:row>91</xdr:row>
                <xdr:rowOff>60960</xdr:rowOff>
              </to>
            </anchor>
          </controlPr>
        </control>
      </mc:Choice>
      <mc:Fallback>
        <control shapeId="12456" r:id="rId60" name="Control 168"/>
      </mc:Fallback>
    </mc:AlternateContent>
    <mc:AlternateContent xmlns:mc="http://schemas.openxmlformats.org/markup-compatibility/2006">
      <mc:Choice Requires="x14">
        <control shapeId="12457" r:id="rId61" name="Control 169">
          <controlPr defaultSize="0" r:id="rId4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3</xdr:col>
                <xdr:colOff>228600</xdr:colOff>
                <xdr:row>92</xdr:row>
                <xdr:rowOff>60960</xdr:rowOff>
              </to>
            </anchor>
          </controlPr>
        </control>
      </mc:Choice>
      <mc:Fallback>
        <control shapeId="12457" r:id="rId61" name="Control 169"/>
      </mc:Fallback>
    </mc:AlternateContent>
    <mc:AlternateContent xmlns:mc="http://schemas.openxmlformats.org/markup-compatibility/2006">
      <mc:Choice Requires="x14">
        <control shapeId="12458" r:id="rId62" name="Control 170">
          <controlPr defaultSize="0" r:id="rId4">
            <anchor moveWithCells="1">
              <from>
                <xdr:col>3</xdr:col>
                <xdr:colOff>0</xdr:colOff>
                <xdr:row>92</xdr:row>
                <xdr:rowOff>0</xdr:rowOff>
              </from>
              <to>
                <xdr:col>3</xdr:col>
                <xdr:colOff>228600</xdr:colOff>
                <xdr:row>93</xdr:row>
                <xdr:rowOff>60960</xdr:rowOff>
              </to>
            </anchor>
          </controlPr>
        </control>
      </mc:Choice>
      <mc:Fallback>
        <control shapeId="12458" r:id="rId62" name="Control 170"/>
      </mc:Fallback>
    </mc:AlternateContent>
    <mc:AlternateContent xmlns:mc="http://schemas.openxmlformats.org/markup-compatibility/2006">
      <mc:Choice Requires="x14">
        <control shapeId="12459" r:id="rId63" name="Control 171">
          <controlPr defaultSize="0" r:id="rId4">
            <anchor moveWithCells="1">
              <from>
                <xdr:col>3</xdr:col>
                <xdr:colOff>0</xdr:colOff>
                <xdr:row>93</xdr:row>
                <xdr:rowOff>0</xdr:rowOff>
              </from>
              <to>
                <xdr:col>3</xdr:col>
                <xdr:colOff>228600</xdr:colOff>
                <xdr:row>94</xdr:row>
                <xdr:rowOff>60960</xdr:rowOff>
              </to>
            </anchor>
          </controlPr>
        </control>
      </mc:Choice>
      <mc:Fallback>
        <control shapeId="12459" r:id="rId63" name="Control 171"/>
      </mc:Fallback>
    </mc:AlternateContent>
    <mc:AlternateContent xmlns:mc="http://schemas.openxmlformats.org/markup-compatibility/2006">
      <mc:Choice Requires="x14">
        <control shapeId="12460" r:id="rId64" name="Control 172">
          <controlPr defaultSize="0" r:id="rId4">
            <anchor moveWithCells="1">
              <from>
                <xdr:col>3</xdr:col>
                <xdr:colOff>0</xdr:colOff>
                <xdr:row>94</xdr:row>
                <xdr:rowOff>0</xdr:rowOff>
              </from>
              <to>
                <xdr:col>3</xdr:col>
                <xdr:colOff>228600</xdr:colOff>
                <xdr:row>95</xdr:row>
                <xdr:rowOff>60960</xdr:rowOff>
              </to>
            </anchor>
          </controlPr>
        </control>
      </mc:Choice>
      <mc:Fallback>
        <control shapeId="12460" r:id="rId64" name="Control 172"/>
      </mc:Fallback>
    </mc:AlternateContent>
    <mc:AlternateContent xmlns:mc="http://schemas.openxmlformats.org/markup-compatibility/2006">
      <mc:Choice Requires="x14">
        <control shapeId="12461" r:id="rId65" name="Control 173">
          <controlPr defaultSize="0" r:id="rId4">
            <anchor moveWithCells="1">
              <from>
                <xdr:col>3</xdr:col>
                <xdr:colOff>0</xdr:colOff>
                <xdr:row>95</xdr:row>
                <xdr:rowOff>0</xdr:rowOff>
              </from>
              <to>
                <xdr:col>3</xdr:col>
                <xdr:colOff>228600</xdr:colOff>
                <xdr:row>96</xdr:row>
                <xdr:rowOff>76200</xdr:rowOff>
              </to>
            </anchor>
          </controlPr>
        </control>
      </mc:Choice>
      <mc:Fallback>
        <control shapeId="12461" r:id="rId65" name="Control 173"/>
      </mc:Fallback>
    </mc:AlternateContent>
    <mc:AlternateContent xmlns:mc="http://schemas.openxmlformats.org/markup-compatibility/2006">
      <mc:Choice Requires="x14">
        <control shapeId="12462" r:id="rId66" name="Control 174">
          <controlPr defaultSize="0" r:id="rId4">
            <anchor moveWithCells="1">
              <from>
                <xdr:col>3</xdr:col>
                <xdr:colOff>0</xdr:colOff>
                <xdr:row>96</xdr:row>
                <xdr:rowOff>0</xdr:rowOff>
              </from>
              <to>
                <xdr:col>3</xdr:col>
                <xdr:colOff>228600</xdr:colOff>
                <xdr:row>97</xdr:row>
                <xdr:rowOff>60960</xdr:rowOff>
              </to>
            </anchor>
          </controlPr>
        </control>
      </mc:Choice>
      <mc:Fallback>
        <control shapeId="12462" r:id="rId66" name="Control 174"/>
      </mc:Fallback>
    </mc:AlternateContent>
    <mc:AlternateContent xmlns:mc="http://schemas.openxmlformats.org/markup-compatibility/2006">
      <mc:Choice Requires="x14">
        <control shapeId="12463" r:id="rId67" name="Control 175">
          <controlPr defaultSize="0" r:id="rId4">
            <anchor moveWithCells="1">
              <from>
                <xdr:col>3</xdr:col>
                <xdr:colOff>0</xdr:colOff>
                <xdr:row>97</xdr:row>
                <xdr:rowOff>0</xdr:rowOff>
              </from>
              <to>
                <xdr:col>3</xdr:col>
                <xdr:colOff>228600</xdr:colOff>
                <xdr:row>98</xdr:row>
                <xdr:rowOff>60960</xdr:rowOff>
              </to>
            </anchor>
          </controlPr>
        </control>
      </mc:Choice>
      <mc:Fallback>
        <control shapeId="12463" r:id="rId67" name="Control 175"/>
      </mc:Fallback>
    </mc:AlternateContent>
    <mc:AlternateContent xmlns:mc="http://schemas.openxmlformats.org/markup-compatibility/2006">
      <mc:Choice Requires="x14">
        <control shapeId="12464" r:id="rId68" name="Control 176">
          <controlPr defaultSize="0" r:id="rId4">
            <anchor moveWithCells="1">
              <from>
                <xdr:col>3</xdr:col>
                <xdr:colOff>0</xdr:colOff>
                <xdr:row>98</xdr:row>
                <xdr:rowOff>0</xdr:rowOff>
              </from>
              <to>
                <xdr:col>3</xdr:col>
                <xdr:colOff>228600</xdr:colOff>
                <xdr:row>99</xdr:row>
                <xdr:rowOff>60960</xdr:rowOff>
              </to>
            </anchor>
          </controlPr>
        </control>
      </mc:Choice>
      <mc:Fallback>
        <control shapeId="12464" r:id="rId68" name="Control 176"/>
      </mc:Fallback>
    </mc:AlternateContent>
    <mc:AlternateContent xmlns:mc="http://schemas.openxmlformats.org/markup-compatibility/2006">
      <mc:Choice Requires="x14">
        <control shapeId="12465" r:id="rId69" name="Control 177">
          <controlPr defaultSize="0" r:id="rId4">
            <anchor moveWithCells="1">
              <from>
                <xdr:col>3</xdr:col>
                <xdr:colOff>0</xdr:colOff>
                <xdr:row>99</xdr:row>
                <xdr:rowOff>0</xdr:rowOff>
              </from>
              <to>
                <xdr:col>3</xdr:col>
                <xdr:colOff>228600</xdr:colOff>
                <xdr:row>100</xdr:row>
                <xdr:rowOff>60960</xdr:rowOff>
              </to>
            </anchor>
          </controlPr>
        </control>
      </mc:Choice>
      <mc:Fallback>
        <control shapeId="12465" r:id="rId69" name="Control 177"/>
      </mc:Fallback>
    </mc:AlternateContent>
    <mc:AlternateContent xmlns:mc="http://schemas.openxmlformats.org/markup-compatibility/2006">
      <mc:Choice Requires="x14">
        <control shapeId="12466" r:id="rId70" name="Control 178">
          <controlPr defaultSize="0" r:id="rId4">
            <anchor moveWithCells="1">
              <from>
                <xdr:col>3</xdr:col>
                <xdr:colOff>0</xdr:colOff>
                <xdr:row>100</xdr:row>
                <xdr:rowOff>0</xdr:rowOff>
              </from>
              <to>
                <xdr:col>3</xdr:col>
                <xdr:colOff>228600</xdr:colOff>
                <xdr:row>101</xdr:row>
                <xdr:rowOff>60960</xdr:rowOff>
              </to>
            </anchor>
          </controlPr>
        </control>
      </mc:Choice>
      <mc:Fallback>
        <control shapeId="12466" r:id="rId70" name="Control 178"/>
      </mc:Fallback>
    </mc:AlternateContent>
    <mc:AlternateContent xmlns:mc="http://schemas.openxmlformats.org/markup-compatibility/2006">
      <mc:Choice Requires="x14">
        <control shapeId="12467" r:id="rId71" name="Control 179">
          <controlPr defaultSize="0" r:id="rId4">
            <anchor moveWithCells="1">
              <from>
                <xdr:col>3</xdr:col>
                <xdr:colOff>0</xdr:colOff>
                <xdr:row>101</xdr:row>
                <xdr:rowOff>0</xdr:rowOff>
              </from>
              <to>
                <xdr:col>3</xdr:col>
                <xdr:colOff>228600</xdr:colOff>
                <xdr:row>102</xdr:row>
                <xdr:rowOff>60960</xdr:rowOff>
              </to>
            </anchor>
          </controlPr>
        </control>
      </mc:Choice>
      <mc:Fallback>
        <control shapeId="12467" r:id="rId71" name="Control 179"/>
      </mc:Fallback>
    </mc:AlternateContent>
    <mc:AlternateContent xmlns:mc="http://schemas.openxmlformats.org/markup-compatibility/2006">
      <mc:Choice Requires="x14">
        <control shapeId="12468" r:id="rId72" name="Control 180">
          <controlPr defaultSize="0" r:id="rId4">
            <anchor moveWithCells="1">
              <from>
                <xdr:col>3</xdr:col>
                <xdr:colOff>0</xdr:colOff>
                <xdr:row>102</xdr:row>
                <xdr:rowOff>0</xdr:rowOff>
              </from>
              <to>
                <xdr:col>3</xdr:col>
                <xdr:colOff>228600</xdr:colOff>
                <xdr:row>103</xdr:row>
                <xdr:rowOff>60960</xdr:rowOff>
              </to>
            </anchor>
          </controlPr>
        </control>
      </mc:Choice>
      <mc:Fallback>
        <control shapeId="12468" r:id="rId72" name="Control 180"/>
      </mc:Fallback>
    </mc:AlternateContent>
    <mc:AlternateContent xmlns:mc="http://schemas.openxmlformats.org/markup-compatibility/2006">
      <mc:Choice Requires="x14">
        <control shapeId="12469" r:id="rId73" name="Control 181">
          <controlPr defaultSize="0" r:id="rId4">
            <anchor moveWithCells="1">
              <from>
                <xdr:col>3</xdr:col>
                <xdr:colOff>0</xdr:colOff>
                <xdr:row>103</xdr:row>
                <xdr:rowOff>0</xdr:rowOff>
              </from>
              <to>
                <xdr:col>3</xdr:col>
                <xdr:colOff>228600</xdr:colOff>
                <xdr:row>104</xdr:row>
                <xdr:rowOff>60960</xdr:rowOff>
              </to>
            </anchor>
          </controlPr>
        </control>
      </mc:Choice>
      <mc:Fallback>
        <control shapeId="12469" r:id="rId73" name="Control 181"/>
      </mc:Fallback>
    </mc:AlternateContent>
    <mc:AlternateContent xmlns:mc="http://schemas.openxmlformats.org/markup-compatibility/2006">
      <mc:Choice Requires="x14">
        <control shapeId="12470" r:id="rId74" name="Control 182">
          <controlPr defaultSize="0" r:id="rId4">
            <anchor moveWithCells="1">
              <from>
                <xdr:col>3</xdr:col>
                <xdr:colOff>0</xdr:colOff>
                <xdr:row>104</xdr:row>
                <xdr:rowOff>0</xdr:rowOff>
              </from>
              <to>
                <xdr:col>3</xdr:col>
                <xdr:colOff>228600</xdr:colOff>
                <xdr:row>105</xdr:row>
                <xdr:rowOff>60960</xdr:rowOff>
              </to>
            </anchor>
          </controlPr>
        </control>
      </mc:Choice>
      <mc:Fallback>
        <control shapeId="12470" r:id="rId74" name="Control 182"/>
      </mc:Fallback>
    </mc:AlternateContent>
    <mc:AlternateContent xmlns:mc="http://schemas.openxmlformats.org/markup-compatibility/2006">
      <mc:Choice Requires="x14">
        <control shapeId="12471" r:id="rId75" name="Control 183">
          <controlPr defaultSize="0" r:id="rId4">
            <anchor moveWithCells="1">
              <from>
                <xdr:col>3</xdr:col>
                <xdr:colOff>0</xdr:colOff>
                <xdr:row>105</xdr:row>
                <xdr:rowOff>0</xdr:rowOff>
              </from>
              <to>
                <xdr:col>3</xdr:col>
                <xdr:colOff>228600</xdr:colOff>
                <xdr:row>106</xdr:row>
                <xdr:rowOff>60960</xdr:rowOff>
              </to>
            </anchor>
          </controlPr>
        </control>
      </mc:Choice>
      <mc:Fallback>
        <control shapeId="12471" r:id="rId75" name="Control 183"/>
      </mc:Fallback>
    </mc:AlternateContent>
    <mc:AlternateContent xmlns:mc="http://schemas.openxmlformats.org/markup-compatibility/2006">
      <mc:Choice Requires="x14">
        <control shapeId="12472" r:id="rId76" name="Control 184">
          <controlPr defaultSize="0" r:id="rId4">
            <anchor moveWithCells="1">
              <from>
                <xdr:col>3</xdr:col>
                <xdr:colOff>0</xdr:colOff>
                <xdr:row>106</xdr:row>
                <xdr:rowOff>0</xdr:rowOff>
              </from>
              <to>
                <xdr:col>3</xdr:col>
                <xdr:colOff>228600</xdr:colOff>
                <xdr:row>107</xdr:row>
                <xdr:rowOff>60960</xdr:rowOff>
              </to>
            </anchor>
          </controlPr>
        </control>
      </mc:Choice>
      <mc:Fallback>
        <control shapeId="12472" r:id="rId76" name="Control 184"/>
      </mc:Fallback>
    </mc:AlternateContent>
    <mc:AlternateContent xmlns:mc="http://schemas.openxmlformats.org/markup-compatibility/2006">
      <mc:Choice Requires="x14">
        <control shapeId="12473" r:id="rId77" name="Control 185">
          <controlPr defaultSize="0" r:id="rId4">
            <anchor moveWithCells="1">
              <from>
                <xdr:col>3</xdr:col>
                <xdr:colOff>0</xdr:colOff>
                <xdr:row>107</xdr:row>
                <xdr:rowOff>0</xdr:rowOff>
              </from>
              <to>
                <xdr:col>3</xdr:col>
                <xdr:colOff>228600</xdr:colOff>
                <xdr:row>108</xdr:row>
                <xdr:rowOff>60960</xdr:rowOff>
              </to>
            </anchor>
          </controlPr>
        </control>
      </mc:Choice>
      <mc:Fallback>
        <control shapeId="12473" r:id="rId77" name="Control 185"/>
      </mc:Fallback>
    </mc:AlternateContent>
    <mc:AlternateContent xmlns:mc="http://schemas.openxmlformats.org/markup-compatibility/2006">
      <mc:Choice Requires="x14">
        <control shapeId="12474" r:id="rId78" name="Control 186">
          <controlPr defaultSize="0" r:id="rId4">
            <anchor moveWithCells="1">
              <from>
                <xdr:col>3</xdr:col>
                <xdr:colOff>0</xdr:colOff>
                <xdr:row>110</xdr:row>
                <xdr:rowOff>0</xdr:rowOff>
              </from>
              <to>
                <xdr:col>3</xdr:col>
                <xdr:colOff>228600</xdr:colOff>
                <xdr:row>111</xdr:row>
                <xdr:rowOff>60960</xdr:rowOff>
              </to>
            </anchor>
          </controlPr>
        </control>
      </mc:Choice>
      <mc:Fallback>
        <control shapeId="12474" r:id="rId78" name="Control 186"/>
      </mc:Fallback>
    </mc:AlternateContent>
    <mc:AlternateContent xmlns:mc="http://schemas.openxmlformats.org/markup-compatibility/2006">
      <mc:Choice Requires="x14">
        <control shapeId="12475" r:id="rId79" name="Control 187">
          <controlPr defaultSize="0" r:id="rId4">
            <anchor moveWithCells="1">
              <from>
                <xdr:col>3</xdr:col>
                <xdr:colOff>0</xdr:colOff>
                <xdr:row>111</xdr:row>
                <xdr:rowOff>0</xdr:rowOff>
              </from>
              <to>
                <xdr:col>3</xdr:col>
                <xdr:colOff>228600</xdr:colOff>
                <xdr:row>112</xdr:row>
                <xdr:rowOff>60960</xdr:rowOff>
              </to>
            </anchor>
          </controlPr>
        </control>
      </mc:Choice>
      <mc:Fallback>
        <control shapeId="12475" r:id="rId79" name="Control 187"/>
      </mc:Fallback>
    </mc:AlternateContent>
    <mc:AlternateContent xmlns:mc="http://schemas.openxmlformats.org/markup-compatibility/2006">
      <mc:Choice Requires="x14">
        <control shapeId="12476" r:id="rId80" name="Control 188">
          <controlPr defaultSize="0" r:id="rId4">
            <anchor moveWithCells="1">
              <from>
                <xdr:col>3</xdr:col>
                <xdr:colOff>0</xdr:colOff>
                <xdr:row>112</xdr:row>
                <xdr:rowOff>0</xdr:rowOff>
              </from>
              <to>
                <xdr:col>3</xdr:col>
                <xdr:colOff>228600</xdr:colOff>
                <xdr:row>113</xdr:row>
                <xdr:rowOff>60960</xdr:rowOff>
              </to>
            </anchor>
          </controlPr>
        </control>
      </mc:Choice>
      <mc:Fallback>
        <control shapeId="12476" r:id="rId80" name="Control 188"/>
      </mc:Fallback>
    </mc:AlternateContent>
    <mc:AlternateContent xmlns:mc="http://schemas.openxmlformats.org/markup-compatibility/2006">
      <mc:Choice Requires="x14">
        <control shapeId="12477" r:id="rId81" name="Control 189">
          <controlPr defaultSize="0" r:id="rId4">
            <anchor moveWithCells="1">
              <from>
                <xdr:col>3</xdr:col>
                <xdr:colOff>0</xdr:colOff>
                <xdr:row>113</xdr:row>
                <xdr:rowOff>0</xdr:rowOff>
              </from>
              <to>
                <xdr:col>3</xdr:col>
                <xdr:colOff>228600</xdr:colOff>
                <xdr:row>114</xdr:row>
                <xdr:rowOff>60960</xdr:rowOff>
              </to>
            </anchor>
          </controlPr>
        </control>
      </mc:Choice>
      <mc:Fallback>
        <control shapeId="12477" r:id="rId81" name="Control 189"/>
      </mc:Fallback>
    </mc:AlternateContent>
    <mc:AlternateContent xmlns:mc="http://schemas.openxmlformats.org/markup-compatibility/2006">
      <mc:Choice Requires="x14">
        <control shapeId="12478" r:id="rId82" name="Control 190">
          <controlPr defaultSize="0" r:id="rId4">
            <anchor moveWithCells="1">
              <from>
                <xdr:col>3</xdr:col>
                <xdr:colOff>0</xdr:colOff>
                <xdr:row>114</xdr:row>
                <xdr:rowOff>0</xdr:rowOff>
              </from>
              <to>
                <xdr:col>3</xdr:col>
                <xdr:colOff>228600</xdr:colOff>
                <xdr:row>115</xdr:row>
                <xdr:rowOff>60960</xdr:rowOff>
              </to>
            </anchor>
          </controlPr>
        </control>
      </mc:Choice>
      <mc:Fallback>
        <control shapeId="12478" r:id="rId82" name="Control 190"/>
      </mc:Fallback>
    </mc:AlternateContent>
    <mc:AlternateContent xmlns:mc="http://schemas.openxmlformats.org/markup-compatibility/2006">
      <mc:Choice Requires="x14">
        <control shapeId="12479" r:id="rId83" name="Control 191">
          <controlPr defaultSize="0" r:id="rId4">
            <anchor moveWithCells="1">
              <from>
                <xdr:col>3</xdr:col>
                <xdr:colOff>0</xdr:colOff>
                <xdr:row>115</xdr:row>
                <xdr:rowOff>0</xdr:rowOff>
              </from>
              <to>
                <xdr:col>3</xdr:col>
                <xdr:colOff>228600</xdr:colOff>
                <xdr:row>116</xdr:row>
                <xdr:rowOff>60960</xdr:rowOff>
              </to>
            </anchor>
          </controlPr>
        </control>
      </mc:Choice>
      <mc:Fallback>
        <control shapeId="12479" r:id="rId83" name="Control 191"/>
      </mc:Fallback>
    </mc:AlternateContent>
    <mc:AlternateContent xmlns:mc="http://schemas.openxmlformats.org/markup-compatibility/2006">
      <mc:Choice Requires="x14">
        <control shapeId="12480" r:id="rId84" name="Control 192">
          <controlPr defaultSize="0" r:id="rId4">
            <anchor moveWithCells="1">
              <from>
                <xdr:col>3</xdr:col>
                <xdr:colOff>0</xdr:colOff>
                <xdr:row>116</xdr:row>
                <xdr:rowOff>0</xdr:rowOff>
              </from>
              <to>
                <xdr:col>3</xdr:col>
                <xdr:colOff>228600</xdr:colOff>
                <xdr:row>117</xdr:row>
                <xdr:rowOff>60960</xdr:rowOff>
              </to>
            </anchor>
          </controlPr>
        </control>
      </mc:Choice>
      <mc:Fallback>
        <control shapeId="12480" r:id="rId84" name="Control 192"/>
      </mc:Fallback>
    </mc:AlternateContent>
    <mc:AlternateContent xmlns:mc="http://schemas.openxmlformats.org/markup-compatibility/2006">
      <mc:Choice Requires="x14">
        <control shapeId="12481" r:id="rId85" name="Control 193">
          <controlPr defaultSize="0" r:id="rId4">
            <anchor moveWithCells="1">
              <from>
                <xdr:col>3</xdr:col>
                <xdr:colOff>0</xdr:colOff>
                <xdr:row>117</xdr:row>
                <xdr:rowOff>0</xdr:rowOff>
              </from>
              <to>
                <xdr:col>3</xdr:col>
                <xdr:colOff>228600</xdr:colOff>
                <xdr:row>118</xdr:row>
                <xdr:rowOff>60960</xdr:rowOff>
              </to>
            </anchor>
          </controlPr>
        </control>
      </mc:Choice>
      <mc:Fallback>
        <control shapeId="12481" r:id="rId85" name="Control 193"/>
      </mc:Fallback>
    </mc:AlternateContent>
    <mc:AlternateContent xmlns:mc="http://schemas.openxmlformats.org/markup-compatibility/2006">
      <mc:Choice Requires="x14">
        <control shapeId="12482" r:id="rId86" name="Control 194">
          <controlPr defaultSize="0" r:id="rId4">
            <anchor moveWithCells="1">
              <from>
                <xdr:col>3</xdr:col>
                <xdr:colOff>0</xdr:colOff>
                <xdr:row>118</xdr:row>
                <xdr:rowOff>0</xdr:rowOff>
              </from>
              <to>
                <xdr:col>3</xdr:col>
                <xdr:colOff>228600</xdr:colOff>
                <xdr:row>119</xdr:row>
                <xdr:rowOff>60960</xdr:rowOff>
              </to>
            </anchor>
          </controlPr>
        </control>
      </mc:Choice>
      <mc:Fallback>
        <control shapeId="12482" r:id="rId86" name="Control 194"/>
      </mc:Fallback>
    </mc:AlternateContent>
    <mc:AlternateContent xmlns:mc="http://schemas.openxmlformats.org/markup-compatibility/2006">
      <mc:Choice Requires="x14">
        <control shapeId="12483" r:id="rId87" name="Control 195">
          <controlPr defaultSize="0" r:id="rId4">
            <anchor moveWithCells="1">
              <from>
                <xdr:col>3</xdr:col>
                <xdr:colOff>0</xdr:colOff>
                <xdr:row>119</xdr:row>
                <xdr:rowOff>0</xdr:rowOff>
              </from>
              <to>
                <xdr:col>3</xdr:col>
                <xdr:colOff>228600</xdr:colOff>
                <xdr:row>120</xdr:row>
                <xdr:rowOff>60960</xdr:rowOff>
              </to>
            </anchor>
          </controlPr>
        </control>
      </mc:Choice>
      <mc:Fallback>
        <control shapeId="12483" r:id="rId87" name="Control 195"/>
      </mc:Fallback>
    </mc:AlternateContent>
    <mc:AlternateContent xmlns:mc="http://schemas.openxmlformats.org/markup-compatibility/2006">
      <mc:Choice Requires="x14">
        <control shapeId="12484" r:id="rId88" name="Control 196">
          <controlPr defaultSize="0" r:id="rId4">
            <anchor moveWithCells="1">
              <from>
                <xdr:col>3</xdr:col>
                <xdr:colOff>0</xdr:colOff>
                <xdr:row>120</xdr:row>
                <xdr:rowOff>0</xdr:rowOff>
              </from>
              <to>
                <xdr:col>3</xdr:col>
                <xdr:colOff>228600</xdr:colOff>
                <xdr:row>121</xdr:row>
                <xdr:rowOff>60960</xdr:rowOff>
              </to>
            </anchor>
          </controlPr>
        </control>
      </mc:Choice>
      <mc:Fallback>
        <control shapeId="12484" r:id="rId88" name="Control 196"/>
      </mc:Fallback>
    </mc:AlternateContent>
    <mc:AlternateContent xmlns:mc="http://schemas.openxmlformats.org/markup-compatibility/2006">
      <mc:Choice Requires="x14">
        <control shapeId="12485" r:id="rId89" name="Control 197">
          <controlPr defaultSize="0" r:id="rId4">
            <anchor moveWithCells="1">
              <from>
                <xdr:col>3</xdr:col>
                <xdr:colOff>0</xdr:colOff>
                <xdr:row>121</xdr:row>
                <xdr:rowOff>0</xdr:rowOff>
              </from>
              <to>
                <xdr:col>3</xdr:col>
                <xdr:colOff>228600</xdr:colOff>
                <xdr:row>122</xdr:row>
                <xdr:rowOff>60960</xdr:rowOff>
              </to>
            </anchor>
          </controlPr>
        </control>
      </mc:Choice>
      <mc:Fallback>
        <control shapeId="12485" r:id="rId89" name="Control 197"/>
      </mc:Fallback>
    </mc:AlternateContent>
    <mc:AlternateContent xmlns:mc="http://schemas.openxmlformats.org/markup-compatibility/2006">
      <mc:Choice Requires="x14">
        <control shapeId="12486" r:id="rId90" name="Control 198">
          <controlPr defaultSize="0" r:id="rId4">
            <anchor moveWithCells="1">
              <from>
                <xdr:col>3</xdr:col>
                <xdr:colOff>0</xdr:colOff>
                <xdr:row>122</xdr:row>
                <xdr:rowOff>0</xdr:rowOff>
              </from>
              <to>
                <xdr:col>3</xdr:col>
                <xdr:colOff>228600</xdr:colOff>
                <xdr:row>123</xdr:row>
                <xdr:rowOff>60960</xdr:rowOff>
              </to>
            </anchor>
          </controlPr>
        </control>
      </mc:Choice>
      <mc:Fallback>
        <control shapeId="12486" r:id="rId90" name="Control 198"/>
      </mc:Fallback>
    </mc:AlternateContent>
    <mc:AlternateContent xmlns:mc="http://schemas.openxmlformats.org/markup-compatibility/2006">
      <mc:Choice Requires="x14">
        <control shapeId="12487" r:id="rId91" name="Control 199">
          <controlPr defaultSize="0" r:id="rId4">
            <anchor moveWithCells="1">
              <from>
                <xdr:col>3</xdr:col>
                <xdr:colOff>0</xdr:colOff>
                <xdr:row>123</xdr:row>
                <xdr:rowOff>0</xdr:rowOff>
              </from>
              <to>
                <xdr:col>3</xdr:col>
                <xdr:colOff>228600</xdr:colOff>
                <xdr:row>124</xdr:row>
                <xdr:rowOff>60960</xdr:rowOff>
              </to>
            </anchor>
          </controlPr>
        </control>
      </mc:Choice>
      <mc:Fallback>
        <control shapeId="12487" r:id="rId91" name="Control 199"/>
      </mc:Fallback>
    </mc:AlternateContent>
    <mc:AlternateContent xmlns:mc="http://schemas.openxmlformats.org/markup-compatibility/2006">
      <mc:Choice Requires="x14">
        <control shapeId="12488" r:id="rId92" name="Control 200">
          <controlPr defaultSize="0" r:id="rId4">
            <anchor moveWithCells="1">
              <from>
                <xdr:col>3</xdr:col>
                <xdr:colOff>0</xdr:colOff>
                <xdr:row>124</xdr:row>
                <xdr:rowOff>0</xdr:rowOff>
              </from>
              <to>
                <xdr:col>3</xdr:col>
                <xdr:colOff>228600</xdr:colOff>
                <xdr:row>125</xdr:row>
                <xdr:rowOff>30480</xdr:rowOff>
              </to>
            </anchor>
          </controlPr>
        </control>
      </mc:Choice>
      <mc:Fallback>
        <control shapeId="12488" r:id="rId92" name="Control 200"/>
      </mc:Fallback>
    </mc:AlternateContent>
    <mc:AlternateContent xmlns:mc="http://schemas.openxmlformats.org/markup-compatibility/2006">
      <mc:Choice Requires="x14">
        <control shapeId="12489" r:id="rId93" name="Control 201">
          <controlPr defaultSize="0" r:id="rId4">
            <anchor moveWithCells="1">
              <from>
                <xdr:col>3</xdr:col>
                <xdr:colOff>0</xdr:colOff>
                <xdr:row>125</xdr:row>
                <xdr:rowOff>0</xdr:rowOff>
              </from>
              <to>
                <xdr:col>3</xdr:col>
                <xdr:colOff>228600</xdr:colOff>
                <xdr:row>126</xdr:row>
                <xdr:rowOff>60960</xdr:rowOff>
              </to>
            </anchor>
          </controlPr>
        </control>
      </mc:Choice>
      <mc:Fallback>
        <control shapeId="12489" r:id="rId93" name="Control 201"/>
      </mc:Fallback>
    </mc:AlternateContent>
    <mc:AlternateContent xmlns:mc="http://schemas.openxmlformats.org/markup-compatibility/2006">
      <mc:Choice Requires="x14">
        <control shapeId="12490" r:id="rId94" name="Control 202">
          <controlPr defaultSize="0" r:id="rId4">
            <anchor moveWithCells="1">
              <from>
                <xdr:col>3</xdr:col>
                <xdr:colOff>0</xdr:colOff>
                <xdr:row>126</xdr:row>
                <xdr:rowOff>0</xdr:rowOff>
              </from>
              <to>
                <xdr:col>3</xdr:col>
                <xdr:colOff>228600</xdr:colOff>
                <xdr:row>127</xdr:row>
                <xdr:rowOff>60960</xdr:rowOff>
              </to>
            </anchor>
          </controlPr>
        </control>
      </mc:Choice>
      <mc:Fallback>
        <control shapeId="12490" r:id="rId94" name="Control 202"/>
      </mc:Fallback>
    </mc:AlternateContent>
    <mc:AlternateContent xmlns:mc="http://schemas.openxmlformats.org/markup-compatibility/2006">
      <mc:Choice Requires="x14">
        <control shapeId="12491" r:id="rId95" name="Control 203">
          <controlPr defaultSize="0" r:id="rId4">
            <anchor moveWithCells="1">
              <from>
                <xdr:col>3</xdr:col>
                <xdr:colOff>0</xdr:colOff>
                <xdr:row>127</xdr:row>
                <xdr:rowOff>0</xdr:rowOff>
              </from>
              <to>
                <xdr:col>3</xdr:col>
                <xdr:colOff>228600</xdr:colOff>
                <xdr:row>128</xdr:row>
                <xdr:rowOff>60960</xdr:rowOff>
              </to>
            </anchor>
          </controlPr>
        </control>
      </mc:Choice>
      <mc:Fallback>
        <control shapeId="12491" r:id="rId95" name="Control 203"/>
      </mc:Fallback>
    </mc:AlternateContent>
    <mc:AlternateContent xmlns:mc="http://schemas.openxmlformats.org/markup-compatibility/2006">
      <mc:Choice Requires="x14">
        <control shapeId="12492" r:id="rId96" name="Control 204">
          <controlPr defaultSize="0" r:id="rId4">
            <anchor moveWithCells="1">
              <from>
                <xdr:col>3</xdr:col>
                <xdr:colOff>0</xdr:colOff>
                <xdr:row>128</xdr:row>
                <xdr:rowOff>0</xdr:rowOff>
              </from>
              <to>
                <xdr:col>3</xdr:col>
                <xdr:colOff>228600</xdr:colOff>
                <xdr:row>129</xdr:row>
                <xdr:rowOff>60960</xdr:rowOff>
              </to>
            </anchor>
          </controlPr>
        </control>
      </mc:Choice>
      <mc:Fallback>
        <control shapeId="12492" r:id="rId96" name="Control 204"/>
      </mc:Fallback>
    </mc:AlternateContent>
    <mc:AlternateContent xmlns:mc="http://schemas.openxmlformats.org/markup-compatibility/2006">
      <mc:Choice Requires="x14">
        <control shapeId="12493" r:id="rId97" name="Control 205">
          <controlPr defaultSize="0" r:id="rId4">
            <anchor moveWithCells="1">
              <from>
                <xdr:col>3</xdr:col>
                <xdr:colOff>0</xdr:colOff>
                <xdr:row>129</xdr:row>
                <xdr:rowOff>0</xdr:rowOff>
              </from>
              <to>
                <xdr:col>3</xdr:col>
                <xdr:colOff>228600</xdr:colOff>
                <xdr:row>130</xdr:row>
                <xdr:rowOff>60960</xdr:rowOff>
              </to>
            </anchor>
          </controlPr>
        </control>
      </mc:Choice>
      <mc:Fallback>
        <control shapeId="12493" r:id="rId97" name="Control 205"/>
      </mc:Fallback>
    </mc:AlternateContent>
    <mc:AlternateContent xmlns:mc="http://schemas.openxmlformats.org/markup-compatibility/2006">
      <mc:Choice Requires="x14">
        <control shapeId="12494" r:id="rId98" name="Control 206">
          <controlPr defaultSize="0" r:id="rId4">
            <anchor moveWithCells="1">
              <from>
                <xdr:col>3</xdr:col>
                <xdr:colOff>0</xdr:colOff>
                <xdr:row>130</xdr:row>
                <xdr:rowOff>0</xdr:rowOff>
              </from>
              <to>
                <xdr:col>3</xdr:col>
                <xdr:colOff>228600</xdr:colOff>
                <xdr:row>131</xdr:row>
                <xdr:rowOff>60960</xdr:rowOff>
              </to>
            </anchor>
          </controlPr>
        </control>
      </mc:Choice>
      <mc:Fallback>
        <control shapeId="12494" r:id="rId98" name="Control 206"/>
      </mc:Fallback>
    </mc:AlternateContent>
    <mc:AlternateContent xmlns:mc="http://schemas.openxmlformats.org/markup-compatibility/2006">
      <mc:Choice Requires="x14">
        <control shapeId="12495" r:id="rId99" name="Control 207">
          <controlPr defaultSize="0" r:id="rId4">
            <anchor moveWithCells="1">
              <from>
                <xdr:col>3</xdr:col>
                <xdr:colOff>0</xdr:colOff>
                <xdr:row>131</xdr:row>
                <xdr:rowOff>0</xdr:rowOff>
              </from>
              <to>
                <xdr:col>3</xdr:col>
                <xdr:colOff>228600</xdr:colOff>
                <xdr:row>132</xdr:row>
                <xdr:rowOff>60960</xdr:rowOff>
              </to>
            </anchor>
          </controlPr>
        </control>
      </mc:Choice>
      <mc:Fallback>
        <control shapeId="12495" r:id="rId99" name="Control 207"/>
      </mc:Fallback>
    </mc:AlternateContent>
    <mc:AlternateContent xmlns:mc="http://schemas.openxmlformats.org/markup-compatibility/2006">
      <mc:Choice Requires="x14">
        <control shapeId="12496" r:id="rId100" name="Control 208">
          <controlPr defaultSize="0" r:id="rId4">
            <anchor moveWithCells="1">
              <from>
                <xdr:col>3</xdr:col>
                <xdr:colOff>0</xdr:colOff>
                <xdr:row>132</xdr:row>
                <xdr:rowOff>0</xdr:rowOff>
              </from>
              <to>
                <xdr:col>3</xdr:col>
                <xdr:colOff>228600</xdr:colOff>
                <xdr:row>133</xdr:row>
                <xdr:rowOff>60960</xdr:rowOff>
              </to>
            </anchor>
          </controlPr>
        </control>
      </mc:Choice>
      <mc:Fallback>
        <control shapeId="12496" r:id="rId100" name="Control 208"/>
      </mc:Fallback>
    </mc:AlternateContent>
    <mc:AlternateContent xmlns:mc="http://schemas.openxmlformats.org/markup-compatibility/2006">
      <mc:Choice Requires="x14">
        <control shapeId="12497" r:id="rId101" name="Control 209">
          <controlPr defaultSize="0" r:id="rId4">
            <anchor moveWithCells="1">
              <from>
                <xdr:col>3</xdr:col>
                <xdr:colOff>0</xdr:colOff>
                <xdr:row>133</xdr:row>
                <xdr:rowOff>0</xdr:rowOff>
              </from>
              <to>
                <xdr:col>3</xdr:col>
                <xdr:colOff>228600</xdr:colOff>
                <xdr:row>134</xdr:row>
                <xdr:rowOff>60960</xdr:rowOff>
              </to>
            </anchor>
          </controlPr>
        </control>
      </mc:Choice>
      <mc:Fallback>
        <control shapeId="12497" r:id="rId101" name="Control 209"/>
      </mc:Fallback>
    </mc:AlternateContent>
    <mc:AlternateContent xmlns:mc="http://schemas.openxmlformats.org/markup-compatibility/2006">
      <mc:Choice Requires="x14">
        <control shapeId="12498" r:id="rId102" name="Control 210">
          <controlPr defaultSize="0" r:id="rId4">
            <anchor moveWithCells="1">
              <from>
                <xdr:col>3</xdr:col>
                <xdr:colOff>0</xdr:colOff>
                <xdr:row>134</xdr:row>
                <xdr:rowOff>0</xdr:rowOff>
              </from>
              <to>
                <xdr:col>3</xdr:col>
                <xdr:colOff>228600</xdr:colOff>
                <xdr:row>135</xdr:row>
                <xdr:rowOff>60960</xdr:rowOff>
              </to>
            </anchor>
          </controlPr>
        </control>
      </mc:Choice>
      <mc:Fallback>
        <control shapeId="12498" r:id="rId102" name="Control 210"/>
      </mc:Fallback>
    </mc:AlternateContent>
    <mc:AlternateContent xmlns:mc="http://schemas.openxmlformats.org/markup-compatibility/2006">
      <mc:Choice Requires="x14">
        <control shapeId="12499" r:id="rId103" name="Control 211">
          <controlPr defaultSize="0" r:id="rId4">
            <anchor moveWithCells="1">
              <from>
                <xdr:col>3</xdr:col>
                <xdr:colOff>0</xdr:colOff>
                <xdr:row>135</xdr:row>
                <xdr:rowOff>0</xdr:rowOff>
              </from>
              <to>
                <xdr:col>3</xdr:col>
                <xdr:colOff>228600</xdr:colOff>
                <xdr:row>136</xdr:row>
                <xdr:rowOff>60960</xdr:rowOff>
              </to>
            </anchor>
          </controlPr>
        </control>
      </mc:Choice>
      <mc:Fallback>
        <control shapeId="12499" r:id="rId103" name="Control 211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EA34-FBA9-48FE-9241-80F064AE50E6}">
  <dimension ref="C4:L9"/>
  <sheetViews>
    <sheetView topLeftCell="B1" workbookViewId="0">
      <selection activeCell="D30" sqref="D30"/>
    </sheetView>
  </sheetViews>
  <sheetFormatPr defaultRowHeight="14.4" x14ac:dyDescent="0.3"/>
  <cols>
    <col min="3" max="3" width="10.5546875" bestFit="1" customWidth="1"/>
    <col min="4" max="4" width="31.5546875" customWidth="1"/>
    <col min="5" max="5" width="83.88671875" style="48" customWidth="1"/>
    <col min="6" max="6" width="10" bestFit="1" customWidth="1"/>
    <col min="9" max="10" width="10.5546875" bestFit="1" customWidth="1"/>
  </cols>
  <sheetData>
    <row r="4" spans="3:12" x14ac:dyDescent="0.3">
      <c r="C4" s="386">
        <v>45820</v>
      </c>
      <c r="D4" s="373" t="s">
        <v>735</v>
      </c>
      <c r="E4" s="421" t="s">
        <v>769</v>
      </c>
      <c r="F4" s="385">
        <v>156154725</v>
      </c>
      <c r="G4" s="384" t="s">
        <v>690</v>
      </c>
      <c r="H4" s="373" t="s">
        <v>691</v>
      </c>
      <c r="I4" s="386">
        <v>45820</v>
      </c>
      <c r="J4" s="386">
        <v>45849</v>
      </c>
      <c r="K4" s="374">
        <v>187.42</v>
      </c>
      <c r="L4" s="374">
        <v>192.98</v>
      </c>
    </row>
    <row r="5" spans="3:12" x14ac:dyDescent="0.3">
      <c r="C5" s="382">
        <v>45821</v>
      </c>
      <c r="D5" s="375" t="s">
        <v>735</v>
      </c>
      <c r="E5" s="421" t="s">
        <v>770</v>
      </c>
      <c r="F5" s="381">
        <v>216178215</v>
      </c>
      <c r="G5" s="380" t="s">
        <v>690</v>
      </c>
      <c r="H5" s="375" t="s">
        <v>691</v>
      </c>
      <c r="I5" s="382">
        <v>45821</v>
      </c>
      <c r="J5" s="382">
        <v>45850</v>
      </c>
      <c r="K5" s="383">
        <v>4375.75</v>
      </c>
      <c r="L5" s="383">
        <v>4504.1000000000004</v>
      </c>
    </row>
    <row r="6" spans="3:12" s="207" customFormat="1" x14ac:dyDescent="0.3">
      <c r="C6" s="391">
        <v>45824</v>
      </c>
      <c r="D6" s="388" t="s">
        <v>735</v>
      </c>
      <c r="E6" s="422" t="s">
        <v>767</v>
      </c>
      <c r="F6" s="389">
        <v>216262998</v>
      </c>
      <c r="G6" s="390" t="s">
        <v>690</v>
      </c>
      <c r="H6" s="388" t="s">
        <v>691</v>
      </c>
      <c r="I6" s="391">
        <v>45824</v>
      </c>
      <c r="J6" s="391">
        <v>45853</v>
      </c>
      <c r="K6" s="392">
        <v>4831.96</v>
      </c>
      <c r="L6" s="392">
        <v>4968.8599999999997</v>
      </c>
    </row>
    <row r="7" spans="3:12" x14ac:dyDescent="0.3">
      <c r="C7" s="382">
        <v>45825</v>
      </c>
      <c r="D7" s="375" t="s">
        <v>735</v>
      </c>
      <c r="E7" s="421" t="s">
        <v>768</v>
      </c>
      <c r="F7" s="381">
        <v>216262998</v>
      </c>
      <c r="G7" s="380" t="s">
        <v>690</v>
      </c>
      <c r="H7" s="375" t="s">
        <v>691</v>
      </c>
      <c r="I7" s="382">
        <v>45825</v>
      </c>
      <c r="J7" s="382">
        <v>45854</v>
      </c>
      <c r="K7" s="383">
        <v>4831.96</v>
      </c>
      <c r="L7" s="383">
        <v>4967.25</v>
      </c>
    </row>
    <row r="8" spans="3:12" x14ac:dyDescent="0.3">
      <c r="C8" s="386">
        <v>45826</v>
      </c>
      <c r="D8" s="373" t="s">
        <v>735</v>
      </c>
      <c r="E8" s="421" t="s">
        <v>771</v>
      </c>
      <c r="F8" s="385">
        <v>46445801</v>
      </c>
      <c r="G8" s="384" t="s">
        <v>690</v>
      </c>
      <c r="H8" s="373" t="s">
        <v>691</v>
      </c>
      <c r="I8" s="386">
        <v>45826</v>
      </c>
      <c r="J8" s="386">
        <v>45855</v>
      </c>
      <c r="K8" s="387">
        <v>4691.8100000000004</v>
      </c>
      <c r="L8" s="387">
        <v>4691.8100000000004</v>
      </c>
    </row>
    <row r="9" spans="3:12" x14ac:dyDescent="0.3">
      <c r="C9" s="382">
        <v>45836</v>
      </c>
      <c r="D9" s="375" t="s">
        <v>735</v>
      </c>
      <c r="E9" s="421" t="s">
        <v>772</v>
      </c>
      <c r="F9" s="381">
        <v>156400259</v>
      </c>
      <c r="G9" s="380" t="s">
        <v>690</v>
      </c>
      <c r="H9" s="375" t="s">
        <v>691</v>
      </c>
      <c r="I9" s="382">
        <v>45836</v>
      </c>
      <c r="J9" s="382">
        <v>45865</v>
      </c>
      <c r="K9" s="383">
        <v>1408.66</v>
      </c>
      <c r="L9" s="383">
        <v>1442.93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D3E6-899B-4FC3-A309-D1836FD6EC3A}">
  <dimension ref="A2:H68"/>
  <sheetViews>
    <sheetView showGridLines="0" topLeftCell="A50" workbookViewId="0">
      <selection activeCell="C64" sqref="C64"/>
    </sheetView>
  </sheetViews>
  <sheetFormatPr defaultRowHeight="14.4" x14ac:dyDescent="0.3"/>
  <cols>
    <col min="1" max="1" width="10.5546875" bestFit="1" customWidth="1"/>
    <col min="2" max="2" width="28.21875" style="48" customWidth="1"/>
    <col min="3" max="3" width="66.109375" style="48" customWidth="1"/>
    <col min="4" max="4" width="11.5546875" bestFit="1" customWidth="1"/>
    <col min="5" max="5" width="20.77734375" customWidth="1"/>
  </cols>
  <sheetData>
    <row r="2" spans="1:5" x14ac:dyDescent="0.3">
      <c r="A2" s="934" t="s">
        <v>498</v>
      </c>
      <c r="B2" s="934"/>
      <c r="C2" s="934"/>
      <c r="D2" s="934"/>
      <c r="E2" s="934"/>
    </row>
    <row r="3" spans="1:5" ht="33" customHeight="1" x14ac:dyDescent="0.3">
      <c r="A3" s="935"/>
      <c r="B3" s="935"/>
      <c r="C3" s="935"/>
      <c r="D3" s="935"/>
      <c r="E3" s="935"/>
    </row>
    <row r="4" spans="1:5" x14ac:dyDescent="0.3">
      <c r="A4" s="169">
        <v>45848</v>
      </c>
      <c r="B4" s="170" t="s">
        <v>31</v>
      </c>
      <c r="C4" s="170" t="s">
        <v>496</v>
      </c>
      <c r="D4" s="171">
        <v>-223.44</v>
      </c>
      <c r="E4" s="172" t="s">
        <v>51</v>
      </c>
    </row>
    <row r="5" spans="1:5" x14ac:dyDescent="0.3">
      <c r="A5" s="169">
        <v>45848</v>
      </c>
      <c r="B5" s="170" t="s">
        <v>6</v>
      </c>
      <c r="C5" s="170" t="s">
        <v>496</v>
      </c>
      <c r="D5" s="171">
        <v>-383.04</v>
      </c>
      <c r="E5" s="172" t="s">
        <v>51</v>
      </c>
    </row>
    <row r="6" spans="1:5" x14ac:dyDescent="0.3">
      <c r="A6" s="169">
        <v>45848</v>
      </c>
      <c r="B6" s="170" t="s">
        <v>44</v>
      </c>
      <c r="C6" s="170" t="s">
        <v>496</v>
      </c>
      <c r="D6" s="171">
        <v>-383.04</v>
      </c>
      <c r="E6" s="172" t="s">
        <v>51</v>
      </c>
    </row>
    <row r="7" spans="1:5" x14ac:dyDescent="0.3">
      <c r="A7" s="169">
        <v>45848</v>
      </c>
      <c r="B7" s="170" t="s">
        <v>25</v>
      </c>
      <c r="C7" s="170" t="s">
        <v>496</v>
      </c>
      <c r="D7" s="171">
        <v>-941.64</v>
      </c>
      <c r="E7" s="172" t="s">
        <v>51</v>
      </c>
    </row>
    <row r="8" spans="1:5" x14ac:dyDescent="0.3">
      <c r="A8" s="169">
        <v>45848</v>
      </c>
      <c r="B8" s="170" t="s">
        <v>33</v>
      </c>
      <c r="C8" s="170" t="s">
        <v>496</v>
      </c>
      <c r="D8" s="171">
        <v>-271.32</v>
      </c>
      <c r="E8" s="172" t="s">
        <v>51</v>
      </c>
    </row>
    <row r="9" spans="1:5" x14ac:dyDescent="0.3">
      <c r="A9" s="169">
        <v>45848</v>
      </c>
      <c r="B9" s="170" t="s">
        <v>106</v>
      </c>
      <c r="C9" s="170" t="s">
        <v>496</v>
      </c>
      <c r="D9" s="171">
        <v>-287.27999999999997</v>
      </c>
      <c r="E9" s="172" t="s">
        <v>51</v>
      </c>
    </row>
    <row r="10" spans="1:5" x14ac:dyDescent="0.3">
      <c r="A10" s="169">
        <v>45848</v>
      </c>
      <c r="B10" s="170" t="s">
        <v>32</v>
      </c>
      <c r="C10" s="170" t="s">
        <v>496</v>
      </c>
      <c r="D10" s="171">
        <v>-606.48</v>
      </c>
      <c r="E10" s="172" t="s">
        <v>51</v>
      </c>
    </row>
    <row r="11" spans="1:5" x14ac:dyDescent="0.3">
      <c r="A11" s="169">
        <v>45848</v>
      </c>
      <c r="B11" s="170" t="s">
        <v>72</v>
      </c>
      <c r="C11" s="170" t="s">
        <v>496</v>
      </c>
      <c r="D11" s="171">
        <v>-351.12</v>
      </c>
      <c r="E11" s="172" t="s">
        <v>51</v>
      </c>
    </row>
    <row r="12" spans="1:5" x14ac:dyDescent="0.3">
      <c r="A12" s="169">
        <v>45848</v>
      </c>
      <c r="B12" s="170" t="s">
        <v>17</v>
      </c>
      <c r="C12" s="170" t="s">
        <v>496</v>
      </c>
      <c r="D12" s="171">
        <v>-269.88</v>
      </c>
      <c r="E12" s="172" t="s">
        <v>51</v>
      </c>
    </row>
    <row r="13" spans="1:5" x14ac:dyDescent="0.3">
      <c r="A13" s="173">
        <v>45848</v>
      </c>
      <c r="B13" s="170" t="s">
        <v>31</v>
      </c>
      <c r="C13" s="170" t="s">
        <v>497</v>
      </c>
      <c r="D13" s="174">
        <v>-469.69</v>
      </c>
      <c r="E13" s="170" t="s">
        <v>51</v>
      </c>
    </row>
    <row r="14" spans="1:5" x14ac:dyDescent="0.3">
      <c r="A14" s="173">
        <v>45848</v>
      </c>
      <c r="B14" s="170" t="s">
        <v>6</v>
      </c>
      <c r="C14" s="170" t="s">
        <v>497</v>
      </c>
      <c r="D14" s="174">
        <v>-755.27</v>
      </c>
      <c r="E14" s="170" t="s">
        <v>51</v>
      </c>
    </row>
    <row r="15" spans="1:5" x14ac:dyDescent="0.3">
      <c r="A15" s="173">
        <v>45848</v>
      </c>
      <c r="B15" s="170" t="s">
        <v>44</v>
      </c>
      <c r="C15" s="170" t="s">
        <v>497</v>
      </c>
      <c r="D15" s="174">
        <v>-775.99</v>
      </c>
      <c r="E15" s="170" t="s">
        <v>51</v>
      </c>
    </row>
    <row r="16" spans="1:5" x14ac:dyDescent="0.3">
      <c r="A16" s="173">
        <v>45848</v>
      </c>
      <c r="B16" s="170" t="s">
        <v>25</v>
      </c>
      <c r="C16" s="170" t="s">
        <v>497</v>
      </c>
      <c r="D16" s="174">
        <v>-2553.7600000000002</v>
      </c>
      <c r="E16" s="170" t="s">
        <v>51</v>
      </c>
    </row>
    <row r="17" spans="1:8" x14ac:dyDescent="0.3">
      <c r="A17" s="173">
        <v>45848</v>
      </c>
      <c r="B17" s="170" t="s">
        <v>25</v>
      </c>
      <c r="C17" s="170" t="s">
        <v>497</v>
      </c>
      <c r="D17" s="174">
        <v>-30</v>
      </c>
      <c r="E17" s="170" t="s">
        <v>51</v>
      </c>
    </row>
    <row r="18" spans="1:8" x14ac:dyDescent="0.3">
      <c r="A18" s="173">
        <v>45848</v>
      </c>
      <c r="B18" s="170" t="s">
        <v>33</v>
      </c>
      <c r="C18" s="170" t="s">
        <v>497</v>
      </c>
      <c r="D18" s="174">
        <v>-786.62</v>
      </c>
      <c r="E18" s="170" t="s">
        <v>51</v>
      </c>
    </row>
    <row r="19" spans="1:8" x14ac:dyDescent="0.3">
      <c r="A19" s="173">
        <v>45848</v>
      </c>
      <c r="B19" s="170" t="s">
        <v>106</v>
      </c>
      <c r="C19" s="170" t="s">
        <v>497</v>
      </c>
      <c r="D19" s="174">
        <v>-582.41</v>
      </c>
      <c r="E19" s="170" t="s">
        <v>51</v>
      </c>
    </row>
    <row r="20" spans="1:8" x14ac:dyDescent="0.3">
      <c r="A20" s="173">
        <v>45848</v>
      </c>
      <c r="B20" s="170" t="s">
        <v>32</v>
      </c>
      <c r="C20" s="170" t="s">
        <v>497</v>
      </c>
      <c r="D20" s="174">
        <v>-2121.83</v>
      </c>
      <c r="E20" s="170" t="s">
        <v>51</v>
      </c>
    </row>
    <row r="21" spans="1:8" x14ac:dyDescent="0.3">
      <c r="A21" s="173">
        <v>45848</v>
      </c>
      <c r="B21" s="170" t="s">
        <v>72</v>
      </c>
      <c r="C21" s="170" t="s">
        <v>497</v>
      </c>
      <c r="D21" s="174">
        <v>-766.08</v>
      </c>
      <c r="E21" s="170" t="s">
        <v>51</v>
      </c>
    </row>
    <row r="22" spans="1:8" ht="13.2" customHeight="1" x14ac:dyDescent="0.3">
      <c r="A22" s="173">
        <v>45848</v>
      </c>
      <c r="B22" s="170" t="s">
        <v>17</v>
      </c>
      <c r="C22" s="170" t="s">
        <v>497</v>
      </c>
      <c r="D22" s="174">
        <v>-647.79999999999995</v>
      </c>
      <c r="E22" s="170" t="s">
        <v>51</v>
      </c>
    </row>
    <row r="23" spans="1:8" s="57" customFormat="1" x14ac:dyDescent="0.3">
      <c r="A23" s="167">
        <v>45849</v>
      </c>
      <c r="B23" s="17" t="s">
        <v>72</v>
      </c>
      <c r="C23" s="18" t="s">
        <v>73</v>
      </c>
      <c r="D23" s="19">
        <v>-4347.01</v>
      </c>
      <c r="E23" s="20" t="s">
        <v>74</v>
      </c>
    </row>
    <row r="24" spans="1:8" s="57" customFormat="1" x14ac:dyDescent="0.3">
      <c r="A24" s="167">
        <v>45849</v>
      </c>
      <c r="B24" s="17" t="s">
        <v>72</v>
      </c>
      <c r="C24" s="18" t="s">
        <v>73</v>
      </c>
      <c r="D24" s="19">
        <v>-2173.96</v>
      </c>
      <c r="E24" s="20" t="s">
        <v>74</v>
      </c>
    </row>
    <row r="25" spans="1:8" s="426" customFormat="1" x14ac:dyDescent="0.3">
      <c r="A25" s="427">
        <v>45849</v>
      </c>
      <c r="B25" s="424" t="s">
        <v>72</v>
      </c>
      <c r="C25" s="424" t="s">
        <v>781</v>
      </c>
      <c r="D25" s="428">
        <v>-130.16</v>
      </c>
      <c r="E25" s="429" t="s">
        <v>74</v>
      </c>
      <c r="F25" s="430" t="s">
        <v>782</v>
      </c>
      <c r="G25" s="430"/>
      <c r="H25" s="405"/>
    </row>
    <row r="26" spans="1:8" s="426" customFormat="1" x14ac:dyDescent="0.3">
      <c r="A26" s="427">
        <v>45849</v>
      </c>
      <c r="B26" s="431" t="s">
        <v>72</v>
      </c>
      <c r="C26" s="424" t="s">
        <v>781</v>
      </c>
      <c r="D26" s="432">
        <v>-826.19</v>
      </c>
      <c r="E26" s="433" t="s">
        <v>74</v>
      </c>
      <c r="F26" s="430" t="s">
        <v>782</v>
      </c>
      <c r="G26" s="430"/>
      <c r="H26" s="405"/>
    </row>
    <row r="27" spans="1:8" s="430" customFormat="1" ht="13.8" x14ac:dyDescent="0.3">
      <c r="A27" s="434">
        <v>45852</v>
      </c>
      <c r="B27" s="365" t="s">
        <v>72</v>
      </c>
      <c r="C27" s="366" t="s">
        <v>776</v>
      </c>
      <c r="D27" s="367">
        <v>-4375.75</v>
      </c>
      <c r="E27" s="435" t="s">
        <v>74</v>
      </c>
      <c r="F27" s="430" t="s">
        <v>782</v>
      </c>
    </row>
    <row r="28" spans="1:8" s="439" customFormat="1" ht="13.8" x14ac:dyDescent="0.3">
      <c r="A28" s="364">
        <v>45853</v>
      </c>
      <c r="B28" s="436" t="s">
        <v>72</v>
      </c>
      <c r="C28" s="366" t="s">
        <v>777</v>
      </c>
      <c r="D28" s="437">
        <v>-4424.8</v>
      </c>
      <c r="E28" s="438" t="s">
        <v>74</v>
      </c>
      <c r="F28" s="430" t="s">
        <v>782</v>
      </c>
      <c r="G28" s="430"/>
      <c r="H28" s="430"/>
    </row>
    <row r="29" spans="1:8" s="439" customFormat="1" ht="13.8" x14ac:dyDescent="0.3">
      <c r="A29" s="364">
        <v>45854</v>
      </c>
      <c r="B29" s="436" t="s">
        <v>72</v>
      </c>
      <c r="C29" s="366" t="s">
        <v>778</v>
      </c>
      <c r="D29" s="437">
        <v>-4375.75</v>
      </c>
      <c r="E29" s="438" t="s">
        <v>74</v>
      </c>
      <c r="F29" s="430" t="s">
        <v>782</v>
      </c>
      <c r="G29" s="430"/>
      <c r="H29" s="430"/>
    </row>
    <row r="30" spans="1:8" s="440" customFormat="1" x14ac:dyDescent="0.3">
      <c r="A30" s="368">
        <v>45859</v>
      </c>
      <c r="B30" s="369" t="s">
        <v>72</v>
      </c>
      <c r="C30" s="366" t="s">
        <v>779</v>
      </c>
      <c r="D30" s="370">
        <v>-1504.25</v>
      </c>
      <c r="E30" s="371" t="s">
        <v>74</v>
      </c>
      <c r="F30" s="430" t="s">
        <v>782</v>
      </c>
      <c r="G30" s="405"/>
    </row>
    <row r="31" spans="1:8" x14ac:dyDescent="0.3">
      <c r="A31" s="208">
        <v>45858</v>
      </c>
      <c r="B31" s="36" t="s">
        <v>31</v>
      </c>
      <c r="C31" s="36" t="s">
        <v>503</v>
      </c>
      <c r="D31" s="174">
        <v>-114.12</v>
      </c>
      <c r="E31" s="36" t="s">
        <v>562</v>
      </c>
    </row>
    <row r="32" spans="1:8" x14ac:dyDescent="0.3">
      <c r="A32" s="208">
        <v>45858</v>
      </c>
      <c r="B32" s="36" t="s">
        <v>6</v>
      </c>
      <c r="C32" s="36" t="s">
        <v>503</v>
      </c>
      <c r="D32" s="174">
        <v>-171.18</v>
      </c>
      <c r="E32" s="36" t="s">
        <v>562</v>
      </c>
    </row>
    <row r="33" spans="1:8" x14ac:dyDescent="0.3">
      <c r="A33" s="208">
        <v>45858</v>
      </c>
      <c r="B33" s="36" t="s">
        <v>44</v>
      </c>
      <c r="C33" s="36" t="s">
        <v>503</v>
      </c>
      <c r="D33" s="174">
        <v>-179.04</v>
      </c>
      <c r="E33" s="36" t="s">
        <v>562</v>
      </c>
    </row>
    <row r="34" spans="1:8" x14ac:dyDescent="0.3">
      <c r="A34" s="208">
        <v>45858</v>
      </c>
      <c r="B34" s="36" t="s">
        <v>25</v>
      </c>
      <c r="C34" s="36" t="s">
        <v>503</v>
      </c>
      <c r="D34" s="174">
        <v>-457.94</v>
      </c>
      <c r="E34" s="36" t="s">
        <v>562</v>
      </c>
    </row>
    <row r="35" spans="1:8" x14ac:dyDescent="0.3">
      <c r="A35" s="208">
        <v>45858</v>
      </c>
      <c r="B35" s="36" t="s">
        <v>33</v>
      </c>
      <c r="C35" s="36" t="s">
        <v>503</v>
      </c>
      <c r="D35" s="174">
        <v>-380</v>
      </c>
      <c r="E35" s="36" t="s">
        <v>562</v>
      </c>
    </row>
    <row r="36" spans="1:8" x14ac:dyDescent="0.3">
      <c r="A36" s="208">
        <v>45858</v>
      </c>
      <c r="B36" s="36" t="s">
        <v>106</v>
      </c>
      <c r="C36" s="36" t="s">
        <v>503</v>
      </c>
      <c r="D36" s="174">
        <v>-515</v>
      </c>
      <c r="E36" s="36" t="s">
        <v>562</v>
      </c>
    </row>
    <row r="37" spans="1:8" x14ac:dyDescent="0.3">
      <c r="A37" s="208">
        <v>45858</v>
      </c>
      <c r="B37" s="36" t="s">
        <v>32</v>
      </c>
      <c r="C37" s="36" t="s">
        <v>503</v>
      </c>
      <c r="D37" s="174">
        <v>-410</v>
      </c>
      <c r="E37" s="36" t="s">
        <v>562</v>
      </c>
    </row>
    <row r="38" spans="1:8" x14ac:dyDescent="0.3">
      <c r="A38" s="208">
        <v>45858</v>
      </c>
      <c r="B38" s="36" t="s">
        <v>72</v>
      </c>
      <c r="C38" s="36" t="s">
        <v>503</v>
      </c>
      <c r="D38" s="174">
        <v>-410</v>
      </c>
      <c r="E38" s="36" t="s">
        <v>562</v>
      </c>
    </row>
    <row r="39" spans="1:8" x14ac:dyDescent="0.3">
      <c r="A39" s="208">
        <v>45858</v>
      </c>
      <c r="B39" s="36" t="s">
        <v>17</v>
      </c>
      <c r="C39" s="36" t="s">
        <v>503</v>
      </c>
      <c r="D39" s="174">
        <v>-690.98</v>
      </c>
      <c r="E39" s="36" t="s">
        <v>562</v>
      </c>
    </row>
    <row r="40" spans="1:8" s="58" customFormat="1" x14ac:dyDescent="0.3">
      <c r="A40" s="38">
        <v>45867</v>
      </c>
      <c r="B40" s="36" t="s">
        <v>72</v>
      </c>
      <c r="C40" s="15" t="s">
        <v>780</v>
      </c>
      <c r="D40" s="37">
        <v>-2628.37</v>
      </c>
      <c r="E40" s="206" t="s">
        <v>74</v>
      </c>
      <c r="F40"/>
      <c r="G40"/>
      <c r="H40"/>
    </row>
    <row r="41" spans="1:8" s="405" customFormat="1" ht="12.6" customHeight="1" x14ac:dyDescent="0.3">
      <c r="A41" s="423">
        <v>45868</v>
      </c>
      <c r="B41" s="424" t="s">
        <v>25</v>
      </c>
      <c r="C41" s="424" t="s">
        <v>202</v>
      </c>
      <c r="D41" s="425">
        <v>-4169.6000000000004</v>
      </c>
      <c r="E41" s="424" t="s">
        <v>74</v>
      </c>
    </row>
    <row r="42" spans="1:8" s="405" customFormat="1" x14ac:dyDescent="0.3">
      <c r="A42" s="423">
        <v>45868</v>
      </c>
      <c r="B42" s="424" t="s">
        <v>17</v>
      </c>
      <c r="C42" s="424" t="s">
        <v>202</v>
      </c>
      <c r="D42" s="425">
        <v>-6274.7</v>
      </c>
      <c r="E42" s="424" t="s">
        <v>74</v>
      </c>
    </row>
    <row r="43" spans="1:8" s="405" customFormat="1" x14ac:dyDescent="0.3">
      <c r="A43" s="423">
        <v>45868</v>
      </c>
      <c r="B43" s="424" t="s">
        <v>17</v>
      </c>
      <c r="C43" s="424" t="s">
        <v>202</v>
      </c>
      <c r="D43" s="425">
        <v>-1959.76</v>
      </c>
      <c r="E43" s="424" t="s">
        <v>74</v>
      </c>
    </row>
    <row r="45" spans="1:8" x14ac:dyDescent="0.3">
      <c r="A45" s="936" t="s">
        <v>593</v>
      </c>
      <c r="B45" s="936"/>
      <c r="C45" s="936"/>
      <c r="D45" s="936"/>
      <c r="E45" s="936"/>
    </row>
    <row r="46" spans="1:8" x14ac:dyDescent="0.3">
      <c r="A46" s="936"/>
      <c r="B46" s="936"/>
      <c r="C46" s="936"/>
      <c r="D46" s="936"/>
      <c r="E46" s="936"/>
    </row>
    <row r="47" spans="1:8" s="426" customFormat="1" ht="19.2" customHeight="1" x14ac:dyDescent="0.3">
      <c r="A47" s="423">
        <v>45870</v>
      </c>
      <c r="B47" s="424" t="s">
        <v>25</v>
      </c>
      <c r="C47" s="424" t="s">
        <v>202</v>
      </c>
      <c r="D47" s="425">
        <v>-233.26</v>
      </c>
      <c r="E47" s="424" t="s">
        <v>74</v>
      </c>
    </row>
    <row r="48" spans="1:8" s="426" customFormat="1" x14ac:dyDescent="0.3">
      <c r="A48" s="423">
        <v>45870</v>
      </c>
      <c r="B48" s="424" t="s">
        <v>25</v>
      </c>
      <c r="C48" s="424" t="s">
        <v>202</v>
      </c>
      <c r="D48" s="425">
        <v>-2668.69</v>
      </c>
      <c r="E48" s="424" t="s">
        <v>74</v>
      </c>
    </row>
    <row r="49" spans="1:5" s="426" customFormat="1" x14ac:dyDescent="0.3">
      <c r="A49" s="423">
        <v>45879</v>
      </c>
      <c r="B49" s="424" t="s">
        <v>17</v>
      </c>
      <c r="C49" s="424" t="s">
        <v>202</v>
      </c>
      <c r="D49" s="425">
        <v>-233.26</v>
      </c>
      <c r="E49" s="424" t="s">
        <v>74</v>
      </c>
    </row>
    <row r="50" spans="1:5" s="426" customFormat="1" x14ac:dyDescent="0.3">
      <c r="A50" s="423">
        <v>45879</v>
      </c>
      <c r="B50" s="424" t="s">
        <v>17</v>
      </c>
      <c r="C50" s="424" t="s">
        <v>202</v>
      </c>
      <c r="D50" s="425">
        <v>-129.13</v>
      </c>
      <c r="E50" s="424" t="s">
        <v>74</v>
      </c>
    </row>
    <row r="51" spans="1:5" s="426" customFormat="1" ht="15" customHeight="1" x14ac:dyDescent="0.3">
      <c r="A51" s="423">
        <v>45879</v>
      </c>
      <c r="B51" s="424" t="s">
        <v>17</v>
      </c>
      <c r="C51" s="424" t="s">
        <v>202</v>
      </c>
      <c r="D51" s="425">
        <v>-337.36</v>
      </c>
      <c r="E51" s="424" t="s">
        <v>74</v>
      </c>
    </row>
    <row r="52" spans="1:5" s="426" customFormat="1" x14ac:dyDescent="0.3">
      <c r="A52" s="423">
        <v>45879</v>
      </c>
      <c r="B52" s="424" t="s">
        <v>17</v>
      </c>
      <c r="C52" s="424" t="s">
        <v>202</v>
      </c>
      <c r="D52" s="425">
        <v>-259.77999999999997</v>
      </c>
      <c r="E52" s="424" t="s">
        <v>74</v>
      </c>
    </row>
    <row r="53" spans="1:5" s="426" customFormat="1" x14ac:dyDescent="0.3">
      <c r="A53" s="423">
        <v>45879</v>
      </c>
      <c r="B53" s="424" t="s">
        <v>17</v>
      </c>
      <c r="C53" s="424" t="s">
        <v>202</v>
      </c>
      <c r="D53" s="425">
        <v>-129.13</v>
      </c>
      <c r="E53" s="424" t="s">
        <v>74</v>
      </c>
    </row>
    <row r="54" spans="1:5" s="35" customFormat="1" x14ac:dyDescent="0.3">
      <c r="A54" s="208">
        <v>45889</v>
      </c>
      <c r="B54" s="36" t="s">
        <v>31</v>
      </c>
      <c r="C54" s="36" t="s">
        <v>503</v>
      </c>
      <c r="D54" s="174">
        <v>-85.59</v>
      </c>
      <c r="E54" s="36" t="s">
        <v>562</v>
      </c>
    </row>
    <row r="55" spans="1:5" s="35" customFormat="1" x14ac:dyDescent="0.3">
      <c r="A55" s="208">
        <v>45889</v>
      </c>
      <c r="B55" s="36" t="s">
        <v>6</v>
      </c>
      <c r="C55" s="36" t="s">
        <v>503</v>
      </c>
      <c r="D55" s="174">
        <v>-208.31</v>
      </c>
      <c r="E55" s="36" t="s">
        <v>562</v>
      </c>
    </row>
    <row r="56" spans="1:5" s="35" customFormat="1" x14ac:dyDescent="0.3">
      <c r="A56" s="208">
        <v>45889</v>
      </c>
      <c r="B56" s="36" t="s">
        <v>44</v>
      </c>
      <c r="C56" s="36" t="s">
        <v>503</v>
      </c>
      <c r="D56" s="174">
        <v>-295.68</v>
      </c>
      <c r="E56" s="36" t="s">
        <v>562</v>
      </c>
    </row>
    <row r="57" spans="1:5" s="35" customFormat="1" x14ac:dyDescent="0.3">
      <c r="A57" s="208">
        <v>45889</v>
      </c>
      <c r="B57" s="36" t="s">
        <v>25</v>
      </c>
      <c r="C57" s="36" t="s">
        <v>503</v>
      </c>
      <c r="D57" s="174">
        <v>-378.01</v>
      </c>
      <c r="E57" s="36" t="s">
        <v>562</v>
      </c>
    </row>
    <row r="58" spans="1:5" s="35" customFormat="1" x14ac:dyDescent="0.3">
      <c r="A58" s="208">
        <v>45889</v>
      </c>
      <c r="B58" s="36" t="s">
        <v>33</v>
      </c>
      <c r="C58" s="36" t="s">
        <v>503</v>
      </c>
      <c r="D58" s="174">
        <v>-350</v>
      </c>
      <c r="E58" s="36" t="s">
        <v>562</v>
      </c>
    </row>
    <row r="59" spans="1:5" s="35" customFormat="1" x14ac:dyDescent="0.3">
      <c r="A59" s="208">
        <v>45889</v>
      </c>
      <c r="B59" s="36" t="s">
        <v>106</v>
      </c>
      <c r="C59" s="36" t="s">
        <v>503</v>
      </c>
      <c r="D59" s="174">
        <v>-549.5</v>
      </c>
      <c r="E59" s="36" t="s">
        <v>562</v>
      </c>
    </row>
    <row r="60" spans="1:5" s="35" customFormat="1" x14ac:dyDescent="0.3">
      <c r="A60" s="208">
        <v>45889</v>
      </c>
      <c r="B60" s="36" t="s">
        <v>32</v>
      </c>
      <c r="C60" s="36" t="s">
        <v>503</v>
      </c>
      <c r="D60" s="174">
        <v>-365</v>
      </c>
      <c r="E60" s="36" t="s">
        <v>562</v>
      </c>
    </row>
    <row r="61" spans="1:5" s="35" customFormat="1" x14ac:dyDescent="0.3">
      <c r="A61" s="208">
        <v>45889</v>
      </c>
      <c r="B61" s="36" t="s">
        <v>72</v>
      </c>
      <c r="C61" s="36" t="s">
        <v>503</v>
      </c>
      <c r="D61" s="174">
        <v>-395</v>
      </c>
      <c r="E61" s="36" t="s">
        <v>562</v>
      </c>
    </row>
    <row r="62" spans="1:5" s="35" customFormat="1" x14ac:dyDescent="0.3">
      <c r="A62" s="208">
        <v>45889</v>
      </c>
      <c r="B62" s="36" t="s">
        <v>17</v>
      </c>
      <c r="C62" s="36" t="s">
        <v>503</v>
      </c>
      <c r="D62" s="174">
        <v>-732.34</v>
      </c>
      <c r="E62" s="36" t="s">
        <v>562</v>
      </c>
    </row>
    <row r="63" spans="1:5" s="35" customFormat="1" x14ac:dyDescent="0.3">
      <c r="A63" s="221"/>
      <c r="B63" s="222"/>
      <c r="C63" s="222"/>
      <c r="D63" s="221"/>
      <c r="E63" s="221"/>
    </row>
    <row r="64" spans="1:5" x14ac:dyDescent="0.3">
      <c r="A64" s="42"/>
      <c r="B64" s="223"/>
      <c r="C64" s="223"/>
      <c r="D64" s="42"/>
      <c r="E64" s="42"/>
    </row>
    <row r="65" spans="1:5" x14ac:dyDescent="0.3">
      <c r="A65" s="42"/>
      <c r="B65" s="223"/>
      <c r="C65" s="223"/>
      <c r="D65" s="42"/>
      <c r="E65" s="42"/>
    </row>
    <row r="66" spans="1:5" x14ac:dyDescent="0.3">
      <c r="A66" s="42"/>
      <c r="B66" s="223"/>
      <c r="C66" s="223"/>
      <c r="D66" s="42"/>
      <c r="E66" s="42"/>
    </row>
    <row r="67" spans="1:5" x14ac:dyDescent="0.3">
      <c r="A67" s="42"/>
      <c r="B67" s="223"/>
      <c r="C67" s="223"/>
      <c r="D67" s="42"/>
      <c r="E67" s="42"/>
    </row>
    <row r="68" spans="1:5" x14ac:dyDescent="0.3">
      <c r="A68" s="42"/>
      <c r="B68" s="223"/>
      <c r="C68" s="223"/>
      <c r="D68" s="42"/>
      <c r="E68" s="42"/>
    </row>
  </sheetData>
  <mergeCells count="2">
    <mergeCell ref="A2:E3"/>
    <mergeCell ref="A45:E46"/>
  </mergeCells>
  <conditionalFormatting sqref="E23">
    <cfRule type="colorScale" priority="23">
      <colorScale>
        <cfvo type="min"/>
        <cfvo type="max"/>
        <color rgb="FFF8696B"/>
        <color rgb="FFFCFCFF"/>
      </colorScale>
    </cfRule>
  </conditionalFormatting>
  <conditionalFormatting sqref="E23:E24">
    <cfRule type="colorScale" priority="9">
      <colorScale>
        <cfvo type="min"/>
        <cfvo type="max"/>
        <color rgb="FFF8696B"/>
        <color rgb="FFFCFCFF"/>
      </colorScale>
    </cfRule>
  </conditionalFormatting>
  <conditionalFormatting sqref="E24">
    <cfRule type="colorScale" priority="24">
      <colorScale>
        <cfvo type="min"/>
        <cfvo type="max"/>
        <color rgb="FFF8696B"/>
        <color rgb="FFFCFCFF"/>
      </colorScale>
    </cfRule>
  </conditionalFormatting>
  <conditionalFormatting sqref="E25:E26">
    <cfRule type="colorScale" priority="7">
      <colorScale>
        <cfvo type="min"/>
        <cfvo type="max"/>
        <color rgb="FFF8696B"/>
        <color rgb="FFFCFCFF"/>
      </colorScale>
    </cfRule>
    <cfRule type="colorScale" priority="8">
      <colorScale>
        <cfvo type="min"/>
        <cfvo type="max"/>
        <color rgb="FFF8696B"/>
        <color rgb="FFFCFCFF"/>
      </colorScale>
    </cfRule>
  </conditionalFormatting>
  <conditionalFormatting sqref="E27">
    <cfRule type="colorScale" priority="19">
      <colorScale>
        <cfvo type="min"/>
        <cfvo type="max"/>
        <color rgb="FFF8696B"/>
        <color rgb="FFFCFCFF"/>
      </colorScale>
    </cfRule>
    <cfRule type="colorScale" priority="20">
      <colorScale>
        <cfvo type="min"/>
        <cfvo type="max"/>
        <color rgb="FFF8696B"/>
        <color rgb="FFFCFCFF"/>
      </colorScale>
    </cfRule>
  </conditionalFormatting>
  <conditionalFormatting sqref="E28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F8696B"/>
        <color rgb="FFFCFCFF"/>
      </colorScale>
    </cfRule>
  </conditionalFormatting>
  <conditionalFormatting sqref="E29">
    <cfRule type="colorScale" priority="15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max"/>
        <color rgb="FFF8696B"/>
        <color rgb="FFFCFCFF"/>
      </colorScale>
    </cfRule>
  </conditionalFormatting>
  <conditionalFormatting sqref="E30">
    <cfRule type="colorScale" priority="4">
      <colorScale>
        <cfvo type="min"/>
        <cfvo type="max"/>
        <color rgb="FFF8696B"/>
        <color rgb="FFFCFCFF"/>
      </colorScale>
    </cfRule>
  </conditionalFormatting>
  <conditionalFormatting sqref="E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F8696B"/>
        <color rgb="FFFCFCFF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1</vt:i4>
      </vt:variant>
    </vt:vector>
  </HeadingPairs>
  <TitlesOfParts>
    <vt:vector size="17" baseType="lpstr">
      <vt:lpstr>PLANEJAMENTO1</vt:lpstr>
      <vt:lpstr>BASE</vt:lpstr>
      <vt:lpstr>TR</vt:lpstr>
      <vt:lpstr>Planilha3</vt:lpstr>
      <vt:lpstr>DESPESAS COMP</vt:lpstr>
      <vt:lpstr>RELAÇÃO PG</vt:lpstr>
      <vt:lpstr>Planilha7</vt:lpstr>
      <vt:lpstr>Planilha2</vt:lpstr>
      <vt:lpstr>RECEITA COMP</vt:lpstr>
      <vt:lpstr>COMPARATIVO </vt:lpstr>
      <vt:lpstr>ACORDO</vt:lpstr>
      <vt:lpstr>NEXTI</vt:lpstr>
      <vt:lpstr>Planilha1</vt:lpstr>
      <vt:lpstr>DDA VENCIDO</vt:lpstr>
      <vt:lpstr>Planilha6</vt:lpstr>
      <vt:lpstr>NÃO PROVISIONADO</vt:lpstr>
      <vt:lpstr>'DESPESAS COMP'!Area_de_impressao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Cardozo</dc:creator>
  <cp:lastModifiedBy>Ester Cardozo</cp:lastModifiedBy>
  <cp:lastPrinted>2025-07-14T12:59:18Z</cp:lastPrinted>
  <dcterms:created xsi:type="dcterms:W3CDTF">2025-06-05T00:43:13Z</dcterms:created>
  <dcterms:modified xsi:type="dcterms:W3CDTF">2025-09-11T22:09:32Z</dcterms:modified>
</cp:coreProperties>
</file>