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13_ncr:1_{DA9C89A6-7F1C-45AC-AC7A-03A5769EFA92}" xr6:coauthVersionLast="46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R" sheetId="1" r:id="rId1"/>
    <sheet name="CONTROLADOR " sheetId="4" r:id="rId2"/>
    <sheet name="GV" sheetId="8" r:id="rId3"/>
    <sheet name="PSINEIRO" sheetId="9" r:id="rId4"/>
    <sheet name="AUXILIAR" sheetId="10" r:id="rId5"/>
  </sheets>
  <definedNames>
    <definedName name="ACORDO_COLETIVO" localSheetId="4">AUXILIAR!$F$11</definedName>
    <definedName name="ACORDO_COLETIVO" localSheetId="2">GV!$F$11</definedName>
    <definedName name="ACORDO_COLETIVO" localSheetId="3">PSINEIRO!$F$11</definedName>
    <definedName name="ACORDO_COLETIVO">'CONTROLADOR '!$F$11</definedName>
    <definedName name="ALIMENTACAO_POR_DIA" localSheetId="4">AUXILIAR!$F$33</definedName>
    <definedName name="ALIMENTACAO_POR_DIA" localSheetId="2">GV!$F$33</definedName>
    <definedName name="ALIMENTACAO_POR_DIA" localSheetId="3">PSINEIRO!$F$33</definedName>
    <definedName name="ALIMENTACAO_POR_DIA">'CONTROLADOR '!$F$33</definedName>
    <definedName name="_xlnm.Print_Area" localSheetId="4">AUXILIAR!$B$1:$F$66</definedName>
    <definedName name="_xlnm.Print_Area" localSheetId="1">'CONTROLADOR '!$B$1:$F$66</definedName>
    <definedName name="_xlnm.Print_Area" localSheetId="2">GV!$B$1:$F$66</definedName>
    <definedName name="_xlnm.Print_Area" localSheetId="3">PSINEIRO!$B$1:$F$66</definedName>
    <definedName name="_xlnm.Print_Area" localSheetId="0">TR!$A:$G</definedName>
    <definedName name="CATEGORIA_PROFISSIONAL" localSheetId="4">AUXILIAR!$D$20</definedName>
    <definedName name="CATEGORIA_PROFISSIONAL" localSheetId="2">GV!$D$20</definedName>
    <definedName name="CATEGORIA_PROFISSIONAL" localSheetId="3">PSINEIRO!$D$20</definedName>
    <definedName name="CATEGORIA_PROFISSIONAL">'CONTROLADOR '!$D$20</definedName>
    <definedName name="CBO" localSheetId="4">AUXILIAR!$D$19</definedName>
    <definedName name="CBO" localSheetId="2">GV!$D$19</definedName>
    <definedName name="CBO" localSheetId="3">PSINEIRO!$D$19</definedName>
    <definedName name="CBO">'CONTROLADOR '!$D$19</definedName>
    <definedName name="DATA_APRESENTACAO_PROPOSTA" localSheetId="4">AUXILIAR!$F$8</definedName>
    <definedName name="DATA_APRESENTACAO_PROPOSTA" localSheetId="2">GV!$F$8</definedName>
    <definedName name="DATA_APRESENTACAO_PROPOSTA" localSheetId="3">PSINEIRO!$F$8</definedName>
    <definedName name="DATA_APRESENTACAO_PROPOSTA">'CONTROLADOR '!$F$8</definedName>
    <definedName name="DATA_BASE_CATEGORIA" localSheetId="4">AUXILIAR!$F$21</definedName>
    <definedName name="DATA_BASE_CATEGORIA" localSheetId="2">GV!$F$21</definedName>
    <definedName name="DATA_BASE_CATEGORIA" localSheetId="3">PSINEIRO!$F$21</definedName>
    <definedName name="DATA_BASE_CATEGORIA">'CONTROLADOR '!$F$21</definedName>
    <definedName name="DATA_DO_ORCAMENTO_ESTIMATIVO" localSheetId="4">AUXILIAR!#REF!</definedName>
    <definedName name="DATA_DO_ORCAMENTO_ESTIMATIVO" localSheetId="2">GV!#REF!</definedName>
    <definedName name="DATA_DO_ORCAMENTO_ESTIMATIVO" localSheetId="3">PSINEIRO!#REF!</definedName>
    <definedName name="DATA_DO_ORCAMENTO_ESTIMATIVO">'CONTROLADOR '!#REF!</definedName>
    <definedName name="DATA_LICITACAO" localSheetId="4">AUXILIAR!$D$5</definedName>
    <definedName name="DATA_LICITACAO" localSheetId="2">GV!$D$5</definedName>
    <definedName name="DATA_LICITACAO" localSheetId="3">PSINEIRO!$D$5</definedName>
    <definedName name="DATA_LICITACAO">'CONTROLADOR '!$D$5</definedName>
    <definedName name="DIAS_AUSENCIAS_LEGAIS">#REF!</definedName>
    <definedName name="DIAS_LICENCA_MATERNIDADE">#REF!</definedName>
    <definedName name="DIAS_LICENCA_PATERNIDADE">#REF!</definedName>
    <definedName name="DIAS_NA_SEMANA">#REF!</definedName>
    <definedName name="DIAS_NO_ANO">#REF!</definedName>
    <definedName name="DIAS_NO_MES">#REF!</definedName>
    <definedName name="DIAS_PAGOS_EMPRESA_ACID_TRAB">#REF!</definedName>
    <definedName name="DIAS_TRABALHADOS_NO_MES" localSheetId="4">AUXILIAR!$F$34</definedName>
    <definedName name="DIAS_TRABALHADOS_NO_MES" localSheetId="2">GV!$F$34</definedName>
    <definedName name="DIAS_TRABALHADOS_NO_MES" localSheetId="3">PSINEIRO!$F$34</definedName>
    <definedName name="DIAS_TRABALHADOS_NO_MES">'CONTROLADOR '!$F$34</definedName>
    <definedName name="DIVISOR_DE_HORAS">#REF!</definedName>
    <definedName name="EMPREG_POR_POSTO" localSheetId="4">AUXILIAR!$E$16</definedName>
    <definedName name="EMPREG_POR_POSTO" localSheetId="2">GV!$E$16</definedName>
    <definedName name="EMPREG_POR_POSTO" localSheetId="3">PSINEIRO!$E$16</definedName>
    <definedName name="EMPREG_POR_POSTO">'CONTROLADOR '!$E$16</definedName>
    <definedName name="EQUIPAMENTOS" localSheetId="4">AUXILIAR!$F$53</definedName>
    <definedName name="EQUIPAMENTOS" localSheetId="2">GV!$F$53</definedName>
    <definedName name="EQUIPAMENTOS" localSheetId="3">PSINEIRO!$F$53</definedName>
    <definedName name="EQUIPAMENTOS">'CONTROLADOR '!$F$53</definedName>
    <definedName name="Excel_BuiltIn_Print_Area_1">#REF!</definedName>
    <definedName name="Excel_BuiltIn_Print_Area_2">#REF!</definedName>
    <definedName name="HORA_NORMAL">#REF!</definedName>
    <definedName name="HORA_NOTURNA">#REF!</definedName>
    <definedName name="HORARIO_LICITACAO" localSheetId="4">AUXILIAR!$F$5</definedName>
    <definedName name="HORARIO_LICITACAO" localSheetId="2">GV!$F$5</definedName>
    <definedName name="HORARIO_LICITACAO" localSheetId="3">PSINEIRO!$F$5</definedName>
    <definedName name="HORARIO_LICITACAO">'CONTROLADOR '!$F$5</definedName>
    <definedName name="LOCAL_DE_EXECUCAO" localSheetId="4">AUXILIAR!$D$9</definedName>
    <definedName name="LOCAL_DE_EXECUCAO" localSheetId="2">GV!$D$9</definedName>
    <definedName name="LOCAL_DE_EXECUCAO" localSheetId="3">PSINEIRO!$D$9</definedName>
    <definedName name="LOCAL_DE_EXECUCAO">'CONTROLADOR '!$D$9</definedName>
    <definedName name="MATERIAIS" localSheetId="4">AUXILIAR!$F$52</definedName>
    <definedName name="MATERIAIS" localSheetId="2">GV!$F$52</definedName>
    <definedName name="MATERIAIS" localSheetId="3">PSINEIRO!$F$52</definedName>
    <definedName name="MATERIAIS">'CONTROLADOR '!$F$52</definedName>
    <definedName name="MEDIA_ANUAL_DIAS_TRABALHO_MES">#REF!</definedName>
    <definedName name="MESES_NO_ANO">#REF!</definedName>
    <definedName name="MODALIDADE_DE_LICITACAO" localSheetId="4">AUXILIAR!$D$4</definedName>
    <definedName name="MODALIDADE_DE_LICITACAO" localSheetId="2">GV!$D$4</definedName>
    <definedName name="MODALIDADE_DE_LICITACAO" localSheetId="3">PSINEIRO!$D$4</definedName>
    <definedName name="MODALIDADE_DE_LICITACAO">'CONTROLADOR '!$D$4</definedName>
    <definedName name="NUMERO_MESES_EXEC_CONTRATUAL" localSheetId="4">AUXILIAR!$F$12</definedName>
    <definedName name="NUMERO_MESES_EXEC_CONTRATUAL" localSheetId="2">GV!$F$12</definedName>
    <definedName name="NUMERO_MESES_EXEC_CONTRATUAL" localSheetId="3">PSINEIRO!$F$12</definedName>
    <definedName name="NUMERO_MESES_EXEC_CONTRATUAL">'CONTROLADOR '!$F$12</definedName>
    <definedName name="NUMERO_PREGAO" localSheetId="4">AUXILIAR!$F$4</definedName>
    <definedName name="NUMERO_PREGAO" localSheetId="2">GV!$F$4</definedName>
    <definedName name="NUMERO_PREGAO" localSheetId="3">PSINEIRO!$F$4</definedName>
    <definedName name="NUMERO_PREGAO">'CONTROLADOR '!$F$4</definedName>
    <definedName name="NUMERO_PROCESSO" localSheetId="4">AUXILIAR!$D$3</definedName>
    <definedName name="NUMERO_PROCESSO" localSheetId="2">GV!$D$3</definedName>
    <definedName name="NUMERO_PROCESSO" localSheetId="3">PSINEIRO!$D$3</definedName>
    <definedName name="NUMERO_PROCESSO">'CONTROLADOR '!$D$3</definedName>
    <definedName name="OUTRAS_AUSENCIAS">#REF!</definedName>
    <definedName name="OUTRAS_AUSENCIAS_DESCRICAO" localSheetId="4">AUXILIAR!$C$42</definedName>
    <definedName name="OUTRAS_AUSENCIAS_DESCRICAO" localSheetId="2">GV!$C$42</definedName>
    <definedName name="OUTRAS_AUSENCIAS_DESCRICAO" localSheetId="3">PSINEIRO!$C$42</definedName>
    <definedName name="OUTRAS_AUSENCIAS_DESCRICAO">'CONTROLADOR '!$C$42</definedName>
    <definedName name="OUTROS_BENEFICIOS_1" localSheetId="4">AUXILIAR!#REF!</definedName>
    <definedName name="OUTROS_BENEFICIOS_1" localSheetId="2">GV!#REF!</definedName>
    <definedName name="OUTROS_BENEFICIOS_1" localSheetId="3">PSINEIRO!#REF!</definedName>
    <definedName name="OUTROS_BENEFICIOS_1">'CONTROLADOR '!#REF!</definedName>
    <definedName name="OUTROS_BENEFICIOS_1_DESCRICAO" localSheetId="4">AUXILIAR!#REF!</definedName>
    <definedName name="OUTROS_BENEFICIOS_1_DESCRICAO" localSheetId="2">GV!#REF!</definedName>
    <definedName name="OUTROS_BENEFICIOS_1_DESCRICAO" localSheetId="3">PSINEIRO!#REF!</definedName>
    <definedName name="OUTROS_BENEFICIOS_1_DESCRICAO">'CONTROLADOR '!#REF!</definedName>
    <definedName name="OUTROS_BENEFICIOS_2" localSheetId="4">AUXILIAR!#REF!</definedName>
    <definedName name="OUTROS_BENEFICIOS_2" localSheetId="2">GV!#REF!</definedName>
    <definedName name="OUTROS_BENEFICIOS_2" localSheetId="3">PSINEIRO!#REF!</definedName>
    <definedName name="OUTROS_BENEFICIOS_2">'CONTROLADOR '!#REF!</definedName>
    <definedName name="OUTROS_BENEFICIOS_2_DESCRICAO" localSheetId="4">AUXILIAR!#REF!</definedName>
    <definedName name="OUTROS_BENEFICIOS_2_DESCRICAO" localSheetId="2">GV!#REF!</definedName>
    <definedName name="OUTROS_BENEFICIOS_2_DESCRICAO" localSheetId="3">PSINEIRO!#REF!</definedName>
    <definedName name="OUTROS_BENEFICIOS_2_DESCRICAO">'CONTROLADOR '!#REF!</definedName>
    <definedName name="OUTROS_BENEFICIOS_3" localSheetId="4">AUXILIAR!#REF!</definedName>
    <definedName name="OUTROS_BENEFICIOS_3" localSheetId="2">GV!#REF!</definedName>
    <definedName name="OUTROS_BENEFICIOS_3" localSheetId="3">PSINEIRO!#REF!</definedName>
    <definedName name="OUTROS_BENEFICIOS_3">'CONTROLADOR '!#REF!</definedName>
    <definedName name="OUTROS_BENEFICIOS_3_DESCRICAO" localSheetId="4">AUXILIAR!#REF!</definedName>
    <definedName name="OUTROS_BENEFICIOS_3_DESCRICAO" localSheetId="2">GV!#REF!</definedName>
    <definedName name="OUTROS_BENEFICIOS_3_DESCRICAO" localSheetId="3">PSINEIRO!#REF!</definedName>
    <definedName name="OUTROS_BENEFICIOS_3_DESCRICAO">'CONTROLADOR '!#REF!</definedName>
    <definedName name="OUTROS_INSUMOS" localSheetId="4">AUXILIAR!#REF!</definedName>
    <definedName name="OUTROS_INSUMOS" localSheetId="2">GV!#REF!</definedName>
    <definedName name="OUTROS_INSUMOS" localSheetId="3">PSINEIRO!#REF!</definedName>
    <definedName name="OUTROS_INSUMOS">'CONTROLADOR '!#REF!</definedName>
    <definedName name="OUTROS_INSUMOS_DESCRICAO" localSheetId="4">AUXILIAR!#REF!</definedName>
    <definedName name="OUTROS_INSUMOS_DESCRICAO" localSheetId="2">GV!#REF!</definedName>
    <definedName name="OUTROS_INSUMOS_DESCRICAO" localSheetId="3">PSINEIRO!#REF!</definedName>
    <definedName name="OUTROS_INSUMOS_DESCRICAO">'CONTROLADOR '!#REF!</definedName>
    <definedName name="OUTROS_REMUNERACAO_1" localSheetId="4">AUXILIAR!#REF!</definedName>
    <definedName name="OUTROS_REMUNERACAO_1" localSheetId="2">GV!#REF!</definedName>
    <definedName name="OUTROS_REMUNERACAO_1" localSheetId="3">PSINEIRO!#REF!</definedName>
    <definedName name="OUTROS_REMUNERACAO_1">'CONTROLADOR '!#REF!</definedName>
    <definedName name="OUTROS_REMUNERACAO_1_DESCRICAO" localSheetId="4">AUXILIAR!#REF!</definedName>
    <definedName name="OUTROS_REMUNERACAO_1_DESCRICAO" localSheetId="2">GV!#REF!</definedName>
    <definedName name="OUTROS_REMUNERACAO_1_DESCRICAO" localSheetId="3">PSINEIRO!#REF!</definedName>
    <definedName name="OUTROS_REMUNERACAO_1_DESCRICAO">'CONTROLADOR '!#REF!</definedName>
    <definedName name="OUTROS_REMUNERACAO_2" localSheetId="4">AUXILIAR!#REF!</definedName>
    <definedName name="OUTROS_REMUNERACAO_2" localSheetId="2">GV!#REF!</definedName>
    <definedName name="OUTROS_REMUNERACAO_2" localSheetId="3">PSINEIRO!#REF!</definedName>
    <definedName name="OUTROS_REMUNERACAO_2">'CONTROLADOR '!#REF!</definedName>
    <definedName name="OUTROS_REMUNERACAO_2_DESCRICAO" localSheetId="4">AUXILIAR!#REF!</definedName>
    <definedName name="OUTROS_REMUNERACAO_2_DESCRICAO" localSheetId="2">GV!#REF!</definedName>
    <definedName name="OUTROS_REMUNERACAO_2_DESCRICAO" localSheetId="3">PSINEIRO!#REF!</definedName>
    <definedName name="OUTROS_REMUNERACAO_2_DESCRICAO">'CONTROLADOR '!#REF!</definedName>
    <definedName name="OUTROS_REMUNERACAO_3" localSheetId="4">AUXILIAR!#REF!</definedName>
    <definedName name="OUTROS_REMUNERACAO_3" localSheetId="2">GV!#REF!</definedName>
    <definedName name="OUTROS_REMUNERACAO_3" localSheetId="3">PSINEIRO!#REF!</definedName>
    <definedName name="OUTROS_REMUNERACAO_3">'CONTROLADOR '!#REF!</definedName>
    <definedName name="OUTROS_REMUNERACAO_3_DESCRICAO" localSheetId="4">AUXILIAR!#REF!</definedName>
    <definedName name="OUTROS_REMUNERACAO_3_DESCRICAO" localSheetId="2">GV!#REF!</definedName>
    <definedName name="OUTROS_REMUNERACAO_3_DESCRICAO" localSheetId="3">PSINEIRO!#REF!</definedName>
    <definedName name="OUTROS_REMUNERACAO_3_DESCRICAO">'CONTROLADOR '!#REF!</definedName>
    <definedName name="PERC_ADIC_FERIAS">#REF!</definedName>
    <definedName name="PERC_ADIC_INS" localSheetId="4">AUXILIAR!#REF!</definedName>
    <definedName name="PERC_ADIC_INS" localSheetId="2">GV!#REF!</definedName>
    <definedName name="PERC_ADIC_INS" localSheetId="3">PSINEIRO!#REF!</definedName>
    <definedName name="PERC_ADIC_INS">'CONTROLADOR '!#REF!</definedName>
    <definedName name="PERC_ADIC_NOT" localSheetId="4">AUXILIAR!#REF!</definedName>
    <definedName name="PERC_ADIC_NOT" localSheetId="2">GV!#REF!</definedName>
    <definedName name="PERC_ADIC_NOT" localSheetId="3">PSINEIRO!#REF!</definedName>
    <definedName name="PERC_ADIC_NOT">'CONTROLADOR '!#REF!</definedName>
    <definedName name="PERC_ADIC_PERIC" localSheetId="4">AUXILIAR!#REF!</definedName>
    <definedName name="PERC_ADIC_PERIC" localSheetId="2">GV!#REF!</definedName>
    <definedName name="PERC_ADIC_PERIC" localSheetId="3">PSINEIRO!#REF!</definedName>
    <definedName name="PERC_ADIC_PERIC">'CONTROLADOR '!#REF!</definedName>
    <definedName name="PERC_AVISO_PREVIO_IND">#REF!</definedName>
    <definedName name="PERC_AVISO_PREVIO_TRAB">#REF!</definedName>
    <definedName name="PERC_COFINS" localSheetId="4">AUXILIAR!$F$60</definedName>
    <definedName name="PERC_COFINS" localSheetId="2">GV!$F$60</definedName>
    <definedName name="PERC_COFINS" localSheetId="3">PSINEIRO!$F$60</definedName>
    <definedName name="PERC_COFINS">'CONTROLADOR '!$F$60</definedName>
    <definedName name="PERC_CONTRIB_SOCIAL">#REF!</definedName>
    <definedName name="PERC_CUSTOS_INDIRETOS" localSheetId="4">AUXILIAR!$F$57</definedName>
    <definedName name="PERC_CUSTOS_INDIRETOS" localSheetId="2">GV!$F$57</definedName>
    <definedName name="PERC_CUSTOS_INDIRETOS" localSheetId="3">PSINEIRO!$F$57</definedName>
    <definedName name="PERC_CUSTOS_INDIRETOS">'CONTROLADOR '!$F$57</definedName>
    <definedName name="PERC_DEC_TERC">#REF!</definedName>
    <definedName name="PERC_DESC_TRANSP_REMUNERACAO">#REF!</definedName>
    <definedName name="PERC_EMPREG_AFAST_TRAB">#REF!</definedName>
    <definedName name="PERC_EMPREG_AVISO_PREVIO_IND">#REF!</definedName>
    <definedName name="PERC_EMPREG_AVISO_PREVIO_TRAB">#REF!</definedName>
    <definedName name="PERC_EMPREG_DEMIT_SEM_JUSTA_CAUSA_TOTAL_DESLIG">#REF!</definedName>
    <definedName name="PERC_FGTS">#REF!</definedName>
    <definedName name="PERC_FGTS_AVISO_PREV_IND">#REF!</definedName>
    <definedName name="PERC_GPS_FGTS">#REF!</definedName>
    <definedName name="PERC_GPS_FGTS_AVISO_PREVIO_TRAB">#REF!</definedName>
    <definedName name="PERC_HORA_EXTRA" localSheetId="4">AUXILIAR!$F$46</definedName>
    <definedName name="PERC_HORA_EXTRA" localSheetId="2">GV!$F$46</definedName>
    <definedName name="PERC_HORA_EXTRA" localSheetId="3">PSINEIRO!$F$46</definedName>
    <definedName name="PERC_HORA_EXTRA">'CONTROLADOR '!$F$46</definedName>
    <definedName name="PERC_INCRA">#REF!</definedName>
    <definedName name="PERC_INSS">#REF!</definedName>
    <definedName name="PERC_ISS" localSheetId="4">AUXILIAR!$F$66</definedName>
    <definedName name="PERC_ISS" localSheetId="2">GV!$F$66</definedName>
    <definedName name="PERC_ISS" localSheetId="3">PSINEIRO!$F$66</definedName>
    <definedName name="PERC_ISS">'CONTROLADOR '!$F$66</definedName>
    <definedName name="PERC_LUCRO" localSheetId="4">AUXILIAR!$F$58</definedName>
    <definedName name="PERC_LUCRO" localSheetId="2">GV!$F$58</definedName>
    <definedName name="PERC_LUCRO" localSheetId="3">PSINEIRO!$F$58</definedName>
    <definedName name="PERC_LUCRO">'CONTROLADOR '!$F$58</definedName>
    <definedName name="PERC_MULTA_FGTS">#REF!</definedName>
    <definedName name="PERC_MULTA_FGTS_AV_PREV_IND">#REF!</definedName>
    <definedName name="PERC_MULTA_FGTS_AV_PREV_TRAB">#REF!</definedName>
    <definedName name="PERC_NASCIDOS_VIVOS_POPUL_FEM">#REF!</definedName>
    <definedName name="PERC_PARTIC_FEM_VIGIL">#REF!</definedName>
    <definedName name="PERC_PARTIC_MASC_VIGIL">#REF!</definedName>
    <definedName name="PERC_PIS" localSheetId="4">AUXILIAR!$F$59</definedName>
    <definedName name="PERC_PIS" localSheetId="2">GV!$F$59</definedName>
    <definedName name="PERC_PIS" localSheetId="3">PSINEIRO!$F$59</definedName>
    <definedName name="PERC_PIS">'CONTROLADOR '!$F$59</definedName>
    <definedName name="PERC_RAT">#REF!</definedName>
    <definedName name="PERC_SAL_EDUCACAO">#REF!</definedName>
    <definedName name="PERC_SEBRAE">#REF!</definedName>
    <definedName name="PERC_SENAC">#REF!</definedName>
    <definedName name="PERC_SESC">#REF!</definedName>
    <definedName name="PERC_SUBSTITUTO_ACID_TRAB">#REF!</definedName>
    <definedName name="PERC_SUBSTITUTO_AFAST_MATERN">#REF!</definedName>
    <definedName name="PERC_SUBSTITUTO_AUSENCIAS_LEGAIS">#REF!</definedName>
    <definedName name="PERC_SUBSTITUTO_FERIAS">#REF!</definedName>
    <definedName name="PERC_SUBSTITUTO_LICENCA_PATERNIDADE">#REF!</definedName>
    <definedName name="PERC_SUBSTITUTO_OUTRAS_AUSENCIAS" localSheetId="4">AUXILIAR!$F$42</definedName>
    <definedName name="PERC_SUBSTITUTO_OUTRAS_AUSENCIAS" localSheetId="2">GV!$F$42</definedName>
    <definedName name="PERC_SUBSTITUTO_OUTRAS_AUSENCIAS" localSheetId="3">PSINEIRO!$F$42</definedName>
    <definedName name="PERC_SUBSTITUTO_OUTRAS_AUSENCIAS">'CONTROLADOR '!$F$42</definedName>
    <definedName name="RAMO" localSheetId="4">AUXILIAR!#REF!</definedName>
    <definedName name="RAMO" localSheetId="2">GV!#REF!</definedName>
    <definedName name="RAMO" localSheetId="3">PSINEIRO!#REF!</definedName>
    <definedName name="RAMO">'CONTROLADOR '!#REF!</definedName>
    <definedName name="SAL_MINIMO" localSheetId="4">AUXILIAR!$F$22</definedName>
    <definedName name="SAL_MINIMO" localSheetId="2">GV!$F$22</definedName>
    <definedName name="SAL_MINIMO" localSheetId="3">PSINEIRO!$F$22</definedName>
    <definedName name="SAL_MINIMO">'CONTROLADOR '!$F$22</definedName>
    <definedName name="SALARIO_BASE" localSheetId="4">AUXILIAR!$F$27</definedName>
    <definedName name="SALARIO_BASE" localSheetId="2">GV!$F$27</definedName>
    <definedName name="SALARIO_BASE" localSheetId="3">PSINEIRO!$F$27</definedName>
    <definedName name="SALARIO_BASE">'CONTROLADOR '!$F$27</definedName>
    <definedName name="TEMPO_INTERVALO_REFEICAO" localSheetId="4">AUXILIAR!$F$47</definedName>
    <definedName name="TEMPO_INTERVALO_REFEICAO" localSheetId="2">GV!$F$47</definedName>
    <definedName name="TEMPO_INTERVALO_REFEICAO" localSheetId="3">PSINEIRO!$F$47</definedName>
    <definedName name="TEMPO_INTERVALO_REFEICAO">'CONTROLADOR '!$F$47</definedName>
    <definedName name="TIPO_DE_SERVICO" localSheetId="4">AUXILIAR!$C$16</definedName>
    <definedName name="TIPO_DE_SERVICO" localSheetId="2">GV!$C$16</definedName>
    <definedName name="TIPO_DE_SERVICO" localSheetId="3">PSINEIRO!$C$16</definedName>
    <definedName name="TIPO_DE_SERVICO">'CONTROLADOR '!$C$16</definedName>
    <definedName name="TRANSPORTE_POR_DIA" localSheetId="4">AUXILIAR!$F$32</definedName>
    <definedName name="TRANSPORTE_POR_DIA" localSheetId="2">GV!$F$32</definedName>
    <definedName name="TRANSPORTE_POR_DIA" localSheetId="3">PSINEIRO!$F$32</definedName>
    <definedName name="TRANSPORTE_POR_DIA">'CONTROLADOR '!$F$32</definedName>
    <definedName name="UG" localSheetId="4">AUXILIAR!#REF!</definedName>
    <definedName name="UG" localSheetId="2">GV!#REF!</definedName>
    <definedName name="UG" localSheetId="3">PSINEIRO!#REF!</definedName>
    <definedName name="UG">'CONTROLADOR '!#REF!</definedName>
    <definedName name="UNIFORMES" localSheetId="4">AUXILIAR!$F$51</definedName>
    <definedName name="UNIFORMES" localSheetId="2">GV!$F$51</definedName>
    <definedName name="UNIFORMES" localSheetId="3">PSINEIRO!$F$51</definedName>
    <definedName name="UNIFORMES">'CONTROLADOR '!$F$51</definedName>
    <definedName name="VALOR_TOTAL_POSTO">#REF!</definedName>
  </definedNames>
  <calcPr calcId="191029"/>
</workbook>
</file>

<file path=xl/calcChain.xml><?xml version="1.0" encoding="utf-8"?>
<calcChain xmlns="http://schemas.openxmlformats.org/spreadsheetml/2006/main">
  <c r="E60" i="10" l="1"/>
  <c r="E59" i="10"/>
  <c r="D19" i="10"/>
  <c r="E60" i="9"/>
  <c r="E59" i="9"/>
  <c r="D19" i="9"/>
  <c r="E60" i="8"/>
  <c r="E59" i="8"/>
  <c r="G56" i="8"/>
  <c r="D19" i="8"/>
  <c r="F5" i="1"/>
  <c r="E5" i="1" s="1"/>
  <c r="H66" i="8" s="1"/>
  <c r="F6" i="1"/>
  <c r="E6" i="1" s="1"/>
  <c r="F7" i="1"/>
  <c r="E7" i="1" s="1"/>
  <c r="F4" i="1"/>
  <c r="E4" i="1" s="1"/>
  <c r="G8" i="1"/>
  <c r="D19" i="4"/>
  <c r="E59" i="4"/>
  <c r="E60" i="4"/>
  <c r="G63" i="8" l="1"/>
  <c r="G61" i="8"/>
  <c r="G60" i="8"/>
  <c r="G59" i="8"/>
  <c r="G58" i="8"/>
  <c r="G57" i="8"/>
  <c r="F8" i="1"/>
  <c r="G66" i="8" l="1"/>
  <c r="I66" i="8" s="1"/>
  <c r="H58" i="8"/>
</calcChain>
</file>

<file path=xl/sharedStrings.xml><?xml version="1.0" encoding="utf-8"?>
<sst xmlns="http://schemas.openxmlformats.org/spreadsheetml/2006/main" count="465" uniqueCount="112">
  <si>
    <t>LOTE</t>
  </si>
  <si>
    <t>ITEM</t>
  </si>
  <si>
    <t>ESPECIFICAÇÃO</t>
  </si>
  <si>
    <t>QUANT</t>
  </si>
  <si>
    <t>Valor Unitário</t>
  </si>
  <si>
    <t>Valor Mensal</t>
  </si>
  <si>
    <t>Valor Anual</t>
  </si>
  <si>
    <t>Total</t>
  </si>
  <si>
    <t>CUSTOS REFERENTES AOS SERVIÇOS</t>
  </si>
  <si>
    <t>Dados referentes à licitação</t>
  </si>
  <si>
    <t>Nº do Processo</t>
  </si>
  <si>
    <t>XXXXXX</t>
  </si>
  <si>
    <t>Modalidade de Licitação</t>
  </si>
  <si>
    <t>Pregão Eletrônico nº</t>
  </si>
  <si>
    <t>XXX</t>
  </si>
  <si>
    <t>Data / Horário (Abertura do Certame)</t>
  </si>
  <si>
    <t>Dados referentes à contratação</t>
  </si>
  <si>
    <t>A</t>
  </si>
  <si>
    <t>Data de Apresentação da Proposta</t>
  </si>
  <si>
    <t>B</t>
  </si>
  <si>
    <t xml:space="preserve">Local de Execução </t>
  </si>
  <si>
    <t>C</t>
  </si>
  <si>
    <t>Unidade da Federação</t>
  </si>
  <si>
    <t>PA</t>
  </si>
  <si>
    <t>D</t>
  </si>
  <si>
    <t>-</t>
  </si>
  <si>
    <t>E</t>
  </si>
  <si>
    <t>Número de Meses de Execução Contratual</t>
  </si>
  <si>
    <t>Identificação do serviço</t>
  </si>
  <si>
    <t>Item</t>
  </si>
  <si>
    <t>Tipo de Serviço</t>
  </si>
  <si>
    <t>Unidade de Medida</t>
  </si>
  <si>
    <t>Qtde de posto</t>
  </si>
  <si>
    <t>Qtde Total a Contratar</t>
  </si>
  <si>
    <t>posto</t>
  </si>
  <si>
    <t>Mão de obra</t>
  </si>
  <si>
    <t>Classificação Brasileira de Ocupações (CBO)</t>
  </si>
  <si>
    <t>Categoria Profissional (vinculada à execução contratual)</t>
  </si>
  <si>
    <t>Data-Base da Categoria (DD/MM/AAAA)</t>
  </si>
  <si>
    <t>Salário Mínimo vigente no país (em R$)</t>
  </si>
  <si>
    <t>CUSTOS POR EMPREGADO</t>
  </si>
  <si>
    <t>MÓDULO 1: COMPOSIÇÃO DA REMUNERAÇÃO</t>
  </si>
  <si>
    <t>Composição da Remuneração</t>
  </si>
  <si>
    <t>Valor / %</t>
  </si>
  <si>
    <t>salário da categoria</t>
  </si>
  <si>
    <t>MÓDULO 2: ENCARGOS E BENEFÍCIOS ANUAIS, MENSAIS E DIÁRIOS</t>
  </si>
  <si>
    <t>Submódulo 2.3 - Benefícios Mensais e Diários</t>
  </si>
  <si>
    <t>2.3</t>
  </si>
  <si>
    <t>Benefícios Mensais e Diários</t>
  </si>
  <si>
    <t>Frequência</t>
  </si>
  <si>
    <t>Valor (em R$)</t>
  </si>
  <si>
    <t>Diária</t>
  </si>
  <si>
    <t>Mensal</t>
  </si>
  <si>
    <t>MÓDULO 4: CUSTO DE REPOSIÇÃO DO PROFISSIONAL AUSENTE</t>
  </si>
  <si>
    <t>Submódulo 4.1 - Substituto nas Ausências Legais</t>
  </si>
  <si>
    <t>4.1</t>
  </si>
  <si>
    <t>Substituto nas Ausências Legais</t>
  </si>
  <si>
    <t>%</t>
  </si>
  <si>
    <t>Outras Ausências (Especificar - em %)</t>
  </si>
  <si>
    <t>Submódulo 4.2 - Substituto na Intrajornada</t>
  </si>
  <si>
    <t>4.2</t>
  </si>
  <si>
    <t>Substituto na Intrajornada</t>
  </si>
  <si>
    <t>% / Minutos</t>
  </si>
  <si>
    <t>Hora Extra (em %)</t>
  </si>
  <si>
    <t>Tempo de Intervalo para Refeição (em minutos)</t>
  </si>
  <si>
    <t>MÓDULO 5: INSUMOS DIVERSOS</t>
  </si>
  <si>
    <t>Insumos Diversos</t>
  </si>
  <si>
    <t>Valor (R$)</t>
  </si>
  <si>
    <t>Uniformes</t>
  </si>
  <si>
    <t>Materiais</t>
  </si>
  <si>
    <t>Equipamentos</t>
  </si>
  <si>
    <t>MÓDULO 6: CUSTOS INDIRETOS, TRIBUTOS E LUCRO</t>
  </si>
  <si>
    <t>Custos Indiretos, Tributos e Lucro</t>
  </si>
  <si>
    <t>Custos Indiretos</t>
  </si>
  <si>
    <t>Lucro</t>
  </si>
  <si>
    <t>C.1</t>
  </si>
  <si>
    <t>PIS</t>
  </si>
  <si>
    <t>C.2</t>
  </si>
  <si>
    <t>Cofins</t>
  </si>
  <si>
    <t>C.3</t>
  </si>
  <si>
    <t>20/02/2025</t>
  </si>
  <si>
    <t>F</t>
  </si>
  <si>
    <t>Cesta básica</t>
  </si>
  <si>
    <t xml:space="preserve">Seguro de vida </t>
  </si>
  <si>
    <t>C.4</t>
  </si>
  <si>
    <t>C.5</t>
  </si>
  <si>
    <t>inss</t>
  </si>
  <si>
    <t>fgts</t>
  </si>
  <si>
    <t>iss</t>
  </si>
  <si>
    <t xml:space="preserve">Auxilio saude </t>
  </si>
  <si>
    <t xml:space="preserve">Outros auxilios </t>
  </si>
  <si>
    <t xml:space="preserve">CONTROLADOR DE ACESSO </t>
  </si>
  <si>
    <t>GUARDA VIDA</t>
  </si>
  <si>
    <t xml:space="preserve">PSINEIRO </t>
  </si>
  <si>
    <t xml:space="preserve">AUXILIAR </t>
  </si>
  <si>
    <r>
      <t xml:space="preserve">Conveção Coletiva </t>
    </r>
    <r>
      <rPr>
        <b/>
        <sz val="11"/>
        <rFont val="Segoe UI Light"/>
        <family val="2"/>
        <charset val="1"/>
      </rPr>
      <t>SP003044/2025</t>
    </r>
  </si>
  <si>
    <t>Adicional NOTURNO</t>
  </si>
  <si>
    <t>Alimentação</t>
  </si>
  <si>
    <t>MÓDULO 6: TOTAL</t>
  </si>
  <si>
    <t>TOTAIS</t>
  </si>
  <si>
    <t>SALÁRIO+DIR. TRAB.+INSUMO+IMPOSTOS.</t>
  </si>
  <si>
    <t>PSINEIRO</t>
  </si>
  <si>
    <t>006/2025</t>
  </si>
  <si>
    <t>27.03.25</t>
  </si>
  <si>
    <t>7838/2025</t>
  </si>
  <si>
    <t>Data-Base da Categoria (01/01/2025)</t>
  </si>
  <si>
    <t>144.67</t>
  </si>
  <si>
    <t xml:space="preserve">Adicional </t>
  </si>
  <si>
    <r>
      <t xml:space="preserve">Conveção Coletiva </t>
    </r>
    <r>
      <rPr>
        <b/>
        <sz val="11"/>
        <rFont val="Segoe UI Light"/>
        <family val="2"/>
      </rPr>
      <t>MR007396/2025.</t>
    </r>
  </si>
  <si>
    <t>Cabreuva S.P.</t>
  </si>
  <si>
    <t>Outros auxilios - VT</t>
  </si>
  <si>
    <t xml:space="preserve">GUARDA VIDAS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</si>
</sst>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.00_);\(#,##0.00\)"/>
    <numFmt numFmtId="165" formatCode="[$R$-416]\ #,##0.00;[Red]\-[$R$-416]\ #,##0.00"/>
    <numFmt numFmtId="166" formatCode="d/m/yyyy"/>
    <numFmt numFmtId="167" formatCode="dd/mm/yy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ahoma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sz val="10"/>
      <name val="Arial"/>
      <family val="2"/>
      <charset val="1"/>
    </font>
    <font>
      <sz val="11"/>
      <name val="Segoe UI Light"/>
      <family val="2"/>
      <charset val="1"/>
    </font>
    <font>
      <sz val="11"/>
      <color rgb="FFFF0000"/>
      <name val="Segoe UI Light"/>
      <family val="2"/>
      <charset val="1"/>
    </font>
    <font>
      <i/>
      <sz val="10"/>
      <color rgb="FFFFFFFF"/>
      <name val="Segoe UI Light"/>
      <family val="2"/>
      <charset val="1"/>
    </font>
    <font>
      <b/>
      <sz val="11"/>
      <color rgb="FFFFFFFF"/>
      <name val="Segoe UI Light"/>
      <family val="2"/>
      <charset val="1"/>
    </font>
    <font>
      <b/>
      <sz val="11"/>
      <color rgb="FF632523"/>
      <name val="Segoe UI Light"/>
      <family val="2"/>
      <charset val="1"/>
    </font>
    <font>
      <b/>
      <sz val="11"/>
      <name val="Segoe UI Light"/>
      <family val="2"/>
      <charset val="1"/>
    </font>
    <font>
      <sz val="8"/>
      <name val="Segoe UI Light"/>
      <family val="2"/>
      <charset val="1"/>
    </font>
    <font>
      <b/>
      <sz val="16"/>
      <color rgb="FF632523"/>
      <name val="Segoe UI Light"/>
      <family val="2"/>
      <charset val="1"/>
    </font>
    <font>
      <sz val="11"/>
      <name val="Arial"/>
      <family val="2"/>
      <charset val="1"/>
    </font>
    <font>
      <sz val="8"/>
      <name val="Calibri"/>
      <charset val="134"/>
      <scheme val="minor"/>
    </font>
    <font>
      <b/>
      <sz val="10"/>
      <color theme="5" tint="-0.499984740745262"/>
      <name val="Segoe UI Light"/>
      <family val="2"/>
    </font>
    <font>
      <b/>
      <sz val="10"/>
      <color rgb="FFFFFFFF"/>
      <name val="Segoe UI Light"/>
      <family val="2"/>
    </font>
    <font>
      <b/>
      <sz val="11"/>
      <name val="Segoe UI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79646"/>
        <bgColor rgb="FFFF8080"/>
      </patternFill>
    </fill>
    <fill>
      <patternFill patternType="solid">
        <fgColor rgb="FFFCD5B5"/>
        <bgColor rgb="FFFFCCCC"/>
      </patternFill>
    </fill>
    <fill>
      <patternFill patternType="solid">
        <fgColor rgb="FFD55816"/>
        <bgColor rgb="FF996600"/>
      </patternFill>
    </fill>
    <fill>
      <patternFill patternType="solid">
        <fgColor rgb="FFFDEADA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0"/>
        <bgColor rgb="FF996600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/>
      <bottom/>
      <diagonal/>
    </border>
    <border>
      <left/>
      <right/>
      <top style="thin">
        <color rgb="FFF2F2F2"/>
      </top>
      <bottom style="thin">
        <color rgb="FFF2F2F2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>
      <alignment vertical="center"/>
    </xf>
    <xf numFmtId="0" fontId="1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2" borderId="0" xfId="0" applyFont="1" applyFill="1"/>
    <xf numFmtId="0" fontId="3" fillId="3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wrapText="1"/>
    </xf>
    <xf numFmtId="0" fontId="5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8" fillId="2" borderId="0" xfId="0" applyFont="1" applyFill="1" applyAlignment="1">
      <alignment wrapText="1"/>
    </xf>
    <xf numFmtId="44" fontId="1" fillId="0" borderId="4" xfId="1" applyFont="1" applyBorder="1" applyAlignment="1"/>
    <xf numFmtId="0" fontId="10" fillId="0" borderId="0" xfId="2"/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164" fontId="11" fillId="5" borderId="8" xfId="2" applyNumberFormat="1" applyFont="1" applyFill="1" applyBorder="1" applyAlignment="1" applyProtection="1">
      <alignment horizontal="center" vertical="center" wrapText="1"/>
      <protection locked="0"/>
    </xf>
    <xf numFmtId="0" fontId="13" fillId="7" borderId="8" xfId="2" applyFont="1" applyFill="1" applyBorder="1" applyAlignment="1">
      <alignment horizontal="center" vertical="center" wrapText="1"/>
    </xf>
    <xf numFmtId="0" fontId="11" fillId="4" borderId="0" xfId="2" applyFont="1" applyFill="1" applyAlignment="1">
      <alignment vertical="center" wrapText="1"/>
    </xf>
    <xf numFmtId="164" fontId="11" fillId="9" borderId="8" xfId="2" applyNumberFormat="1" applyFont="1" applyFill="1" applyBorder="1" applyAlignment="1" applyProtection="1">
      <alignment horizontal="center" vertical="center" wrapText="1"/>
      <protection locked="0"/>
    </xf>
    <xf numFmtId="0" fontId="14" fillId="7" borderId="8" xfId="2" applyFont="1" applyFill="1" applyBorder="1" applyAlignment="1">
      <alignment horizontal="center" vertical="center" wrapText="1"/>
    </xf>
    <xf numFmtId="0" fontId="12" fillId="4" borderId="0" xfId="2" applyFont="1" applyFill="1" applyAlignment="1">
      <alignment horizontal="center" vertical="center" wrapText="1"/>
    </xf>
    <xf numFmtId="0" fontId="14" fillId="7" borderId="8" xfId="2" applyFont="1" applyFill="1" applyBorder="1" applyAlignment="1">
      <alignment horizontal="center" vertical="center"/>
    </xf>
    <xf numFmtId="0" fontId="12" fillId="4" borderId="0" xfId="2" applyFont="1" applyFill="1" applyAlignment="1">
      <alignment vertical="center" wrapText="1"/>
    </xf>
    <xf numFmtId="0" fontId="14" fillId="7" borderId="9" xfId="2" applyFont="1" applyFill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 wrapText="1"/>
    </xf>
    <xf numFmtId="164" fontId="16" fillId="4" borderId="0" xfId="2" applyNumberFormat="1" applyFont="1" applyFill="1" applyAlignment="1">
      <alignment horizontal="center" vertical="center" wrapText="1"/>
    </xf>
    <xf numFmtId="0" fontId="16" fillId="4" borderId="0" xfId="2" applyFont="1" applyFill="1" applyAlignment="1">
      <alignment horizontal="left" vertical="center" wrapText="1"/>
    </xf>
    <xf numFmtId="0" fontId="15" fillId="4" borderId="0" xfId="2" applyFont="1" applyFill="1" applyAlignment="1">
      <alignment horizontal="left" vertical="center"/>
    </xf>
    <xf numFmtId="3" fontId="11" fillId="5" borderId="8" xfId="2" applyNumberFormat="1" applyFont="1" applyFill="1" applyBorder="1" applyAlignment="1" applyProtection="1">
      <alignment horizontal="right" vertical="center" wrapText="1"/>
      <protection locked="0"/>
    </xf>
    <xf numFmtId="0" fontId="16" fillId="4" borderId="0" xfId="2" applyFont="1" applyFill="1" applyAlignment="1">
      <alignment horizontal="center" vertical="center" wrapText="1"/>
    </xf>
    <xf numFmtId="164" fontId="11" fillId="5" borderId="8" xfId="2" applyNumberFormat="1" applyFont="1" applyFill="1" applyBorder="1" applyAlignment="1" applyProtection="1">
      <alignment horizontal="right" vertical="center" wrapText="1"/>
      <protection locked="0"/>
    </xf>
    <xf numFmtId="0" fontId="17" fillId="4" borderId="0" xfId="2" applyFont="1" applyFill="1" applyAlignment="1">
      <alignment vertical="center"/>
    </xf>
    <xf numFmtId="0" fontId="11" fillId="6" borderId="8" xfId="2" applyFont="1" applyFill="1" applyBorder="1" applyAlignment="1">
      <alignment horizontal="center" vertical="center"/>
    </xf>
    <xf numFmtId="0" fontId="14" fillId="7" borderId="10" xfId="2" applyFont="1" applyFill="1" applyBorder="1" applyAlignment="1">
      <alignment horizontal="center" vertical="center"/>
    </xf>
    <xf numFmtId="0" fontId="11" fillId="8" borderId="8" xfId="2" applyFont="1" applyFill="1" applyBorder="1" applyAlignment="1">
      <alignment horizontal="center" vertical="center"/>
    </xf>
    <xf numFmtId="164" fontId="11" fillId="4" borderId="0" xfId="2" applyNumberFormat="1" applyFont="1" applyFill="1" applyAlignment="1">
      <alignment horizontal="center" vertical="center"/>
    </xf>
    <xf numFmtId="165" fontId="11" fillId="8" borderId="8" xfId="2" applyNumberFormat="1" applyFont="1" applyFill="1" applyBorder="1" applyAlignment="1">
      <alignment horizontal="center" vertical="center" wrapText="1"/>
    </xf>
    <xf numFmtId="0" fontId="11" fillId="8" borderId="8" xfId="2" applyFont="1" applyFill="1" applyBorder="1" applyAlignment="1">
      <alignment horizontal="center" vertical="center" wrapText="1"/>
    </xf>
    <xf numFmtId="164" fontId="11" fillId="4" borderId="0" xfId="2" applyNumberFormat="1" applyFont="1" applyFill="1" applyAlignment="1">
      <alignment horizontal="right" vertical="center"/>
    </xf>
    <xf numFmtId="0" fontId="18" fillId="4" borderId="0" xfId="2" applyFont="1" applyFill="1" applyAlignment="1">
      <alignment vertical="center"/>
    </xf>
    <xf numFmtId="166" fontId="11" fillId="4" borderId="0" xfId="2" applyNumberFormat="1" applyFont="1" applyFill="1" applyAlignment="1">
      <alignment horizontal="center" vertical="center"/>
    </xf>
    <xf numFmtId="0" fontId="11" fillId="4" borderId="0" xfId="2" applyFont="1" applyFill="1" applyAlignment="1">
      <alignment horizontal="left" vertical="center"/>
    </xf>
    <xf numFmtId="0" fontId="14" fillId="4" borderId="0" xfId="2" applyFont="1" applyFill="1" applyAlignment="1">
      <alignment horizontal="center" vertical="center"/>
    </xf>
    <xf numFmtId="4" fontId="11" fillId="5" borderId="8" xfId="2" applyNumberFormat="1" applyFont="1" applyFill="1" applyBorder="1" applyAlignment="1" applyProtection="1">
      <alignment horizontal="right" vertical="center"/>
      <protection locked="0"/>
    </xf>
    <xf numFmtId="0" fontId="11" fillId="6" borderId="8" xfId="2" applyFont="1" applyFill="1" applyBorder="1" applyAlignment="1">
      <alignment vertical="center"/>
    </xf>
    <xf numFmtId="0" fontId="11" fillId="5" borderId="8" xfId="2" applyFont="1" applyFill="1" applyBorder="1" applyAlignment="1" applyProtection="1">
      <alignment horizontal="center" vertical="center"/>
      <protection locked="0"/>
    </xf>
    <xf numFmtId="0" fontId="11" fillId="8" borderId="8" xfId="2" applyFont="1" applyFill="1" applyBorder="1" applyAlignment="1">
      <alignment vertical="center"/>
    </xf>
    <xf numFmtId="0" fontId="11" fillId="4" borderId="0" xfId="2" applyFont="1" applyFill="1" applyAlignment="1">
      <alignment horizontal="center" vertical="center"/>
    </xf>
    <xf numFmtId="0" fontId="11" fillId="5" borderId="12" xfId="2" applyFont="1" applyFill="1" applyBorder="1" applyAlignment="1" applyProtection="1">
      <alignment horizontal="center" vertical="center" wrapText="1"/>
      <protection locked="0"/>
    </xf>
    <xf numFmtId="0" fontId="11" fillId="5" borderId="8" xfId="2" applyFont="1" applyFill="1" applyBorder="1" applyAlignment="1" applyProtection="1">
      <alignment horizontal="center" vertical="center" wrapText="1"/>
      <protection locked="0"/>
    </xf>
    <xf numFmtId="0" fontId="19" fillId="0" borderId="0" xfId="2" applyFont="1" applyAlignment="1">
      <alignment horizontal="justify" vertical="center"/>
    </xf>
    <xf numFmtId="0" fontId="17" fillId="4" borderId="0" xfId="2" applyFont="1" applyFill="1" applyAlignment="1">
      <alignment horizontal="center" vertical="center"/>
    </xf>
    <xf numFmtId="0" fontId="14" fillId="7" borderId="12" xfId="2" applyFont="1" applyFill="1" applyBorder="1" applyAlignment="1">
      <alignment horizontal="center" vertical="center" wrapText="1"/>
    </xf>
    <xf numFmtId="0" fontId="14" fillId="7" borderId="12" xfId="2" applyFont="1" applyFill="1" applyBorder="1" applyAlignment="1">
      <alignment horizontal="center" vertical="center"/>
    </xf>
    <xf numFmtId="49" fontId="11" fillId="4" borderId="0" xfId="2" applyNumberFormat="1" applyFont="1" applyFill="1" applyAlignment="1">
      <alignment horizontal="center" vertical="center"/>
    </xf>
    <xf numFmtId="0" fontId="16" fillId="4" borderId="0" xfId="2" applyFont="1" applyFill="1" applyAlignment="1">
      <alignment horizontal="left" vertical="center"/>
    </xf>
    <xf numFmtId="0" fontId="16" fillId="4" borderId="0" xfId="2" applyFont="1" applyFill="1" applyAlignment="1">
      <alignment vertical="center"/>
    </xf>
    <xf numFmtId="49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1" fillId="8" borderId="8" xfId="2" applyFont="1" applyFill="1" applyBorder="1" applyAlignment="1">
      <alignment horizontal="justify" vertical="center" wrapText="1"/>
    </xf>
    <xf numFmtId="166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1" fillId="4" borderId="13" xfId="2" applyFont="1" applyFill="1" applyBorder="1" applyAlignment="1">
      <alignment vertical="center" wrapText="1"/>
    </xf>
    <xf numFmtId="4" fontId="11" fillId="4" borderId="0" xfId="2" applyNumberFormat="1" applyFont="1" applyFill="1" applyAlignment="1">
      <alignment vertical="center"/>
    </xf>
    <xf numFmtId="44" fontId="11" fillId="4" borderId="0" xfId="1" applyFont="1" applyFill="1" applyAlignment="1">
      <alignment vertical="center"/>
    </xf>
    <xf numFmtId="44" fontId="12" fillId="4" borderId="0" xfId="2" applyNumberFormat="1" applyFont="1" applyFill="1" applyAlignment="1">
      <alignment vertical="center"/>
    </xf>
    <xf numFmtId="4" fontId="12" fillId="4" borderId="0" xfId="2" applyNumberFormat="1" applyFont="1" applyFill="1" applyAlignment="1">
      <alignment vertical="center"/>
    </xf>
    <xf numFmtId="4" fontId="11" fillId="4" borderId="0" xfId="2" applyNumberFormat="1" applyFont="1" applyFill="1" applyAlignment="1">
      <alignment vertical="center" wrapText="1"/>
    </xf>
    <xf numFmtId="2" fontId="11" fillId="4" borderId="0" xfId="2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8" borderId="8" xfId="2" applyFont="1" applyFill="1" applyBorder="1" applyAlignment="1">
      <alignment horizontal="left" vertical="center" wrapText="1"/>
    </xf>
    <xf numFmtId="0" fontId="14" fillId="7" borderId="9" xfId="2" applyFont="1" applyFill="1" applyBorder="1" applyAlignment="1">
      <alignment horizontal="left" vertical="center" wrapText="1"/>
    </xf>
    <xf numFmtId="0" fontId="11" fillId="6" borderId="9" xfId="2" applyFont="1" applyFill="1" applyBorder="1" applyAlignment="1">
      <alignment horizontal="left" vertical="center" wrapText="1"/>
    </xf>
    <xf numFmtId="0" fontId="11" fillId="8" borderId="9" xfId="2" applyFont="1" applyFill="1" applyBorder="1" applyAlignment="1">
      <alignment horizontal="left" vertical="center" wrapText="1"/>
    </xf>
    <xf numFmtId="0" fontId="18" fillId="4" borderId="0" xfId="2" applyFont="1" applyFill="1" applyAlignment="1">
      <alignment horizontal="center" vertical="center"/>
    </xf>
    <xf numFmtId="0" fontId="14" fillId="7" borderId="11" xfId="2" applyFont="1" applyFill="1" applyBorder="1" applyAlignment="1">
      <alignment horizontal="left" vertical="center"/>
    </xf>
    <xf numFmtId="0" fontId="11" fillId="6" borderId="8" xfId="2" applyFont="1" applyFill="1" applyBorder="1" applyAlignment="1">
      <alignment horizontal="left" vertical="center"/>
    </xf>
    <xf numFmtId="0" fontId="11" fillId="5" borderId="8" xfId="2" applyFont="1" applyFill="1" applyBorder="1" applyAlignment="1" applyProtection="1">
      <alignment horizontal="center" vertical="center"/>
      <protection locked="0"/>
    </xf>
    <xf numFmtId="0" fontId="11" fillId="5" borderId="8" xfId="2" applyFont="1" applyFill="1" applyBorder="1" applyAlignment="1" applyProtection="1">
      <alignment horizontal="left" vertical="center"/>
      <protection locked="0"/>
    </xf>
    <xf numFmtId="0" fontId="11" fillId="8" borderId="8" xfId="2" applyFont="1" applyFill="1" applyBorder="1" applyAlignment="1">
      <alignment horizontal="left" vertical="center"/>
    </xf>
    <xf numFmtId="0" fontId="11" fillId="5" borderId="8" xfId="2" applyFont="1" applyFill="1" applyBorder="1" applyAlignment="1" applyProtection="1">
      <alignment horizontal="right" vertical="center"/>
      <protection locked="0"/>
    </xf>
    <xf numFmtId="49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4" fillId="7" borderId="8" xfId="2" applyFont="1" applyFill="1" applyBorder="1" applyAlignment="1">
      <alignment horizontal="left" vertical="center" wrapText="1"/>
    </xf>
    <xf numFmtId="167" fontId="11" fillId="5" borderId="8" xfId="2" applyNumberFormat="1" applyFont="1" applyFill="1" applyBorder="1" applyAlignment="1" applyProtection="1">
      <alignment horizontal="center" vertical="center"/>
      <protection locked="0"/>
    </xf>
    <xf numFmtId="4" fontId="11" fillId="5" borderId="8" xfId="2" applyNumberFormat="1" applyFont="1" applyFill="1" applyBorder="1" applyAlignment="1" applyProtection="1">
      <alignment horizontal="left" vertical="center" wrapText="1"/>
      <protection locked="0"/>
    </xf>
    <xf numFmtId="0" fontId="14" fillId="7" borderId="8" xfId="2" applyFont="1" applyFill="1" applyBorder="1" applyAlignment="1">
      <alignment horizontal="left" vertical="center"/>
    </xf>
    <xf numFmtId="164" fontId="11" fillId="6" borderId="8" xfId="2" applyNumberFormat="1" applyFont="1" applyFill="1" applyBorder="1" applyAlignment="1">
      <alignment horizontal="left" vertical="center" wrapText="1"/>
    </xf>
    <xf numFmtId="0" fontId="11" fillId="6" borderId="8" xfId="2" applyFont="1" applyFill="1" applyBorder="1" applyAlignment="1">
      <alignment horizontal="left" vertical="center" wrapText="1"/>
    </xf>
    <xf numFmtId="0" fontId="15" fillId="4" borderId="0" xfId="2" applyFont="1" applyFill="1" applyAlignment="1">
      <alignment horizontal="left" vertical="center" wrapText="1"/>
    </xf>
    <xf numFmtId="0" fontId="21" fillId="10" borderId="12" xfId="2" applyFont="1" applyFill="1" applyBorder="1" applyAlignment="1">
      <alignment horizontal="left" vertical="center" wrapText="1"/>
    </xf>
    <xf numFmtId="0" fontId="21" fillId="10" borderId="14" xfId="2" applyFont="1" applyFill="1" applyBorder="1" applyAlignment="1">
      <alignment horizontal="left" vertical="center" wrapText="1"/>
    </xf>
    <xf numFmtId="0" fontId="21" fillId="10" borderId="10" xfId="2" applyFont="1" applyFill="1" applyBorder="1" applyAlignment="1">
      <alignment horizontal="left" vertical="center" wrapText="1"/>
    </xf>
    <xf numFmtId="0" fontId="22" fillId="7" borderId="12" xfId="2" applyFont="1" applyFill="1" applyBorder="1" applyAlignment="1">
      <alignment horizontal="left" vertical="center" wrapText="1"/>
    </xf>
    <xf numFmtId="0" fontId="22" fillId="7" borderId="14" xfId="2" applyFont="1" applyFill="1" applyBorder="1" applyAlignment="1">
      <alignment horizontal="left" vertical="center" wrapText="1"/>
    </xf>
    <xf numFmtId="0" fontId="22" fillId="7" borderId="10" xfId="2" applyFont="1" applyFill="1" applyBorder="1" applyAlignment="1">
      <alignment horizontal="left" vertical="center" wrapText="1"/>
    </xf>
    <xf numFmtId="165" fontId="11" fillId="8" borderId="8" xfId="2" applyNumberFormat="1" applyFont="1" applyFill="1" applyBorder="1" applyAlignment="1">
      <alignment vertical="center" wrapText="1"/>
    </xf>
    <xf numFmtId="4" fontId="11" fillId="5" borderId="8" xfId="2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90C16F9-BF18-4551-BD14-F3FC7A6D81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I13" sqref="I13"/>
    </sheetView>
  </sheetViews>
  <sheetFormatPr defaultColWidth="9" defaultRowHeight="15"/>
  <cols>
    <col min="1" max="1" width="8" style="2" customWidth="1"/>
    <col min="2" max="2" width="9.7109375" style="2" customWidth="1"/>
    <col min="3" max="3" width="38" style="2" customWidth="1"/>
    <col min="4" max="4" width="9.140625" style="3"/>
    <col min="5" max="5" width="11.42578125" style="2" bestFit="1" customWidth="1"/>
    <col min="6" max="6" width="13.5703125" style="4" bestFit="1" customWidth="1"/>
    <col min="7" max="7" width="15" style="4" bestFit="1" customWidth="1"/>
  </cols>
  <sheetData>
    <row r="1" spans="1:7">
      <c r="A1" s="5"/>
      <c r="B1" s="5"/>
    </row>
    <row r="2" spans="1:7" ht="79.5" customHeight="1" thickBot="1">
      <c r="A2" s="74"/>
      <c r="B2" s="74"/>
      <c r="C2" s="74"/>
      <c r="D2" s="74"/>
      <c r="E2" s="74"/>
      <c r="F2" s="74"/>
      <c r="G2" s="74"/>
    </row>
    <row r="3" spans="1:7" ht="26.25" thickBo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7">
      <c r="A4" s="75">
        <v>1</v>
      </c>
      <c r="B4" s="7">
        <v>1</v>
      </c>
      <c r="C4" s="8" t="s">
        <v>91</v>
      </c>
      <c r="D4" s="9">
        <v>4</v>
      </c>
      <c r="E4" s="18">
        <f>F4/D4</f>
        <v>5800</v>
      </c>
      <c r="F4" s="18">
        <f>G4/12</f>
        <v>23200</v>
      </c>
      <c r="G4" s="18">
        <v>278400</v>
      </c>
    </row>
    <row r="5" spans="1:7">
      <c r="A5" s="76"/>
      <c r="B5" s="7">
        <v>2</v>
      </c>
      <c r="C5" s="8" t="s">
        <v>92</v>
      </c>
      <c r="D5" s="9">
        <v>3</v>
      </c>
      <c r="E5" s="18">
        <f t="shared" ref="E5:E7" si="0">F5/D5</f>
        <v>3866.6666666666665</v>
      </c>
      <c r="F5" s="18">
        <f t="shared" ref="F5:F7" si="1">G5/12</f>
        <v>11600</v>
      </c>
      <c r="G5" s="18">
        <v>139200</v>
      </c>
    </row>
    <row r="6" spans="1:7">
      <c r="A6" s="76"/>
      <c r="B6" s="7">
        <v>3</v>
      </c>
      <c r="C6" s="8" t="s">
        <v>93</v>
      </c>
      <c r="D6" s="9">
        <v>2</v>
      </c>
      <c r="E6" s="18">
        <f t="shared" si="0"/>
        <v>5793.5854166666659</v>
      </c>
      <c r="F6" s="18">
        <f t="shared" si="1"/>
        <v>11587.170833333332</v>
      </c>
      <c r="G6" s="18">
        <v>139046.04999999999</v>
      </c>
    </row>
    <row r="7" spans="1:7" ht="15.75" thickBot="1">
      <c r="A7" s="76"/>
      <c r="B7" s="7">
        <v>4</v>
      </c>
      <c r="C7" s="8" t="s">
        <v>94</v>
      </c>
      <c r="D7" s="9">
        <v>3</v>
      </c>
      <c r="E7" s="18">
        <f t="shared" si="0"/>
        <v>3533.3333333333335</v>
      </c>
      <c r="F7" s="18">
        <f t="shared" si="1"/>
        <v>10600</v>
      </c>
      <c r="G7" s="18">
        <v>127200</v>
      </c>
    </row>
    <row r="8" spans="1:7" ht="15.75" thickBot="1">
      <c r="A8" s="10"/>
      <c r="B8" s="11"/>
      <c r="C8" s="12" t="s">
        <v>7</v>
      </c>
      <c r="D8" s="13"/>
      <c r="E8" s="14"/>
      <c r="F8" s="18">
        <f>SUM(F4:F7)</f>
        <v>56987.17083333333</v>
      </c>
      <c r="G8" s="18">
        <f>SUM(G4:G7)</f>
        <v>683846.05</v>
      </c>
    </row>
    <row r="9" spans="1:7">
      <c r="B9" s="4"/>
      <c r="C9"/>
      <c r="D9"/>
      <c r="E9"/>
      <c r="F9"/>
      <c r="G9"/>
    </row>
    <row r="10" spans="1:7">
      <c r="B10" s="4"/>
      <c r="C10"/>
      <c r="D10"/>
      <c r="E10"/>
      <c r="F10"/>
      <c r="G10"/>
    </row>
    <row r="11" spans="1:7">
      <c r="B11" s="4"/>
      <c r="C11"/>
      <c r="D11"/>
      <c r="E11"/>
      <c r="F11"/>
      <c r="G11"/>
    </row>
    <row r="12" spans="1:7">
      <c r="B12" s="4"/>
      <c r="C12"/>
      <c r="D12"/>
      <c r="E12"/>
      <c r="F12"/>
      <c r="G12"/>
    </row>
    <row r="13" spans="1:7">
      <c r="B13" s="4"/>
      <c r="C13"/>
      <c r="D13"/>
      <c r="E13"/>
      <c r="F13"/>
      <c r="G13"/>
    </row>
    <row r="14" spans="1:7">
      <c r="B14" s="4"/>
      <c r="C14"/>
      <c r="D14"/>
      <c r="E14"/>
      <c r="F14"/>
      <c r="G14"/>
    </row>
    <row r="15" spans="1:7">
      <c r="B15" s="4"/>
      <c r="C15"/>
      <c r="D15"/>
      <c r="E15"/>
      <c r="F15"/>
      <c r="G15"/>
    </row>
    <row r="16" spans="1:7" s="1" customFormat="1" ht="37.5" customHeight="1">
      <c r="A16" s="15"/>
      <c r="B16" s="16"/>
    </row>
    <row r="17" spans="1:7" ht="53.25" customHeight="1">
      <c r="A17" s="17"/>
      <c r="B17" s="4"/>
      <c r="C17"/>
      <c r="D17"/>
      <c r="E17"/>
      <c r="F17"/>
      <c r="G17"/>
    </row>
    <row r="18" spans="1:7" s="1" customFormat="1">
      <c r="A18" s="15"/>
      <c r="B18" s="16"/>
    </row>
    <row r="19" spans="1:7">
      <c r="B19" s="4"/>
      <c r="C19"/>
      <c r="D19"/>
      <c r="E19"/>
      <c r="F19"/>
      <c r="G19"/>
    </row>
    <row r="20" spans="1:7">
      <c r="B20" s="4"/>
      <c r="C20"/>
      <c r="D20"/>
      <c r="E20"/>
      <c r="F20"/>
      <c r="G20"/>
    </row>
    <row r="21" spans="1:7">
      <c r="B21" s="4"/>
      <c r="C21"/>
      <c r="D21"/>
      <c r="E21"/>
      <c r="F21"/>
      <c r="G21"/>
    </row>
  </sheetData>
  <mergeCells count="2">
    <mergeCell ref="A2:G2"/>
    <mergeCell ref="A4:A7"/>
  </mergeCells>
  <pageMargins left="0.31496062992126" right="0.31496062992126" top="1.7716535433070899" bottom="0.78740157480314998" header="0.31496062992126" footer="0.31496062992126"/>
  <pageSetup paperSize="9" scale="90" orientation="portrait"/>
  <headerFooter>
    <oddHeader>&amp;L&amp;G&amp;CSERVIÇO PÚBLICO FEDERAL
MINISTÉRIO DA EDUCAÇÃO
INSTITUTO FEDERAL DE EDUCAÇÃO CIÊNCIA E TECNOLOGIA DO PARÁ
CAMPUS CASTANHAL
&amp;"-,Negrito"&amp;14
Pedido de Cotação de Preços&amp;R&amp;G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1B70-8EBA-4DB2-B4BC-DD6B4164B111}">
  <dimension ref="A1:AMJ67"/>
  <sheetViews>
    <sheetView tabSelected="1" view="pageBreakPreview" topLeftCell="A37" zoomScale="115" zoomScaleNormal="115" zoomScaleSheetLayoutView="115" zoomScalePageLayoutView="244" workbookViewId="0">
      <selection activeCell="F42" sqref="F42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5" t="s">
        <v>104</v>
      </c>
      <c r="E3" s="85"/>
      <c r="F3" s="85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102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 t="s">
        <v>103</v>
      </c>
    </row>
    <row r="9" spans="2:6" s="38" customFormat="1" ht="15.75" customHeight="1">
      <c r="B9" s="28" t="s">
        <v>19</v>
      </c>
      <c r="C9" s="65" t="s">
        <v>20</v>
      </c>
      <c r="D9" s="85" t="s">
        <v>109</v>
      </c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/>
    </row>
    <row r="11" spans="2:6" s="38" customFormat="1" ht="16.5" customHeight="1">
      <c r="B11" s="28" t="s">
        <v>24</v>
      </c>
      <c r="C11" s="77" t="s">
        <v>108</v>
      </c>
      <c r="D11" s="77"/>
      <c r="E11" s="77"/>
      <c r="F11" s="64"/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111</v>
      </c>
      <c r="D16" s="55" t="s">
        <v>34</v>
      </c>
      <c r="E16" s="56">
        <v>1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 xml:space="preserve">GUARDA VIDAS 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105</v>
      </c>
      <c r="D21" s="90">
        <v>45658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103">
        <v>1518</v>
      </c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102">
        <v>2760.7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20.75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 t="s">
        <v>106</v>
      </c>
    </row>
    <row r="34" spans="1:7" s="21" customFormat="1">
      <c r="B34" s="40" t="s">
        <v>21</v>
      </c>
      <c r="C34" s="83" t="s">
        <v>107</v>
      </c>
      <c r="D34" s="83"/>
      <c r="E34" s="39" t="s">
        <v>52</v>
      </c>
      <c r="F34" s="37"/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/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35.380000000000003</v>
      </c>
      <c r="G36" s="71"/>
    </row>
    <row r="37" spans="1:7" s="21" customFormat="1">
      <c r="B37" s="40" t="s">
        <v>81</v>
      </c>
      <c r="C37" s="83" t="s">
        <v>110</v>
      </c>
      <c r="D37" s="83"/>
      <c r="E37" s="39" t="s">
        <v>52</v>
      </c>
      <c r="F37" s="37">
        <v>242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50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26.45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0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0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10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6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9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20460</v>
      </c>
      <c r="G66" s="71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B55:F55"/>
    <mergeCell ref="C56:E56"/>
    <mergeCell ref="C57:E57"/>
    <mergeCell ref="C58:E58"/>
    <mergeCell ref="C59:E59"/>
    <mergeCell ref="C63:E63"/>
    <mergeCell ref="B64:F64"/>
    <mergeCell ref="C65:E65"/>
    <mergeCell ref="C61:E61"/>
    <mergeCell ref="C62:E62"/>
    <mergeCell ref="C60:E60"/>
    <mergeCell ref="C34:D34"/>
    <mergeCell ref="C41:E41"/>
    <mergeCell ref="C42:E42"/>
    <mergeCell ref="C45:E45"/>
    <mergeCell ref="C46:E46"/>
    <mergeCell ref="C36:D36"/>
    <mergeCell ref="C37:D37"/>
    <mergeCell ref="C26:E26"/>
    <mergeCell ref="C31:D31"/>
    <mergeCell ref="C32:D32"/>
    <mergeCell ref="C33:D33"/>
    <mergeCell ref="B14:F14"/>
    <mergeCell ref="B18:F18"/>
    <mergeCell ref="D19:F19"/>
    <mergeCell ref="D20:F20"/>
    <mergeCell ref="D21:F21"/>
    <mergeCell ref="B1:F1"/>
    <mergeCell ref="B2:F2"/>
    <mergeCell ref="B3:C3"/>
    <mergeCell ref="D3:F3"/>
    <mergeCell ref="C35:D35"/>
    <mergeCell ref="C8:E8"/>
    <mergeCell ref="D9:F9"/>
    <mergeCell ref="C10:E10"/>
    <mergeCell ref="C11:E11"/>
    <mergeCell ref="C12:E12"/>
    <mergeCell ref="B4:C4"/>
    <mergeCell ref="D4:E4"/>
    <mergeCell ref="B5:C5"/>
    <mergeCell ref="D5:E5"/>
    <mergeCell ref="B7:F7"/>
    <mergeCell ref="C22:E22"/>
    <mergeCell ref="C47:E47"/>
    <mergeCell ref="C50:E50"/>
    <mergeCell ref="C51:E51"/>
    <mergeCell ref="C52:E52"/>
    <mergeCell ref="C53:E53"/>
  </mergeCells>
  <phoneticPr fontId="20" type="noConversion"/>
  <dataValidations count="3">
    <dataValidation type="list" allowBlank="1" showInputMessage="1" showErrorMessage="1" sqref="F10" xr:uid="{00000000-0002-0000-0100-000002000000}">
      <formula1>"AC,AL,AP,AM,BA,CE,DF,ES,GO,MA,MG,MS,MT,PA,PB,PR,PE,PI,RJ,RN,RO,RR,RS,SC,SP,SE,TO"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00000000-0002-0000-0100-000001000000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00000000-0002-0000-0100-000000000000}">
      <formula1>0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B41E-6517-4127-AED8-4BF794296EB0}">
  <dimension ref="A1:AMJ67"/>
  <sheetViews>
    <sheetView view="pageBreakPreview" topLeftCell="A49" zoomScale="85" zoomScaleNormal="115" zoomScaleSheetLayoutView="85" zoomScalePageLayoutView="244" workbookViewId="0">
      <selection activeCell="L62" sqref="L62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92</v>
      </c>
      <c r="D16" s="55" t="s">
        <v>34</v>
      </c>
      <c r="E16" s="56">
        <v>3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>GUARDA VIDA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1912.07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160.30000000000001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22.3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45.9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>
        <f>SALARIO_BASE+(TRANSPORTE_POR_DIA*22)+ALIMENTACAO_POR_DIA+DIAS_TRABALHADOS_NO_MES+F35+F36+F37+UNIFORMES+MATERIAIS+EQUIPAMENTOS</f>
        <v>3028.2700000000004</v>
      </c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3</v>
      </c>
      <c r="G57" s="72">
        <f>G56*PERC_CUSTOS_INDIRETOS%</f>
        <v>90.848100000000017</v>
      </c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5.0350000000000001</v>
      </c>
      <c r="G58" s="73">
        <f>G56*PERC_LUCRO%</f>
        <v>152.47339450000001</v>
      </c>
      <c r="H58" s="73">
        <f>G58+I66</f>
        <v>152.49351166666585</v>
      </c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>
        <f>G56*PERC_PIS%</f>
        <v>19.683755000000005</v>
      </c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>
        <f>G56*PERC_COFINS%</f>
        <v>90.848100000000017</v>
      </c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  <c r="G61" s="21">
        <f>G56*F61%</f>
        <v>333.10970000000003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  <c r="G63" s="21">
        <f>G56*F63%</f>
        <v>151.41350000000003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3866.67</v>
      </c>
      <c r="G66" s="71">
        <f>SUM(G56:G65)</f>
        <v>3866.6465495000007</v>
      </c>
      <c r="H66" s="70">
        <f>TR!E5</f>
        <v>3866.6666666666665</v>
      </c>
      <c r="I66" s="71">
        <f>H66-G66</f>
        <v>2.0117166665841069E-2</v>
      </c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B3FB088F-820C-4D1D-A610-97E269EB5625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2EEFC59B-E668-44D1-996A-D792AC3F3A1D}">
      <formula1>0</formula1>
      <formula2>0</formula2>
    </dataValidation>
    <dataValidation type="list" allowBlank="1" showInputMessage="1" showErrorMessage="1" sqref="F10" xr:uid="{A3AB7299-275F-4AE4-868B-A74608D4C72B}">
      <formula1>"AC,AL,AP,AM,BA,CE,DF,ES,GO,MA,MG,MS,MT,PA,PB,PR,PE,PI,RJ,RN,RO,RR,RS,SC,SP,SE,TO"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3BF3-ECD1-4904-831D-B5C4A11135D0}">
  <dimension ref="A1:AMJ67"/>
  <sheetViews>
    <sheetView view="pageBreakPreview" topLeftCell="A10" zoomScale="85" zoomScaleNormal="115" zoomScaleSheetLayoutView="85" zoomScalePageLayoutView="244" workbookViewId="0">
      <selection activeCell="M63" sqref="M63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101</v>
      </c>
      <c r="D16" s="55" t="s">
        <v>34</v>
      </c>
      <c r="E16" s="56">
        <v>2</v>
      </c>
      <c r="F16" s="55">
        <v>2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>PSINEIRO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1699.23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160.30000000000001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97.3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136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36.731000000000002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30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5793.59</v>
      </c>
      <c r="G66" s="71"/>
      <c r="H66" s="70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list" allowBlank="1" showInputMessage="1" showErrorMessage="1" sqref="F10" xr:uid="{18E56B5B-6749-4774-AC40-75D941D1AF95}">
      <formula1>"AC,AL,AP,AM,BA,CE,DF,ES,GO,MA,MG,MS,MT,PA,PB,PR,PE,PI,RJ,RN,RO,RR,RS,SC,SP,SE,TO"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B5B4F304-C2F8-49D0-9C38-77F553A4A77C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A01F0A90-AA61-46A6-898D-D119BECE2842}">
      <formula1>0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D0FC-CFC0-40CD-8E3F-A4803E7A8C9F}">
  <dimension ref="A1:AMJ67"/>
  <sheetViews>
    <sheetView view="pageBreakPreview" topLeftCell="A52" zoomScale="85" zoomScaleNormal="115" zoomScaleSheetLayoutView="85" zoomScalePageLayoutView="244" workbookViewId="0">
      <selection activeCell="E17" sqref="E17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94</v>
      </c>
      <c r="D16" s="55" t="s">
        <v>34</v>
      </c>
      <c r="E16" s="56">
        <v>3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 xml:space="preserve">AUXILIAR 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1699.23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30.6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48.3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26.3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6.5970000000000004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3533.33</v>
      </c>
      <c r="G66" s="71"/>
      <c r="H66" s="70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F1EE1155-1536-4980-BCCE-399650716A90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459C1305-CE51-41AE-BE4A-2373D666928E}">
      <formula1>0</formula1>
      <formula2>0</formula2>
    </dataValidation>
    <dataValidation type="list" allowBlank="1" showInputMessage="1" showErrorMessage="1" sqref="F10" xr:uid="{BBD97CAD-E080-4396-B386-6886DF7CFDF7}">
      <formula1>"AC,AL,AP,AM,BA,CE,DF,ES,GO,MA,MG,MS,MT,PA,PB,PR,PE,PI,RJ,RN,RO,RR,RS,SC,SP,SE,TO"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129</vt:i4>
      </vt:variant>
    </vt:vector>
  </HeadingPairs>
  <TitlesOfParts>
    <vt:vector size="134" baseType="lpstr">
      <vt:lpstr>TR</vt:lpstr>
      <vt:lpstr>CONTROLADOR </vt:lpstr>
      <vt:lpstr>GV</vt:lpstr>
      <vt:lpstr>PSINEIRO</vt:lpstr>
      <vt:lpstr>AUXILIAR</vt:lpstr>
      <vt:lpstr>AUXILIAR!ACORDO_COLETIVO</vt:lpstr>
      <vt:lpstr>GV!ACORDO_COLETIVO</vt:lpstr>
      <vt:lpstr>PSINEIRO!ACORDO_COLETIVO</vt:lpstr>
      <vt:lpstr>ACORDO_COLETIVO</vt:lpstr>
      <vt:lpstr>AUXILIAR!ALIMENTACAO_POR_DIA</vt:lpstr>
      <vt:lpstr>GV!ALIMENTACAO_POR_DIA</vt:lpstr>
      <vt:lpstr>PSINEIRO!ALIMENTACAO_POR_DIA</vt:lpstr>
      <vt:lpstr>ALIMENTACAO_POR_DIA</vt:lpstr>
      <vt:lpstr>AUXILIAR!Area_de_impressao</vt:lpstr>
      <vt:lpstr>'CONTROLADOR '!Area_de_impressao</vt:lpstr>
      <vt:lpstr>GV!Area_de_impressao</vt:lpstr>
      <vt:lpstr>PSINEIRO!Area_de_impressao</vt:lpstr>
      <vt:lpstr>TR!Area_de_impressao</vt:lpstr>
      <vt:lpstr>AUXILIAR!CATEGORIA_PROFISSIONAL</vt:lpstr>
      <vt:lpstr>GV!CATEGORIA_PROFISSIONAL</vt:lpstr>
      <vt:lpstr>PSINEIRO!CATEGORIA_PROFISSIONAL</vt:lpstr>
      <vt:lpstr>CATEGORIA_PROFISSIONAL</vt:lpstr>
      <vt:lpstr>AUXILIAR!CBO</vt:lpstr>
      <vt:lpstr>GV!CBO</vt:lpstr>
      <vt:lpstr>PSINEIRO!CBO</vt:lpstr>
      <vt:lpstr>CBO</vt:lpstr>
      <vt:lpstr>AUXILIAR!DATA_APRESENTACAO_PROPOSTA</vt:lpstr>
      <vt:lpstr>GV!DATA_APRESENTACAO_PROPOSTA</vt:lpstr>
      <vt:lpstr>PSINEIRO!DATA_APRESENTACAO_PROPOSTA</vt:lpstr>
      <vt:lpstr>DATA_APRESENTACAO_PROPOSTA</vt:lpstr>
      <vt:lpstr>AUXILIAR!DATA_BASE_CATEGORIA</vt:lpstr>
      <vt:lpstr>GV!DATA_BASE_CATEGORIA</vt:lpstr>
      <vt:lpstr>PSINEIRO!DATA_BASE_CATEGORIA</vt:lpstr>
      <vt:lpstr>DATA_BASE_CATEGORIA</vt:lpstr>
      <vt:lpstr>AUXILIAR!DATA_LICITACAO</vt:lpstr>
      <vt:lpstr>GV!DATA_LICITACAO</vt:lpstr>
      <vt:lpstr>PSINEIRO!DATA_LICITACAO</vt:lpstr>
      <vt:lpstr>DATA_LICITACAO</vt:lpstr>
      <vt:lpstr>AUXILIAR!DIAS_TRABALHADOS_NO_MES</vt:lpstr>
      <vt:lpstr>GV!DIAS_TRABALHADOS_NO_MES</vt:lpstr>
      <vt:lpstr>PSINEIRO!DIAS_TRABALHADOS_NO_MES</vt:lpstr>
      <vt:lpstr>DIAS_TRABALHADOS_NO_MES</vt:lpstr>
      <vt:lpstr>AUXILIAR!EMPREG_POR_POSTO</vt:lpstr>
      <vt:lpstr>GV!EMPREG_POR_POSTO</vt:lpstr>
      <vt:lpstr>PSINEIRO!EMPREG_POR_POSTO</vt:lpstr>
      <vt:lpstr>EMPREG_POR_POSTO</vt:lpstr>
      <vt:lpstr>AUXILIAR!EQUIPAMENTOS</vt:lpstr>
      <vt:lpstr>GV!EQUIPAMENTOS</vt:lpstr>
      <vt:lpstr>PSINEIRO!EQUIPAMENTOS</vt:lpstr>
      <vt:lpstr>EQUIPAMENTOS</vt:lpstr>
      <vt:lpstr>AUXILIAR!HORARIO_LICITACAO</vt:lpstr>
      <vt:lpstr>GV!HORARIO_LICITACAO</vt:lpstr>
      <vt:lpstr>PSINEIRO!HORARIO_LICITACAO</vt:lpstr>
      <vt:lpstr>HORARIO_LICITACAO</vt:lpstr>
      <vt:lpstr>AUXILIAR!LOCAL_DE_EXECUCAO</vt:lpstr>
      <vt:lpstr>GV!LOCAL_DE_EXECUCAO</vt:lpstr>
      <vt:lpstr>PSINEIRO!LOCAL_DE_EXECUCAO</vt:lpstr>
      <vt:lpstr>LOCAL_DE_EXECUCAO</vt:lpstr>
      <vt:lpstr>AUXILIAR!MATERIAIS</vt:lpstr>
      <vt:lpstr>GV!MATERIAIS</vt:lpstr>
      <vt:lpstr>PSINEIRO!MATERIAIS</vt:lpstr>
      <vt:lpstr>MATERIAIS</vt:lpstr>
      <vt:lpstr>AUXILIAR!MODALIDADE_DE_LICITACAO</vt:lpstr>
      <vt:lpstr>GV!MODALIDADE_DE_LICITACAO</vt:lpstr>
      <vt:lpstr>PSINEIRO!MODALIDADE_DE_LICITACAO</vt:lpstr>
      <vt:lpstr>MODALIDADE_DE_LICITACAO</vt:lpstr>
      <vt:lpstr>AUXILIAR!NUMERO_MESES_EXEC_CONTRATUAL</vt:lpstr>
      <vt:lpstr>GV!NUMERO_MESES_EXEC_CONTRATUAL</vt:lpstr>
      <vt:lpstr>PSINEIRO!NUMERO_MESES_EXEC_CONTRATUAL</vt:lpstr>
      <vt:lpstr>NUMERO_MESES_EXEC_CONTRATUAL</vt:lpstr>
      <vt:lpstr>AUXILIAR!NUMERO_PREGAO</vt:lpstr>
      <vt:lpstr>GV!NUMERO_PREGAO</vt:lpstr>
      <vt:lpstr>PSINEIRO!NUMERO_PREGAO</vt:lpstr>
      <vt:lpstr>NUMERO_PREGAO</vt:lpstr>
      <vt:lpstr>AUXILIAR!NUMERO_PROCESSO</vt:lpstr>
      <vt:lpstr>GV!NUMERO_PROCESSO</vt:lpstr>
      <vt:lpstr>PSINEIRO!NUMERO_PROCESSO</vt:lpstr>
      <vt:lpstr>NUMERO_PROCESSO</vt:lpstr>
      <vt:lpstr>AUXILIAR!OUTRAS_AUSENCIAS_DESCRICAO</vt:lpstr>
      <vt:lpstr>GV!OUTRAS_AUSENCIAS_DESCRICAO</vt:lpstr>
      <vt:lpstr>PSINEIRO!OUTRAS_AUSENCIAS_DESCRICAO</vt:lpstr>
      <vt:lpstr>OUTRAS_AUSENCIAS_DESCRICAO</vt:lpstr>
      <vt:lpstr>AUXILIAR!PERC_COFINS</vt:lpstr>
      <vt:lpstr>GV!PERC_COFINS</vt:lpstr>
      <vt:lpstr>PSINEIRO!PERC_COFINS</vt:lpstr>
      <vt:lpstr>PERC_COFINS</vt:lpstr>
      <vt:lpstr>AUXILIAR!PERC_CUSTOS_INDIRETOS</vt:lpstr>
      <vt:lpstr>GV!PERC_CUSTOS_INDIRETOS</vt:lpstr>
      <vt:lpstr>PSINEIRO!PERC_CUSTOS_INDIRETOS</vt:lpstr>
      <vt:lpstr>PERC_CUSTOS_INDIRETOS</vt:lpstr>
      <vt:lpstr>AUXILIAR!PERC_HORA_EXTRA</vt:lpstr>
      <vt:lpstr>GV!PERC_HORA_EXTRA</vt:lpstr>
      <vt:lpstr>PSINEIRO!PERC_HORA_EXTRA</vt:lpstr>
      <vt:lpstr>PERC_HORA_EXTRA</vt:lpstr>
      <vt:lpstr>AUXILIAR!PERC_ISS</vt:lpstr>
      <vt:lpstr>GV!PERC_ISS</vt:lpstr>
      <vt:lpstr>PSINEIRO!PERC_ISS</vt:lpstr>
      <vt:lpstr>PERC_ISS</vt:lpstr>
      <vt:lpstr>AUXILIAR!PERC_LUCRO</vt:lpstr>
      <vt:lpstr>GV!PERC_LUCRO</vt:lpstr>
      <vt:lpstr>PSINEIRO!PERC_LUCRO</vt:lpstr>
      <vt:lpstr>PERC_LUCRO</vt:lpstr>
      <vt:lpstr>AUXILIAR!PERC_PIS</vt:lpstr>
      <vt:lpstr>GV!PERC_PIS</vt:lpstr>
      <vt:lpstr>PSINEIRO!PERC_PIS</vt:lpstr>
      <vt:lpstr>PERC_PIS</vt:lpstr>
      <vt:lpstr>AUXILIAR!PERC_SUBSTITUTO_OUTRAS_AUSENCIAS</vt:lpstr>
      <vt:lpstr>GV!PERC_SUBSTITUTO_OUTRAS_AUSENCIAS</vt:lpstr>
      <vt:lpstr>PSINEIRO!PERC_SUBSTITUTO_OUTRAS_AUSENCIAS</vt:lpstr>
      <vt:lpstr>PERC_SUBSTITUTO_OUTRAS_AUSENCIAS</vt:lpstr>
      <vt:lpstr>AUXILIAR!SAL_MINIMO</vt:lpstr>
      <vt:lpstr>GV!SAL_MINIMO</vt:lpstr>
      <vt:lpstr>PSINEIRO!SAL_MINIMO</vt:lpstr>
      <vt:lpstr>SAL_MINIMO</vt:lpstr>
      <vt:lpstr>AUXILIAR!SALARIO_BASE</vt:lpstr>
      <vt:lpstr>GV!SALARIO_BASE</vt:lpstr>
      <vt:lpstr>PSINEIRO!SALARIO_BASE</vt:lpstr>
      <vt:lpstr>SALARIO_BASE</vt:lpstr>
      <vt:lpstr>AUXILIAR!TEMPO_INTERVALO_REFEICAO</vt:lpstr>
      <vt:lpstr>GV!TEMPO_INTERVALO_REFEICAO</vt:lpstr>
      <vt:lpstr>PSINEIRO!TEMPO_INTERVALO_REFEICAO</vt:lpstr>
      <vt:lpstr>TEMPO_INTERVALO_REFEICAO</vt:lpstr>
      <vt:lpstr>AUXILIAR!TIPO_DE_SERVICO</vt:lpstr>
      <vt:lpstr>GV!TIPO_DE_SERVICO</vt:lpstr>
      <vt:lpstr>PSINEIRO!TIPO_DE_SERVICO</vt:lpstr>
      <vt:lpstr>TIPO_DE_SERVICO</vt:lpstr>
      <vt:lpstr>AUXILIAR!TRANSPORTE_POR_DIA</vt:lpstr>
      <vt:lpstr>GV!TRANSPORTE_POR_DIA</vt:lpstr>
      <vt:lpstr>PSINEIRO!TRANSPORTE_POR_DIA</vt:lpstr>
      <vt:lpstr>TRANSPORTE_POR_DIA</vt:lpstr>
      <vt:lpstr>AUXILIAR!UNIFORMES</vt:lpstr>
      <vt:lpstr>GV!UNIFORMES</vt:lpstr>
      <vt:lpstr>PSINEIRO!UNIFORMES</vt:lpstr>
      <vt:lpstr>UNIFORMES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luzia.alves</dc:creator>
  <cp:lastModifiedBy>Jair Ré</cp:lastModifiedBy>
  <cp:lastPrinted>2021-06-01T11:36:00Z</cp:lastPrinted>
  <dcterms:created xsi:type="dcterms:W3CDTF">2012-01-13T18:34:00Z</dcterms:created>
  <dcterms:modified xsi:type="dcterms:W3CDTF">2025-03-27T20:00:54Z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D3791E4CD7304AE1A8443782A87D3AAC_13</vt:lpwstr>
  </property>
  <property fmtid="{D5CDD505-2E9C-101B-9397-08002B2CF9AE}" pid="3" name="KSOProductBuildVer">
    <vt:lpwstr>1046-12.2.0.19805</vt:lpwstr>
  </property>
</Properties>
</file>