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"/>
    </mc:Choice>
  </mc:AlternateContent>
  <xr:revisionPtr revIDLastSave="0" documentId="13_ncr:1_{1AE243B4-99E8-44B0-833B-FC16FBA740E2}" xr6:coauthVersionLast="47" xr6:coauthVersionMax="47" xr10:uidLastSave="{00000000-0000-0000-0000-000000000000}"/>
  <bookViews>
    <workbookView xWindow="-108" yWindow="-108" windowWidth="23256" windowHeight="12576" activeTab="2" xr2:uid="{08217D33-DA86-4E96-97E5-7821F757D690}"/>
  </bookViews>
  <sheets>
    <sheet name="Conhecimento" sheetId="1" r:id="rId1"/>
    <sheet name="Execução" sheetId="4" r:id="rId2"/>
    <sheet name="Acordos Mensal" sheetId="6" r:id="rId3"/>
    <sheet name="Cíveis - Diversos" sheetId="7" r:id="rId4"/>
    <sheet name="Finalizados" sheetId="5" r:id="rId5"/>
  </sheets>
  <definedNames>
    <definedName name="_xlnm._FilterDatabase" localSheetId="2" hidden="1">'Acordos Mensal'!$U$1:$U$117</definedName>
    <definedName name="_xlnm._FilterDatabase" localSheetId="1" hidden="1">Execução!$E$1:$E$26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54" i="6" l="1"/>
  <c r="AB54" i="6"/>
  <c r="AA54" i="6"/>
  <c r="Z54" i="6"/>
  <c r="Y54" i="6"/>
  <c r="X54" i="6"/>
  <c r="W54" i="6"/>
  <c r="V54" i="6"/>
  <c r="U54" i="6"/>
  <c r="T54" i="6"/>
  <c r="S54" i="6"/>
  <c r="L28" i="4"/>
  <c r="R54" i="6"/>
  <c r="Q44" i="6"/>
  <c r="V69" i="6" l="1"/>
  <c r="L29" i="4" s="1"/>
  <c r="L30" i="4" s="1"/>
</calcChain>
</file>

<file path=xl/sharedStrings.xml><?xml version="1.0" encoding="utf-8"?>
<sst xmlns="http://schemas.openxmlformats.org/spreadsheetml/2006/main" count="913" uniqueCount="674">
  <si>
    <t>1001012-96.2023.5.02.0211</t>
  </si>
  <si>
    <t>Samuel de Souza Câmara</t>
  </si>
  <si>
    <t>Acordo</t>
  </si>
  <si>
    <t>Audiência Inicial</t>
  </si>
  <si>
    <t>Perícia</t>
  </si>
  <si>
    <t>Sentença</t>
  </si>
  <si>
    <t>Recurso</t>
  </si>
  <si>
    <t>Execução</t>
  </si>
  <si>
    <t>Hserv Serviços de Apoio</t>
  </si>
  <si>
    <t>PROCESSO</t>
  </si>
  <si>
    <t>AUTOR</t>
  </si>
  <si>
    <t>OBSERVAÇÕES</t>
  </si>
  <si>
    <t>0012057-42.2022.5.15.0097</t>
  </si>
  <si>
    <t>Felipe Angelo de Oliveira</t>
  </si>
  <si>
    <t>Henrique Jean</t>
  </si>
  <si>
    <t>VALOR</t>
  </si>
  <si>
    <t>FASE ATUAL</t>
  </si>
  <si>
    <t>0010545-81.2023.5.15.0002</t>
  </si>
  <si>
    <t>Vitor Augusto</t>
  </si>
  <si>
    <t>Ivete Rodrigues</t>
  </si>
  <si>
    <t>0010253-62.2024.5.15.0002</t>
  </si>
  <si>
    <t>Hserv Clean</t>
  </si>
  <si>
    <t xml:space="preserve">0010287-43.2024.5.15.0097 </t>
  </si>
  <si>
    <t>Liquidação</t>
  </si>
  <si>
    <t>0010363-38.2022.5.15.0097</t>
  </si>
  <si>
    <t>Isabel Pereira Machado dos Santos</t>
  </si>
  <si>
    <t>Irmãos Boa</t>
  </si>
  <si>
    <t>Irmãos Boa / condominio pleno</t>
  </si>
  <si>
    <t xml:space="preserve">hserv cabreuva - servicos e comercio ltda - epp / irmaos boa ltda </t>
  </si>
  <si>
    <t>-</t>
  </si>
  <si>
    <t>0012166-65.2023.5.15.0018</t>
  </si>
  <si>
    <t>Jadison Souza Fontes</t>
  </si>
  <si>
    <t>0010173-35.2023.5.15.0002</t>
  </si>
  <si>
    <t>Jadison Gomes da Silva</t>
  </si>
  <si>
    <t>0012457-65.2023.5.15.0018</t>
  </si>
  <si>
    <t>JESSICA BARROS DOS SANTOS</t>
  </si>
  <si>
    <t>Hserv Representações</t>
  </si>
  <si>
    <t>0012465-42.2023.5.15.0018</t>
  </si>
  <si>
    <t>GENILDA MARIA DA SILVA CARRILHO</t>
  </si>
  <si>
    <t>0010943-34.2023.5.15.0097</t>
  </si>
  <si>
    <t>SIMONE DA SILVA CORREIA</t>
  </si>
  <si>
    <t>Irmãos Boa / emusa do brasil-industria e comercio ltda.</t>
  </si>
  <si>
    <t>Recebidos autos em 1 instância para prosseguimento</t>
  </si>
  <si>
    <t>0012075-66.2022.5.15.0096</t>
  </si>
  <si>
    <t>CLAUDIA ARAUJO DOS SANTOS</t>
  </si>
  <si>
    <t>0011486-46.2024.5.15.0018</t>
  </si>
  <si>
    <t xml:space="preserve">ELIZANGELA JESSICA DE MELO </t>
  </si>
  <si>
    <t>Hserv Tecnologia</t>
  </si>
  <si>
    <t>h serv clean comercial ltda - me / hserv cabreuva - servicos e comercio ltda - epp / vitor augusto duarte - me / interbrilho higiene e limpeza ltda / dods comercio e distribuicao de insumos e embalagens ltda / ricaro- importacao industria e comercio atacadista de embalagens ltda</t>
  </si>
  <si>
    <t>0010784-37.2023.5.15.0018</t>
  </si>
  <si>
    <t>FABIO LUIZ ALVES</t>
  </si>
  <si>
    <t>0012064-96.2020.5.15.0002</t>
  </si>
  <si>
    <t>TATIANE FERREIRA DA SILVA</t>
  </si>
  <si>
    <t>Hserv Facilities</t>
  </si>
  <si>
    <t xml:space="preserve">0012801-12.2024.5.15.0018 </t>
  </si>
  <si>
    <t>Audiência Virtual (10/07) 09h00</t>
  </si>
  <si>
    <t xml:space="preserve">JOSE RICARDO DA SILVA BASTOS </t>
  </si>
  <si>
    <t xml:space="preserve">CONDOMINIO DOCE VIDA / Irmãos Boa / Condominio Pleno / hserv cabreuva representacoes comerciais sociedade unipessoal ltda / hserv tecnologia e servicos sociedade unipessoal ltda / h serv clean comercial ltda - me / hserv cabreuva - servicos e comercio ltda - epp / henrique jean duarte ltda  / </t>
  </si>
  <si>
    <t xml:space="preserve">0012313-20.2024.5.15.0095 </t>
  </si>
  <si>
    <t xml:space="preserve">GABRIEL BARBOSA DOS SANTOS </t>
  </si>
  <si>
    <t xml:space="preserve">0011273-88.2024.5.15.0002 </t>
  </si>
  <si>
    <t>REINALDO SANTOS DA SILVA</t>
  </si>
  <si>
    <t xml:space="preserve">0011948-51.2024.5.15.0002 </t>
  </si>
  <si>
    <t xml:space="preserve">NICOLAS RAPHAEL LIMIRO </t>
  </si>
  <si>
    <t xml:space="preserve">0011619-79.2024.5.15.0021 </t>
  </si>
  <si>
    <t xml:space="preserve">0011504-24.2024.5.15.0097 </t>
  </si>
  <si>
    <t xml:space="preserve">ANDRE DE ARAUJO LEITE FILHO </t>
  </si>
  <si>
    <t xml:space="preserve">0010437-87.2025.5.15.0097 </t>
  </si>
  <si>
    <t>ERICKSON HENRIQUE DA SILVA CONSTANCIO</t>
  </si>
  <si>
    <t xml:space="preserve">0011660-12.2024.5.15.0097 </t>
  </si>
  <si>
    <t xml:space="preserve">VERA LUCIA DO NASCIMENTO SILVA </t>
  </si>
  <si>
    <t xml:space="preserve">0012872-86.2024.5.15.0188 </t>
  </si>
  <si>
    <t xml:space="preserve">KARINA PEREIRA CARDOSO </t>
  </si>
  <si>
    <t>Audiência 23/06/2025</t>
  </si>
  <si>
    <t xml:space="preserve">0012594-41.2022.5.15.0096 </t>
  </si>
  <si>
    <t xml:space="preserve">CLAUDIA ARAUJO DOS SANTOS </t>
  </si>
  <si>
    <t>última parcela prevista para 15/07/2025</t>
  </si>
  <si>
    <t xml:space="preserve">0010300-94.2023.5.15.0188 </t>
  </si>
  <si>
    <t xml:space="preserve">PAULO SERGIO MARTINS CONCEICAO </t>
  </si>
  <si>
    <t xml:space="preserve">0010814-86.2024.5.15.0002 </t>
  </si>
  <si>
    <t xml:space="preserve">JUAN ERICK REIS DOS SANTOS </t>
  </si>
  <si>
    <t xml:space="preserve">0011662-73.2024.5.15.0002 </t>
  </si>
  <si>
    <t>SANDRA APARECIDA MONTEIRO</t>
  </si>
  <si>
    <t xml:space="preserve">0011420-26.2024.5.15.0096 </t>
  </si>
  <si>
    <t>ANA CARLA DA SILVA OLIVEIRA</t>
  </si>
  <si>
    <t xml:space="preserve">0010898-64.2022.5.15.0097 </t>
  </si>
  <si>
    <t xml:space="preserve">FRANCISCA NEUDA FRANCALINO DE SOUZA </t>
  </si>
  <si>
    <t xml:space="preserve">0010117-02.2023.5.15.0002 </t>
  </si>
  <si>
    <t xml:space="preserve">0011510-59.2023.5.15.0002 </t>
  </si>
  <si>
    <t xml:space="preserve">ANA CAROLINA DOS SANTOS </t>
  </si>
  <si>
    <t xml:space="preserve">0012114-44.2023.5.15.0188 </t>
  </si>
  <si>
    <t xml:space="preserve">ADILIO SANTOS SOUZA </t>
  </si>
  <si>
    <t xml:space="preserve">0011980-02.2023.5.15.0096 </t>
  </si>
  <si>
    <t>LAZINHO CANDIDO</t>
  </si>
  <si>
    <t xml:space="preserve">0011865-05.2024.5.15.0109 </t>
  </si>
  <si>
    <t>ADRILENE PEREIRA DA SILVA</t>
  </si>
  <si>
    <t xml:space="preserve">0010039-07.2025.5.15.0109 </t>
  </si>
  <si>
    <t xml:space="preserve">FLAVIO RODRIGO JULIO DE MORAES </t>
  </si>
  <si>
    <t>1001103-06.2024.5.02.0292</t>
  </si>
  <si>
    <t>ELIENE ALVES LISBOA</t>
  </si>
  <si>
    <t xml:space="preserve">0010534-34.2023.5.15.0105 </t>
  </si>
  <si>
    <t>EDILSON LOPES DOS SANTOS</t>
  </si>
  <si>
    <t xml:space="preserve">0012427-44.2024.5.15.0002 </t>
  </si>
  <si>
    <t>MARIA NAZARE DA SILVA</t>
  </si>
  <si>
    <t>Audiência 25/02/2026</t>
  </si>
  <si>
    <t xml:space="preserve">0010895-75.2023.5.15.0097 </t>
  </si>
  <si>
    <t>AMANDA BRITO SANTOS</t>
  </si>
  <si>
    <t xml:space="preserve">0010222-48.2024.5.15.0097 </t>
  </si>
  <si>
    <t xml:space="preserve">ANTONIO DE JESUS BARROSO </t>
  </si>
  <si>
    <t xml:space="preserve">0010152-15.2025.5.15.0188 </t>
  </si>
  <si>
    <t>VITOR SANTANA</t>
  </si>
  <si>
    <t>ELIANA APARECIDA DOS SANTOS DA SILVA</t>
  </si>
  <si>
    <t xml:space="preserve">0010968-81.2023.5.15.0021 </t>
  </si>
  <si>
    <t>1001448-72.2024.5.02.0291</t>
  </si>
  <si>
    <t xml:space="preserve">LUCIANA APARECIDA MARQUES DA SILVA </t>
  </si>
  <si>
    <t>0010453-46.2023.5.15.0021</t>
  </si>
  <si>
    <t>CESARIO NUNES DA SILVA FILHO</t>
  </si>
  <si>
    <t>0012259-82.2024.5.15.0021</t>
  </si>
  <si>
    <t>ESTEVAO GOMES DE SOUZA</t>
  </si>
  <si>
    <t>0011590-34.2021.5.15.0021</t>
  </si>
  <si>
    <t xml:space="preserve">MARIA ANA ALVES DE OLIVEIRA </t>
  </si>
  <si>
    <t>0012111-70.2020.5.15.0002</t>
  </si>
  <si>
    <t xml:space="preserve">SILVANA LIMA DE SOUZA </t>
  </si>
  <si>
    <t>0010503-31.2025.5.15.0109</t>
  </si>
  <si>
    <t>ANTONIO GONCALVES DE SOUZA</t>
  </si>
  <si>
    <t>Audiência 26/03/2026</t>
  </si>
  <si>
    <t>0011346-78.2024.5.15.0093</t>
  </si>
  <si>
    <t>EMILY FERNANDA DE OLIVEIRA NASCIMENTO</t>
  </si>
  <si>
    <t>0011148-23.2024.5.15.0002</t>
  </si>
  <si>
    <t>ANTONIA MILENA SOARES DE SOUZA</t>
  </si>
  <si>
    <t>0012734-38.2024.5.15.0021</t>
  </si>
  <si>
    <t>IARA PEDROSO FERREIRA</t>
  </si>
  <si>
    <t>Última parcela prevista para 30/05/2025</t>
  </si>
  <si>
    <t>0010836-87.2024.5.15.0021</t>
  </si>
  <si>
    <t>INGRYD BIANCA OLIVEIRA</t>
  </si>
  <si>
    <t>PROCESSO EM FASE DE LIQUIDAÇÃO DE SENTENÇA E EXECUÇÃO - DATA DA ÚLTIMA ATUALIZAÇÃO: 02/06/2025</t>
  </si>
  <si>
    <t>TODOS OS PROCESSOS TRABALHISTAS - GRUPO H Serv</t>
  </si>
  <si>
    <t>Henrique Jean / Vitor Augusto/ Hserv Clean / Irmãos Boa / Supermercado Naçoes Unidas</t>
  </si>
  <si>
    <t>Hserv Clean / Vitor Augusto/ Hserv Facilities / Irmãos Boa</t>
  </si>
  <si>
    <t xml:space="preserve">Vitor Augusto / Irmãos Boa </t>
  </si>
  <si>
    <t>irmãos boa</t>
  </si>
  <si>
    <t>Hserv Cabreúva</t>
  </si>
  <si>
    <t>Henrique Jean / Vitor Augusto / Hserv Clean / Irmãos Boa</t>
  </si>
  <si>
    <t xml:space="preserve">Irmãos Boa </t>
  </si>
  <si>
    <t>Já houve perícia que reconheceu insalubridade. Audiência em 31/07/2025</t>
  </si>
  <si>
    <t>Loteamento Jardim Ribeirão / Irmãos Boa / Mipal /Ricaro</t>
  </si>
  <si>
    <t xml:space="preserve">protocolado RR pela reclamante </t>
  </si>
  <si>
    <t>Hser Serviços / Irmãos Boa</t>
  </si>
  <si>
    <t>Final</t>
  </si>
  <si>
    <t>0011252-29.2021.5.15.0096</t>
  </si>
  <si>
    <t>DANILO MIGUEL DA SILVA MARIANO</t>
  </si>
  <si>
    <t>0011695-97.2023.5.15.0002</t>
  </si>
  <si>
    <t>MARIA CRISTINEI BARROS NOBRE</t>
  </si>
  <si>
    <t>0013497-48.2024.5.15.0018</t>
  </si>
  <si>
    <t>Wilson Francisco Cyriaco Silva</t>
  </si>
  <si>
    <t>todas as empresas do grupo</t>
  </si>
  <si>
    <t>0012233-68.2024.5.15.0188</t>
  </si>
  <si>
    <t>Gislaine Cristina Fernandes Pereira</t>
  </si>
  <si>
    <t>0012360-22.2024.5.15.0021</t>
  </si>
  <si>
    <t>Adriana Teixeira de Oliveira</t>
  </si>
  <si>
    <t>0012014-40.2024.5.15.0096</t>
  </si>
  <si>
    <t>Alexandre Herrera Graseffe</t>
  </si>
  <si>
    <t>Condominio Pleno / New Parque Tenis</t>
  </si>
  <si>
    <t>última parcela prevista para 18/06/25</t>
  </si>
  <si>
    <t>0012896-42.2024.5.15.0018</t>
  </si>
  <si>
    <t xml:space="preserve">Raimundo Honório do Nascimento </t>
  </si>
  <si>
    <t xml:space="preserve">Hserv Serviços </t>
  </si>
  <si>
    <t>Processo extinto por ausencia do reclamante na audiênica</t>
  </si>
  <si>
    <t>SHEILA PASSALINE FERRAZ</t>
  </si>
  <si>
    <t>0000846-28.2024.5.22.0102</t>
  </si>
  <si>
    <t>Carmem de Souza Silva</t>
  </si>
  <si>
    <t>Processo extinto ante a quitação do débito</t>
  </si>
  <si>
    <t>1001220-97.2024.5.02.0291</t>
  </si>
  <si>
    <t>Elaine Jaques Lourenconi</t>
  </si>
  <si>
    <t>Audiencia de instrução 26/02/2025</t>
  </si>
  <si>
    <t>0011659-21.2024.5.15.0002</t>
  </si>
  <si>
    <t>claudiane freitas de oliveira</t>
  </si>
  <si>
    <t>Kyn Comercio</t>
  </si>
  <si>
    <t>0011691-75.2024.5.15.0018</t>
  </si>
  <si>
    <t>SUSPENSO - PJOTIZAÇÃO</t>
  </si>
  <si>
    <t>0011663-10.2024.5.15.0018</t>
  </si>
  <si>
    <t xml:space="preserve">matilde de oliveira </t>
  </si>
  <si>
    <t>henrique jean</t>
  </si>
  <si>
    <t>0011763-22.2024.5.15.0096</t>
  </si>
  <si>
    <t>patricia viotti nogueira</t>
  </si>
  <si>
    <t>TOTAL</t>
  </si>
  <si>
    <t>Pamella Miranda Junqueira</t>
  </si>
  <si>
    <t>0012395-16.2023.5.15.0021</t>
  </si>
  <si>
    <t>0011845-30.2023.5.15.0018</t>
  </si>
  <si>
    <t>Aline Martins de Assis</t>
  </si>
  <si>
    <t>0010198-83.2025.5.15.0097</t>
  </si>
  <si>
    <t>1002854-81.2023.5.02.0221</t>
  </si>
  <si>
    <t>0013550-29.2024.5.15.0018</t>
  </si>
  <si>
    <t>MARIA DAS GRAÇAS DA SILVA</t>
  </si>
  <si>
    <t>0010327-82.2025.5.15.0002</t>
  </si>
  <si>
    <t>CRISTIANE  DE  SOUSA</t>
  </si>
  <si>
    <t> 0010201-56.2025.5.15.0188</t>
  </si>
  <si>
    <t>0010321-03.2025.5.15.0026</t>
  </si>
  <si>
    <t xml:space="preserve">IZILDA APARECIDA SABINO </t>
  </si>
  <si>
    <t>1002448-60.2023.5.02.0221</t>
  </si>
  <si>
    <t>ANDREIA BARROS</t>
  </si>
  <si>
    <t>0011475-02.2023.5.15.0002</t>
  </si>
  <si>
    <t>0013031-54.2024.5.15.0018</t>
  </si>
  <si>
    <t>0010084-90.2025.5.15.0018</t>
  </si>
  <si>
    <t xml:space="preserve">VANESSA ALESSANDRA NUNES DA COSTA SANTOS </t>
  </si>
  <si>
    <t>0010611-33.2024.5.15.0097</t>
  </si>
  <si>
    <t>ADRIEL DA ANUNCIACAO DOS SANTOS LIMA</t>
  </si>
  <si>
    <t>0010680-74.2025.5.15.0018</t>
  </si>
  <si>
    <t>GABRIEL BOSCATTI DE LIMA</t>
  </si>
  <si>
    <t>0010780-86.2025.5.15.0096</t>
  </si>
  <si>
    <t>PATRICIA VIOTTI NOGUEIRA</t>
  </si>
  <si>
    <t xml:space="preserve"> 0010765-35.2025.5.15.0188</t>
  </si>
  <si>
    <t>RENATA SANTOS</t>
  </si>
  <si>
    <t>Vania Faustino de Lima</t>
  </si>
  <si>
    <t>ARNOLDO DOS SANTOS Padilha</t>
  </si>
  <si>
    <t>Audiencia de instrução 25/02/2025</t>
  </si>
  <si>
    <t>0011380-41.2024.5.15.0097</t>
  </si>
  <si>
    <t>TELMA DIAS DA SILVA</t>
  </si>
  <si>
    <t>Isoforma</t>
  </si>
  <si>
    <t>kyn comercio</t>
  </si>
  <si>
    <t>audiência inicial prevista para 15/07/2025</t>
  </si>
  <si>
    <t>condominio doce vida</t>
  </si>
  <si>
    <t>aguardando sentença</t>
  </si>
  <si>
    <t>0010137-76.2022.5.15.0018</t>
  </si>
  <si>
    <t>Manoel Vicente da Silva</t>
  </si>
  <si>
    <t>kassia vital ferreira</t>
  </si>
  <si>
    <t>0012190-87.2022.5.15.0096</t>
  </si>
  <si>
    <t>condominio residencial hm 33 - 2</t>
  </si>
  <si>
    <t>aguardando ser marcada nova audiência de instrução</t>
  </si>
  <si>
    <t xml:space="preserve">Mirian Francisca de Meira </t>
  </si>
  <si>
    <t>Brasilpack / Dom Olivio</t>
  </si>
  <si>
    <t>Aguardando julgamento de recurso</t>
  </si>
  <si>
    <t>marcia luiza damasceno reis</t>
  </si>
  <si>
    <t>0011031-72.2023.5.15.0097</t>
  </si>
  <si>
    <t xml:space="preserve">LEONILDA DOMINGUES DOMICIANO </t>
  </si>
  <si>
    <t>perícia marcada para 29/07</t>
  </si>
  <si>
    <t>0010940-84.2025.5.15.0105</t>
  </si>
  <si>
    <t>Maria Roseli Vasconcello</t>
  </si>
  <si>
    <t>audiência para 11/02/2025</t>
  </si>
  <si>
    <t>SIM</t>
  </si>
  <si>
    <t>0010974-59.2025.5.15.0105</t>
  </si>
  <si>
    <t>gilmar botelho da conceicao</t>
  </si>
  <si>
    <t>sim</t>
  </si>
  <si>
    <t>0011517-50.2025.5.15.0109</t>
  </si>
  <si>
    <t>Valter Teodoro da Costa</t>
  </si>
  <si>
    <t>audiência para 08/06/2026</t>
  </si>
  <si>
    <t>não</t>
  </si>
  <si>
    <t>0010652-35.2025.5.15.0074</t>
  </si>
  <si>
    <t>maria de lourdes silva</t>
  </si>
  <si>
    <t>Tecnologia / Casa Avenida</t>
  </si>
  <si>
    <t>audiência inicial para 14/08/2025</t>
  </si>
  <si>
    <t>0012043-67.2023.5.15.0018</t>
  </si>
  <si>
    <t>MÁRCIA REGINA MONTEIRO DE SANTANA</t>
  </si>
  <si>
    <t>0011289-67.2024.5.15.0026</t>
  </si>
  <si>
    <t>Tania Mariano dos Santos</t>
  </si>
  <si>
    <t xml:space="preserve">Não foram apresentados cálculos pelos advs da Hserv. Houve divergência entre os cálculos do Boa e do reclamante. </t>
  </si>
  <si>
    <t>aguardando cálculo contábil do perito</t>
  </si>
  <si>
    <t xml:space="preserve">aguardando iniciar liquidação </t>
  </si>
  <si>
    <t>0011634-42.2023.5.15.0002</t>
  </si>
  <si>
    <t>0011282-22.2025.5.15.0097</t>
  </si>
  <si>
    <t>erisvaldo lopes de barros </t>
  </si>
  <si>
    <t>0012869-30.2022.5.15.0018</t>
  </si>
  <si>
    <t>h serv cabreuva</t>
  </si>
  <si>
    <t>execução extinta</t>
  </si>
  <si>
    <t>0011455-60.2023.5.15.0018</t>
  </si>
  <si>
    <t>hserv clean</t>
  </si>
  <si>
    <t>última parcela prevista para 30/10/2025</t>
  </si>
  <si>
    <t>0012700-09.2023.5.15.0018</t>
  </si>
  <si>
    <t>osmar franco de lima</t>
  </si>
  <si>
    <t>0013142-72.2023.5.15.0018</t>
  </si>
  <si>
    <t>maria jesus</t>
  </si>
  <si>
    <t>0010141-79.2023.5.15.0018</t>
  </si>
  <si>
    <t>gustavo de lima azevedo</t>
  </si>
  <si>
    <t>0013139-20.2023.5.15.0018</t>
  </si>
  <si>
    <t>carlos aparecido antunes</t>
  </si>
  <si>
    <t>0013670-72.2024.5.15.0018</t>
  </si>
  <si>
    <t>vanderli pereira de souza fagundes</t>
  </si>
  <si>
    <t>0010256-32.2025.5.15.0018</t>
  </si>
  <si>
    <t>thiago gregorio fernandes</t>
  </si>
  <si>
    <t>todas empresas do grupo</t>
  </si>
  <si>
    <t> 0012022-23.2025.5.15.0018</t>
  </si>
  <si>
    <t>raimundo honorio do nascimento</t>
  </si>
  <si>
    <t>0010860-75.2024.5.15.0002</t>
  </si>
  <si>
    <t>renan de souza veloso</t>
  </si>
  <si>
    <t>condomínio pleno</t>
  </si>
  <si>
    <t>0011413-05.2022.5.15.0096</t>
  </si>
  <si>
    <t>anderson raimundo duarte</t>
  </si>
  <si>
    <t>última parcela prevista para 16/07/2025</t>
  </si>
  <si>
    <t>0012545-94.2022.5.15.0097</t>
  </si>
  <si>
    <t>ednalva pedreira da conceicao da silva</t>
  </si>
  <si>
    <t>0011848-82.2023.5.15.0018</t>
  </si>
  <si>
    <t>0010270-21.2022.5.15.0018</t>
  </si>
  <si>
    <t>magda goncalves da silva</t>
  </si>
  <si>
    <t>ricaro</t>
  </si>
  <si>
    <t>última parcela prevista para 12/2024</t>
  </si>
  <si>
    <t>0010125-28.2023.5.15.0018</t>
  </si>
  <si>
    <t>fanilda andrade goncalves </t>
  </si>
  <si>
    <t>0010002-93.2024.5.15.0018</t>
  </si>
  <si>
    <t>jose gerliano da silva lima</t>
  </si>
  <si>
    <t>0011237-17.2022.5.15.0002</t>
  </si>
  <si>
    <t>edvaldo de oliveira</t>
  </si>
  <si>
    <t>interbrilho / ricaro</t>
  </si>
  <si>
    <t>0010584-93.2024.5.15.0018</t>
  </si>
  <si>
    <t>isabel pereira cruz</t>
  </si>
  <si>
    <t>ricaro / flamboia</t>
  </si>
  <si>
    <t>0011736-50.2022.5.15.0018</t>
  </si>
  <si>
    <t>luana de jesus oliveira </t>
  </si>
  <si>
    <t>requerido parcelamento judicial</t>
  </si>
  <si>
    <t>0012216-57.2024.5.15.0018</t>
  </si>
  <si>
    <t>0012486-47.2025.5.15.0018</t>
  </si>
  <si>
    <t>elis regina da silva sousa matos</t>
  </si>
  <si>
    <t>audiência em 10/02/2025</t>
  </si>
  <si>
    <t>0011663-64.2025.5.15.0021</t>
  </si>
  <si>
    <t>carlos eduardo ferreira da cruz aguiar</t>
  </si>
  <si>
    <t>irmãos boa / tauste</t>
  </si>
  <si>
    <t>0012232-74.2025.5.15.0018</t>
  </si>
  <si>
    <t>audiência em 11/12/2025</t>
  </si>
  <si>
    <t>0012312-38.2025.5.15.0018</t>
  </si>
  <si>
    <t>taise da silva souza</t>
  </si>
  <si>
    <t>audiência em 27/01/2026</t>
  </si>
  <si>
    <t>0011597-30.2024.5.15.0018</t>
  </si>
  <si>
    <t>daniela carla de queiroz</t>
  </si>
  <si>
    <t>0012403-31.2025.5.15.0018</t>
  </si>
  <si>
    <t>debora carvalho da silva</t>
  </si>
  <si>
    <t>Hserv Terceirizados</t>
  </si>
  <si>
    <t>audiência em 04/02/2026</t>
  </si>
  <si>
    <t>0013206-82.2023.5.15.0018</t>
  </si>
  <si>
    <t>fernanda cristiane marcos </t>
  </si>
  <si>
    <t>0012210-16.2025.5.15.0018</t>
  </si>
  <si>
    <t>0011539-96.2025.5.15.0016</t>
  </si>
  <si>
    <t>DESCRIÇÃO DO ACORDO</t>
  </si>
  <si>
    <t>SHEILA PASSALINE FERRAZ - Processo nº 0010287-43.2024.5.15.0097 total líquida de R$ 4.534,13 -quatro parcelas, sendo a primeira no dia 15/06/2025 no valor de R$ 1.760,84 reais, e as três parcelas restantes todo dia quinze de cada mês subsequente no valor de R$ 1.000,00</t>
  </si>
  <si>
    <t>R$16.000,00, em dezesseis parcela, iniciando em 12/05/25 e finalizando em 10/08/2026</t>
  </si>
  <si>
    <t>norton do nascimento goncalves bueno</t>
  </si>
  <si>
    <t>ATSum 0012233-68.2024.5.15.0188 - GISLAINE CRISTINA FERNANDES PEREIRA (10k acordado em 5x de 2k - primeira 28/03) pago em atraso devido IF não ter formalizado o acordo.</t>
  </si>
  <si>
    <t>CLAUDINEIA SANTOS DA SILVA PROCESSO 0011969-47.2022.5.15.0018 HSERV CABREUVA - SERVICOS E COMERCIO LTDA - EPP pagará à  reclamante, a quantia líquida de R$33.000,00, em nove parcelas, conforme  discriminado a seguir: 1ª parcela, no valor de R$6.901,83, mediante liberação TOTAL dos  valores existentes nos autos, feito nesta data por meio do sistema SIF. 2ª parcela, no valor de R$3.000,00, até 03/02/2025 (referente aos  honorários sucumbenciais). 3ª parcela, no valor de R$2.098,17, até 17/02/2025. 4ª parcela, no valor de R$3.500,00, até 17/03/2025. 5ª parcela, no valor de R$3.500,00, até 15/04/2025. 6ª parcela, no valor de R$3.500,00, até 15/05/2025. 7ª parcela, no valor de R$3.500,00, até 16/06/2025. 8ª parcela, no valor de R$3.500,00, até 15/07/2025. 9ª parcela, no valor de R$3.500,00, até 15/08/2025.</t>
  </si>
  <si>
    <t xml:space="preserve">0011969-47.2022.5.15.0018 </t>
  </si>
  <si>
    <t>CLAUDINEIA SANTOS DA SILVA</t>
  </si>
  <si>
    <t>R$25.194,10 a ser pago em 4 parcelas de R$6.298,60 vencendo todo dia 30 a partir de 30/04/2025</t>
  </si>
  <si>
    <t>Proc 0012190-87.2022.5.15.0096 Reclamante: KASSIA VITAL FERREIRA A serem quitados da seguinte forma:  Parcela 1: R$ 3.200,00 até o dia 30/06/2025; Parcela 2: R$ 3.200,00 até o dia 30/07/2025; Parcela 3: R$ 3.200,00 até o dia 29/08/2025; Parcela 4: R$ 3.200,00 até o dia 30/09/2025; Parcela 5: R$ 3.200,00 até o dia 30/10/2025; Parcela 6: R$ 3.200,00 até o dia 28/11/2025; Parcela 7: R$ 3.200,00 até o dia 30/12/2025; Parcela 8: R$ 3.200,00 até o dia 30/01/2026; Parcela 9: R$ 3.200,00 até o dia 27/02/2026; Parcela 10: R$ 3.200,00 até o dia 30/03/2026</t>
  </si>
  <si>
    <t>PRoc 0012075-66.2022.5.15.0096  AUTOR: CLAUDIA ARAUJO DOS SANTOS valor líquido devido à reclamante de R$ 60.000,00 (secenta mil), a ser adimplido mediante o pagamento em 6 (seis) parcelas mensais, iguais e sucessivas, no valor de R$ 10.000,00 (des mil reais) cada. A primeira parcela vencerá em 15 de junho de 2025</t>
  </si>
  <si>
    <t>Processo n. 0011252-29.2021.5.15.0096  AUTOR: DANILO MIGUEL DA SILVA MARIANO a Reclamada pagará ao Reclamante o valor líquido de R$ 10.216,87 (dez mil duzentos e dezesseis reais e oitenta sete centavos), e, R$ 536,58 (quinhentos e trinta seis reais e cinquenta oito centavos), ao patrono do Reclamante (honorários de sucumbencia), totalizando 10.753,45 (dez mil e setecentos e cinquenta e tres reais), a ser adimplido mediante o pagamento de 4 (quatro) parcelas mensais, iguais e sucessivas, no valor de R$ 2.688,37 cada. A primeira parcela vencerá em 25 de junho de 2025, vencendo-se as demais no mesmo dia dos meses subsequentes, até a quitação integral da obrigação</t>
  </si>
  <si>
    <t>total R$2883,87, 1ª parecela de R$877,70 para 30/04 + 4 parcelas de R$501,54 iniciando em 30/05</t>
  </si>
  <si>
    <t>1000130-70.2024.5.02.0221</t>
  </si>
  <si>
    <t>GILVAN ANTONIO DOS SANTOS SILVA</t>
  </si>
  <si>
    <t>R$24.000,00 em 12 parcelas de R$2.000,00 iniciando em 30/05/2025 e finalizando em 30/04/2026</t>
  </si>
  <si>
    <t>O pagamento do saldo remanescente no valor de R$26.855,82 (vinte e seis mil, oitocentos e cinquenta e cinco reais e oitenta e dois centavos), divididos em 7 (sete) parcelas, iguais, mensais e consecutivas no valor de R$3.836,54, iniciando em 30/06/2025 e findando em 30/12/2025</t>
  </si>
  <si>
    <t>Proc 0011289-67.2024.5.15.0026 AUTOR: ELAINE JAQUES LOURENCONI  R$3.000,00, em tres parcelas, conforme discriminado a seguir: 1ª parcela, no valor de R$1.000,00, até 09/06/2025. 2ª parcela, no valor de R$1.000,00, até 07/07/2025. 3ª parcela, no valor de R$1.000,00, até 07/08/2025.</t>
  </si>
  <si>
    <t>Processo nº 0010363-38.2022.5.15.0097 Autora: Isabel Pereira Machado dos Santos Réu: Hserv Cabreúva - Serviços e Comércio Ltda - EPP e outros  Prezados,  A reclamada HSERV CABREUVA - SERVICOS E COMERCIO LTDA - EPP pagará a quantia líquida de R$326.852,29, em oito parcelas, conforme discriminado a seguir: 1ª parcela, no valor de R$6.852,29, já levantados pela autora (recibo ID.  f72ea30) 2ª parcela, no valor de R$50.000,00, até 21/07/2025. 3ª parcela, no valor de R$50.000,00, até 21/08/2025. 4ª parcela, no valor de R$50.000,00, até 22/09/2025. 5ª parcela, no valor de R$50.000,00, até 21/10/2025. 6ª parcela, no valor de R$50.000,00, até 21/11/2025. 7ª parcela, no valor de R$65.000,00, até 22/12/2025. 8ª parcela, no valor de R$5.000,00, até 21/01/2026.</t>
  </si>
  <si>
    <t>ATOrd 0012360-22.2024.5.15.0021 ADRIANA TEIXEIRA DE OLIVEIRA a  quantia  líquida  de  R$16.000,00,  em  oito parcelas, conforme discriminado a seguir:  1ª parcela, no valor de R$2.000,00, até 31/07/2025. 2ª parcela, no valor de R$2.000,00, até 29/08/2025. 3ª parcela, no valor de R$2.000,00, até 30/09/2025. 4ª parcela, no valor de R$2.000,00, até 31/10/2025. 5ª parcela, no valor de R$2.000,00, até 28/11/2025. 6ª parcela, no valor de R$2.000,00, até 31/12/2025. 7ª parcela, no valor de R$2.000,00, até 30/01/2026. 8ª parcela, no valor de R$2.000,00, até 27/02/2026.</t>
  </si>
  <si>
    <t>ATSum 0011504-24.2024.5.15.0097 RECLAMANTE: ANDRE DE ARAUJO LEITE FILHO Conforme audiência realizada foi realizado acordo no valor de R$ 3.465,00, a ser em 3 parcelas:  1ª parcela, no valor de R$1.000,00, até 30/07/2025. 2ª parcela, no valor de R$1.000,00, até 01/09/2025.   3ª parcela, no valor de R$1.465,00, até 30/09/2025.</t>
  </si>
  <si>
    <t>R$6.600,00 em 3x de R$2.200,00 iniciando em 30/06/2025</t>
  </si>
  <si>
    <t>R$15.000,00 em 6x de r$2.500,00 iniciando em 30/06/2025</t>
  </si>
  <si>
    <t>maria de jesus marques gino ferreira</t>
  </si>
  <si>
    <t>R$26.566,73 - liberação do depósito recursal de R$6.566,73 + 7 parcelas, sendo a primeira de R$5.000,00 para 30/04/2025 e mais 6 de r$2.500,00 iniciando em 30/05/25 até 30/10/2025</t>
  </si>
  <si>
    <t>Reclamação Trabalhista nº 0010137-76.2022.5.15.0018 MANOEL VICENTE DA SILVA Parcela 1: R$ 3.968,99 (devido ao Reclamante) e R$ 6.069,71 (honorários devidos ao adv do reclamante) pagamento imediato após assinatura das partes; Parcela 2: R$ 3.968,99 até o dia 01/08/2025; Parcela 3: R$ 3.968,99 até o dia 01/09/2025; Parcela 4: R$ 3.968,99 até o dia 01/10/2025; Parcela 5: R$ 3.968,99 até o dia 01/11/2025; Parcela 6: R$ 3.968,99 até o dia 01/12/2025; Parcela 7: R$ 3.968,99 até o dia 01/01/2026; Parcela 8: R$ 3.968,99 até o dia 01/02/2026</t>
  </si>
  <si>
    <t>Proc 0012259-82.2024.5.15.0021 AUTOR: ESTEVAO GOMES DE SOUZA  quitação do postulado na inicial e do contrato de trabalho havido, a quantia líquida de R$28.000,00, em cinco parcelas, conforme discriminado a seguir: 1ª parcela, no valor de R$5.600,00, até 08/07/2025. 2ª parcela, no valor de R$5.600,00, até 08/08/2025. 3ª parcela, no valor de R$5.600,00, até 08/09/2025. 4ª parcela, no valor de R$5.600,00, até 08/10/2025. 5ª parcela, no valor de R$5.600,00, até 10/11/2025.</t>
  </si>
  <si>
    <t>ATSum 0011148-23.2024.5.15.0002 RECLAMANTE: ANTONIA MILENA SOARES DE SOUZA pagará à parte reclamante, em troca de quitação do,  a  quantia  líquida  de postulado  na  inicial  e  do  contrato  de  trabalho  havido R$10.000,00, em dez parcelas, conforme discriminado a seguir:  1ª parcela, no valor de R$1.000,00, até 30/07/2025. 2ª parcela, no valor de R$1.000,00, até 01/09/2025. 3ª parcela, no valor de R$1.000,00, até 30/09/2025. 4ª parcela, no valor de R$1.000,00, até 30/10/2025. 5ª parcela, no valor de R$1.000,00, até 01/12/2025. 6ª parcela, no valor de R$1.000,00, até 30/12/2025. 7ª parcela, no valor de R$1.000,00, até 30/01/2026. 8ª parcela, no valor de R$1.000,00, até 02/03/2026. 9ª parcela, no valor de R$1.000,00, até 30/03/2026.  10ª parcela, no valor de R$1.000,00, até 30/04/2026.</t>
  </si>
  <si>
    <t>R$16.000,00 em 8x de R$2000,00 iniciando em 09/05/2025 e finalizando em 09/12/2025</t>
  </si>
  <si>
    <t>R$16.000,00 em 8x de R$2000,00 iniciando em 15/05/2025 e finalizando em 15/12/2025</t>
  </si>
  <si>
    <t xml:space="preserve">ANGELO JOSE ARANTES </t>
  </si>
  <si>
    <t>R$14.000,00 em 10x de R$1.400,00 iniciando em 30/05/25 finalizando em 02/03/2026</t>
  </si>
  <si>
    <t>R$14.789,04 em 8 parcelas R$1848,63 iniciando em 21/03/2025 e finalizando em21/10/2025</t>
  </si>
  <si>
    <t>R$23.000,00 em 12x de R$1.916,67 iniciando em 30/05/25 e finalizando em 30/04/2026</t>
  </si>
  <si>
    <t>Proc 0011865-05.2024.5.15.0109 RECLAMANTE: ADRILENE PEREIRA DA SILVA Segue acordo realizado em audiência.  Para  por  fim  ao  presente  litígio,  a reclamada pagará à parte reclamante a importância líquida de R$ 9.000,00, em 6 parcelas  iguais  e  mensais  de  R$  1.500,00,  todo  dia  31  ou  primeiro  dia  útil subsequente, iniciando-se pelo dia 31/07/2025.</t>
  </si>
  <si>
    <t>GUIA PARA PAGAMENTO DAS CUSTAS PROCESSUAIS  Proc 0011845-30.2023.5.15.0018 RECLAMANTE: ALINE MARTINS DE ASSIS RECLAMADO(A): VITOR AUGUSTO DUARTE - ME  Prezados, segue termos do acordo realizado em audiência.  VITOR AUGUSTO DUARTE - ME  pagará à(ao)  reclamante,   a quantia líquida de R$472,54, no dia 30/06/2025. Dados bancários: BANCO DO BRASIL CARINA CANIZARES  CPF: 249.799.978-30 AGÊNCIA 105-8 CONTA CORRENTE: 108518-2  No prazo de até 30 dias após o vencimento da  parcela a reclamada deverá comprovar o pagamento das custas processuais, no valor de R$ 10,64.  Iremos enviar a guia de pagamento.</t>
  </si>
  <si>
    <t>Proc  0010898-64.2022.5.15.0097 AUTOR: FRANCISCA NEUDA FRANCALINO DE SOUZA  efetuará o pagamento de R$ 25.784,31 (vinte e cinco mil, setecentos e oitenta e quatro reais e trinta e um centavos) a FRANCISCA NEUDA FRANCALINO DE SOUZA,  em 9 (nove) parcelas mensais e sucessivas no valor de R$ 2.864,92 (dois mil oitocentos e sessenta e quatro reais e noventa e dois centavos), a serem atualizadas pelo índice IPCA-E mensal, iniciando em 30/06/2025</t>
  </si>
  <si>
    <t>0012026-51.2024.5.15.0097</t>
  </si>
  <si>
    <t>PARCELAMENTO JUDICIAL - 30% + 6 parcelas, iniciando no mês 06/2025. Todo mês haverá correção e juros</t>
  </si>
  <si>
    <t>quitado</t>
  </si>
  <si>
    <t>R$4.400,00 em 5x de R$880,00 iniciando em 30/07/2025 e finalizando em 30/11/25</t>
  </si>
  <si>
    <t>Segue ata da audiência e termos do acordo no valor total de R$4.000,00 realizado:
1ª parcela, no valor de R$2.000,00, até 25/08/2025. 2ª parcela, no valor de R$2.000,00, até 25/09/2025</t>
  </si>
  <si>
    <t>RÉUS - Grupo Hserv</t>
  </si>
  <si>
    <t xml:space="preserve">Réus - Clientes </t>
  </si>
  <si>
    <t>POSTOS DE TRABALHO</t>
  </si>
  <si>
    <t>CONDENAÇÃO</t>
  </si>
  <si>
    <t>MARCIA LUZIA DAMASCENO</t>
  </si>
  <si>
    <t>0010503-86.2025.5.15.0026</t>
  </si>
  <si>
    <t>NAIR DONIZETE TEODORO DE ANDRADE</t>
  </si>
  <si>
    <t>Hserv Cabreúva;</t>
  </si>
  <si>
    <t>Condomínio Sapopema, Condomínio Spazio Joanesburgo, Condomínio Pleno</t>
  </si>
  <si>
    <t>DEMISSÃO</t>
  </si>
  <si>
    <t>ADMISSÃO</t>
  </si>
  <si>
    <t>FUNÇÃO</t>
  </si>
  <si>
    <t>controlador de acesso</t>
  </si>
  <si>
    <t>Condomínio Sapopema (03/19 até 11/19, Condomínio Spazio  Joanesburgo (12/19 até 05/22), Condomínio Pleno (07/22 até 11/22)</t>
  </si>
  <si>
    <r>
      <rPr>
        <b/>
        <sz val="12"/>
        <color rgb="FF454545"/>
        <rFont val="Calibri"/>
        <family val="2"/>
        <scheme val="minor"/>
      </rPr>
      <t>1  -</t>
    </r>
    <r>
      <rPr>
        <sz val="12"/>
        <color rgb="FF454545"/>
        <rFont val="Calibri"/>
        <family val="2"/>
        <scheme val="minor"/>
      </rPr>
      <t xml:space="preserve"> descaracterização de escala: (I) 40 minutos com acréscimo de 50% sobre o valorda remuneração da hora normal de trabalho em razão do descumprimento dointervalo previsto no artigo 71 da CLT; e II) horas extras além da 8ª diária ou 44ªsemanal,  o  dobro  pelo  labor  em  domingos  e  feriados,  e  adicional  noturno,considerando a prorrogação e a redução de hora noturna; + reflexos</t>
    </r>
    <r>
      <rPr>
        <b/>
        <sz val="12"/>
        <color rgb="FF454545"/>
        <rFont val="Calibri"/>
        <family val="2"/>
        <scheme val="minor"/>
      </rPr>
      <t xml:space="preserve"> 2 - </t>
    </r>
    <r>
      <rPr>
        <sz val="12"/>
        <color rgb="FF454545"/>
        <rFont val="Calibri"/>
        <family val="2"/>
        <scheme val="minor"/>
      </rPr>
      <t>diferenças de FGTS não colhido</t>
    </r>
    <r>
      <rPr>
        <b/>
        <sz val="12"/>
        <color rgb="FF454545"/>
        <rFont val="Calibri"/>
        <family val="2"/>
        <scheme val="minor"/>
      </rPr>
      <t xml:space="preserve">; 3 - </t>
    </r>
    <r>
      <rPr>
        <sz val="12"/>
        <color rgb="FF454545"/>
        <rFont val="Calibri"/>
        <family val="2"/>
        <scheme val="minor"/>
      </rPr>
      <t>VT e VR nas FTS</t>
    </r>
    <r>
      <rPr>
        <b/>
        <sz val="12"/>
        <color rgb="FF454545"/>
        <rFont val="Calibri"/>
        <family val="2"/>
        <scheme val="minor"/>
      </rPr>
      <t>;</t>
    </r>
    <r>
      <rPr>
        <sz val="12"/>
        <color rgb="FF454545"/>
        <rFont val="Calibri"/>
        <family val="2"/>
        <scheme val="minor"/>
      </rPr>
      <t xml:space="preserve"> </t>
    </r>
    <r>
      <rPr>
        <b/>
        <sz val="12"/>
        <color rgb="FF454545"/>
        <rFont val="Calibri"/>
        <family val="2"/>
        <scheme val="minor"/>
      </rPr>
      <t>4 -</t>
    </r>
    <r>
      <rPr>
        <sz val="12"/>
        <color rgb="FF454545"/>
        <rFont val="Calibri"/>
        <family val="2"/>
        <scheme val="minor"/>
      </rPr>
      <t xml:space="preserve"> INSS, Custas e Honorários</t>
    </r>
  </si>
  <si>
    <t>OBRIGAÇÕES DE FAZER</t>
  </si>
  <si>
    <t>Débito extinto em razão do pagamento por bloqueio nas contas. Esther afirmou que o valor de R$ R$ 1.611,80 da Omie Cash não foi desbloqueado, embora conste no processo que foi. Ela está diligênciando com o banco para verificar o que aconteceu. Se não houver solução, devemos peticionar nos autos</t>
  </si>
  <si>
    <t>Hserv Combinados</t>
  </si>
  <si>
    <t>ASG</t>
  </si>
  <si>
    <t>1 - guias FGTS e SEGURO; 2 - anotar CTPS:</t>
  </si>
  <si>
    <r>
      <t xml:space="preserve"> </t>
    </r>
    <r>
      <rPr>
        <b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 - Nulidade da justa causa, reversão para dispensa imotivada (aviso prévio de 33 dias; décimo terceiro salário proporcional de 2020 (11/12,já  considerada  a  projeção  do  aviso  prévio);  férias  proporcionais  de  2020/2021acrescidas de um terço (8/12, já considerada a projeção do aviso prévio); FGTS doperíodo relativo à projeção do aviso prévio, isto é, de 20.10.2020 a 21.11.2020 (inclusivesobre  as  verbas  rescisórias,  com  exceção  das  férias  acrescidas  de  um  terço);indenização de 40% do FGTS);</t>
    </r>
    <r>
      <rPr>
        <b/>
        <sz val="12"/>
        <color theme="1"/>
        <rFont val="Calibri"/>
        <family val="2"/>
        <scheme val="minor"/>
      </rPr>
      <t xml:space="preserve"> 2 </t>
    </r>
    <r>
      <rPr>
        <sz val="12"/>
        <color theme="1"/>
        <rFont val="Calibri"/>
        <family val="2"/>
        <scheme val="minor"/>
      </rPr>
      <t xml:space="preserve">- insalubridade 40%; </t>
    </r>
    <r>
      <rPr>
        <b/>
        <sz val="12"/>
        <color theme="1"/>
        <rFont val="Calibri"/>
        <family val="2"/>
        <scheme val="minor"/>
      </rPr>
      <t xml:space="preserve">3 </t>
    </r>
    <r>
      <rPr>
        <sz val="12"/>
        <color theme="1"/>
        <rFont val="Calibri"/>
        <family val="2"/>
        <scheme val="minor"/>
      </rPr>
      <t xml:space="preserve">- multa do 477; </t>
    </r>
  </si>
  <si>
    <t>Irmãos Boa; Kyn Comercio</t>
  </si>
  <si>
    <t>fiscal de loja</t>
  </si>
  <si>
    <t>proceder à anotação da baixa na CTPS do reclamante; recolher a multa de 40% do FGTS; expedir a documentaçãonecessária para que o reclamante se habilite no Seguro-Desemprego e para quemovimente sua conta vinculada do FGTS</t>
  </si>
  <si>
    <r>
      <rPr>
        <b/>
        <sz val="12"/>
        <color theme="1"/>
        <rFont val="Calibri"/>
        <family val="2"/>
        <scheme val="minor"/>
      </rPr>
      <t xml:space="preserve">1) </t>
    </r>
    <r>
      <rPr>
        <sz val="12"/>
        <color theme="1"/>
        <rFont val="Calibri"/>
        <family val="2"/>
        <scheme val="minor"/>
      </rPr>
      <t xml:space="preserve">reverteu a justa causa por abandono de emprego e reconheceu a rescisão indireta (falta de recolhimento do FGTS, falta de pagamento de VR, escala em desacordo com a CCT); </t>
    </r>
    <r>
      <rPr>
        <b/>
        <sz val="12"/>
        <color theme="1"/>
        <rFont val="Calibri"/>
        <family val="2"/>
        <scheme val="minor"/>
      </rPr>
      <t>2)</t>
    </r>
    <r>
      <rPr>
        <sz val="12"/>
        <color theme="1"/>
        <rFont val="Calibri"/>
        <family val="2"/>
        <scheme val="minor"/>
      </rPr>
      <t xml:space="preserve"> saldo de salário, aviso prévio, 13º, férias, FGTS + multa 40%; multa da CCT; -2 vales-transportes diários, no valor diário de R$ 10,00;.- cesta básica de janeiro de 2023, no valor de R$ 123,82</t>
    </r>
  </si>
  <si>
    <t xml:space="preserve">Partes apresentaram cálculos e foram divergentes. Aguardando decisão judicial. No cálculo do reclamante há cobrança de multa por não cumprimento das obrigações de fazer. </t>
  </si>
  <si>
    <t>Vitor Augusto Me; Hserv Cabreuva</t>
  </si>
  <si>
    <r>
      <rPr>
        <b/>
        <sz val="12"/>
        <color theme="1"/>
        <rFont val="Calibri"/>
        <family val="2"/>
        <scheme val="minor"/>
      </rPr>
      <t xml:space="preserve">1) </t>
    </r>
    <r>
      <rPr>
        <sz val="12"/>
        <color theme="1"/>
        <rFont val="Calibri"/>
        <family val="2"/>
        <scheme val="minor"/>
      </rPr>
      <t xml:space="preserve">Adicional de Insalubridade (40%); </t>
    </r>
    <r>
      <rPr>
        <b/>
        <sz val="12"/>
        <color theme="1"/>
        <rFont val="Calibri"/>
        <family val="2"/>
        <scheme val="minor"/>
      </rPr>
      <t xml:space="preserve">2) </t>
    </r>
    <r>
      <rPr>
        <sz val="12"/>
        <color theme="1"/>
        <rFont val="Calibri"/>
        <family val="2"/>
        <scheme val="minor"/>
      </rPr>
      <t xml:space="preserve">depósito de FGTS faltante e multa de 40%; </t>
    </r>
    <r>
      <rPr>
        <b/>
        <sz val="12"/>
        <color theme="1"/>
        <rFont val="Calibri"/>
        <family val="2"/>
        <scheme val="minor"/>
      </rPr>
      <t>3)</t>
    </r>
    <r>
      <rPr>
        <sz val="12"/>
        <color theme="1"/>
        <rFont val="Calibri"/>
        <family val="2"/>
        <scheme val="minor"/>
      </rPr>
      <t xml:space="preserve"> Devolução de desconto indevido no TRCT; </t>
    </r>
  </si>
  <si>
    <t xml:space="preserve">1) Adicional de Isalubridade (40%); 2) cesta básica agosto e setembro de 22; </t>
  </si>
  <si>
    <t>enviado ofício ao TST - setor de fiscalização de locais de trabalho insalubres</t>
  </si>
  <si>
    <t>Perito irá apresentar cálculos até 02/09/2025.</t>
  </si>
  <si>
    <t>0010360-81.2025.5.15.0096</t>
  </si>
  <si>
    <t>PAULO EDVAN HAHNE</t>
  </si>
  <si>
    <t>R$6.000,00 em 6x, iniciando em 29/08/25</t>
  </si>
  <si>
    <t>R$38.000,00 em 10x, iniciando em 29/08/2025</t>
  </si>
  <si>
    <t xml:space="preserve">Audiência desginada para 15/10/2025. Processo se trata de PJOTIZAÇÃO, porém ainda não foi suspenso. </t>
  </si>
  <si>
    <t>cálculos divergentes, enviado para perícia técnica</t>
  </si>
  <si>
    <t>cálculos divergentes</t>
  </si>
  <si>
    <t>valor da causa, ainda não temos cálculos no processo</t>
  </si>
  <si>
    <t>cálculo apresentado pelo reclamante, sem cálculos do reclamado por enquanto</t>
  </si>
  <si>
    <t> R$        85.381,27</t>
  </si>
  <si>
    <t xml:space="preserve">saldo ao reclamante + INSS e custas processuais </t>
  </si>
  <si>
    <t xml:space="preserve">Hserv Facilities </t>
  </si>
  <si>
    <r>
      <t xml:space="preserve">1) </t>
    </r>
    <r>
      <rPr>
        <sz val="12"/>
        <color theme="1"/>
        <rFont val="Calibri"/>
        <family val="2"/>
        <scheme val="minor"/>
      </rPr>
      <t>adicional de insalubridade (40%)</t>
    </r>
  </si>
  <si>
    <t xml:space="preserve">CÁLCULO - PREVISÃO </t>
  </si>
  <si>
    <t xml:space="preserve">PROBABILIDADE DE PERDA </t>
  </si>
  <si>
    <t>ADVOGADO</t>
  </si>
  <si>
    <t>CRITÉRIOS PARA SEPARAR</t>
  </si>
  <si>
    <t>EXECUÇÃO</t>
  </si>
  <si>
    <t>PEDIDOS</t>
  </si>
  <si>
    <t xml:space="preserve">VALOR </t>
  </si>
  <si>
    <t>Réus - Grupo Hserv</t>
  </si>
  <si>
    <t>Réus - Clientes</t>
  </si>
  <si>
    <t>Posto de Trabalho</t>
  </si>
  <si>
    <t>Função</t>
  </si>
  <si>
    <t>Admissão</t>
  </si>
  <si>
    <t>Demissão</t>
  </si>
  <si>
    <t>Fiscal; Líder de Loja; Obra do BOA</t>
  </si>
  <si>
    <r>
      <rPr>
        <b/>
        <sz val="12"/>
        <rFont val="Calibri"/>
        <family val="2"/>
        <scheme val="minor"/>
      </rPr>
      <t xml:space="preserve">1) </t>
    </r>
    <r>
      <rPr>
        <sz val="12"/>
        <rFont val="Calibri"/>
        <family val="2"/>
        <scheme val="minor"/>
      </rPr>
      <t xml:space="preserve">reversão da justa causa (aviso, 13º, férias, multa 40% FGTS; </t>
    </r>
    <r>
      <rPr>
        <b/>
        <sz val="12"/>
        <rFont val="Calibri"/>
        <family val="2"/>
        <scheme val="minor"/>
      </rPr>
      <t xml:space="preserve">2) </t>
    </r>
    <r>
      <rPr>
        <sz val="12"/>
        <rFont val="Calibri"/>
        <family val="2"/>
        <scheme val="minor"/>
      </rPr>
      <t xml:space="preserve">recolhimento do FGTS; </t>
    </r>
    <r>
      <rPr>
        <b/>
        <sz val="12"/>
        <rFont val="Calibri"/>
        <family val="2"/>
        <scheme val="minor"/>
      </rPr>
      <t xml:space="preserve">3) </t>
    </r>
    <r>
      <rPr>
        <sz val="12"/>
        <rFont val="Calibri"/>
        <family val="2"/>
        <scheme val="minor"/>
      </rPr>
      <t xml:space="preserve">Multa 477 CLT; </t>
    </r>
    <r>
      <rPr>
        <b/>
        <sz val="12"/>
        <rFont val="Calibri"/>
        <family val="2"/>
        <scheme val="minor"/>
      </rPr>
      <t xml:space="preserve">4) </t>
    </r>
    <r>
      <rPr>
        <sz val="12"/>
        <rFont val="Calibri"/>
        <family val="2"/>
        <scheme val="minor"/>
      </rPr>
      <t xml:space="preserve">Adicional de periculosidade; </t>
    </r>
    <r>
      <rPr>
        <b/>
        <sz val="12"/>
        <rFont val="Calibri"/>
        <family val="2"/>
        <scheme val="minor"/>
      </rPr>
      <t xml:space="preserve">5) </t>
    </r>
    <r>
      <rPr>
        <sz val="12"/>
        <rFont val="Calibri"/>
        <family val="2"/>
        <scheme val="minor"/>
      </rPr>
      <t>Descaracterização escala (pagamento horas extras além da 8ª diária e 44ª semanal)</t>
    </r>
    <r>
      <rPr>
        <b/>
        <sz val="12"/>
        <rFont val="Calibri"/>
        <family val="2"/>
        <scheme val="minor"/>
      </rPr>
      <t xml:space="preserve">; 6) </t>
    </r>
    <r>
      <rPr>
        <sz val="12"/>
        <rFont val="Calibri"/>
        <family val="2"/>
        <scheme val="minor"/>
      </rPr>
      <t>integração das horas extras pagas por fora (reflexos);</t>
    </r>
    <r>
      <rPr>
        <b/>
        <sz val="12"/>
        <rFont val="Calibri"/>
        <family val="2"/>
        <scheme val="minor"/>
      </rPr>
      <t xml:space="preserve"> 7) </t>
    </r>
    <r>
      <rPr>
        <sz val="12"/>
        <rFont val="Calibri"/>
        <family val="2"/>
        <scheme val="minor"/>
      </rPr>
      <t xml:space="preserve">adicional noturno; </t>
    </r>
  </si>
  <si>
    <t>CAIO NUNCIARONI</t>
  </si>
  <si>
    <t>RENAN GUSTAVO DA COSTA MOTA</t>
  </si>
  <si>
    <t xml:space="preserve">HSERV Cabreúva; HSERV Tecnologia; HSERV Clean; Hserv Representações; </t>
  </si>
  <si>
    <t>VTR Tubos; Aflon Plasticos; Ricaro Embalagens; Isofma</t>
  </si>
  <si>
    <t>R$5.000,00 em 5x iniciando em 08/09/25</t>
  </si>
  <si>
    <t>Condomínio Residencial HM 33-2</t>
  </si>
  <si>
    <t>zelador</t>
  </si>
  <si>
    <t>Audiência instrução</t>
  </si>
  <si>
    <r>
      <t xml:space="preserve">1) </t>
    </r>
    <r>
      <rPr>
        <sz val="12"/>
        <rFont val="Calibri"/>
        <family val="2"/>
        <scheme val="minor"/>
      </rPr>
      <t>Reversão justa causa (saldo de salário, aviso, 13º, multa FGTS, férias vencidas e proporcionais, FGTS e seguro)</t>
    </r>
    <r>
      <rPr>
        <b/>
        <sz val="12"/>
        <rFont val="Calibri"/>
        <family val="2"/>
        <scheme val="minor"/>
      </rPr>
      <t>; 2</t>
    </r>
    <r>
      <rPr>
        <sz val="12"/>
        <rFont val="Calibri"/>
        <family val="2"/>
        <scheme val="minor"/>
      </rPr>
      <t>) horas extras;</t>
    </r>
    <r>
      <rPr>
        <b/>
        <sz val="12"/>
        <rFont val="Calibri"/>
        <family val="2"/>
        <scheme val="minor"/>
      </rPr>
      <t xml:space="preserve"> 3) </t>
    </r>
    <r>
      <rPr>
        <sz val="12"/>
        <rFont val="Calibri"/>
        <family val="2"/>
        <scheme val="minor"/>
      </rPr>
      <t>insalubridade</t>
    </r>
    <r>
      <rPr>
        <b/>
        <sz val="12"/>
        <rFont val="Calibri"/>
        <family val="2"/>
        <scheme val="minor"/>
      </rPr>
      <t xml:space="preserve">; 4) </t>
    </r>
    <r>
      <rPr>
        <sz val="12"/>
        <rFont val="Calibri"/>
        <family val="2"/>
        <scheme val="minor"/>
      </rPr>
      <t>multas CLT</t>
    </r>
  </si>
  <si>
    <t>oscar da silva barboza</t>
  </si>
  <si>
    <t>Condomínio Pleno</t>
  </si>
  <si>
    <t>Vitor Augusto; Hserv Cabreúva; Hserv Representações; Hserv Combinados; Hserv Terceirizados; Hserv Tecnologia; Hserv Limpeza e Segurança</t>
  </si>
  <si>
    <t>Controle de acesso / líder / supervisão</t>
  </si>
  <si>
    <r>
      <rPr>
        <b/>
        <sz val="12"/>
        <rFont val="Calibri"/>
        <family val="2"/>
        <scheme val="minor"/>
      </rPr>
      <t>1)</t>
    </r>
    <r>
      <rPr>
        <sz val="12"/>
        <rFont val="Calibri"/>
        <family val="2"/>
        <scheme val="minor"/>
      </rPr>
      <t xml:space="preserve"> integração salário extrafolha; </t>
    </r>
    <r>
      <rPr>
        <b/>
        <sz val="12"/>
        <rFont val="Calibri"/>
        <family val="2"/>
        <scheme val="minor"/>
      </rPr>
      <t>2)</t>
    </r>
    <r>
      <rPr>
        <sz val="12"/>
        <rFont val="Calibri"/>
        <family val="2"/>
        <scheme val="minor"/>
      </rPr>
      <t xml:space="preserve"> horas extras;</t>
    </r>
    <r>
      <rPr>
        <b/>
        <sz val="12"/>
        <rFont val="Calibri"/>
        <family val="2"/>
        <scheme val="minor"/>
      </rPr>
      <t xml:space="preserve"> 3) </t>
    </r>
    <r>
      <rPr>
        <sz val="12"/>
        <rFont val="Calibri"/>
        <family val="2"/>
        <scheme val="minor"/>
      </rPr>
      <t>supressão intrajornada;</t>
    </r>
    <r>
      <rPr>
        <b/>
        <sz val="12"/>
        <rFont val="Calibri"/>
        <family val="2"/>
        <scheme val="minor"/>
      </rPr>
      <t xml:space="preserve"> 4)</t>
    </r>
    <r>
      <rPr>
        <sz val="12"/>
        <rFont val="Calibri"/>
        <family val="2"/>
        <scheme val="minor"/>
      </rPr>
      <t xml:space="preserve"> sobreaviso;</t>
    </r>
    <r>
      <rPr>
        <b/>
        <sz val="12"/>
        <rFont val="Calibri"/>
        <family val="2"/>
        <scheme val="minor"/>
      </rPr>
      <t xml:space="preserve"> 5)</t>
    </r>
    <r>
      <rPr>
        <sz val="12"/>
        <rFont val="Calibri"/>
        <family val="2"/>
        <scheme val="minor"/>
      </rPr>
      <t xml:space="preserve"> acúmulo função; </t>
    </r>
    <r>
      <rPr>
        <i/>
        <sz val="12"/>
        <rFont val="Calibri"/>
        <family val="2"/>
        <scheme val="minor"/>
      </rPr>
      <t>6)</t>
    </r>
    <r>
      <rPr>
        <sz val="12"/>
        <rFont val="Calibri"/>
        <family val="2"/>
        <scheme val="minor"/>
      </rPr>
      <t xml:space="preserve"> insalubridade e/ou periculosidade;</t>
    </r>
    <r>
      <rPr>
        <b/>
        <sz val="12"/>
        <rFont val="Calibri"/>
        <family val="2"/>
        <scheme val="minor"/>
      </rPr>
      <t xml:space="preserve"> 7)</t>
    </r>
    <r>
      <rPr>
        <sz val="12"/>
        <rFont val="Calibri"/>
        <family val="2"/>
        <scheme val="minor"/>
      </rPr>
      <t xml:space="preserve"> multa 477 CLT</t>
    </r>
  </si>
  <si>
    <t>Boa Jundiaí / Obra Mercado Havan</t>
  </si>
  <si>
    <t>perícia desginada para 25/09/2025; audiência de instrução desginada para 16/04/26</t>
  </si>
  <si>
    <t>INSS: R$5.048,21</t>
  </si>
  <si>
    <t>CUSTAS: R$100,00</t>
  </si>
  <si>
    <t xml:space="preserve">INSS: R$35,33 </t>
  </si>
  <si>
    <t>NÃO</t>
  </si>
  <si>
    <t>INSS: R$675,37; PERITO: R$3.000,00; CUSTAS: 200,00</t>
  </si>
  <si>
    <t>CUSTAS AO FINAL (30 dias após a última parcela)</t>
  </si>
  <si>
    <t>INSS: 7.733,45; PERITO: R$3.000,00</t>
  </si>
  <si>
    <t>INSS: R$402,79; CUSTAS: R$300,00</t>
  </si>
  <si>
    <t>R$12.400,00 em 10x, iniciando em 20/08/2025. 
realizar  as  anotações  na  CTPS  digital  da
reclamante</t>
  </si>
  <si>
    <t>CUSTAS: R$50,00; PERITO: R$200,00; INSS: R$119,29</t>
  </si>
  <si>
    <t>INSS: r$626,12; CUSTAS: R$300,00</t>
  </si>
  <si>
    <t>R$18.000,00, em 9 parcelas de R$2.000,00, iniciando em 03/10/2025 e as demais para o mesmo dia dos meses subsequentes.</t>
  </si>
  <si>
    <t>CUSTAS: R$600,00; PERITO: R$3.500,00 *AGUARDANDO HOMOLOGAÇÃO PARA ISENTAR ESSES PAGAMENTOS*</t>
  </si>
  <si>
    <t>INSS: r$4.151,06; CUSTAS: R$400,00  *AGUARDANDO HOMOLOGAÇÃO PARA ISENTAR ESSES PAGAMENTOS*</t>
  </si>
  <si>
    <t>CUSTAS: R$260,00; INSS:R$88,44</t>
  </si>
  <si>
    <t>pagamento finalizado em 10/06/2025</t>
  </si>
  <si>
    <t>PERITO: R$1.500,00</t>
  </si>
  <si>
    <t>PERITO: R$2.000,00; CUSTAS: R$320,00; INSS: R$546,82</t>
  </si>
  <si>
    <t xml:space="preserve">PERITO: R$500,00; </t>
  </si>
  <si>
    <t>INSS: R$7.830,01</t>
  </si>
  <si>
    <t>PERITO 60 DIAS: R$2.000,00; INSS 30 DIAS: R$13.910,67</t>
  </si>
  <si>
    <t>R$4.00,00 em 4x, iniciando em 16/10/2025</t>
  </si>
  <si>
    <t>INSS:558,71 CUSTAS:40,00</t>
  </si>
  <si>
    <t>INSS: R$5.463,73; Perito: R$2.000,00; Custas: R$261,36</t>
  </si>
  <si>
    <t>Custas: R$400,00</t>
  </si>
  <si>
    <t>Custas: R$10,46</t>
  </si>
  <si>
    <t>perito:R$1.800,00, INSS:R$4.951,09</t>
  </si>
  <si>
    <t>PERITOS (30 DIAS): $1.566,74 e R$ 3.133,418. INSS (60 DIAS): R$17.411,06</t>
  </si>
  <si>
    <t>AGUARDANDO HOMOLOGAÇÃO PARA ISENTAR INSS</t>
  </si>
  <si>
    <t>PERITO (30 DIAS): R$1.500,00; INSS (60 DIAS): R$9.359,94 ; CUSTAS (60 DIAS): R$866,13</t>
  </si>
  <si>
    <t>Autor</t>
  </si>
  <si>
    <t>Réu</t>
  </si>
  <si>
    <t>Valor da Causa</t>
  </si>
  <si>
    <t>Resumo dos Pedidos</t>
  </si>
  <si>
    <t>Fase atual</t>
  </si>
  <si>
    <t>instrução</t>
  </si>
  <si>
    <t>Hserv Cabreúva Serviços de Apoio A Edificios Eireli</t>
  </si>
  <si>
    <t>Condôminio Residêncial Madri</t>
  </si>
  <si>
    <t>Processo</t>
  </si>
  <si>
    <t xml:space="preserve">Pagamento de multas contratuais </t>
  </si>
  <si>
    <t>Comentários</t>
  </si>
  <si>
    <t>1001880-03.2019.8.26.0080 - RECONVENÇÃO</t>
  </si>
  <si>
    <t>1001880-03.2019.8.26.0080 - PRINCIPAL</t>
  </si>
  <si>
    <t>Oficiar Receita e INSS; multa contratual</t>
  </si>
  <si>
    <t>1002161-80.2024.8.26.0080</t>
  </si>
  <si>
    <t>Banco Bradesco S/A</t>
  </si>
  <si>
    <t>Hserv Cabreúva Serviços de Apoio A Edificios Eireli; Vitor Duarte</t>
  </si>
  <si>
    <t>Execução de Cédula de Crédito Bancário</t>
  </si>
  <si>
    <t>suspenso</t>
  </si>
  <si>
    <t>Acordo em cumprimento</t>
  </si>
  <si>
    <t>lucineide dias da silva </t>
  </si>
  <si>
    <t>Henrique Jean; Hserv Combinados</t>
  </si>
  <si>
    <t xml:space="preserve">resíduo de R$593,25 para 29/09/2025. </t>
  </si>
  <si>
    <t>INSS: 2.079,24</t>
  </si>
  <si>
    <t> 0012545-94.2022.5.15.0097</t>
  </si>
  <si>
    <t>ednalva pedreira da conceicao da silva </t>
  </si>
  <si>
    <t>hserv cabreuva - servicos e comercio ltda - epp </t>
  </si>
  <si>
    <t>0000520-11.2023.8.26.0080</t>
  </si>
  <si>
    <t>Barroso Fontelles Sociedade de Advogados</t>
  </si>
  <si>
    <t>Cumprimento de sentença - custas e honorários</t>
  </si>
  <si>
    <t>cumprimento de senteça</t>
  </si>
  <si>
    <t>R$64.000,00 em 16 parcelas, a primeira de R$5.000,00 em 30/09/2025 e as demais de R$3.993,34 no mesmo dia, finalizando em 30/12/2026</t>
  </si>
  <si>
    <t>INSS (60 DIAS): R$8.098,54; CUSTAS R$1.470,44 (60 dias); PERITO: R$1.500,00 (30 DIAS)</t>
  </si>
  <si>
    <t>DAIANE OLIVEIRA DIAS DO PRADO - SEGREDO DE JUSTIÇA</t>
  </si>
  <si>
    <t>Prazo para pagamento: 09/10/2025</t>
  </si>
  <si>
    <t>Boa / Dom Olívio / Vettor Torres / Lantary / From do Brasil</t>
  </si>
  <si>
    <t>1) reconhecimento do vínculo e verbas correlatas; 2) indenização estabilidade gestante; 3) indenizaçaõ seguro desemprego; 4) insalubridade 40%; 5) horas extas; 6) vale refeição;, 5) multa CCT</t>
  </si>
  <si>
    <t>anotas CTPS</t>
  </si>
  <si>
    <t>1001562-71.2025.5.02.0292</t>
  </si>
  <si>
    <t>jose cicero dos santos costa</t>
  </si>
  <si>
    <t>hser tercerizados</t>
  </si>
  <si>
    <t>irmaõs boa</t>
  </si>
  <si>
    <t>extinto por desistência do reclamante</t>
  </si>
  <si>
    <t>casa avenida</t>
  </si>
  <si>
    <t>EMPRESAS GRUPO HSERV</t>
  </si>
  <si>
    <t>Condenações</t>
  </si>
  <si>
    <t>Obrigações de Fazer</t>
  </si>
  <si>
    <t>INSS (90 DIAS): r$11.341,83; CUSTAS (90 DIAS): R$1.464,03; PERITO (90 DIAS): R$2.000,00</t>
  </si>
  <si>
    <t xml:space="preserve">R$ 48.072,97 em dezenove parcelas conforme segue: 1ª parcela, no valor de R$4.370,27, até 21/10/2025 (honorários sucumbenciais) e 18x de R$2.570,75 até o último dia útil de cada mês, iniciando em 31/10/25 até 01/03/27. Após, teremos 90 dias para comprovar pagamento de INSS e custas. </t>
  </si>
  <si>
    <t xml:space="preserve">NÃO </t>
  </si>
  <si>
    <t>R$17.000,00, em quinze parcelas, 1ª parcela, no valor de R$1.133,34, até 10/10/2025. 2ª parcela, no valor de R$1.133,34, até 30/10/2025 e as demais todo dia 17 do mês, finalizando em 17/11/26.</t>
  </si>
  <si>
    <t>0012021-86.2025.5.15.0002</t>
  </si>
  <si>
    <t xml:space="preserve">SIMONE PAIXAO VAIZ </t>
  </si>
  <si>
    <t>audiência em 18/11/25</t>
  </si>
  <si>
    <t>EDUARDO FELIPE LEZO ZAMBONI</t>
  </si>
  <si>
    <r>
      <rPr>
        <b/>
        <sz val="11"/>
        <color theme="1"/>
        <rFont val="Calibri"/>
        <family val="2"/>
        <scheme val="minor"/>
      </rPr>
      <t xml:space="preserve">1) </t>
    </r>
    <r>
      <rPr>
        <sz val="11"/>
        <color theme="1"/>
        <rFont val="Calibri"/>
        <family val="2"/>
        <scheme val="minor"/>
      </rPr>
      <t xml:space="preserve">horas extras;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DRS da mulher;</t>
    </r>
    <r>
      <rPr>
        <b/>
        <sz val="11"/>
        <color theme="1"/>
        <rFont val="Calibri"/>
        <family val="2"/>
        <scheme val="minor"/>
      </rPr>
      <t xml:space="preserve"> 3)</t>
    </r>
    <r>
      <rPr>
        <sz val="11"/>
        <color theme="1"/>
        <rFont val="Calibri"/>
        <family val="2"/>
        <scheme val="minor"/>
      </rPr>
      <t xml:space="preserve"> adicional de insalubridade; </t>
    </r>
    <r>
      <rPr>
        <b/>
        <sz val="11"/>
        <color theme="1"/>
        <rFont val="Calibri"/>
        <family val="2"/>
        <scheme val="minor"/>
      </rPr>
      <t>4)</t>
    </r>
    <r>
      <rPr>
        <sz val="11"/>
        <color theme="1"/>
        <rFont val="Calibri"/>
        <family val="2"/>
        <scheme val="minor"/>
      </rPr>
      <t xml:space="preserve"> diferença salarial;</t>
    </r>
    <r>
      <rPr>
        <b/>
        <sz val="11"/>
        <color theme="1"/>
        <rFont val="Calibri"/>
        <family val="2"/>
        <scheme val="minor"/>
      </rPr>
      <t xml:space="preserve"> 5)</t>
    </r>
    <r>
      <rPr>
        <sz val="11"/>
        <color theme="1"/>
        <rFont val="Calibri"/>
        <family val="2"/>
        <scheme val="minor"/>
      </rPr>
      <t xml:space="preserve"> rescisão indireta;</t>
    </r>
    <r>
      <rPr>
        <b/>
        <sz val="11"/>
        <color theme="1"/>
        <rFont val="Calibri"/>
        <family val="2"/>
        <scheme val="minor"/>
      </rPr>
      <t xml:space="preserve"> 6)</t>
    </r>
    <r>
      <rPr>
        <sz val="11"/>
        <color theme="1"/>
        <rFont val="Calibri"/>
        <family val="2"/>
        <scheme val="minor"/>
      </rPr>
      <t xml:space="preserve"> multa 467 e 477 da CLT; </t>
    </r>
    <r>
      <rPr>
        <b/>
        <sz val="11"/>
        <color theme="1"/>
        <rFont val="Calibri"/>
        <family val="2"/>
        <scheme val="minor"/>
      </rPr>
      <t>7)</t>
    </r>
    <r>
      <rPr>
        <sz val="11"/>
        <color theme="1"/>
        <rFont val="Calibri"/>
        <family val="2"/>
        <scheme val="minor"/>
      </rPr>
      <t xml:space="preserve"> liberar guia seguro; </t>
    </r>
  </si>
  <si>
    <t>1500511-09.2022.8.26.0080</t>
  </si>
  <si>
    <t>Diogo Barreto</t>
  </si>
  <si>
    <t>1003125-58.2023.8.26.0161</t>
  </si>
  <si>
    <t>Poliprime Indústria de Artigos Plásticos Eireli</t>
  </si>
  <si>
    <t xml:space="preserve">Justiça Pública </t>
  </si>
  <si>
    <t>Hserv Serviços de Limpeza e Segurança Sociedade Unipessoal Ltda</t>
  </si>
  <si>
    <t>Condenou por furto</t>
  </si>
  <si>
    <t>Criminal - Furto</t>
  </si>
  <si>
    <t>Ação monitória</t>
  </si>
  <si>
    <t>Citação</t>
  </si>
  <si>
    <t>Tentativas de citação</t>
  </si>
  <si>
    <t>pedido de extinção pelo pagamento aguardando análise</t>
  </si>
  <si>
    <t>1001839-31.2022.8.26.0080</t>
  </si>
  <si>
    <t>Henrique Jean Duarte Eireli (Hserv Park)</t>
  </si>
  <si>
    <t>Quebec Catálogos</t>
  </si>
  <si>
    <t>0000704-93.2025.8.26.0080</t>
  </si>
  <si>
    <t>ação monitória</t>
  </si>
  <si>
    <t>Ação monitória julgada procedente, cumprimento nº. 0000704-93.2025.8.26.0080</t>
  </si>
  <si>
    <t xml:space="preserve">Cumprimento de sentença </t>
  </si>
  <si>
    <t>distribuído cumprimento de sentença</t>
  </si>
  <si>
    <t>1005628-69.2018.8.26.0309</t>
  </si>
  <si>
    <t>Eduardo Henrique Desangiocomo</t>
  </si>
  <si>
    <t>HSERV Cabreuva Serviços e Comércio Ltda - EPP</t>
  </si>
  <si>
    <t>Indenização por danos morais, materiais, estéticos</t>
  </si>
  <si>
    <t>Alegações finais</t>
  </si>
  <si>
    <t xml:space="preserve"> 0011620-93.2025.5.15.0097</t>
  </si>
  <si>
    <t>Iara de Oliveira Maximiano Mendes</t>
  </si>
  <si>
    <t>audiência em 11/11/25</t>
  </si>
  <si>
    <t>1088847-49.2023.8.26.0100</t>
  </si>
  <si>
    <t>Banco Sofisa S/A</t>
  </si>
  <si>
    <t>Hserv Combinados e Vitor Augusto Duarte</t>
  </si>
  <si>
    <t>Execução título extrajudicial</t>
  </si>
  <si>
    <t>1500736-97.2020.8.26.0080</t>
  </si>
  <si>
    <t>prefeitura de cabreúva</t>
  </si>
  <si>
    <t>hserv cabreúva</t>
  </si>
  <si>
    <t>execução fiscal</t>
  </si>
  <si>
    <t>arquivado</t>
  </si>
  <si>
    <t>arquivado por execução frustada</t>
  </si>
  <si>
    <t>controaldor de acesso</t>
  </si>
  <si>
    <t>1) guia do seguro desemprego e FGTS;</t>
  </si>
  <si>
    <t>1) reverteu a justa causa por abandono de emprego e reconheceu a rescisão indireta (falta de recolhimento do FGTS, falta de pagamento de VR, escala em desacordo com a CCT); 3) descaracterização de escala e horas extras; 4) intervalo intrajornada; 5) multa CCT</t>
  </si>
  <si>
    <t>Debora Aparecida de Lima</t>
  </si>
  <si>
    <t>Jose Antonio da Silva</t>
  </si>
  <si>
    <t xml:space="preserve">Hserv Serviços de Limpeza </t>
  </si>
  <si>
    <t>1) Reversão do pedido de demissão em demissão sem justa causa; 2) estabilidade gestante; 3) insalubridade; 4) dano moral</t>
  </si>
  <si>
    <t>luis gustavo soare</t>
  </si>
  <si>
    <t>Vetor Turbos / Município de Cabreúva</t>
  </si>
  <si>
    <t>aline simoes de macedo macedo </t>
  </si>
  <si>
    <t xml:space="preserve">1) reversão do pedido de demissão; 2) guias seguro e fgts; 3) horas extras; 4) intervalo intrajornada; 5) equiparação salarial; 6) insalubridade; 7) periculosidade; 8) dano moral </t>
  </si>
  <si>
    <t>audiência em 10/12/25</t>
  </si>
  <si>
    <t>BOA</t>
  </si>
  <si>
    <t>motorista</t>
  </si>
  <si>
    <t>flavia braga ceccon </t>
  </si>
  <si>
    <t>audiência para 15/05/2026</t>
  </si>
  <si>
    <t>Hserv BASE para supermercados</t>
  </si>
  <si>
    <t>1) reconhecimento de vinculos e verbas; 2) demissão e verbas; 3) diferenças salariais; 4) descaracterizar escala e horas extras; 5) adicional noturno; 6) FGTS; 7)multas</t>
  </si>
  <si>
    <t>Audiência instrução10/11/2025</t>
  </si>
  <si>
    <t>Audiência de concialiaço 10/12/2025</t>
  </si>
  <si>
    <t>audiência de instrução para 22/01/26</t>
  </si>
  <si>
    <t>Vamos apresentar cálculos de liquidação. Prazo 29/10/25</t>
  </si>
  <si>
    <t>Vamos apresentar cálculo de liquidação. Prazo: 31/10/2025; prazo para impugnação: 12/11/2025</t>
  </si>
  <si>
    <t>Angelica Moreira</t>
  </si>
  <si>
    <t>Vamos impugnar calculo da reclamante com nosso cálculo que deu 16 mil a menos</t>
  </si>
  <si>
    <t>concordamos com o cálculo do reclamante; audiência de conciliaçaõ em 27/01/26</t>
  </si>
  <si>
    <t>cálculos divergentes, o nosso deu 340mil, encaminhado para perícia contábil</t>
  </si>
  <si>
    <t>supervisor</t>
  </si>
  <si>
    <t>1) reconhecimento de vínculo; 2) horas extras; intrajornada; 3) dano moral; 4) mltas CLT</t>
  </si>
  <si>
    <t xml:space="preserve"> Irmãos Boa / Supermercado Nações Unidas</t>
  </si>
  <si>
    <t>Vitor Augusto/ Hserv Clean / Hserv Serviços</t>
  </si>
  <si>
    <t>Boa / Nações Unidas</t>
  </si>
  <si>
    <t>Fiscal / Supervisora</t>
  </si>
  <si>
    <t xml:space="preserve">1) horas extras; 2) intervalo intra e interjornada; 3) equiparação salarial; 4) reconhecimento de vínculo; 5) adicional sobreaviso; 6) verbas rescisórias; </t>
  </si>
  <si>
    <t>0012160-44.2025.5.15.0097</t>
  </si>
  <si>
    <t>Adailton Augusto Vitorino</t>
  </si>
  <si>
    <t>audiência em 29/01/2025</t>
  </si>
  <si>
    <t>data início</t>
  </si>
  <si>
    <t>Elenilza Patricia Almeida Duarte</t>
  </si>
  <si>
    <t>0010814-96.2025.5.15.0149</t>
  </si>
  <si>
    <t>audiência em 10/11/2025</t>
  </si>
  <si>
    <t>0011043-87.2025.5.15.0074</t>
  </si>
  <si>
    <t xml:space="preserve">Elaine Cristina Lopes </t>
  </si>
  <si>
    <t>asg</t>
  </si>
  <si>
    <t>audiência inicial em 09/12/2025</t>
  </si>
  <si>
    <t>00111321-032025.5.15.0100</t>
  </si>
  <si>
    <t>Bruna Maiara da Silva Pires</t>
  </si>
  <si>
    <t>Vitor</t>
  </si>
  <si>
    <t>Casa Avenida</t>
  </si>
  <si>
    <t>0012496-95.2025.5.15.0002</t>
  </si>
  <si>
    <t>Maria da Consolação dos Anjos</t>
  </si>
  <si>
    <t>Vitor; Combinados</t>
  </si>
  <si>
    <t>Boa</t>
  </si>
  <si>
    <t>Erickson Henrique da Silva Constancio</t>
  </si>
  <si>
    <t>Vitor; Hserv Cabreúva</t>
  </si>
  <si>
    <t>Marcio Brandino de Lara</t>
  </si>
  <si>
    <t>HSERV Terceirizados</t>
  </si>
  <si>
    <t>audiência para 08/04/2026</t>
  </si>
  <si>
    <t>0012098-04.2025.5.15.0097</t>
  </si>
  <si>
    <t>Daiane Cristina Felix</t>
  </si>
  <si>
    <t>Irmãos Boa / Supermercado Nações Unidas</t>
  </si>
  <si>
    <t>Hserv Cabreuva</t>
  </si>
  <si>
    <t>0011968-14.2025.5.15.0097</t>
  </si>
  <si>
    <t>Luis Fernando Falcao Pereira</t>
  </si>
  <si>
    <t>audiência inicial em 19/02/26</t>
  </si>
  <si>
    <t>0012657-04.2025.5.15.0018</t>
  </si>
  <si>
    <t>Elizangela Jessica de Melo</t>
  </si>
  <si>
    <t>audiência inicial em 24/02/26</t>
  </si>
  <si>
    <t>audiência inicial em 26/02/26</t>
  </si>
  <si>
    <t>1001590-39.2025.5.02.0292</t>
  </si>
  <si>
    <t>Michael Novaes de Franca</t>
  </si>
  <si>
    <t>audiência em 06/11/2025</t>
  </si>
  <si>
    <t>0010355-53.2025.5.15.0097</t>
  </si>
  <si>
    <t>Natalia Lopes de Freitas Diniz</t>
  </si>
  <si>
    <t>0010905-95.2025.5.15.0050</t>
  </si>
  <si>
    <t>Vera Lucia Felix</t>
  </si>
  <si>
    <t>001825-08.2025.5.15.0135</t>
  </si>
  <si>
    <t>Fagner Lopes da Silva</t>
  </si>
  <si>
    <t>Jose Wenes Ferreira</t>
  </si>
  <si>
    <t>1001624-17.2025.5.02.0291</t>
  </si>
  <si>
    <t>001228-86.2025.5.15.0097</t>
  </si>
  <si>
    <t>Vera Lucia do Nascimento Silva</t>
  </si>
  <si>
    <t>períciaudiência de instrução desginada para 25/08/2026</t>
  </si>
  <si>
    <t>Hserv Serviços de Apoio / Vitor Augusto Duarte</t>
  </si>
  <si>
    <t>quantia líquida deR$5.000,00, em cinco parcelas, conforme discriminado a seguir:1ª parcela, no valor de R$1.000,00, até 29/08/2025.2ª parcela, no valor de R$1.000,00, até 29/09/2025.3ª parcela, no valor de R$1.000,00, até 29/10/2025.4ª parcela, no valor de R$1.000,00, até 28/11/2025.5ª parcela, no valor de R$1.000,00, até 29/12/2025</t>
  </si>
  <si>
    <t>0011817-48.2025.5.515.0097</t>
  </si>
  <si>
    <t>REcurso</t>
  </si>
  <si>
    <t>Reclamante recorreu</t>
  </si>
  <si>
    <t>sentença</t>
  </si>
  <si>
    <t>julgado improcedente</t>
  </si>
  <si>
    <t>DATA DE INÍCIO</t>
  </si>
  <si>
    <t>VALOR PEDIDO</t>
  </si>
  <si>
    <t>VALOR ACORDO</t>
  </si>
  <si>
    <t>DIANA MARCIA DE CAMARGO BARBOSA</t>
  </si>
  <si>
    <t>MANOEL ROBERTO DE SOUSA</t>
  </si>
  <si>
    <t>R$50.000,00 EM 17 parcelas sendo as duas primeiras no valor de R$2.500,00 nos dias 11/08/2025 e 29/08/2025,respectivamente, sendo as demais no valor de R$ 3.000,00 cada uma, todo dia 30 ou primeiro dia útil subsequente, iniciando-se em 30/09/2025.</t>
  </si>
  <si>
    <t>ALINE MARTINS DE ASSIS</t>
  </si>
  <si>
    <t>Boa - Eloy</t>
  </si>
  <si>
    <t>Boa - Varzea</t>
  </si>
  <si>
    <t xml:space="preserve"> vettor /flamboia</t>
  </si>
  <si>
    <t xml:space="preserve"> vettor / flamboia</t>
  </si>
  <si>
    <t>Regiana Maria Monteiro</t>
  </si>
  <si>
    <t>PERITO: R$3.000,00 parcelado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</si>
</sst>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color rgb="FF000000"/>
      <name val="Arial"/>
      <family val="2"/>
    </font>
    <font>
      <sz val="12"/>
      <color rgb="FF111111"/>
      <name val="Calibri"/>
      <family val="2"/>
      <scheme val="minor"/>
    </font>
    <font>
      <b/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2"/>
      <color rgb="FF454545"/>
      <name val="Calibri"/>
      <family val="2"/>
      <scheme val="minor"/>
    </font>
    <font>
      <b/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777777"/>
      <name val="Calibri Light"/>
      <family val="2"/>
      <scheme val="major"/>
    </font>
    <font>
      <sz val="8"/>
      <color theme="1"/>
      <name val="Arial"/>
      <family val="2"/>
    </font>
    <font>
      <i/>
      <sz val="12"/>
      <name val="Calibri"/>
      <family val="2"/>
      <scheme val="minor"/>
    </font>
    <font>
      <sz val="12"/>
      <color rgb="FF151515"/>
      <name val="Calibri"/>
      <family val="2"/>
      <scheme val="minor"/>
    </font>
    <font>
      <sz val="9"/>
      <color rgb="FF151515"/>
      <name val="Segoe UI"/>
      <family val="2"/>
    </font>
    <font>
      <sz val="10"/>
      <color theme="1"/>
      <name val="Arial"/>
      <family val="2"/>
    </font>
    <font>
      <sz val="12"/>
      <color rgb="FF212529"/>
      <name val="Calibri "/>
    </font>
    <font>
      <sz val="12"/>
      <color theme="1"/>
      <name val="Calibri "/>
    </font>
    <font>
      <sz val="12"/>
      <color rgb="FF000000"/>
      <name val="Calibri "/>
    </font>
    <font>
      <sz val="12"/>
      <name val="Calibri "/>
    </font>
    <font>
      <sz val="8"/>
      <color theme="1"/>
      <name val="Segoe UI"/>
      <family val="2"/>
    </font>
    <font>
      <sz val="8"/>
      <color rgb="FF212529"/>
      <name val="Segoe UI"/>
      <family val="2"/>
    </font>
    <font>
      <sz val="7"/>
      <color rgb="FF777777"/>
      <name val="Arial"/>
      <family val="2"/>
    </font>
    <font>
      <sz val="11"/>
      <name val="Calibri"/>
      <family val="2"/>
      <scheme val="minor"/>
    </font>
    <font>
      <sz val="8"/>
      <color rgb="FF151515"/>
      <name val="Segoe UI"/>
      <family val="2"/>
    </font>
    <font>
      <sz val="15"/>
      <color rgb="FF333333"/>
      <name val="Segoe UI"/>
      <family val="2"/>
    </font>
    <font>
      <sz val="11"/>
      <color theme="1"/>
      <name val="Arial"/>
      <family val="2"/>
    </font>
    <font>
      <sz val="13"/>
      <color rgb="FF333333"/>
      <name val="Segoe UI"/>
      <family val="2"/>
    </font>
    <font>
      <b/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E7E4E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2">
    <xf numFmtId="0" fontId="0" fillId="0" borderId="0" xfId="0"/>
    <xf numFmtId="44" fontId="0" fillId="0" borderId="0" xfId="1" applyFont="1"/>
    <xf numFmtId="0" fontId="4" fillId="0" borderId="0" xfId="0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4" fontId="4" fillId="0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7" fontId="3" fillId="3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/>
    </xf>
    <xf numFmtId="44" fontId="10" fillId="0" borderId="0" xfId="1" applyFont="1" applyAlignment="1">
      <alignment horizontal="center" vertical="center"/>
    </xf>
    <xf numFmtId="44" fontId="10" fillId="0" borderId="0" xfId="1" applyFont="1" applyFill="1" applyAlignment="1">
      <alignment horizontal="center" vertical="center"/>
    </xf>
    <xf numFmtId="44" fontId="10" fillId="0" borderId="0" xfId="1" applyFont="1"/>
    <xf numFmtId="0" fontId="10" fillId="0" borderId="0" xfId="0" applyFont="1" applyAlignment="1">
      <alignment vertical="center" wrapText="1"/>
    </xf>
    <xf numFmtId="44" fontId="4" fillId="0" borderId="0" xfId="1" applyFont="1" applyFill="1" applyAlignment="1">
      <alignment horizontal="center" vertical="center"/>
    </xf>
    <xf numFmtId="44" fontId="7" fillId="0" borderId="0" xfId="1" applyFont="1" applyFill="1" applyAlignment="1">
      <alignment horizontal="center" vertical="center"/>
    </xf>
    <xf numFmtId="44" fontId="2" fillId="0" borderId="0" xfId="0" applyNumberFormat="1" applyFont="1"/>
    <xf numFmtId="14" fontId="6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4" fontId="7" fillId="0" borderId="0" xfId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/>
    </xf>
    <xf numFmtId="44" fontId="10" fillId="0" borderId="0" xfId="1" applyFont="1" applyAlignment="1">
      <alignment horizontal="center"/>
    </xf>
    <xf numFmtId="0" fontId="11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/>
    <xf numFmtId="0" fontId="23" fillId="0" borderId="0" xfId="0" applyFont="1"/>
    <xf numFmtId="0" fontId="0" fillId="0" borderId="0" xfId="0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44" fontId="12" fillId="0" borderId="0" xfId="1" applyFont="1"/>
    <xf numFmtId="44" fontId="10" fillId="0" borderId="0" xfId="1" applyFont="1" applyBorder="1" applyAlignment="1">
      <alignment horizontal="center" vertical="center"/>
    </xf>
    <xf numFmtId="44" fontId="10" fillId="0" borderId="0" xfId="0" applyNumberFormat="1" applyFont="1"/>
    <xf numFmtId="44" fontId="4" fillId="9" borderId="0" xfId="1" applyFont="1" applyFill="1" applyAlignment="1">
      <alignment horizontal="center" vertical="center"/>
    </xf>
    <xf numFmtId="8" fontId="4" fillId="9" borderId="0" xfId="1" applyNumberFormat="1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44" fontId="9" fillId="0" borderId="0" xfId="1" applyFont="1"/>
    <xf numFmtId="0" fontId="5" fillId="0" borderId="0" xfId="0" applyFont="1"/>
    <xf numFmtId="14" fontId="0" fillId="0" borderId="0" xfId="0" applyNumberFormat="1"/>
    <xf numFmtId="44" fontId="4" fillId="5" borderId="0" xfId="1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17" fontId="3" fillId="8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4" fillId="0" borderId="0" xfId="0" applyFont="1"/>
    <xf numFmtId="0" fontId="4" fillId="13" borderId="1" xfId="0" applyFont="1" applyFill="1" applyBorder="1" applyAlignment="1">
      <alignment horizontal="center" vertical="center" wrapText="1"/>
    </xf>
    <xf numFmtId="44" fontId="4" fillId="13" borderId="0" xfId="1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4" fontId="0" fillId="0" borderId="1" xfId="0" applyNumberFormat="1" applyBorder="1"/>
    <xf numFmtId="0" fontId="4" fillId="0" borderId="1" xfId="0" applyFont="1" applyBorder="1"/>
    <xf numFmtId="0" fontId="25" fillId="0" borderId="1" xfId="0" applyFont="1" applyBorder="1"/>
    <xf numFmtId="0" fontId="26" fillId="0" borderId="1" xfId="0" applyFont="1" applyBorder="1"/>
    <xf numFmtId="0" fontId="4" fillId="0" borderId="1" xfId="0" applyFont="1" applyBorder="1" applyAlignment="1">
      <alignment wrapText="1"/>
    </xf>
    <xf numFmtId="44" fontId="25" fillId="0" borderId="1" xfId="1" applyFont="1" applyFill="1" applyBorder="1"/>
    <xf numFmtId="44" fontId="26" fillId="0" borderId="1" xfId="1" applyFont="1" applyFill="1" applyBorder="1"/>
    <xf numFmtId="0" fontId="26" fillId="0" borderId="1" xfId="0" applyFont="1" applyBorder="1" applyAlignment="1">
      <alignment horizontal="left" vertical="center" wrapText="1"/>
    </xf>
    <xf numFmtId="44" fontId="26" fillId="0" borderId="1" xfId="1" applyFont="1" applyBorder="1"/>
    <xf numFmtId="44" fontId="25" fillId="0" borderId="1" xfId="1" applyFont="1" applyBorder="1"/>
    <xf numFmtId="44" fontId="27" fillId="0" borderId="1" xfId="1" applyFont="1" applyBorder="1"/>
    <xf numFmtId="0" fontId="26" fillId="0" borderId="0" xfId="0" applyFont="1"/>
    <xf numFmtId="0" fontId="28" fillId="0" borderId="1" xfId="0" applyFont="1" applyBorder="1"/>
    <xf numFmtId="0" fontId="29" fillId="14" borderId="3" xfId="0" applyFont="1" applyFill="1" applyBorder="1" applyAlignment="1">
      <alignment horizontal="left" vertical="center" wrapText="1"/>
    </xf>
    <xf numFmtId="4" fontId="30" fillId="0" borderId="0" xfId="0" applyNumberFormat="1" applyFont="1"/>
    <xf numFmtId="0" fontId="4" fillId="0" borderId="2" xfId="0" applyFont="1" applyBorder="1"/>
    <xf numFmtId="0" fontId="30" fillId="0" borderId="0" xfId="0" applyFont="1"/>
    <xf numFmtId="14" fontId="10" fillId="0" borderId="0" xfId="0" applyNumberFormat="1" applyFont="1"/>
    <xf numFmtId="0" fontId="31" fillId="0" borderId="0" xfId="0" applyFont="1"/>
    <xf numFmtId="0" fontId="23" fillId="0" borderId="0" xfId="0" applyFont="1" applyAlignment="1">
      <alignment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4" fontId="12" fillId="0" borderId="0" xfId="0" applyNumberFormat="1" applyFont="1"/>
    <xf numFmtId="44" fontId="33" fillId="0" borderId="0" xfId="1" applyFont="1"/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44" fontId="10" fillId="4" borderId="0" xfId="1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14" fontId="10" fillId="0" borderId="0" xfId="0" applyNumberFormat="1" applyFont="1" applyAlignment="1">
      <alignment horizontal="center"/>
    </xf>
    <xf numFmtId="44" fontId="10" fillId="0" borderId="0" xfId="1" applyFont="1" applyFill="1" applyAlignment="1">
      <alignment horizontal="center"/>
    </xf>
    <xf numFmtId="14" fontId="10" fillId="0" borderId="0" xfId="0" applyNumberFormat="1" applyFont="1" applyAlignment="1">
      <alignment horizontal="center" vertical="center" wrapText="1"/>
    </xf>
    <xf numFmtId="0" fontId="34" fillId="0" borderId="0" xfId="0" applyFont="1"/>
    <xf numFmtId="4" fontId="23" fillId="0" borderId="0" xfId="0" applyNumberFormat="1" applyFont="1"/>
    <xf numFmtId="14" fontId="11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5" fillId="0" borderId="0" xfId="0" applyFont="1" applyAlignment="1">
      <alignment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35" fillId="0" borderId="1" xfId="0" applyFont="1" applyBorder="1" applyAlignment="1">
      <alignment wrapText="1"/>
    </xf>
    <xf numFmtId="44" fontId="4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44" fontId="10" fillId="0" borderId="1" xfId="1" applyFont="1" applyBorder="1" applyAlignment="1">
      <alignment horizontal="center" vertical="center"/>
    </xf>
    <xf numFmtId="44" fontId="4" fillId="0" borderId="1" xfId="1" applyFont="1" applyBorder="1" applyAlignment="1">
      <alignment horizontal="center"/>
    </xf>
    <xf numFmtId="44" fontId="10" fillId="0" borderId="1" xfId="1" applyFont="1" applyBorder="1" applyAlignment="1">
      <alignment horizontal="center" vertical="center" wrapText="1"/>
    </xf>
    <xf numFmtId="44" fontId="0" fillId="0" borderId="0" xfId="1" applyFont="1" applyBorder="1" applyAlignment="1">
      <alignment horizontal="center"/>
    </xf>
    <xf numFmtId="44" fontId="23" fillId="0" borderId="1" xfId="1" applyFont="1" applyBorder="1"/>
    <xf numFmtId="0" fontId="7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wrapText="1"/>
    </xf>
    <xf numFmtId="0" fontId="35" fillId="0" borderId="5" xfId="0" applyFont="1" applyBorder="1" applyAlignment="1">
      <alignment wrapText="1"/>
    </xf>
    <xf numFmtId="14" fontId="0" fillId="0" borderId="1" xfId="0" applyNumberFormat="1" applyBorder="1" applyAlignment="1">
      <alignment horizontal="center"/>
    </xf>
    <xf numFmtId="14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8260-F2EA-43F9-92F5-EFDFA713E978}">
  <dimension ref="A1:R140"/>
  <sheetViews>
    <sheetView topLeftCell="A56" zoomScale="80" zoomScaleNormal="80" workbookViewId="0">
      <selection activeCell="B84" sqref="B84"/>
    </sheetView>
  </sheetViews>
  <sheetFormatPr defaultRowHeight="14.4"/>
  <cols>
    <col min="1" max="1" width="18" bestFit="1" customWidth="1"/>
    <col min="2" max="2" width="37.88671875" bestFit="1" customWidth="1"/>
    <col min="3" max="3" width="11.6640625" bestFit="1" customWidth="1"/>
    <col min="4" max="4" width="43.88671875" style="11" customWidth="1"/>
    <col min="5" max="5" width="36.21875" customWidth="1"/>
    <col min="6" max="6" width="35.21875" customWidth="1"/>
    <col min="7" max="7" width="31.77734375" bestFit="1" customWidth="1"/>
    <col min="8" max="8" width="25" style="38" bestFit="1" customWidth="1"/>
    <col min="9" max="9" width="15.88671875" bestFit="1" customWidth="1"/>
    <col min="10" max="10" width="16.33203125" bestFit="1" customWidth="1"/>
    <col min="11" max="11" width="19.21875" bestFit="1" customWidth="1"/>
    <col min="12" max="12" width="22.33203125" bestFit="1" customWidth="1"/>
    <col min="13" max="14" width="43.5546875" customWidth="1"/>
    <col min="15" max="15" width="31.21875" bestFit="1" customWidth="1"/>
    <col min="16" max="16" width="37.6640625" bestFit="1" customWidth="1"/>
    <col min="17" max="17" width="43.6640625" bestFit="1" customWidth="1"/>
    <col min="18" max="18" width="37.5546875" bestFit="1" customWidth="1"/>
  </cols>
  <sheetData>
    <row r="1" spans="1:18" ht="15.6">
      <c r="A1" s="24"/>
      <c r="B1" s="24"/>
      <c r="C1" s="24"/>
      <c r="D1" s="13"/>
      <c r="E1" s="24"/>
      <c r="F1" s="24"/>
      <c r="G1" s="24"/>
      <c r="H1" s="15"/>
      <c r="I1" s="24"/>
      <c r="J1" s="24"/>
      <c r="K1" s="24"/>
      <c r="L1" s="24"/>
      <c r="M1" s="24"/>
      <c r="N1" s="24"/>
      <c r="O1" s="24"/>
      <c r="P1" s="24"/>
      <c r="Q1" s="24"/>
    </row>
    <row r="2" spans="1:18" ht="15.6">
      <c r="A2" s="24"/>
      <c r="B2" s="135" t="s">
        <v>136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41"/>
      <c r="O2" s="24"/>
      <c r="P2" s="24"/>
      <c r="Q2" s="24"/>
    </row>
    <row r="3" spans="1:18" ht="15.6">
      <c r="A3" s="24"/>
      <c r="B3" s="24"/>
      <c r="C3" s="24"/>
      <c r="D3" s="13"/>
      <c r="E3" s="24"/>
      <c r="F3" s="24"/>
      <c r="G3" s="24"/>
      <c r="H3" s="15"/>
      <c r="I3" s="24"/>
      <c r="J3" s="24"/>
      <c r="K3" s="24"/>
      <c r="L3" s="24"/>
      <c r="M3" s="24"/>
      <c r="N3" s="24"/>
      <c r="O3" s="24"/>
      <c r="P3" s="24"/>
      <c r="Q3" s="24"/>
    </row>
    <row r="4" spans="1:18" ht="15.6">
      <c r="A4" s="24"/>
      <c r="B4" s="16" t="s">
        <v>9</v>
      </c>
      <c r="C4" s="16" t="s">
        <v>608</v>
      </c>
      <c r="D4" s="25" t="s">
        <v>10</v>
      </c>
      <c r="E4" s="16" t="s">
        <v>423</v>
      </c>
      <c r="F4" s="16" t="s">
        <v>424</v>
      </c>
      <c r="G4" s="16" t="s">
        <v>425</v>
      </c>
      <c r="H4" s="16" t="s">
        <v>426</v>
      </c>
      <c r="I4" s="16" t="s">
        <v>427</v>
      </c>
      <c r="J4" s="16" t="s">
        <v>428</v>
      </c>
      <c r="K4" s="16" t="s">
        <v>422</v>
      </c>
      <c r="L4" s="16" t="s">
        <v>16</v>
      </c>
      <c r="M4" s="16" t="s">
        <v>421</v>
      </c>
      <c r="N4" s="16" t="s">
        <v>11</v>
      </c>
      <c r="O4" s="16" t="s">
        <v>416</v>
      </c>
      <c r="P4" s="16" t="s">
        <v>417</v>
      </c>
      <c r="Q4" s="16" t="s">
        <v>418</v>
      </c>
      <c r="R4" s="43" t="s">
        <v>419</v>
      </c>
    </row>
    <row r="5" spans="1:18" ht="57.6">
      <c r="A5" s="13">
        <v>1</v>
      </c>
      <c r="B5" s="83" t="s">
        <v>528</v>
      </c>
      <c r="C5" s="83"/>
      <c r="D5" s="84" t="s">
        <v>529</v>
      </c>
      <c r="E5" s="2" t="s">
        <v>389</v>
      </c>
      <c r="F5" s="2" t="s">
        <v>143</v>
      </c>
      <c r="G5" t="s">
        <v>583</v>
      </c>
      <c r="H5" s="38" t="s">
        <v>390</v>
      </c>
      <c r="I5" s="72">
        <v>43070</v>
      </c>
      <c r="J5" s="72">
        <v>45881</v>
      </c>
      <c r="K5" s="1">
        <v>186465.18</v>
      </c>
      <c r="L5" t="s">
        <v>3</v>
      </c>
      <c r="M5" s="51" t="s">
        <v>532</v>
      </c>
      <c r="N5" s="38" t="s">
        <v>530</v>
      </c>
      <c r="O5" s="40"/>
      <c r="P5" s="40"/>
      <c r="Q5" s="49" t="s">
        <v>531</v>
      </c>
      <c r="R5" s="40"/>
    </row>
    <row r="6" spans="1:18" ht="39.6">
      <c r="A6" s="13">
        <v>2</v>
      </c>
      <c r="B6" s="14" t="s">
        <v>558</v>
      </c>
      <c r="C6" s="14"/>
      <c r="D6" s="13" t="s">
        <v>559</v>
      </c>
      <c r="E6" s="2" t="s">
        <v>389</v>
      </c>
      <c r="F6" s="2" t="s">
        <v>143</v>
      </c>
      <c r="G6" s="24" t="s">
        <v>583</v>
      </c>
      <c r="H6" s="15" t="s">
        <v>390</v>
      </c>
      <c r="I6" s="110">
        <v>45475</v>
      </c>
      <c r="J6" s="110">
        <v>45610</v>
      </c>
      <c r="K6" s="61">
        <v>43073.2</v>
      </c>
      <c r="L6" t="s">
        <v>3</v>
      </c>
      <c r="M6" s="112" t="s">
        <v>577</v>
      </c>
      <c r="N6" s="15" t="s">
        <v>560</v>
      </c>
      <c r="O6" s="40"/>
      <c r="P6" s="40"/>
      <c r="Q6" s="111" t="s">
        <v>578</v>
      </c>
      <c r="R6" s="40"/>
    </row>
    <row r="7" spans="1:18" ht="52.8">
      <c r="A7" s="13">
        <v>3</v>
      </c>
      <c r="B7" s="14" t="s">
        <v>328</v>
      </c>
      <c r="C7" s="14"/>
      <c r="D7" s="13" t="s">
        <v>574</v>
      </c>
      <c r="E7" s="13" t="s">
        <v>324</v>
      </c>
      <c r="F7" s="14" t="s">
        <v>579</v>
      </c>
      <c r="G7" s="114" t="s">
        <v>579</v>
      </c>
      <c r="H7" s="15" t="s">
        <v>390</v>
      </c>
      <c r="I7" s="110">
        <v>45467</v>
      </c>
      <c r="J7" s="110">
        <v>45707</v>
      </c>
      <c r="K7" s="59">
        <v>38419.57</v>
      </c>
      <c r="L7" t="s">
        <v>3</v>
      </c>
      <c r="M7" s="112" t="s">
        <v>581</v>
      </c>
      <c r="N7" s="15" t="s">
        <v>582</v>
      </c>
      <c r="O7" s="40"/>
      <c r="P7" s="40"/>
      <c r="Q7" s="111" t="s">
        <v>580</v>
      </c>
      <c r="R7" s="40"/>
    </row>
    <row r="8" spans="1:18" ht="39.6">
      <c r="A8" s="13">
        <v>4</v>
      </c>
      <c r="B8" s="14" t="s">
        <v>315</v>
      </c>
      <c r="C8" s="14"/>
      <c r="D8" s="13" t="s">
        <v>575</v>
      </c>
      <c r="E8" s="13" t="s">
        <v>576</v>
      </c>
      <c r="F8" s="13" t="s">
        <v>143</v>
      </c>
      <c r="G8" s="24" t="s">
        <v>587</v>
      </c>
      <c r="H8" s="15" t="s">
        <v>584</v>
      </c>
      <c r="I8" s="110">
        <v>45659</v>
      </c>
      <c r="J8" s="110">
        <v>45748</v>
      </c>
      <c r="K8" s="115">
        <v>20519.29</v>
      </c>
      <c r="L8" t="s">
        <v>3</v>
      </c>
      <c r="M8" s="112" t="s">
        <v>588</v>
      </c>
      <c r="N8" s="15" t="s">
        <v>316</v>
      </c>
      <c r="O8" s="40"/>
      <c r="P8" s="40"/>
      <c r="Q8" s="111" t="s">
        <v>585</v>
      </c>
      <c r="R8" s="40"/>
    </row>
    <row r="9" spans="1:18" ht="15.6">
      <c r="A9" s="13">
        <v>5</v>
      </c>
      <c r="B9" s="29" t="s">
        <v>605</v>
      </c>
      <c r="C9" s="29"/>
      <c r="D9" s="15" t="s">
        <v>606</v>
      </c>
      <c r="E9" s="13"/>
      <c r="F9" s="113"/>
      <c r="G9" s="24"/>
      <c r="H9" s="15"/>
      <c r="I9" s="24"/>
      <c r="J9" s="24"/>
      <c r="K9" s="61"/>
      <c r="L9" t="s">
        <v>3</v>
      </c>
      <c r="M9" s="50"/>
      <c r="N9" s="40" t="s">
        <v>607</v>
      </c>
      <c r="O9" s="40"/>
      <c r="P9" s="40"/>
      <c r="Q9" s="47"/>
      <c r="R9" s="40"/>
    </row>
    <row r="10" spans="1:18" ht="23.4">
      <c r="A10" s="13">
        <v>6</v>
      </c>
      <c r="B10" s="126" t="s">
        <v>610</v>
      </c>
      <c r="C10" s="45"/>
      <c r="D10" s="126" t="s">
        <v>609</v>
      </c>
      <c r="E10" s="40"/>
      <c r="F10" s="40"/>
      <c r="G10" s="40"/>
      <c r="H10" s="40"/>
      <c r="I10" s="40"/>
      <c r="J10" s="40"/>
      <c r="K10" s="127">
        <v>6087.45</v>
      </c>
      <c r="L10" s="127"/>
      <c r="M10" s="40"/>
      <c r="N10" s="40" t="s">
        <v>611</v>
      </c>
      <c r="O10" s="40"/>
      <c r="P10" s="40"/>
      <c r="Q10" s="47"/>
      <c r="R10" s="40"/>
    </row>
    <row r="11" spans="1:18" ht="23.4">
      <c r="A11" s="13">
        <v>7</v>
      </c>
      <c r="B11" s="126" t="s">
        <v>612</v>
      </c>
      <c r="C11" s="45"/>
      <c r="D11" s="126" t="s">
        <v>613</v>
      </c>
      <c r="E11" s="13" t="s">
        <v>47</v>
      </c>
      <c r="F11" s="40"/>
      <c r="G11" s="40"/>
      <c r="H11" s="40" t="s">
        <v>614</v>
      </c>
      <c r="I11" s="128">
        <v>45483</v>
      </c>
      <c r="J11" s="128">
        <v>45925</v>
      </c>
      <c r="K11" s="127">
        <v>46466</v>
      </c>
      <c r="L11" s="127"/>
      <c r="M11" s="40"/>
      <c r="N11" s="40" t="s">
        <v>615</v>
      </c>
      <c r="O11" s="40"/>
      <c r="P11" s="40"/>
      <c r="Q11" s="47"/>
      <c r="R11" s="40"/>
    </row>
    <row r="12" spans="1:18" ht="23.4">
      <c r="A12" s="13">
        <v>8</v>
      </c>
      <c r="B12" s="126" t="s">
        <v>616</v>
      </c>
      <c r="C12" s="45"/>
      <c r="D12" s="126" t="s">
        <v>617</v>
      </c>
      <c r="E12" s="40" t="s">
        <v>618</v>
      </c>
      <c r="F12" s="40" t="s">
        <v>619</v>
      </c>
      <c r="G12" s="40"/>
      <c r="H12" s="40"/>
      <c r="I12" s="40"/>
      <c r="J12" s="40"/>
      <c r="K12" s="127"/>
      <c r="L12" s="127"/>
      <c r="M12" s="40"/>
      <c r="N12" s="40"/>
      <c r="O12" s="40"/>
      <c r="P12" s="40"/>
      <c r="Q12" s="47"/>
      <c r="R12" s="40"/>
    </row>
    <row r="13" spans="1:18" ht="23.4">
      <c r="A13" s="13">
        <v>9</v>
      </c>
      <c r="B13" s="126" t="s">
        <v>620</v>
      </c>
      <c r="C13" s="45"/>
      <c r="D13" s="126" t="s">
        <v>621</v>
      </c>
      <c r="E13" s="40" t="s">
        <v>622</v>
      </c>
      <c r="F13" s="40" t="s">
        <v>623</v>
      </c>
      <c r="G13" s="40"/>
      <c r="H13" s="40"/>
      <c r="I13" s="40"/>
      <c r="J13" s="40"/>
      <c r="K13" s="127"/>
      <c r="L13" s="127"/>
      <c r="M13" s="40"/>
      <c r="N13" s="40"/>
      <c r="O13" s="40"/>
      <c r="P13" s="40"/>
      <c r="Q13" s="47"/>
      <c r="R13" s="40"/>
    </row>
    <row r="14" spans="1:18" ht="23.4">
      <c r="A14" s="13">
        <v>10</v>
      </c>
      <c r="B14" s="126" t="s">
        <v>656</v>
      </c>
      <c r="C14" s="45"/>
      <c r="D14" s="126" t="s">
        <v>624</v>
      </c>
      <c r="E14" s="40" t="s">
        <v>625</v>
      </c>
      <c r="F14" s="40" t="s">
        <v>623</v>
      </c>
      <c r="G14" s="40"/>
      <c r="H14" s="40"/>
      <c r="I14" s="40"/>
      <c r="J14" s="40"/>
      <c r="K14" s="127"/>
      <c r="L14" s="127"/>
      <c r="M14" s="40"/>
      <c r="N14" s="40"/>
      <c r="O14" s="40"/>
      <c r="P14" s="40"/>
      <c r="Q14" s="47"/>
      <c r="R14" s="40"/>
    </row>
    <row r="15" spans="1:18" ht="34.200000000000003">
      <c r="A15" s="13">
        <v>11</v>
      </c>
      <c r="B15" s="126" t="s">
        <v>629</v>
      </c>
      <c r="D15" s="11" t="s">
        <v>630</v>
      </c>
      <c r="E15" s="40" t="s">
        <v>21</v>
      </c>
      <c r="F15" s="121" t="s">
        <v>631</v>
      </c>
      <c r="G15" s="40"/>
      <c r="H15" s="40"/>
      <c r="I15" s="40"/>
      <c r="J15" s="40"/>
      <c r="K15" s="127"/>
      <c r="L15" s="127"/>
      <c r="M15" s="40"/>
      <c r="N15" s="40" t="s">
        <v>639</v>
      </c>
      <c r="O15" s="40"/>
      <c r="P15" s="40"/>
      <c r="Q15" s="47"/>
      <c r="R15" s="40"/>
    </row>
    <row r="16" spans="1:18" ht="23.4">
      <c r="A16" s="13">
        <v>12</v>
      </c>
      <c r="B16" s="126" t="s">
        <v>633</v>
      </c>
      <c r="C16" s="45"/>
      <c r="D16" s="126" t="s">
        <v>634</v>
      </c>
      <c r="E16" s="40" t="s">
        <v>324</v>
      </c>
      <c r="F16" s="40"/>
      <c r="G16" s="40"/>
      <c r="H16" s="40"/>
      <c r="I16" s="40"/>
      <c r="J16" s="40"/>
      <c r="K16" s="127"/>
      <c r="L16" s="127"/>
      <c r="M16" s="40"/>
      <c r="N16" s="40" t="s">
        <v>635</v>
      </c>
      <c r="O16" s="40"/>
      <c r="P16" s="40"/>
      <c r="Q16" s="47"/>
      <c r="R16" s="40"/>
    </row>
    <row r="17" spans="1:18" ht="23.4">
      <c r="A17" s="13">
        <v>13</v>
      </c>
      <c r="B17" s="126" t="s">
        <v>636</v>
      </c>
      <c r="C17" s="45"/>
      <c r="D17" s="126" t="s">
        <v>637</v>
      </c>
      <c r="E17" s="13" t="s">
        <v>47</v>
      </c>
      <c r="F17" s="40"/>
      <c r="G17" s="40"/>
      <c r="H17" s="40"/>
      <c r="I17" s="40"/>
      <c r="J17" s="40"/>
      <c r="K17" s="127"/>
      <c r="L17" s="127"/>
      <c r="M17" s="40"/>
      <c r="N17" s="40" t="s">
        <v>638</v>
      </c>
      <c r="O17" s="40"/>
      <c r="P17" s="40"/>
      <c r="Q17" s="47"/>
      <c r="R17" s="40"/>
    </row>
    <row r="18" spans="1:18" ht="23.4">
      <c r="A18" s="13">
        <v>14</v>
      </c>
      <c r="B18" s="126" t="s">
        <v>640</v>
      </c>
      <c r="C18" s="45"/>
      <c r="D18" s="126" t="s">
        <v>641</v>
      </c>
      <c r="E18" s="40"/>
      <c r="F18" s="40"/>
      <c r="G18" s="40"/>
      <c r="H18" s="40"/>
      <c r="I18" s="40"/>
      <c r="J18" s="40"/>
      <c r="K18" s="127"/>
      <c r="L18" s="127"/>
      <c r="M18" s="40"/>
      <c r="N18" s="40" t="s">
        <v>642</v>
      </c>
      <c r="O18" s="40"/>
      <c r="P18" s="40"/>
      <c r="Q18" s="47"/>
      <c r="R18" s="40"/>
    </row>
    <row r="19" spans="1:18" ht="23.4">
      <c r="A19" s="13">
        <v>15</v>
      </c>
      <c r="B19" s="126" t="s">
        <v>643</v>
      </c>
      <c r="C19" s="45"/>
      <c r="D19" s="126" t="s">
        <v>644</v>
      </c>
      <c r="E19" s="40"/>
      <c r="F19" s="40"/>
      <c r="G19" s="40"/>
      <c r="H19" s="40"/>
      <c r="I19" s="40"/>
      <c r="J19" s="40"/>
      <c r="K19" s="127"/>
      <c r="L19" s="127"/>
      <c r="M19" s="40"/>
      <c r="N19" s="40"/>
      <c r="O19" s="40"/>
      <c r="P19" s="40"/>
      <c r="Q19" s="47"/>
      <c r="R19" s="40"/>
    </row>
    <row r="20" spans="1:18" ht="23.4">
      <c r="A20" s="13">
        <v>16</v>
      </c>
      <c r="B20" s="126" t="s">
        <v>645</v>
      </c>
      <c r="C20" s="45"/>
      <c r="D20" s="126" t="s">
        <v>646</v>
      </c>
      <c r="E20" s="40"/>
      <c r="F20" s="40"/>
      <c r="G20" s="40"/>
      <c r="H20" s="40"/>
      <c r="I20" s="40"/>
      <c r="J20" s="40"/>
      <c r="K20" s="127"/>
      <c r="L20" s="127"/>
      <c r="M20" s="40"/>
      <c r="N20" s="40"/>
      <c r="O20" s="40"/>
      <c r="P20" s="40"/>
      <c r="Q20" s="47"/>
      <c r="R20" s="40"/>
    </row>
    <row r="21" spans="1:18" ht="23.4">
      <c r="A21" s="13">
        <v>17</v>
      </c>
      <c r="B21" s="126" t="s">
        <v>647</v>
      </c>
      <c r="C21" s="45"/>
      <c r="D21" s="126" t="s">
        <v>648</v>
      </c>
      <c r="E21" s="40" t="s">
        <v>389</v>
      </c>
      <c r="F21" s="40"/>
      <c r="G21" s="40"/>
      <c r="H21" s="40"/>
      <c r="I21" s="40"/>
      <c r="J21" s="40"/>
      <c r="K21" s="127"/>
      <c r="L21" s="127"/>
      <c r="M21" s="40"/>
      <c r="N21" s="40"/>
      <c r="O21" s="40"/>
      <c r="P21" s="40"/>
      <c r="Q21" s="47"/>
      <c r="R21" s="40"/>
    </row>
    <row r="22" spans="1:18" ht="23.4">
      <c r="A22" s="13">
        <v>18</v>
      </c>
      <c r="B22" s="126" t="s">
        <v>650</v>
      </c>
      <c r="C22" s="45"/>
      <c r="D22" s="126" t="s">
        <v>649</v>
      </c>
      <c r="E22" s="40" t="s">
        <v>632</v>
      </c>
      <c r="F22" s="40"/>
      <c r="G22" s="40"/>
      <c r="H22" s="40"/>
      <c r="I22" s="40"/>
      <c r="J22" s="40"/>
      <c r="K22" s="127"/>
      <c r="L22" s="127"/>
      <c r="M22" s="40"/>
      <c r="N22" s="40"/>
      <c r="O22" s="40"/>
      <c r="P22" s="40"/>
      <c r="Q22" s="47"/>
      <c r="R22" s="40"/>
    </row>
    <row r="23" spans="1:18" ht="23.4">
      <c r="A23" s="13">
        <v>19</v>
      </c>
      <c r="B23" s="126" t="s">
        <v>651</v>
      </c>
      <c r="C23" s="45"/>
      <c r="D23" s="126" t="s">
        <v>652</v>
      </c>
      <c r="E23" s="40" t="s">
        <v>632</v>
      </c>
      <c r="F23" s="40"/>
      <c r="G23" s="40"/>
      <c r="H23" s="40"/>
      <c r="I23" s="40"/>
      <c r="J23" s="40"/>
      <c r="K23" s="127"/>
      <c r="L23" s="127"/>
      <c r="M23" s="40"/>
      <c r="N23" s="40"/>
      <c r="O23" s="40"/>
      <c r="P23" s="40"/>
      <c r="Q23" s="47"/>
      <c r="R23" s="40"/>
    </row>
    <row r="24" spans="1:18" ht="124.8">
      <c r="A24" s="13">
        <v>20</v>
      </c>
      <c r="B24" s="13" t="s">
        <v>109</v>
      </c>
      <c r="C24" s="13"/>
      <c r="D24" s="13" t="s">
        <v>110</v>
      </c>
      <c r="E24" s="13" t="s">
        <v>14</v>
      </c>
      <c r="F24" s="13" t="s">
        <v>143</v>
      </c>
      <c r="G24" s="13" t="s">
        <v>445</v>
      </c>
      <c r="H24" s="14" t="s">
        <v>429</v>
      </c>
      <c r="I24" s="42">
        <v>45499</v>
      </c>
      <c r="J24" s="42">
        <v>45660</v>
      </c>
      <c r="K24" s="27">
        <v>27486.97</v>
      </c>
      <c r="L24" s="13" t="s">
        <v>438</v>
      </c>
      <c r="M24" s="14" t="s">
        <v>430</v>
      </c>
      <c r="N24" s="14" t="s">
        <v>446</v>
      </c>
      <c r="O24" s="40"/>
      <c r="P24" s="40"/>
      <c r="Q24" s="46" t="s">
        <v>431</v>
      </c>
      <c r="R24" s="40"/>
    </row>
    <row r="25" spans="1:18" ht="78">
      <c r="A25" s="13">
        <v>21</v>
      </c>
      <c r="B25" s="13" t="s">
        <v>211</v>
      </c>
      <c r="C25" s="13"/>
      <c r="D25" s="13" t="s">
        <v>212</v>
      </c>
      <c r="E25" s="14" t="s">
        <v>442</v>
      </c>
      <c r="F25" s="14" t="s">
        <v>441</v>
      </c>
      <c r="G25" s="14" t="s">
        <v>441</v>
      </c>
      <c r="H25" s="14" t="s">
        <v>443</v>
      </c>
      <c r="I25" s="125">
        <v>45360</v>
      </c>
      <c r="J25" s="125">
        <v>45445</v>
      </c>
      <c r="K25" s="27">
        <v>38000</v>
      </c>
      <c r="L25" s="13" t="s">
        <v>438</v>
      </c>
      <c r="M25" s="14" t="s">
        <v>444</v>
      </c>
      <c r="N25" s="122" t="s">
        <v>653</v>
      </c>
      <c r="O25" s="40"/>
      <c r="P25" s="40"/>
      <c r="Q25" s="40"/>
      <c r="R25" s="40"/>
    </row>
    <row r="26" spans="1:18" ht="31.2">
      <c r="A26" s="13">
        <v>22</v>
      </c>
      <c r="B26" s="13" t="s">
        <v>81</v>
      </c>
      <c r="C26" s="13"/>
      <c r="D26" s="13" t="s">
        <v>82</v>
      </c>
      <c r="E26" s="14" t="s">
        <v>601</v>
      </c>
      <c r="F26" s="14" t="s">
        <v>600</v>
      </c>
      <c r="G26" s="14" t="s">
        <v>602</v>
      </c>
      <c r="H26" s="14" t="s">
        <v>603</v>
      </c>
      <c r="I26" s="125">
        <v>43353</v>
      </c>
      <c r="J26" s="125">
        <v>45031</v>
      </c>
      <c r="K26" s="27">
        <v>642742.5</v>
      </c>
      <c r="L26" s="13" t="s">
        <v>438</v>
      </c>
      <c r="M26" s="13" t="s">
        <v>604</v>
      </c>
      <c r="N26" s="13" t="s">
        <v>589</v>
      </c>
      <c r="O26" s="40"/>
      <c r="P26" s="40"/>
      <c r="Q26" s="40"/>
      <c r="R26" s="40"/>
    </row>
    <row r="27" spans="1:18" ht="46.8">
      <c r="A27" s="13">
        <v>23</v>
      </c>
      <c r="B27" s="13" t="s">
        <v>62</v>
      </c>
      <c r="C27" s="13"/>
      <c r="D27" s="13" t="s">
        <v>63</v>
      </c>
      <c r="E27" s="13" t="s">
        <v>8</v>
      </c>
      <c r="F27" s="14" t="s">
        <v>137</v>
      </c>
      <c r="G27" s="118"/>
      <c r="H27" s="118"/>
      <c r="I27" s="118"/>
      <c r="J27" s="118"/>
      <c r="K27" s="119">
        <v>259079.14</v>
      </c>
      <c r="L27" s="117" t="s">
        <v>438</v>
      </c>
      <c r="M27" s="117"/>
      <c r="N27" s="120" t="s">
        <v>591</v>
      </c>
      <c r="O27" s="40"/>
      <c r="P27" s="40"/>
      <c r="Q27" s="40"/>
      <c r="R27" s="40"/>
    </row>
    <row r="28" spans="1:18" ht="62.4">
      <c r="A28" s="13">
        <v>24</v>
      </c>
      <c r="B28" s="13" t="s">
        <v>205</v>
      </c>
      <c r="C28" s="13"/>
      <c r="D28" s="14" t="s">
        <v>206</v>
      </c>
      <c r="E28" s="13" t="s">
        <v>8</v>
      </c>
      <c r="F28" s="13" t="s">
        <v>227</v>
      </c>
      <c r="G28" s="13" t="s">
        <v>436</v>
      </c>
      <c r="H28" s="13" t="s">
        <v>437</v>
      </c>
      <c r="I28" s="42">
        <v>44525</v>
      </c>
      <c r="J28" s="42">
        <v>45352</v>
      </c>
      <c r="K28" s="27">
        <v>107505</v>
      </c>
      <c r="L28" s="13" t="s">
        <v>438</v>
      </c>
      <c r="M28" s="121" t="s">
        <v>439</v>
      </c>
      <c r="N28" s="15" t="s">
        <v>586</v>
      </c>
      <c r="O28" s="40"/>
      <c r="P28" s="40"/>
      <c r="Q28" s="48" t="s">
        <v>440</v>
      </c>
      <c r="R28" s="40"/>
    </row>
    <row r="29" spans="1:18" ht="23.4">
      <c r="A29" s="13">
        <v>25</v>
      </c>
      <c r="B29" s="133" t="s">
        <v>329</v>
      </c>
      <c r="C29" s="45"/>
      <c r="D29" s="134" t="s">
        <v>626</v>
      </c>
      <c r="E29" s="40" t="s">
        <v>627</v>
      </c>
      <c r="F29" s="14"/>
      <c r="G29" s="14"/>
      <c r="H29" s="14"/>
      <c r="I29" s="14"/>
      <c r="J29" s="14"/>
      <c r="K29" s="26"/>
      <c r="L29" s="13"/>
      <c r="M29" s="13"/>
      <c r="N29" s="15" t="s">
        <v>628</v>
      </c>
      <c r="O29" s="40"/>
      <c r="P29" s="40"/>
      <c r="Q29" s="40"/>
      <c r="R29" s="40"/>
    </row>
    <row r="30" spans="1:18" ht="31.2">
      <c r="A30" s="13">
        <v>26</v>
      </c>
      <c r="B30" s="13" t="s">
        <v>39</v>
      </c>
      <c r="C30" s="13"/>
      <c r="D30" s="13" t="s">
        <v>40</v>
      </c>
      <c r="E30" s="13" t="s">
        <v>18</v>
      </c>
      <c r="F30" s="14" t="s">
        <v>41</v>
      </c>
      <c r="G30" s="14"/>
      <c r="H30" s="14"/>
      <c r="I30" s="14"/>
      <c r="J30" s="14"/>
      <c r="K30" s="26">
        <v>17461.96</v>
      </c>
      <c r="L30" s="26" t="s">
        <v>6</v>
      </c>
      <c r="M30" s="14" t="s">
        <v>42</v>
      </c>
      <c r="N30" s="14"/>
      <c r="O30" s="13"/>
      <c r="P30" s="13"/>
      <c r="Q30" s="24"/>
    </row>
    <row r="31" spans="1:18" ht="140.4">
      <c r="A31" s="13">
        <v>27</v>
      </c>
      <c r="B31" s="13" t="s">
        <v>45</v>
      </c>
      <c r="C31" s="13"/>
      <c r="D31" s="13" t="s">
        <v>46</v>
      </c>
      <c r="E31" s="13" t="s">
        <v>47</v>
      </c>
      <c r="F31" s="14" t="s">
        <v>48</v>
      </c>
      <c r="G31" s="14"/>
      <c r="H31" s="14"/>
      <c r="I31" s="14"/>
      <c r="J31" s="14"/>
      <c r="K31" s="26">
        <v>9000</v>
      </c>
      <c r="L31" s="26" t="s">
        <v>657</v>
      </c>
      <c r="M31" s="14" t="s">
        <v>658</v>
      </c>
      <c r="N31" s="14"/>
      <c r="O31" s="13"/>
      <c r="P31" s="13"/>
      <c r="Q31" s="24"/>
    </row>
    <row r="32" spans="1:18" ht="140.4">
      <c r="A32" s="13">
        <v>28</v>
      </c>
      <c r="B32" s="13" t="s">
        <v>54</v>
      </c>
      <c r="C32" s="13"/>
      <c r="D32" s="13" t="s">
        <v>56</v>
      </c>
      <c r="E32" s="13" t="s">
        <v>36</v>
      </c>
      <c r="F32" s="14" t="s">
        <v>57</v>
      </c>
      <c r="G32" s="14"/>
      <c r="H32" s="14"/>
      <c r="I32" s="14"/>
      <c r="J32" s="14"/>
      <c r="K32" s="26">
        <v>133203.62</v>
      </c>
      <c r="L32" s="26" t="s">
        <v>3</v>
      </c>
      <c r="M32" s="13" t="s">
        <v>55</v>
      </c>
      <c r="N32" s="13"/>
      <c r="O32" s="13"/>
      <c r="P32" s="13"/>
      <c r="Q32" s="24"/>
    </row>
    <row r="33" spans="1:17" ht="31.2">
      <c r="A33" s="13">
        <v>29</v>
      </c>
      <c r="B33" s="13" t="s">
        <v>71</v>
      </c>
      <c r="C33" s="13"/>
      <c r="D33" s="13" t="s">
        <v>72</v>
      </c>
      <c r="E33" s="13" t="s">
        <v>8</v>
      </c>
      <c r="F33" s="14" t="s">
        <v>142</v>
      </c>
      <c r="G33" s="14"/>
      <c r="H33" s="14"/>
      <c r="I33" s="14"/>
      <c r="J33" s="14"/>
      <c r="K33" s="26">
        <v>120916.85</v>
      </c>
      <c r="L33" s="26" t="s">
        <v>3</v>
      </c>
      <c r="M33" s="13" t="s">
        <v>73</v>
      </c>
      <c r="N33" s="13"/>
      <c r="O33" s="13"/>
      <c r="P33" s="13"/>
      <c r="Q33" s="24"/>
    </row>
    <row r="34" spans="1:17" ht="15.6">
      <c r="A34" s="13">
        <v>30</v>
      </c>
      <c r="B34" s="13" t="s">
        <v>74</v>
      </c>
      <c r="C34" s="13"/>
      <c r="D34" s="13" t="s">
        <v>75</v>
      </c>
      <c r="E34" s="13" t="s">
        <v>8</v>
      </c>
      <c r="F34" s="13" t="s">
        <v>140</v>
      </c>
      <c r="G34" s="13"/>
      <c r="H34" s="13"/>
      <c r="I34" s="13"/>
      <c r="J34" s="13"/>
      <c r="K34" s="26">
        <v>5288</v>
      </c>
      <c r="L34" s="26" t="s">
        <v>2</v>
      </c>
      <c r="M34" s="14" t="s">
        <v>76</v>
      </c>
      <c r="N34" s="14"/>
      <c r="O34" s="13"/>
      <c r="P34" s="13"/>
      <c r="Q34" s="24"/>
    </row>
    <row r="35" spans="1:17" ht="15.6">
      <c r="A35" s="13">
        <v>31</v>
      </c>
      <c r="B35" s="13" t="s">
        <v>96</v>
      </c>
      <c r="C35" s="13"/>
      <c r="D35" s="13" t="s">
        <v>97</v>
      </c>
      <c r="E35" s="13" t="s">
        <v>18</v>
      </c>
      <c r="F35" s="13" t="s">
        <v>143</v>
      </c>
      <c r="G35" s="13"/>
      <c r="H35" s="13"/>
      <c r="I35" s="13"/>
      <c r="J35" s="13"/>
      <c r="K35" s="26">
        <v>30657.57</v>
      </c>
      <c r="L35" s="26" t="s">
        <v>3</v>
      </c>
      <c r="M35" s="13" t="s">
        <v>104</v>
      </c>
      <c r="N35" s="13"/>
      <c r="O35" s="13"/>
      <c r="P35" s="13"/>
      <c r="Q35" s="24"/>
    </row>
    <row r="36" spans="1:17" ht="31.2">
      <c r="A36" s="13">
        <v>32</v>
      </c>
      <c r="B36" s="13" t="s">
        <v>102</v>
      </c>
      <c r="C36" s="13"/>
      <c r="D36" s="13" t="s">
        <v>103</v>
      </c>
      <c r="E36" s="13" t="s">
        <v>14</v>
      </c>
      <c r="F36" s="13" t="s">
        <v>143</v>
      </c>
      <c r="G36" s="13"/>
      <c r="H36" s="13"/>
      <c r="I36" s="13"/>
      <c r="J36" s="13"/>
      <c r="K36" s="26">
        <v>55369.919999999998</v>
      </c>
      <c r="L36" s="26" t="s">
        <v>3</v>
      </c>
      <c r="M36" s="14" t="s">
        <v>144</v>
      </c>
      <c r="N36" s="14"/>
      <c r="O36" s="13"/>
      <c r="P36" s="13"/>
      <c r="Q36" s="24"/>
    </row>
    <row r="37" spans="1:17" ht="15.6">
      <c r="A37" s="13">
        <v>33</v>
      </c>
      <c r="B37" s="13" t="s">
        <v>123</v>
      </c>
      <c r="C37" s="13"/>
      <c r="D37" s="13" t="s">
        <v>124</v>
      </c>
      <c r="E37" s="13" t="s">
        <v>53</v>
      </c>
      <c r="F37" s="13" t="s">
        <v>143</v>
      </c>
      <c r="G37" s="13"/>
      <c r="H37" s="13"/>
      <c r="I37" s="13"/>
      <c r="J37" s="13"/>
      <c r="K37" s="26">
        <v>220411.63</v>
      </c>
      <c r="L37" s="27" t="s">
        <v>3</v>
      </c>
      <c r="M37" s="13" t="s">
        <v>125</v>
      </c>
      <c r="N37" s="13"/>
      <c r="O37" s="13"/>
      <c r="P37" s="13"/>
      <c r="Q37" s="24"/>
    </row>
    <row r="38" spans="1:17" ht="15.6">
      <c r="A38" s="13">
        <v>34</v>
      </c>
      <c r="B38" s="13" t="s">
        <v>126</v>
      </c>
      <c r="C38" s="13"/>
      <c r="D38" s="13" t="s">
        <v>127</v>
      </c>
      <c r="E38" s="13" t="s">
        <v>8</v>
      </c>
      <c r="F38" s="13" t="s">
        <v>143</v>
      </c>
      <c r="G38" s="13"/>
      <c r="H38" s="13"/>
      <c r="I38" s="13"/>
      <c r="J38" s="13"/>
      <c r="K38" s="26">
        <v>11199.99</v>
      </c>
      <c r="L38" s="27" t="s">
        <v>6</v>
      </c>
      <c r="M38" s="13" t="s">
        <v>146</v>
      </c>
      <c r="N38" s="13"/>
      <c r="O38" s="13"/>
      <c r="P38" s="13"/>
      <c r="Q38" s="24"/>
    </row>
    <row r="39" spans="1:17" ht="15.6">
      <c r="A39" s="13">
        <v>35</v>
      </c>
      <c r="B39" s="13" t="s">
        <v>130</v>
      </c>
      <c r="C39" s="13"/>
      <c r="D39" s="13" t="s">
        <v>131</v>
      </c>
      <c r="E39" s="13" t="s">
        <v>8</v>
      </c>
      <c r="F39" s="13" t="s">
        <v>140</v>
      </c>
      <c r="G39" s="13"/>
      <c r="H39" s="13"/>
      <c r="I39" s="13"/>
      <c r="J39" s="13"/>
      <c r="K39" s="27">
        <v>6000</v>
      </c>
      <c r="L39" s="27" t="s">
        <v>2</v>
      </c>
      <c r="M39" s="13" t="s">
        <v>132</v>
      </c>
      <c r="N39" s="13"/>
      <c r="O39" s="13"/>
      <c r="P39" s="13"/>
      <c r="Q39" s="24"/>
    </row>
    <row r="40" spans="1:17" ht="46.8">
      <c r="A40" s="13">
        <v>36</v>
      </c>
      <c r="B40" s="13" t="s">
        <v>153</v>
      </c>
      <c r="C40" s="13"/>
      <c r="D40" s="13" t="s">
        <v>154</v>
      </c>
      <c r="E40" s="13" t="s">
        <v>8</v>
      </c>
      <c r="F40" s="13" t="s">
        <v>155</v>
      </c>
      <c r="G40" s="13"/>
      <c r="H40" s="13"/>
      <c r="I40" s="13"/>
      <c r="J40" s="13"/>
      <c r="K40" s="26">
        <v>120000</v>
      </c>
      <c r="L40" s="13" t="s">
        <v>3</v>
      </c>
      <c r="M40" s="14" t="s">
        <v>407</v>
      </c>
      <c r="N40" s="14"/>
      <c r="O40" s="13"/>
      <c r="P40" s="13"/>
      <c r="Q40" s="24"/>
    </row>
    <row r="41" spans="1:17" ht="15.6">
      <c r="A41" s="13">
        <v>37</v>
      </c>
      <c r="B41" s="13" t="s">
        <v>160</v>
      </c>
      <c r="C41" s="13"/>
      <c r="D41" s="13" t="s">
        <v>161</v>
      </c>
      <c r="E41" s="13" t="s">
        <v>8</v>
      </c>
      <c r="F41" s="13" t="s">
        <v>162</v>
      </c>
      <c r="G41" s="13"/>
      <c r="H41" s="13"/>
      <c r="I41" s="13"/>
      <c r="J41" s="13"/>
      <c r="K41" s="26">
        <v>6000</v>
      </c>
      <c r="L41" s="13" t="s">
        <v>2</v>
      </c>
      <c r="M41" s="14" t="s">
        <v>163</v>
      </c>
      <c r="N41" s="14"/>
      <c r="O41" s="13"/>
      <c r="P41" s="13"/>
      <c r="Q41" s="24"/>
    </row>
    <row r="42" spans="1:17" ht="31.2">
      <c r="A42" s="13">
        <v>38</v>
      </c>
      <c r="B42" s="13" t="s">
        <v>64</v>
      </c>
      <c r="C42" s="13"/>
      <c r="D42" s="13" t="s">
        <v>213</v>
      </c>
      <c r="E42" s="13" t="s">
        <v>8</v>
      </c>
      <c r="F42" s="14" t="s">
        <v>138</v>
      </c>
      <c r="G42" s="14"/>
      <c r="H42" s="14"/>
      <c r="I42" s="14"/>
      <c r="J42" s="14"/>
      <c r="K42" s="60">
        <v>515223.29</v>
      </c>
      <c r="L42" s="13" t="s">
        <v>3</v>
      </c>
      <c r="M42" s="14" t="s">
        <v>174</v>
      </c>
      <c r="N42" s="14"/>
      <c r="O42" s="13"/>
      <c r="P42" s="13"/>
      <c r="Q42" s="24"/>
    </row>
    <row r="43" spans="1:17" ht="15.6">
      <c r="A43" s="13">
        <v>39</v>
      </c>
      <c r="B43" s="14" t="s">
        <v>178</v>
      </c>
      <c r="C43" s="14"/>
      <c r="D43" s="13" t="s">
        <v>186</v>
      </c>
      <c r="E43" s="13" t="s">
        <v>8</v>
      </c>
      <c r="F43" s="13" t="s">
        <v>29</v>
      </c>
      <c r="G43" s="13"/>
      <c r="H43" s="13"/>
      <c r="I43" s="13"/>
      <c r="J43" s="13"/>
      <c r="K43" s="26">
        <v>62624</v>
      </c>
      <c r="L43" s="13" t="s">
        <v>5</v>
      </c>
      <c r="M43" s="14" t="s">
        <v>179</v>
      </c>
      <c r="N43" s="14"/>
      <c r="O43" s="13"/>
      <c r="P43" s="13"/>
      <c r="Q43" s="24"/>
    </row>
    <row r="44" spans="1:17" ht="15.6">
      <c r="A44" s="13">
        <v>40</v>
      </c>
      <c r="B44" s="13" t="s">
        <v>190</v>
      </c>
      <c r="C44" s="13"/>
      <c r="D44" s="13" t="s">
        <v>214</v>
      </c>
      <c r="E44" s="13" t="s">
        <v>53</v>
      </c>
      <c r="F44" s="13" t="s">
        <v>29</v>
      </c>
      <c r="G44" s="13"/>
      <c r="H44" s="13"/>
      <c r="I44" s="13"/>
      <c r="J44" s="13"/>
      <c r="K44" s="26">
        <v>27273.75</v>
      </c>
      <c r="L44" s="13" t="s">
        <v>3</v>
      </c>
      <c r="M44" s="14" t="s">
        <v>215</v>
      </c>
      <c r="N44" s="14"/>
      <c r="O44" s="13"/>
      <c r="P44" s="13"/>
      <c r="Q44" s="24"/>
    </row>
    <row r="45" spans="1:17" ht="15.6">
      <c r="A45" s="13">
        <v>41</v>
      </c>
      <c r="B45" s="13" t="s">
        <v>192</v>
      </c>
      <c r="C45" s="13"/>
      <c r="D45" s="13" t="s">
        <v>193</v>
      </c>
      <c r="E45" s="13" t="s">
        <v>21</v>
      </c>
      <c r="F45" s="13" t="s">
        <v>218</v>
      </c>
      <c r="G45" s="13"/>
      <c r="H45" s="13"/>
      <c r="I45" s="13"/>
      <c r="J45" s="13"/>
      <c r="K45" s="26">
        <v>55090.32</v>
      </c>
      <c r="L45" s="13" t="s">
        <v>4</v>
      </c>
      <c r="M45" s="14" t="s">
        <v>235</v>
      </c>
      <c r="N45" s="14"/>
      <c r="O45" s="13"/>
      <c r="P45" s="13"/>
      <c r="Q45" s="24"/>
    </row>
    <row r="46" spans="1:17" ht="15.6">
      <c r="A46" s="13">
        <v>42</v>
      </c>
      <c r="B46" s="13" t="s">
        <v>196</v>
      </c>
      <c r="C46" s="13"/>
      <c r="D46" s="13" t="s">
        <v>664</v>
      </c>
      <c r="E46" s="13" t="s">
        <v>8</v>
      </c>
      <c r="F46" s="13" t="s">
        <v>219</v>
      </c>
      <c r="G46" s="13"/>
      <c r="H46" s="13"/>
      <c r="I46" s="13"/>
      <c r="J46" s="13"/>
      <c r="K46" s="26">
        <v>82748.92</v>
      </c>
      <c r="L46" s="13" t="s">
        <v>3</v>
      </c>
      <c r="M46" s="14" t="s">
        <v>220</v>
      </c>
      <c r="N46" s="14"/>
      <c r="O46" s="13"/>
      <c r="P46" s="13"/>
      <c r="Q46" s="24"/>
    </row>
    <row r="47" spans="1:17" ht="15.6">
      <c r="A47" s="13">
        <v>43</v>
      </c>
      <c r="B47" s="13" t="s">
        <v>199</v>
      </c>
      <c r="C47" s="13"/>
      <c r="D47" s="13" t="s">
        <v>200</v>
      </c>
      <c r="E47" s="13" t="s">
        <v>8</v>
      </c>
      <c r="F47" s="13" t="s">
        <v>221</v>
      </c>
      <c r="G47" s="13"/>
      <c r="H47" s="13"/>
      <c r="I47" s="13"/>
      <c r="J47" s="13"/>
      <c r="K47" s="26">
        <v>99070.11</v>
      </c>
      <c r="L47" s="13" t="s">
        <v>5</v>
      </c>
      <c r="M47" s="13" t="s">
        <v>222</v>
      </c>
      <c r="N47" s="13"/>
      <c r="O47" s="13"/>
      <c r="P47" s="13"/>
      <c r="Q47" s="24"/>
    </row>
    <row r="48" spans="1:17" ht="31.2">
      <c r="A48" s="13">
        <v>44</v>
      </c>
      <c r="B48" s="13" t="s">
        <v>216</v>
      </c>
      <c r="C48" s="13"/>
      <c r="D48" s="13" t="s">
        <v>217</v>
      </c>
      <c r="E48" s="13" t="s">
        <v>21</v>
      </c>
      <c r="F48" s="13" t="s">
        <v>29</v>
      </c>
      <c r="G48" s="13"/>
      <c r="H48" s="13"/>
      <c r="I48" s="13"/>
      <c r="J48" s="13"/>
      <c r="K48" s="26">
        <v>40159.379999999997</v>
      </c>
      <c r="L48" s="13" t="s">
        <v>3</v>
      </c>
      <c r="M48" s="14" t="s">
        <v>228</v>
      </c>
      <c r="N48" s="14"/>
      <c r="O48" s="13"/>
      <c r="P48" s="13"/>
      <c r="Q48" s="24"/>
    </row>
    <row r="49" spans="1:17" ht="15.6">
      <c r="A49" s="13">
        <v>45</v>
      </c>
      <c r="B49" s="14" t="s">
        <v>258</v>
      </c>
      <c r="C49" s="14"/>
      <c r="D49" s="13" t="s">
        <v>229</v>
      </c>
      <c r="E49" s="13" t="s">
        <v>14</v>
      </c>
      <c r="F49" s="13" t="s">
        <v>230</v>
      </c>
      <c r="G49" s="13"/>
      <c r="H49" s="13"/>
      <c r="I49" s="13"/>
      <c r="J49" s="13"/>
      <c r="K49" s="26">
        <v>54448.26</v>
      </c>
      <c r="L49" s="13" t="s">
        <v>6</v>
      </c>
      <c r="M49" s="14" t="s">
        <v>231</v>
      </c>
      <c r="N49" s="14"/>
      <c r="O49" s="13"/>
      <c r="P49" s="26"/>
      <c r="Q49" s="24"/>
    </row>
    <row r="50" spans="1:17" ht="15.6">
      <c r="A50" s="13">
        <v>46</v>
      </c>
      <c r="B50" s="13" t="s">
        <v>20</v>
      </c>
      <c r="C50" s="13"/>
      <c r="D50" s="13" t="s">
        <v>232</v>
      </c>
      <c r="E50" s="13" t="s">
        <v>21</v>
      </c>
      <c r="F50" s="13" t="s">
        <v>27</v>
      </c>
      <c r="G50" s="13"/>
      <c r="H50" s="13"/>
      <c r="I50" s="13"/>
      <c r="J50" s="13"/>
      <c r="K50" s="26">
        <v>85381.27</v>
      </c>
      <c r="L50" s="13" t="s">
        <v>23</v>
      </c>
      <c r="M50" s="14" t="s">
        <v>257</v>
      </c>
      <c r="N50" s="14"/>
      <c r="O50" s="13"/>
      <c r="P50" s="26"/>
      <c r="Q50" s="24"/>
    </row>
    <row r="51" spans="1:17" ht="15.6">
      <c r="A51" s="13">
        <v>47</v>
      </c>
      <c r="B51" s="14" t="s">
        <v>236</v>
      </c>
      <c r="C51" s="125">
        <v>45805</v>
      </c>
      <c r="D51" s="13" t="s">
        <v>237</v>
      </c>
      <c r="E51" s="13" t="s">
        <v>8</v>
      </c>
      <c r="F51" s="13" t="s">
        <v>139</v>
      </c>
      <c r="G51" s="13"/>
      <c r="H51" s="13"/>
      <c r="I51" s="13"/>
      <c r="J51" s="13"/>
      <c r="K51" s="26">
        <v>246798.49</v>
      </c>
      <c r="L51" s="13" t="s">
        <v>3</v>
      </c>
      <c r="M51" s="14" t="s">
        <v>238</v>
      </c>
      <c r="N51" s="14"/>
      <c r="O51" s="13"/>
      <c r="P51" s="26"/>
      <c r="Q51" s="24"/>
    </row>
    <row r="52" spans="1:17" ht="15.6">
      <c r="A52" s="13">
        <v>48</v>
      </c>
      <c r="B52" s="13" t="s">
        <v>243</v>
      </c>
      <c r="C52" s="13"/>
      <c r="D52" s="13" t="s">
        <v>244</v>
      </c>
      <c r="E52" s="13" t="s">
        <v>18</v>
      </c>
      <c r="F52" s="13" t="s">
        <v>29</v>
      </c>
      <c r="G52" s="13"/>
      <c r="H52" s="13"/>
      <c r="I52" s="13"/>
      <c r="J52" s="13"/>
      <c r="K52" s="26">
        <v>140019.26999999999</v>
      </c>
      <c r="L52" s="13" t="s">
        <v>3</v>
      </c>
      <c r="M52" s="14" t="s">
        <v>245</v>
      </c>
      <c r="N52" s="14"/>
      <c r="O52" s="13" t="s">
        <v>239</v>
      </c>
      <c r="P52" s="26">
        <v>39461.61</v>
      </c>
      <c r="Q52" s="24"/>
    </row>
    <row r="53" spans="1:17" ht="15.6">
      <c r="A53" s="13">
        <v>49</v>
      </c>
      <c r="B53" s="13" t="s">
        <v>247</v>
      </c>
      <c r="C53" s="13"/>
      <c r="D53" s="13" t="s">
        <v>248</v>
      </c>
      <c r="E53" s="13" t="s">
        <v>18</v>
      </c>
      <c r="F53" s="13" t="s">
        <v>249</v>
      </c>
      <c r="G53" s="13"/>
      <c r="H53" s="13"/>
      <c r="I53" s="13"/>
      <c r="J53" s="13"/>
      <c r="K53" s="26">
        <v>320000</v>
      </c>
      <c r="L53" s="13" t="s">
        <v>3</v>
      </c>
      <c r="M53" s="14" t="s">
        <v>250</v>
      </c>
      <c r="N53" s="14"/>
      <c r="O53" s="13"/>
      <c r="P53" s="26"/>
      <c r="Q53" s="24"/>
    </row>
    <row r="54" spans="1:17" ht="15.6">
      <c r="A54" s="13">
        <v>50</v>
      </c>
      <c r="B54" s="14" t="s">
        <v>261</v>
      </c>
      <c r="C54" s="14"/>
      <c r="D54" s="15" t="s">
        <v>260</v>
      </c>
      <c r="E54" s="13" t="s">
        <v>18</v>
      </c>
      <c r="F54" s="13" t="s">
        <v>262</v>
      </c>
      <c r="G54" s="13"/>
      <c r="H54" s="13"/>
      <c r="I54" s="13"/>
      <c r="J54" s="13"/>
      <c r="K54" s="61">
        <v>11624.46</v>
      </c>
      <c r="L54" s="13" t="s">
        <v>7</v>
      </c>
      <c r="M54" s="14" t="s">
        <v>263</v>
      </c>
      <c r="N54" s="14"/>
      <c r="O54" s="13" t="s">
        <v>242</v>
      </c>
      <c r="P54" s="13"/>
      <c r="Q54" s="24"/>
    </row>
    <row r="55" spans="1:17" ht="15.6">
      <c r="A55" s="13">
        <v>51</v>
      </c>
      <c r="B55" s="14" t="s">
        <v>264</v>
      </c>
      <c r="C55" s="14"/>
      <c r="D55" s="14" t="s">
        <v>270</v>
      </c>
      <c r="E55" s="13" t="s">
        <v>8</v>
      </c>
      <c r="F55" s="13" t="s">
        <v>265</v>
      </c>
      <c r="G55" s="13"/>
      <c r="H55" s="13"/>
      <c r="I55" s="13"/>
      <c r="J55" s="13"/>
      <c r="K55" s="28">
        <v>26566.73</v>
      </c>
      <c r="L55" s="13" t="s">
        <v>2</v>
      </c>
      <c r="M55" s="14" t="s">
        <v>266</v>
      </c>
      <c r="N55" s="14"/>
      <c r="O55" s="13" t="s">
        <v>246</v>
      </c>
      <c r="P55" s="13"/>
      <c r="Q55" s="24"/>
    </row>
    <row r="56" spans="1:17" ht="15.6">
      <c r="A56" s="13">
        <v>52</v>
      </c>
      <c r="B56" s="14" t="s">
        <v>267</v>
      </c>
      <c r="C56" s="14"/>
      <c r="D56" s="15" t="s">
        <v>268</v>
      </c>
      <c r="E56" s="13" t="s">
        <v>8</v>
      </c>
      <c r="F56" s="24"/>
      <c r="G56" s="24"/>
      <c r="H56" s="15"/>
      <c r="I56" s="24"/>
      <c r="J56" s="24"/>
      <c r="K56" s="61">
        <v>162912.04999999999</v>
      </c>
      <c r="L56" s="13" t="s">
        <v>6</v>
      </c>
      <c r="M56" s="14" t="s">
        <v>146</v>
      </c>
      <c r="N56" s="14"/>
      <c r="O56" s="24"/>
      <c r="P56" s="24"/>
      <c r="Q56" s="24"/>
    </row>
    <row r="57" spans="1:17" ht="15.6">
      <c r="A57" s="13">
        <v>53</v>
      </c>
      <c r="B57" s="14" t="s">
        <v>275</v>
      </c>
      <c r="C57" s="14"/>
      <c r="D57" s="15" t="s">
        <v>276</v>
      </c>
      <c r="E57" s="13" t="s">
        <v>8</v>
      </c>
      <c r="F57" s="24"/>
      <c r="G57" s="24"/>
      <c r="H57" s="15"/>
      <c r="I57" s="24"/>
      <c r="J57" s="24"/>
      <c r="K57" s="61">
        <v>18435.900000000001</v>
      </c>
      <c r="L57" s="13" t="s">
        <v>659</v>
      </c>
      <c r="M57" s="14" t="s">
        <v>660</v>
      </c>
      <c r="N57" s="14"/>
      <c r="O57" s="24"/>
      <c r="P57" s="24"/>
      <c r="Q57" s="24"/>
    </row>
    <row r="58" spans="1:17" ht="15.6">
      <c r="A58" s="13">
        <v>54</v>
      </c>
      <c r="B58" s="14" t="s">
        <v>285</v>
      </c>
      <c r="C58" s="14"/>
      <c r="D58" s="15" t="s">
        <v>286</v>
      </c>
      <c r="E58" s="13" t="s">
        <v>8</v>
      </c>
      <c r="F58" s="24"/>
      <c r="G58" s="24"/>
      <c r="H58" s="15"/>
      <c r="I58" s="24"/>
      <c r="J58" s="24"/>
      <c r="K58" s="28">
        <v>3102.59</v>
      </c>
      <c r="L58" s="13" t="s">
        <v>2</v>
      </c>
      <c r="M58" s="14" t="s">
        <v>287</v>
      </c>
      <c r="N58" s="14"/>
      <c r="O58" s="24"/>
      <c r="P58" s="24"/>
      <c r="Q58" s="24"/>
    </row>
    <row r="59" spans="1:17" ht="15.6">
      <c r="A59" s="13">
        <v>55</v>
      </c>
      <c r="B59" s="14" t="s">
        <v>291</v>
      </c>
      <c r="C59" s="14"/>
      <c r="D59" s="15" t="s">
        <v>292</v>
      </c>
      <c r="E59" s="13" t="s">
        <v>21</v>
      </c>
      <c r="F59" s="24" t="s">
        <v>293</v>
      </c>
      <c r="G59" s="24"/>
      <c r="H59" s="15"/>
      <c r="I59" s="24"/>
      <c r="J59" s="24"/>
      <c r="K59" s="28">
        <v>17399.07</v>
      </c>
      <c r="L59" s="13" t="s">
        <v>2</v>
      </c>
      <c r="M59" s="14" t="s">
        <v>294</v>
      </c>
      <c r="N59" s="14"/>
      <c r="O59" s="24"/>
      <c r="P59" s="24"/>
      <c r="Q59" s="24"/>
    </row>
    <row r="60" spans="1:17" ht="15.6">
      <c r="A60" s="13">
        <v>56</v>
      </c>
      <c r="B60" s="14" t="s">
        <v>295</v>
      </c>
      <c r="C60" s="14"/>
      <c r="D60" s="15" t="s">
        <v>296</v>
      </c>
      <c r="E60" s="13" t="s">
        <v>21</v>
      </c>
      <c r="F60" s="24"/>
      <c r="G60" s="24"/>
      <c r="H60" s="15"/>
      <c r="I60" s="24"/>
      <c r="J60" s="24"/>
      <c r="K60" s="28">
        <v>10000</v>
      </c>
      <c r="L60" s="13" t="s">
        <v>2</v>
      </c>
      <c r="M60" s="24"/>
      <c r="N60" s="24"/>
      <c r="O60" s="24"/>
      <c r="P60" s="24"/>
      <c r="Q60" s="24"/>
    </row>
    <row r="61" spans="1:17" ht="15.6">
      <c r="A61" s="13">
        <v>57</v>
      </c>
      <c r="B61" s="14" t="s">
        <v>299</v>
      </c>
      <c r="C61" s="14"/>
      <c r="D61" s="13" t="s">
        <v>300</v>
      </c>
      <c r="E61" s="13" t="s">
        <v>21</v>
      </c>
      <c r="F61" s="24" t="s">
        <v>301</v>
      </c>
      <c r="G61" s="24"/>
      <c r="H61" s="15"/>
      <c r="I61" s="24"/>
      <c r="J61" s="24"/>
      <c r="K61" s="28">
        <v>7200</v>
      </c>
      <c r="L61" s="13" t="s">
        <v>2</v>
      </c>
      <c r="M61" s="24"/>
      <c r="N61" s="24"/>
      <c r="O61" s="24"/>
      <c r="P61" s="24"/>
      <c r="Q61" s="24"/>
    </row>
    <row r="62" spans="1:17" ht="15.6">
      <c r="A62" s="13">
        <v>58</v>
      </c>
      <c r="B62" s="14" t="s">
        <v>302</v>
      </c>
      <c r="C62" s="14"/>
      <c r="D62" s="13" t="s">
        <v>303</v>
      </c>
      <c r="E62" s="13" t="s">
        <v>21</v>
      </c>
      <c r="F62" s="24" t="s">
        <v>304</v>
      </c>
      <c r="G62" s="24"/>
      <c r="H62" s="15"/>
      <c r="I62" s="24"/>
      <c r="J62" s="24"/>
      <c r="K62" s="61">
        <v>54488.77</v>
      </c>
      <c r="L62" s="13" t="s">
        <v>6</v>
      </c>
      <c r="M62" s="24"/>
      <c r="N62" s="24"/>
      <c r="O62" s="24"/>
      <c r="P62" s="24"/>
      <c r="Q62" s="24"/>
    </row>
    <row r="63" spans="1:17" ht="15.6">
      <c r="A63" s="13">
        <v>59</v>
      </c>
      <c r="B63" s="14" t="s">
        <v>305</v>
      </c>
      <c r="C63" s="14"/>
      <c r="D63" s="15" t="s">
        <v>306</v>
      </c>
      <c r="E63" s="13" t="s">
        <v>21</v>
      </c>
      <c r="F63" s="24" t="s">
        <v>293</v>
      </c>
      <c r="G63" s="24"/>
      <c r="H63" s="15"/>
      <c r="I63" s="24"/>
      <c r="J63" s="24"/>
      <c r="K63" s="61">
        <v>14747.74</v>
      </c>
      <c r="L63" s="13" t="s">
        <v>2</v>
      </c>
      <c r="M63" s="24" t="s">
        <v>307</v>
      </c>
      <c r="N63" s="24"/>
      <c r="O63" s="24"/>
      <c r="P63" s="24"/>
      <c r="Q63" s="24"/>
    </row>
    <row r="64" spans="1:17" ht="15.6">
      <c r="A64" s="13">
        <v>60</v>
      </c>
      <c r="B64" s="14" t="s">
        <v>309</v>
      </c>
      <c r="C64" s="14"/>
      <c r="D64" s="15" t="s">
        <v>310</v>
      </c>
      <c r="E64" s="13" t="s">
        <v>53</v>
      </c>
      <c r="F64" s="24"/>
      <c r="G64" s="24"/>
      <c r="H64" s="15"/>
      <c r="I64" s="24"/>
      <c r="J64" s="24"/>
      <c r="K64" s="61">
        <v>24596.25</v>
      </c>
      <c r="L64" s="13" t="s">
        <v>3</v>
      </c>
      <c r="M64" s="24" t="s">
        <v>311</v>
      </c>
      <c r="N64" s="24"/>
      <c r="O64" s="24"/>
      <c r="P64" s="24"/>
      <c r="Q64" s="24"/>
    </row>
    <row r="65" spans="1:17" ht="15.6">
      <c r="A65" s="13">
        <v>61</v>
      </c>
      <c r="B65" s="14" t="s">
        <v>317</v>
      </c>
      <c r="C65" s="14"/>
      <c r="D65" s="15" t="s">
        <v>318</v>
      </c>
      <c r="E65" s="13" t="s">
        <v>36</v>
      </c>
      <c r="F65" s="24"/>
      <c r="G65" s="24"/>
      <c r="H65" s="15"/>
      <c r="I65" s="24"/>
      <c r="J65" s="24"/>
      <c r="K65" s="61">
        <v>59699.86</v>
      </c>
      <c r="L65" s="13" t="s">
        <v>3</v>
      </c>
      <c r="M65" s="24" t="s">
        <v>319</v>
      </c>
      <c r="N65" s="24"/>
      <c r="O65" s="24"/>
      <c r="P65" s="24"/>
      <c r="Q65" s="24"/>
    </row>
    <row r="66" spans="1:17" ht="15.6">
      <c r="A66" s="13">
        <v>62</v>
      </c>
      <c r="B66" s="14" t="s">
        <v>320</v>
      </c>
      <c r="C66" s="14"/>
      <c r="D66" s="15" t="s">
        <v>321</v>
      </c>
      <c r="E66" s="13" t="s">
        <v>36</v>
      </c>
      <c r="F66" s="24"/>
      <c r="G66" s="24"/>
      <c r="H66" s="15"/>
      <c r="I66" s="24"/>
      <c r="J66" s="24"/>
      <c r="K66" s="61">
        <v>21969.88</v>
      </c>
      <c r="L66" s="13" t="s">
        <v>5</v>
      </c>
      <c r="M66" s="24"/>
      <c r="N66" s="24"/>
      <c r="O66" s="24"/>
      <c r="P66" s="24"/>
      <c r="Q66" s="24"/>
    </row>
    <row r="67" spans="1:17" ht="15.6">
      <c r="A67" s="13">
        <v>63</v>
      </c>
      <c r="B67" s="14" t="s">
        <v>322</v>
      </c>
      <c r="C67" s="14"/>
      <c r="D67" s="15" t="s">
        <v>323</v>
      </c>
      <c r="E67" s="13" t="s">
        <v>47</v>
      </c>
      <c r="F67" s="24"/>
      <c r="G67" s="24"/>
      <c r="H67" s="15"/>
      <c r="I67" s="24"/>
      <c r="J67" s="24"/>
      <c r="K67" s="61">
        <v>35325.21</v>
      </c>
      <c r="L67" s="13" t="s">
        <v>3</v>
      </c>
      <c r="M67" s="24" t="s">
        <v>325</v>
      </c>
      <c r="N67" s="24"/>
      <c r="O67" s="24"/>
      <c r="P67" s="24"/>
      <c r="Q67" s="24"/>
    </row>
    <row r="68" spans="1:17" ht="15.6">
      <c r="A68" s="13">
        <v>64</v>
      </c>
      <c r="B68" s="14" t="s">
        <v>326</v>
      </c>
      <c r="C68" s="14"/>
      <c r="D68" s="15" t="s">
        <v>327</v>
      </c>
      <c r="E68" s="13" t="s">
        <v>47</v>
      </c>
      <c r="F68" s="24"/>
      <c r="G68" s="24"/>
      <c r="H68" s="15"/>
      <c r="I68" s="24"/>
      <c r="J68" s="24"/>
      <c r="K68" s="61">
        <v>62425.37</v>
      </c>
      <c r="L68" s="13" t="s">
        <v>6</v>
      </c>
      <c r="M68" s="24"/>
      <c r="N68" s="24"/>
      <c r="O68" s="24"/>
      <c r="P68" s="24"/>
      <c r="Q68" s="24"/>
    </row>
    <row r="69" spans="1:17" ht="46.8">
      <c r="A69" s="13">
        <v>65</v>
      </c>
      <c r="B69" s="14" t="s">
        <v>277</v>
      </c>
      <c r="C69" s="14"/>
      <c r="D69" s="15" t="s">
        <v>278</v>
      </c>
      <c r="E69" s="13" t="s">
        <v>8</v>
      </c>
      <c r="F69" s="15" t="s">
        <v>279</v>
      </c>
      <c r="G69" s="24"/>
      <c r="H69" s="15" t="s">
        <v>598</v>
      </c>
      <c r="I69" s="110">
        <v>45327</v>
      </c>
      <c r="J69" s="110">
        <v>45568</v>
      </c>
      <c r="K69" s="61">
        <v>100736.9</v>
      </c>
      <c r="L69" s="13" t="s">
        <v>438</v>
      </c>
      <c r="M69" s="14" t="s">
        <v>599</v>
      </c>
      <c r="N69" s="14" t="s">
        <v>179</v>
      </c>
      <c r="O69" s="24"/>
      <c r="P69" s="24"/>
      <c r="Q69" s="24"/>
    </row>
    <row r="70" spans="1:17" ht="15.6">
      <c r="A70" s="13"/>
      <c r="K70" s="1"/>
      <c r="O70" s="24"/>
      <c r="P70" s="24"/>
      <c r="Q70" s="24"/>
    </row>
    <row r="71" spans="1:17" ht="15.6">
      <c r="A71" s="13"/>
      <c r="K71" s="1"/>
      <c r="O71" s="24"/>
      <c r="P71" s="24"/>
      <c r="Q71" s="24"/>
    </row>
    <row r="72" spans="1:17" ht="15.6">
      <c r="A72" s="13"/>
      <c r="K72" s="1"/>
      <c r="O72" s="24"/>
      <c r="P72" s="24"/>
      <c r="Q72" s="24"/>
    </row>
    <row r="73" spans="1:17" ht="15.6">
      <c r="A73" s="13"/>
      <c r="K73" s="1"/>
      <c r="P73" s="24"/>
      <c r="Q73" s="24"/>
    </row>
    <row r="74" spans="1:17" ht="15.6">
      <c r="A74" s="13"/>
      <c r="K74" s="1"/>
    </row>
    <row r="75" spans="1:17" ht="15.6">
      <c r="A75" s="13"/>
      <c r="K75" s="1"/>
    </row>
    <row r="76" spans="1:17" ht="15.6">
      <c r="A76" s="13"/>
      <c r="K76" s="1"/>
    </row>
    <row r="77" spans="1:17" ht="15.6">
      <c r="A77" s="13"/>
      <c r="K77" s="1"/>
    </row>
    <row r="78" spans="1:17" ht="15.6">
      <c r="A78" s="13"/>
      <c r="K78" s="1"/>
    </row>
    <row r="79" spans="1:17" ht="15.6">
      <c r="A79" s="15"/>
      <c r="K79" s="1"/>
    </row>
    <row r="80" spans="1:17" ht="15.6">
      <c r="A80" s="13"/>
      <c r="K80" s="1"/>
    </row>
    <row r="81" spans="11:11">
      <c r="K81" s="1"/>
    </row>
    <row r="82" spans="11:11">
      <c r="K82" s="1"/>
    </row>
    <row r="83" spans="11:11">
      <c r="K83" s="1"/>
    </row>
    <row r="84" spans="11:11">
      <c r="K84" s="1"/>
    </row>
    <row r="85" spans="11:11">
      <c r="K85" s="1"/>
    </row>
    <row r="86" spans="11:11">
      <c r="K86" s="1"/>
    </row>
    <row r="87" spans="11:11">
      <c r="K87" s="1"/>
    </row>
    <row r="88" spans="11:11">
      <c r="K88" s="1"/>
    </row>
    <row r="89" spans="11:11">
      <c r="K89" s="1"/>
    </row>
    <row r="90" spans="11:11">
      <c r="K90" s="1"/>
    </row>
    <row r="91" spans="11:11">
      <c r="K91" s="1"/>
    </row>
    <row r="92" spans="11:11">
      <c r="K92" s="1"/>
    </row>
    <row r="93" spans="11:11">
      <c r="K93" s="1"/>
    </row>
    <row r="94" spans="11:11">
      <c r="K94" s="1"/>
    </row>
    <row r="95" spans="11:11">
      <c r="K95" s="1"/>
    </row>
    <row r="96" spans="11:11">
      <c r="K96" s="1"/>
    </row>
    <row r="97" spans="11:11">
      <c r="K97" s="1"/>
    </row>
    <row r="98" spans="11:11">
      <c r="K98" s="1"/>
    </row>
    <row r="99" spans="11:11">
      <c r="K99" s="1"/>
    </row>
    <row r="100" spans="11:11">
      <c r="K100" s="1"/>
    </row>
    <row r="101" spans="11:11">
      <c r="K101" s="1"/>
    </row>
    <row r="102" spans="11:11">
      <c r="K102" s="1"/>
    </row>
    <row r="103" spans="11:11">
      <c r="K103" s="1"/>
    </row>
    <row r="104" spans="11:11">
      <c r="K104" s="1"/>
    </row>
    <row r="105" spans="11:11">
      <c r="K105" s="1"/>
    </row>
    <row r="106" spans="11:11">
      <c r="K106" s="1"/>
    </row>
    <row r="107" spans="11:11">
      <c r="K107" s="1"/>
    </row>
    <row r="108" spans="11:11">
      <c r="K108" s="1"/>
    </row>
    <row r="109" spans="11:11">
      <c r="K109" s="1"/>
    </row>
    <row r="110" spans="11:11">
      <c r="K110" s="1"/>
    </row>
    <row r="111" spans="11:11">
      <c r="K111" s="1"/>
    </row>
    <row r="112" spans="11:11">
      <c r="K112" s="1"/>
    </row>
    <row r="113" spans="11:11">
      <c r="K113" s="1"/>
    </row>
    <row r="114" spans="11:11">
      <c r="K114" s="1"/>
    </row>
    <row r="115" spans="11:11">
      <c r="K115" s="1"/>
    </row>
    <row r="116" spans="11:11">
      <c r="K116" s="1"/>
    </row>
    <row r="117" spans="11:11">
      <c r="K117" s="1"/>
    </row>
    <row r="118" spans="11:11">
      <c r="K118" s="1"/>
    </row>
    <row r="119" spans="11:11">
      <c r="K119" s="1"/>
    </row>
    <row r="120" spans="11:11">
      <c r="K120" s="1"/>
    </row>
    <row r="121" spans="11:11">
      <c r="K121" s="1"/>
    </row>
    <row r="122" spans="11:11">
      <c r="K122" s="1"/>
    </row>
    <row r="123" spans="11:11">
      <c r="K123" s="1"/>
    </row>
    <row r="124" spans="11:11">
      <c r="K124" s="1"/>
    </row>
    <row r="125" spans="11:11">
      <c r="K125" s="1"/>
    </row>
    <row r="126" spans="11:11">
      <c r="K126" s="1"/>
    </row>
    <row r="127" spans="11:11">
      <c r="K127" s="1"/>
    </row>
    <row r="128" spans="11:11">
      <c r="K128" s="1"/>
    </row>
    <row r="129" spans="11:11">
      <c r="K129" s="1"/>
    </row>
    <row r="130" spans="11:11">
      <c r="K130" s="1"/>
    </row>
    <row r="131" spans="11:11">
      <c r="K131" s="1"/>
    </row>
    <row r="132" spans="11:11">
      <c r="K132" s="1"/>
    </row>
    <row r="133" spans="11:11">
      <c r="K133" s="1"/>
    </row>
    <row r="134" spans="11:11">
      <c r="K134" s="1"/>
    </row>
    <row r="135" spans="11:11">
      <c r="K135" s="1"/>
    </row>
    <row r="136" spans="11:11">
      <c r="K136" s="1"/>
    </row>
    <row r="137" spans="11:11">
      <c r="K137" s="1"/>
    </row>
    <row r="138" spans="11:11">
      <c r="K138" s="1"/>
    </row>
    <row r="139" spans="11:11">
      <c r="K139" s="1"/>
    </row>
    <row r="140" spans="11:11">
      <c r="K140" s="1"/>
    </row>
  </sheetData>
  <mergeCells count="1">
    <mergeCell ref="B2:M2"/>
  </mergeCells>
  <pageMargins left="0.511811024" right="0.511811024" top="0.78740157499999996" bottom="0.78740157499999996" header="0.31496062000000002" footer="0.31496062000000002"/>
  <pageSetup paperSize="9" orientation="portrait" r:id="rId1"/>
  <rowBreaks count="1" manualBreakCount="1">
    <brk id="24" max="16383" man="1"/>
  </rowBreaks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73EA-9A94-404C-83EF-040C6D00434B}">
  <dimension ref="A1:P30"/>
  <sheetViews>
    <sheetView zoomScale="70" zoomScaleNormal="70" workbookViewId="0">
      <pane ySplit="3" topLeftCell="A4" activePane="bottomLeft" state="frozen"/>
      <selection pane="bottomLeft" activeCell="C4" sqref="C4"/>
    </sheetView>
  </sheetViews>
  <sheetFormatPr defaultRowHeight="14.4"/>
  <cols>
    <col min="1" max="1" width="3.33203125" bestFit="1" customWidth="1"/>
    <col min="2" max="2" width="28.44140625" bestFit="1" customWidth="1"/>
    <col min="3" max="3" width="43.21875" bestFit="1" customWidth="1"/>
    <col min="4" max="4" width="26.5546875" bestFit="1" customWidth="1"/>
    <col min="5" max="5" width="31.6640625" bestFit="1" customWidth="1"/>
    <col min="6" max="6" width="31.88671875" customWidth="1"/>
    <col min="7" max="7" width="25" bestFit="1" customWidth="1"/>
    <col min="8" max="9" width="12.6640625" bestFit="1" customWidth="1"/>
    <col min="10" max="11" width="45.77734375" customWidth="1"/>
    <col min="12" max="12" width="21.33203125" bestFit="1" customWidth="1"/>
    <col min="13" max="13" width="51.33203125" customWidth="1"/>
    <col min="14" max="14" width="15.33203125" bestFit="1" customWidth="1"/>
  </cols>
  <sheetData>
    <row r="1" spans="1:16" ht="18">
      <c r="B1" s="136" t="s">
        <v>135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2"/>
      <c r="O1" s="12"/>
      <c r="P1" s="12"/>
    </row>
    <row r="3" spans="1:16" ht="17.399999999999999">
      <c r="B3" s="5" t="s">
        <v>9</v>
      </c>
      <c r="C3" s="5" t="s">
        <v>10</v>
      </c>
      <c r="D3" s="5" t="s">
        <v>372</v>
      </c>
      <c r="E3" s="5" t="s">
        <v>373</v>
      </c>
      <c r="F3" s="5" t="s">
        <v>374</v>
      </c>
      <c r="G3" s="5" t="s">
        <v>383</v>
      </c>
      <c r="H3" s="5" t="s">
        <v>382</v>
      </c>
      <c r="I3" s="5" t="s">
        <v>381</v>
      </c>
      <c r="J3" s="5" t="s">
        <v>375</v>
      </c>
      <c r="K3" s="5" t="s">
        <v>387</v>
      </c>
      <c r="L3" s="5" t="s">
        <v>15</v>
      </c>
      <c r="M3" s="5" t="s">
        <v>16</v>
      </c>
      <c r="N3" s="9"/>
    </row>
    <row r="4" spans="1:16" ht="171.6">
      <c r="B4" s="2" t="s">
        <v>32</v>
      </c>
      <c r="C4" s="2" t="s">
        <v>33</v>
      </c>
      <c r="D4" s="2" t="s">
        <v>379</v>
      </c>
      <c r="E4" s="7" t="s">
        <v>380</v>
      </c>
      <c r="F4" s="7" t="s">
        <v>385</v>
      </c>
      <c r="G4" s="7" t="s">
        <v>384</v>
      </c>
      <c r="H4" s="33">
        <v>43546</v>
      </c>
      <c r="I4" s="33">
        <v>44866</v>
      </c>
      <c r="J4" s="7" t="s">
        <v>386</v>
      </c>
      <c r="K4" s="7" t="s">
        <v>29</v>
      </c>
      <c r="L4" s="30">
        <v>321375.11</v>
      </c>
      <c r="M4" s="6" t="s">
        <v>255</v>
      </c>
    </row>
    <row r="5" spans="1:16" ht="202.8">
      <c r="B5" s="2" t="s">
        <v>51</v>
      </c>
      <c r="C5" s="2" t="s">
        <v>52</v>
      </c>
      <c r="D5" s="2" t="s">
        <v>389</v>
      </c>
      <c r="E5" s="2" t="s">
        <v>26</v>
      </c>
      <c r="F5" s="2"/>
      <c r="G5" s="2" t="s">
        <v>390</v>
      </c>
      <c r="H5" s="34">
        <v>43546</v>
      </c>
      <c r="I5" s="34">
        <v>44123</v>
      </c>
      <c r="J5" s="6" t="s">
        <v>392</v>
      </c>
      <c r="K5" s="2" t="s">
        <v>391</v>
      </c>
      <c r="L5" s="30">
        <v>0</v>
      </c>
      <c r="M5" s="6" t="s">
        <v>388</v>
      </c>
    </row>
    <row r="6" spans="1:16" ht="140.4">
      <c r="B6" s="8" t="s">
        <v>77</v>
      </c>
      <c r="C6" s="6" t="s">
        <v>78</v>
      </c>
      <c r="D6" s="6" t="s">
        <v>141</v>
      </c>
      <c r="E6" s="6" t="s">
        <v>393</v>
      </c>
      <c r="F6" s="6"/>
      <c r="G6" s="6" t="s">
        <v>394</v>
      </c>
      <c r="H6" s="35">
        <v>44439</v>
      </c>
      <c r="I6" s="35">
        <v>44997</v>
      </c>
      <c r="J6" s="6" t="s">
        <v>396</v>
      </c>
      <c r="K6" s="36" t="s">
        <v>395</v>
      </c>
      <c r="L6" s="30">
        <v>39950</v>
      </c>
      <c r="M6" s="6" t="s">
        <v>397</v>
      </c>
    </row>
    <row r="7" spans="1:16" ht="31.2">
      <c r="B7" s="8" t="s">
        <v>100</v>
      </c>
      <c r="C7" s="2" t="s">
        <v>101</v>
      </c>
      <c r="D7" s="2" t="s">
        <v>14</v>
      </c>
      <c r="E7" s="2" t="s">
        <v>26</v>
      </c>
      <c r="F7" s="2"/>
      <c r="G7" s="2" t="s">
        <v>390</v>
      </c>
      <c r="H7" s="34">
        <v>43958</v>
      </c>
      <c r="I7" s="34">
        <v>44831</v>
      </c>
      <c r="J7" s="6" t="s">
        <v>400</v>
      </c>
      <c r="K7" s="37" t="s">
        <v>401</v>
      </c>
      <c r="L7" s="31">
        <v>24458.48</v>
      </c>
      <c r="M7" s="6" t="s">
        <v>402</v>
      </c>
    </row>
    <row r="8" spans="1:16" ht="15.6">
      <c r="A8">
        <v>1</v>
      </c>
      <c r="B8" s="8" t="s">
        <v>107</v>
      </c>
      <c r="C8" s="2" t="s">
        <v>108</v>
      </c>
      <c r="D8" s="2" t="s">
        <v>14</v>
      </c>
      <c r="E8" s="2" t="s">
        <v>143</v>
      </c>
      <c r="F8" s="2"/>
      <c r="G8" s="2" t="s">
        <v>390</v>
      </c>
      <c r="H8" s="34">
        <v>44891</v>
      </c>
      <c r="I8" s="2"/>
      <c r="J8" s="2"/>
      <c r="K8" s="2"/>
      <c r="L8" s="30">
        <v>31756.91</v>
      </c>
      <c r="M8" s="6" t="s">
        <v>256</v>
      </c>
    </row>
    <row r="9" spans="1:16" ht="15.6">
      <c r="A9">
        <v>2</v>
      </c>
      <c r="B9" s="8" t="s">
        <v>112</v>
      </c>
      <c r="C9" s="6" t="s">
        <v>111</v>
      </c>
      <c r="D9" s="2"/>
      <c r="E9" s="2"/>
      <c r="F9" s="2"/>
      <c r="G9" s="2"/>
      <c r="H9" s="2"/>
      <c r="I9" s="2"/>
      <c r="J9" s="2"/>
      <c r="K9" s="2"/>
      <c r="L9" s="30">
        <v>1746.74</v>
      </c>
      <c r="M9" s="6" t="s">
        <v>511</v>
      </c>
    </row>
    <row r="10" spans="1:16" ht="15.6">
      <c r="A10">
        <v>3</v>
      </c>
      <c r="B10" s="8" t="s">
        <v>119</v>
      </c>
      <c r="C10" s="2" t="s">
        <v>120</v>
      </c>
      <c r="D10" s="6" t="s">
        <v>414</v>
      </c>
      <c r="E10" s="2" t="s">
        <v>143</v>
      </c>
      <c r="F10" s="2"/>
      <c r="G10" s="2" t="s">
        <v>390</v>
      </c>
      <c r="H10" s="34">
        <v>43728</v>
      </c>
      <c r="I10" s="34">
        <v>44046</v>
      </c>
      <c r="J10" s="19" t="s">
        <v>415</v>
      </c>
      <c r="K10" s="2"/>
      <c r="L10" s="30">
        <v>2832.32</v>
      </c>
      <c r="M10" s="6" t="s">
        <v>413</v>
      </c>
    </row>
    <row r="11" spans="1:16" ht="15.6">
      <c r="A11">
        <v>4</v>
      </c>
      <c r="B11" s="17" t="s">
        <v>121</v>
      </c>
      <c r="C11" s="2" t="s">
        <v>122</v>
      </c>
      <c r="D11" s="6"/>
      <c r="E11" s="2"/>
      <c r="F11" s="2"/>
      <c r="G11" s="2"/>
      <c r="H11" s="2"/>
      <c r="I11" s="2"/>
      <c r="J11" s="2"/>
      <c r="K11" s="2"/>
      <c r="L11" s="30">
        <v>48076.98</v>
      </c>
      <c r="M11" s="6" t="s">
        <v>408</v>
      </c>
    </row>
    <row r="12" spans="1:16" ht="45" customHeight="1">
      <c r="A12">
        <v>5</v>
      </c>
      <c r="B12" s="17" t="s">
        <v>151</v>
      </c>
      <c r="C12" s="8" t="s">
        <v>152</v>
      </c>
      <c r="D12" s="2"/>
      <c r="E12" s="2"/>
      <c r="F12" s="2"/>
      <c r="G12" s="2"/>
      <c r="H12" s="2"/>
      <c r="I12" s="2"/>
      <c r="J12" s="2"/>
      <c r="K12" s="2"/>
      <c r="L12" s="30">
        <v>529707.04</v>
      </c>
      <c r="M12" s="6" t="s">
        <v>597</v>
      </c>
    </row>
    <row r="13" spans="1:16" ht="15.6">
      <c r="A13">
        <v>6</v>
      </c>
      <c r="B13" s="18" t="s">
        <v>233</v>
      </c>
      <c r="C13" s="2" t="s">
        <v>234</v>
      </c>
      <c r="D13" s="2"/>
      <c r="E13" s="2"/>
      <c r="F13" s="2"/>
      <c r="G13" s="2"/>
      <c r="H13" s="2"/>
      <c r="I13" s="2"/>
      <c r="J13" s="2"/>
      <c r="K13" s="2"/>
      <c r="L13" s="31">
        <v>26465.02</v>
      </c>
      <c r="M13" s="6" t="s">
        <v>409</v>
      </c>
    </row>
    <row r="14" spans="1:16" ht="31.2">
      <c r="A14">
        <v>7</v>
      </c>
      <c r="B14" s="18" t="s">
        <v>251</v>
      </c>
      <c r="C14" s="4" t="s">
        <v>252</v>
      </c>
      <c r="D14" s="8"/>
      <c r="E14" s="6"/>
      <c r="F14" s="6"/>
      <c r="G14" s="6"/>
      <c r="H14" s="6"/>
      <c r="I14" s="6"/>
      <c r="J14" s="6"/>
      <c r="K14" s="6"/>
      <c r="L14" s="26">
        <v>144019.51</v>
      </c>
      <c r="M14" s="6" t="s">
        <v>596</v>
      </c>
    </row>
    <row r="15" spans="1:16" ht="31.2">
      <c r="A15">
        <v>8</v>
      </c>
      <c r="B15" s="13" t="s">
        <v>20</v>
      </c>
      <c r="C15" s="13" t="s">
        <v>376</v>
      </c>
      <c r="D15" s="2"/>
      <c r="E15" s="2"/>
      <c r="F15" s="2"/>
      <c r="G15" s="2"/>
      <c r="H15" s="2"/>
      <c r="I15" s="2"/>
      <c r="J15" s="2"/>
      <c r="K15" s="2"/>
      <c r="L15" s="39" t="s">
        <v>412</v>
      </c>
      <c r="M15" s="6" t="s">
        <v>410</v>
      </c>
    </row>
    <row r="16" spans="1:16" ht="29.4" customHeight="1">
      <c r="A16">
        <v>9</v>
      </c>
      <c r="B16" s="29" t="s">
        <v>269</v>
      </c>
      <c r="C16" s="13" t="s">
        <v>594</v>
      </c>
      <c r="D16" s="6" t="s">
        <v>398</v>
      </c>
      <c r="E16" s="2"/>
      <c r="F16" s="6" t="s">
        <v>512</v>
      </c>
      <c r="G16" s="2" t="s">
        <v>390</v>
      </c>
      <c r="H16" s="34">
        <v>45805</v>
      </c>
      <c r="I16" s="34">
        <v>45195</v>
      </c>
      <c r="J16" s="6" t="s">
        <v>513</v>
      </c>
      <c r="K16" s="2" t="s">
        <v>514</v>
      </c>
      <c r="L16" s="116">
        <v>66076.23</v>
      </c>
      <c r="M16" s="6" t="s">
        <v>595</v>
      </c>
    </row>
    <row r="17" spans="1:14" ht="31.2">
      <c r="A17">
        <v>10</v>
      </c>
      <c r="B17" s="29" t="s">
        <v>271</v>
      </c>
      <c r="C17" s="15" t="s">
        <v>272</v>
      </c>
      <c r="D17" s="13"/>
      <c r="E17" s="2"/>
      <c r="F17" s="2"/>
      <c r="G17" s="2"/>
      <c r="H17" s="2"/>
      <c r="I17" s="2"/>
      <c r="J17" s="2"/>
      <c r="K17" s="2"/>
      <c r="L17" s="39">
        <v>95669.43</v>
      </c>
      <c r="M17" s="6" t="s">
        <v>410</v>
      </c>
    </row>
    <row r="18" spans="1:14" ht="31.2">
      <c r="A18">
        <v>11</v>
      </c>
      <c r="B18" s="29" t="s">
        <v>273</v>
      </c>
      <c r="C18" s="15" t="s">
        <v>274</v>
      </c>
      <c r="D18" s="11"/>
      <c r="E18" s="2"/>
      <c r="F18" s="2"/>
      <c r="G18" s="2"/>
      <c r="H18" s="2"/>
      <c r="I18" s="2"/>
      <c r="J18" s="2"/>
      <c r="K18" s="2"/>
      <c r="L18" s="30">
        <v>92712.43</v>
      </c>
      <c r="M18" s="6" t="s">
        <v>411</v>
      </c>
    </row>
    <row r="19" spans="1:14" ht="31.2">
      <c r="A19">
        <v>12</v>
      </c>
      <c r="B19" s="29" t="s">
        <v>297</v>
      </c>
      <c r="C19" s="15" t="s">
        <v>298</v>
      </c>
      <c r="D19" s="11"/>
      <c r="E19" s="2"/>
      <c r="F19" s="2"/>
      <c r="G19" s="2"/>
      <c r="H19" s="2"/>
      <c r="I19" s="2"/>
      <c r="J19" s="2"/>
      <c r="K19" s="2"/>
      <c r="L19" s="3">
        <v>65650.240000000005</v>
      </c>
      <c r="M19" s="6" t="s">
        <v>592</v>
      </c>
    </row>
    <row r="20" spans="1:14" ht="15.6">
      <c r="A20">
        <v>13</v>
      </c>
      <c r="B20" s="13" t="s">
        <v>88</v>
      </c>
      <c r="C20" s="13" t="s">
        <v>89</v>
      </c>
      <c r="E20" s="12"/>
      <c r="F20" s="12"/>
      <c r="G20" s="12"/>
      <c r="H20" s="12"/>
      <c r="I20" s="12"/>
      <c r="J20" s="12"/>
      <c r="K20" s="12"/>
      <c r="L20" s="3">
        <v>32952.400000000001</v>
      </c>
      <c r="M20" s="35" t="s">
        <v>590</v>
      </c>
    </row>
    <row r="21" spans="1:14" ht="86.4">
      <c r="A21">
        <v>14</v>
      </c>
      <c r="B21" s="13" t="s">
        <v>115</v>
      </c>
      <c r="C21" s="13" t="s">
        <v>116</v>
      </c>
      <c r="D21" s="13" t="s">
        <v>8</v>
      </c>
      <c r="E21" s="14" t="s">
        <v>145</v>
      </c>
      <c r="F21" s="14" t="s">
        <v>145</v>
      </c>
      <c r="G21" s="13" t="s">
        <v>571</v>
      </c>
      <c r="H21" s="42">
        <v>44533</v>
      </c>
      <c r="I21" s="42">
        <v>44760</v>
      </c>
      <c r="J21" s="51" t="s">
        <v>573</v>
      </c>
      <c r="K21" s="51" t="s">
        <v>572</v>
      </c>
      <c r="L21" s="44">
        <v>55351.66</v>
      </c>
      <c r="M21" s="6" t="s">
        <v>593</v>
      </c>
      <c r="N21" s="14"/>
    </row>
    <row r="22" spans="1:14" ht="15.6">
      <c r="A22">
        <v>15</v>
      </c>
      <c r="K22" s="50"/>
      <c r="L22" s="3"/>
    </row>
    <row r="23" spans="1:14">
      <c r="K23" s="50"/>
    </row>
    <row r="24" spans="1:14">
      <c r="K24" s="50"/>
    </row>
    <row r="25" spans="1:14">
      <c r="K25" s="50"/>
    </row>
    <row r="26" spans="1:14">
      <c r="K26" s="50"/>
    </row>
    <row r="27" spans="1:14">
      <c r="K27" s="50"/>
    </row>
    <row r="28" spans="1:14">
      <c r="K28" s="50"/>
      <c r="L28" s="32">
        <f>SUM(L4:L27)</f>
        <v>1578800.4999999995</v>
      </c>
    </row>
    <row r="29" spans="1:14" ht="18">
      <c r="K29" s="50"/>
      <c r="L29" s="70">
        <f>'Acordos Mensal'!V69</f>
        <v>767159.89999999991</v>
      </c>
    </row>
    <row r="30" spans="1:14">
      <c r="L30" s="32">
        <f>SUM(L28:L29)</f>
        <v>2345960.3999999994</v>
      </c>
    </row>
  </sheetData>
  <mergeCells count="1">
    <mergeCell ref="B1:M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1CC9-8B02-4FAA-971F-F966FA451044}">
  <sheetPr>
    <pageSetUpPr fitToPage="1"/>
  </sheetPr>
  <dimension ref="A1:AN117"/>
  <sheetViews>
    <sheetView tabSelected="1" zoomScaleNormal="100" workbookViewId="0">
      <pane ySplit="1" topLeftCell="A51" activePane="bottomLeft" state="frozen"/>
      <selection pane="bottomLeft" activeCell="D58" sqref="D58"/>
    </sheetView>
  </sheetViews>
  <sheetFormatPr defaultRowHeight="14.4"/>
  <cols>
    <col min="1" max="1" width="8.88671875" style="11"/>
    <col min="2" max="2" width="32.33203125" style="38" bestFit="1" customWidth="1"/>
    <col min="3" max="3" width="20.5546875" style="38" bestFit="1" customWidth="1"/>
    <col min="4" max="4" width="41.44140625" style="11" customWidth="1"/>
    <col min="5" max="5" width="30.6640625" style="38" customWidth="1"/>
    <col min="6" max="6" width="24.33203125" style="38" bestFit="1" customWidth="1"/>
    <col min="7" max="7" width="22.33203125" style="38" bestFit="1" customWidth="1"/>
    <col min="8" max="8" width="22.77734375" style="11" bestFit="1" customWidth="1"/>
    <col min="9" max="10" width="13.44140625" style="38" bestFit="1" customWidth="1"/>
    <col min="11" max="11" width="16.88671875" style="38" bestFit="1" customWidth="1"/>
    <col min="12" max="12" width="25" style="38" bestFit="1" customWidth="1"/>
    <col min="13" max="14" width="25" style="38" customWidth="1"/>
    <col min="15" max="15" width="99.33203125" bestFit="1" customWidth="1"/>
    <col min="16" max="16" width="27" customWidth="1"/>
    <col min="17" max="17" width="15.88671875" hidden="1" customWidth="1"/>
    <col min="18" max="19" width="16.21875" hidden="1" customWidth="1"/>
    <col min="20" max="20" width="22.33203125" hidden="1" customWidth="1"/>
    <col min="21" max="21" width="21.44140625" bestFit="1" customWidth="1"/>
    <col min="22" max="22" width="22.33203125" bestFit="1" customWidth="1"/>
    <col min="23" max="23" width="21.21875" bestFit="1" customWidth="1"/>
    <col min="24" max="24" width="21.6640625" bestFit="1" customWidth="1"/>
    <col min="25" max="27" width="21.21875" bestFit="1" customWidth="1"/>
    <col min="28" max="28" width="20.77734375" bestFit="1" customWidth="1"/>
    <col min="29" max="29" width="18.109375" bestFit="1" customWidth="1"/>
    <col min="30" max="37" width="13.88671875" bestFit="1" customWidth="1"/>
    <col min="38" max="38" width="9.109375" bestFit="1" customWidth="1"/>
    <col min="39" max="39" width="9.6640625" bestFit="1" customWidth="1"/>
    <col min="40" max="40" width="15.109375" bestFit="1" customWidth="1"/>
  </cols>
  <sheetData>
    <row r="1" spans="1:40" s="23" customFormat="1" ht="59.4">
      <c r="A1" s="159"/>
      <c r="B1" s="21" t="s">
        <v>9</v>
      </c>
      <c r="C1" s="21" t="s">
        <v>661</v>
      </c>
      <c r="D1" s="21" t="s">
        <v>10</v>
      </c>
      <c r="E1" s="21" t="s">
        <v>521</v>
      </c>
      <c r="F1" s="21" t="s">
        <v>424</v>
      </c>
      <c r="G1" s="21" t="s">
        <v>425</v>
      </c>
      <c r="H1" s="21" t="s">
        <v>426</v>
      </c>
      <c r="I1" s="21" t="s">
        <v>427</v>
      </c>
      <c r="J1" s="21" t="s">
        <v>428</v>
      </c>
      <c r="K1" s="21" t="s">
        <v>522</v>
      </c>
      <c r="L1" s="21" t="s">
        <v>523</v>
      </c>
      <c r="M1" s="21" t="s">
        <v>662</v>
      </c>
      <c r="N1" s="21" t="s">
        <v>663</v>
      </c>
      <c r="O1" s="21" t="s">
        <v>330</v>
      </c>
      <c r="P1" s="54" t="s">
        <v>452</v>
      </c>
      <c r="Q1" s="22">
        <v>45839</v>
      </c>
      <c r="R1" s="22">
        <v>45870</v>
      </c>
      <c r="S1" s="22">
        <v>45901</v>
      </c>
      <c r="T1" s="22">
        <v>45931</v>
      </c>
      <c r="U1" s="22">
        <v>45962</v>
      </c>
      <c r="V1" s="22">
        <v>45992</v>
      </c>
      <c r="W1" s="22">
        <v>46023</v>
      </c>
      <c r="X1" s="22">
        <v>46054</v>
      </c>
      <c r="Y1" s="22">
        <v>46082</v>
      </c>
      <c r="Z1" s="22">
        <v>46113</v>
      </c>
      <c r="AA1" s="22">
        <v>46143</v>
      </c>
      <c r="AB1" s="22">
        <v>46174</v>
      </c>
      <c r="AC1" s="22">
        <v>46204</v>
      </c>
      <c r="AD1" s="75">
        <v>46235</v>
      </c>
      <c r="AE1" s="75">
        <v>46266</v>
      </c>
      <c r="AF1" s="75">
        <v>46296</v>
      </c>
      <c r="AG1" s="75">
        <v>46327</v>
      </c>
      <c r="AH1" s="75">
        <v>46357</v>
      </c>
      <c r="AI1" s="75">
        <v>46388</v>
      </c>
      <c r="AJ1" s="75">
        <v>46419</v>
      </c>
      <c r="AK1" s="75">
        <v>46447</v>
      </c>
      <c r="AL1" s="75">
        <v>46478</v>
      </c>
      <c r="AM1" s="75">
        <v>46508</v>
      </c>
      <c r="AN1" s="75">
        <v>46539</v>
      </c>
    </row>
    <row r="2" spans="1:40" ht="15.6" hidden="1">
      <c r="A2" s="150">
        <v>1</v>
      </c>
      <c r="B2" s="55" t="s">
        <v>0</v>
      </c>
      <c r="C2" s="55"/>
      <c r="D2" s="55" t="s">
        <v>1</v>
      </c>
      <c r="E2" s="55" t="s">
        <v>141</v>
      </c>
      <c r="F2" s="55"/>
      <c r="G2" s="55"/>
      <c r="H2" s="55"/>
      <c r="I2" s="55"/>
      <c r="J2" s="55"/>
      <c r="K2" s="55"/>
      <c r="L2" s="55"/>
      <c r="M2" s="55"/>
      <c r="N2" s="55"/>
      <c r="O2" s="52" t="s">
        <v>338</v>
      </c>
      <c r="P2" s="64" t="s">
        <v>447</v>
      </c>
      <c r="Q2" s="3">
        <v>3298.6</v>
      </c>
      <c r="R2" s="3"/>
      <c r="S2" s="62">
        <v>5048.21</v>
      </c>
      <c r="T2" s="3"/>
      <c r="U2" s="3"/>
      <c r="V2" s="3"/>
      <c r="W2" s="3"/>
      <c r="X2" s="2"/>
      <c r="Y2" s="2"/>
      <c r="Z2" s="2"/>
    </row>
    <row r="3" spans="1:40" ht="46.8">
      <c r="A3" s="150">
        <v>2</v>
      </c>
      <c r="B3" s="55" t="s">
        <v>22</v>
      </c>
      <c r="C3" s="55"/>
      <c r="D3" s="55" t="s">
        <v>168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3" t="s">
        <v>331</v>
      </c>
      <c r="P3" s="65" t="s">
        <v>448</v>
      </c>
      <c r="Q3" s="3">
        <v>1000</v>
      </c>
      <c r="R3" s="3">
        <v>1000</v>
      </c>
      <c r="S3" s="3">
        <v>1000</v>
      </c>
      <c r="T3" s="62">
        <v>100</v>
      </c>
      <c r="U3" s="3"/>
      <c r="V3" s="3"/>
      <c r="W3" s="3"/>
      <c r="X3" s="2"/>
      <c r="Y3" s="2"/>
      <c r="Z3" s="2"/>
    </row>
    <row r="4" spans="1:40" ht="15.6">
      <c r="A4" s="150">
        <v>3</v>
      </c>
      <c r="B4" s="55" t="s">
        <v>30</v>
      </c>
      <c r="C4" s="55"/>
      <c r="D4" s="55" t="s">
        <v>31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2" t="s">
        <v>342</v>
      </c>
      <c r="P4" s="64" t="s">
        <v>469</v>
      </c>
      <c r="Q4" s="3">
        <v>501.54</v>
      </c>
      <c r="R4" s="3">
        <v>501.54</v>
      </c>
      <c r="S4" s="62">
        <v>598.71</v>
      </c>
      <c r="T4" s="3"/>
      <c r="U4" s="3"/>
      <c r="V4" s="3"/>
      <c r="W4" s="3"/>
      <c r="X4" s="2"/>
      <c r="Y4" s="2"/>
      <c r="Z4" s="2"/>
    </row>
    <row r="5" spans="1:40" ht="93.6">
      <c r="A5" s="150">
        <v>4</v>
      </c>
      <c r="B5" s="55" t="s">
        <v>34</v>
      </c>
      <c r="C5" s="55"/>
      <c r="D5" s="55" t="s">
        <v>35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2" t="s">
        <v>358</v>
      </c>
      <c r="P5" s="58" t="s">
        <v>459</v>
      </c>
      <c r="Q5" s="3">
        <v>2000</v>
      </c>
      <c r="R5" s="3">
        <v>2000</v>
      </c>
      <c r="S5" s="3">
        <v>2000</v>
      </c>
      <c r="T5" s="3">
        <v>2000</v>
      </c>
      <c r="U5" s="3">
        <v>2000</v>
      </c>
      <c r="V5" s="3">
        <v>2000</v>
      </c>
      <c r="W5" s="3"/>
      <c r="X5" s="2"/>
      <c r="Y5" s="2"/>
      <c r="Z5" s="2"/>
    </row>
    <row r="6" spans="1:40" ht="78">
      <c r="A6" s="150">
        <v>5</v>
      </c>
      <c r="B6" s="55" t="s">
        <v>37</v>
      </c>
      <c r="C6" s="55"/>
      <c r="D6" s="55" t="s">
        <v>38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2" t="s">
        <v>359</v>
      </c>
      <c r="P6" s="58" t="s">
        <v>460</v>
      </c>
      <c r="Q6" s="3">
        <v>2000</v>
      </c>
      <c r="R6" s="3">
        <v>2000</v>
      </c>
      <c r="S6" s="3">
        <v>2000</v>
      </c>
      <c r="T6" s="3">
        <v>2000</v>
      </c>
      <c r="U6" s="3">
        <v>2000</v>
      </c>
      <c r="V6" s="3">
        <v>2000</v>
      </c>
      <c r="W6" s="3"/>
      <c r="X6" s="2"/>
      <c r="Y6" s="2"/>
      <c r="Z6" s="2"/>
    </row>
    <row r="7" spans="1:40" ht="31.2">
      <c r="A7" s="150">
        <v>6</v>
      </c>
      <c r="B7" s="55" t="s">
        <v>90</v>
      </c>
      <c r="C7" s="55"/>
      <c r="D7" s="55" t="s">
        <v>91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2" t="s">
        <v>362</v>
      </c>
      <c r="P7" s="64" t="s">
        <v>461</v>
      </c>
      <c r="Q7" s="3">
        <v>1848.63</v>
      </c>
      <c r="R7" s="3">
        <v>1848.63</v>
      </c>
      <c r="S7" s="3">
        <v>1848.63</v>
      </c>
      <c r="T7" s="3">
        <v>1848.63</v>
      </c>
      <c r="U7" s="62">
        <v>348.44</v>
      </c>
      <c r="V7" s="3"/>
      <c r="W7" s="3"/>
      <c r="X7" s="2"/>
      <c r="Y7" s="2"/>
      <c r="Z7" s="2"/>
    </row>
    <row r="8" spans="1:40" ht="15.6">
      <c r="A8" s="150">
        <v>7</v>
      </c>
      <c r="B8" s="55" t="s">
        <v>133</v>
      </c>
      <c r="C8" s="55"/>
      <c r="D8" s="55" t="s">
        <v>134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 t="s">
        <v>462</v>
      </c>
      <c r="P8" s="55" t="s">
        <v>450</v>
      </c>
      <c r="Q8" s="3"/>
      <c r="R8" s="3"/>
      <c r="S8" s="3"/>
      <c r="T8" s="3"/>
      <c r="U8" s="3"/>
      <c r="V8" s="3"/>
      <c r="W8" s="3"/>
      <c r="X8" s="2"/>
      <c r="Y8" s="2"/>
      <c r="Z8" s="2"/>
    </row>
    <row r="9" spans="1:40" ht="15.6">
      <c r="A9" s="150">
        <v>8</v>
      </c>
      <c r="B9" s="55" t="s">
        <v>98</v>
      </c>
      <c r="C9" s="55"/>
      <c r="D9" s="55" t="s">
        <v>99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2" t="s">
        <v>363</v>
      </c>
      <c r="P9" s="64" t="s">
        <v>463</v>
      </c>
      <c r="Q9" s="3">
        <v>1916.67</v>
      </c>
      <c r="R9" s="3">
        <v>1916.67</v>
      </c>
      <c r="S9" s="3">
        <v>1916.67</v>
      </c>
      <c r="T9" s="3">
        <v>1916.67</v>
      </c>
      <c r="U9" s="3">
        <v>1916.67</v>
      </c>
      <c r="V9" s="3">
        <v>1916.67</v>
      </c>
      <c r="W9" s="3">
        <v>1916.67</v>
      </c>
      <c r="X9" s="3">
        <v>1916.67</v>
      </c>
      <c r="Y9" s="3">
        <v>1916.67</v>
      </c>
      <c r="Z9" s="3">
        <v>1916.67</v>
      </c>
      <c r="AA9" s="62">
        <v>1500</v>
      </c>
    </row>
    <row r="10" spans="1:40" ht="46.8">
      <c r="A10" s="150">
        <v>9</v>
      </c>
      <c r="B10" s="55" t="s">
        <v>105</v>
      </c>
      <c r="C10" s="55"/>
      <c r="D10" s="55" t="s">
        <v>106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 t="s">
        <v>332</v>
      </c>
      <c r="P10" s="66" t="s">
        <v>464</v>
      </c>
      <c r="Q10" s="3">
        <v>1000</v>
      </c>
      <c r="R10" s="3">
        <v>1000</v>
      </c>
      <c r="S10" s="3">
        <v>1000</v>
      </c>
      <c r="T10" s="3">
        <v>1000</v>
      </c>
      <c r="U10" s="3">
        <v>1000</v>
      </c>
      <c r="V10" s="3">
        <v>1000</v>
      </c>
      <c r="W10" s="3">
        <v>1000</v>
      </c>
      <c r="X10" s="62">
        <v>2866.82</v>
      </c>
      <c r="Y10" s="2"/>
      <c r="Z10" s="2"/>
    </row>
    <row r="11" spans="1:40" ht="31.2">
      <c r="A11" s="150">
        <v>10</v>
      </c>
      <c r="B11" s="52" t="s">
        <v>156</v>
      </c>
      <c r="C11" s="52"/>
      <c r="D11" s="55" t="s">
        <v>157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2" t="s">
        <v>334</v>
      </c>
      <c r="P11" s="52" t="s">
        <v>450</v>
      </c>
      <c r="Q11" s="3">
        <v>2000</v>
      </c>
      <c r="R11" s="3"/>
      <c r="S11" s="3"/>
      <c r="T11" s="3"/>
      <c r="U11" s="3"/>
      <c r="V11" s="3"/>
      <c r="W11" s="3"/>
      <c r="X11" s="2"/>
      <c r="Y11" s="2"/>
      <c r="Z11" s="2"/>
    </row>
    <row r="12" spans="1:40" ht="46.8">
      <c r="A12" s="150">
        <v>11</v>
      </c>
      <c r="B12" s="55" t="s">
        <v>253</v>
      </c>
      <c r="C12" s="55"/>
      <c r="D12" s="55" t="s">
        <v>173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3" t="s">
        <v>347</v>
      </c>
      <c r="P12" s="85" t="s">
        <v>449</v>
      </c>
      <c r="Q12" s="3">
        <v>1000</v>
      </c>
      <c r="R12" s="3">
        <v>1000</v>
      </c>
      <c r="S12" s="73">
        <v>35.33</v>
      </c>
      <c r="T12" s="3"/>
      <c r="U12" s="3"/>
      <c r="V12" s="3"/>
      <c r="W12" s="3"/>
      <c r="X12" s="2"/>
      <c r="Y12" s="2"/>
      <c r="Z12" s="2"/>
    </row>
    <row r="13" spans="1:40" ht="31.2">
      <c r="A13" s="150">
        <v>12</v>
      </c>
      <c r="B13" s="52" t="s">
        <v>187</v>
      </c>
      <c r="C13" s="52"/>
      <c r="D13" s="55" t="s">
        <v>672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 t="s">
        <v>369</v>
      </c>
      <c r="P13" s="64" t="s">
        <v>673</v>
      </c>
      <c r="Q13" s="3"/>
      <c r="R13" s="3"/>
      <c r="S13" s="3"/>
      <c r="T13" s="3"/>
      <c r="U13" s="62">
        <v>1000</v>
      </c>
      <c r="V13" s="62">
        <v>1000</v>
      </c>
      <c r="W13" s="62">
        <v>1000</v>
      </c>
      <c r="X13" s="2"/>
      <c r="Y13" s="2"/>
      <c r="Z13" s="2"/>
    </row>
    <row r="14" spans="1:40" ht="15.6">
      <c r="A14" s="150">
        <v>13</v>
      </c>
      <c r="B14" s="55" t="s">
        <v>191</v>
      </c>
      <c r="C14" s="55"/>
      <c r="D14" s="55" t="s">
        <v>254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 t="s">
        <v>352</v>
      </c>
      <c r="P14" s="67" t="s">
        <v>465</v>
      </c>
      <c r="Q14" s="3">
        <v>2500</v>
      </c>
      <c r="R14" s="3">
        <v>2500</v>
      </c>
      <c r="S14" s="3">
        <v>2500</v>
      </c>
      <c r="T14" s="3">
        <v>2500</v>
      </c>
      <c r="U14" s="3">
        <v>2500</v>
      </c>
      <c r="V14" s="63">
        <v>500</v>
      </c>
      <c r="W14" s="3"/>
      <c r="X14" s="2"/>
      <c r="Y14" s="2"/>
      <c r="Z14" s="2"/>
    </row>
    <row r="15" spans="1:40" ht="15.6">
      <c r="A15" s="150">
        <v>14</v>
      </c>
      <c r="B15" s="55" t="s">
        <v>194</v>
      </c>
      <c r="C15" s="55"/>
      <c r="D15" s="55" t="s">
        <v>195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 t="s">
        <v>351</v>
      </c>
      <c r="P15" s="55" t="s">
        <v>450</v>
      </c>
      <c r="Q15" s="3">
        <v>2200</v>
      </c>
      <c r="R15" s="3">
        <v>2200</v>
      </c>
      <c r="S15" s="3"/>
      <c r="T15" s="3"/>
      <c r="U15" s="3"/>
      <c r="V15" s="3"/>
      <c r="W15" s="3"/>
      <c r="X15" s="2"/>
      <c r="Y15" s="2"/>
      <c r="Z15" s="2"/>
    </row>
    <row r="16" spans="1:40" ht="109.2">
      <c r="A16" s="150">
        <v>15</v>
      </c>
      <c r="B16" s="55" t="s">
        <v>149</v>
      </c>
      <c r="C16" s="55"/>
      <c r="D16" s="55" t="s">
        <v>150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3" t="s">
        <v>341</v>
      </c>
      <c r="P16" s="65" t="s">
        <v>451</v>
      </c>
      <c r="Q16" s="3">
        <v>2688.37</v>
      </c>
      <c r="R16" s="3">
        <v>2688.37</v>
      </c>
      <c r="S16" s="3">
        <v>2688.37</v>
      </c>
      <c r="T16" s="73">
        <v>3875.37</v>
      </c>
      <c r="U16" s="3"/>
      <c r="V16" s="3"/>
      <c r="W16" s="3"/>
      <c r="X16" s="2"/>
      <c r="Y16" s="2"/>
      <c r="Z16" s="2"/>
    </row>
    <row r="17" spans="1:26" ht="46.8">
      <c r="A17" s="150">
        <v>16</v>
      </c>
      <c r="B17" s="55" t="s">
        <v>49</v>
      </c>
      <c r="C17" s="55"/>
      <c r="D17" s="55" t="s">
        <v>50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2" t="s">
        <v>346</v>
      </c>
      <c r="P17" s="64" t="s">
        <v>466</v>
      </c>
      <c r="Q17" s="3">
        <v>3836.54</v>
      </c>
      <c r="R17" s="3">
        <v>3836.54</v>
      </c>
      <c r="S17" s="3">
        <v>3836.54</v>
      </c>
      <c r="T17" s="3">
        <v>3836.54</v>
      </c>
      <c r="U17" s="3">
        <v>3836.54</v>
      </c>
      <c r="V17" s="3">
        <v>3836.54</v>
      </c>
      <c r="W17" s="62">
        <v>7830.01</v>
      </c>
      <c r="X17" s="2"/>
      <c r="Y17" s="2"/>
      <c r="Z17" s="2"/>
    </row>
    <row r="18" spans="1:26" ht="114.6" customHeight="1">
      <c r="A18" s="150">
        <v>17</v>
      </c>
      <c r="B18" s="55" t="s">
        <v>117</v>
      </c>
      <c r="C18" s="55"/>
      <c r="D18" s="55" t="s">
        <v>118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3" t="s">
        <v>356</v>
      </c>
      <c r="P18" s="53" t="s">
        <v>450</v>
      </c>
      <c r="Q18" s="3">
        <v>5600</v>
      </c>
      <c r="R18" s="3">
        <v>5600</v>
      </c>
      <c r="S18" s="3">
        <v>5600</v>
      </c>
      <c r="T18" s="3">
        <v>5600</v>
      </c>
      <c r="U18" s="3">
        <v>5600</v>
      </c>
      <c r="V18" s="3"/>
      <c r="W18" s="3"/>
      <c r="X18" s="2"/>
      <c r="Y18" s="2"/>
      <c r="Z18" s="2"/>
    </row>
    <row r="19" spans="1:26" ht="62.4">
      <c r="A19" s="150">
        <v>18</v>
      </c>
      <c r="B19" s="55" t="s">
        <v>43</v>
      </c>
      <c r="C19" s="55"/>
      <c r="D19" s="55" t="s">
        <v>44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3" t="s">
        <v>340</v>
      </c>
      <c r="P19" s="65" t="s">
        <v>467</v>
      </c>
      <c r="Q19" s="3">
        <v>10000</v>
      </c>
      <c r="R19" s="3">
        <v>10000</v>
      </c>
      <c r="S19" s="3">
        <v>10000</v>
      </c>
      <c r="T19" s="3">
        <v>10000</v>
      </c>
      <c r="U19" s="3">
        <v>10000</v>
      </c>
      <c r="V19" s="62">
        <v>13910.67</v>
      </c>
      <c r="W19" s="62">
        <v>2000</v>
      </c>
      <c r="X19" s="2"/>
      <c r="Y19" s="2"/>
      <c r="Z19" s="2"/>
    </row>
    <row r="20" spans="1:26" ht="15.6">
      <c r="A20" s="150">
        <v>19</v>
      </c>
      <c r="B20" s="55" t="s">
        <v>60</v>
      </c>
      <c r="C20" s="55"/>
      <c r="D20" s="55" t="s">
        <v>61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 t="s">
        <v>369</v>
      </c>
      <c r="P20" s="53" t="s">
        <v>450</v>
      </c>
      <c r="Q20" s="3"/>
      <c r="R20" s="3"/>
      <c r="S20" s="3"/>
      <c r="T20" s="3"/>
      <c r="U20" s="3"/>
      <c r="V20" s="3"/>
      <c r="W20" s="3"/>
      <c r="X20" s="2"/>
      <c r="Y20" s="2"/>
      <c r="Z20" s="2"/>
    </row>
    <row r="21" spans="1:26" ht="78">
      <c r="A21" s="150">
        <v>20</v>
      </c>
      <c r="B21" s="55" t="s">
        <v>85</v>
      </c>
      <c r="C21" s="55"/>
      <c r="D21" s="160" t="s">
        <v>86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3" t="s">
        <v>366</v>
      </c>
      <c r="P21" s="65" t="s">
        <v>470</v>
      </c>
      <c r="Q21" s="3">
        <v>2864.92</v>
      </c>
      <c r="R21" s="3">
        <v>2864.92</v>
      </c>
      <c r="S21" s="3">
        <v>2864.92</v>
      </c>
      <c r="T21" s="3">
        <v>2864.92</v>
      </c>
      <c r="U21" s="3">
        <v>2864.92</v>
      </c>
      <c r="V21" s="3">
        <v>2864.92</v>
      </c>
      <c r="W21" s="3">
        <v>2864.92</v>
      </c>
      <c r="X21" s="3">
        <v>2864.92</v>
      </c>
      <c r="Y21" s="62">
        <v>7725.09</v>
      </c>
      <c r="Z21" s="2"/>
    </row>
    <row r="22" spans="1:26" ht="109.2" hidden="1">
      <c r="A22" s="150">
        <v>21</v>
      </c>
      <c r="B22" s="131" t="s">
        <v>188</v>
      </c>
      <c r="C22" s="131"/>
      <c r="D22" s="132" t="s">
        <v>667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3" t="s">
        <v>365</v>
      </c>
      <c r="P22" s="74" t="s">
        <v>472</v>
      </c>
      <c r="Q22" s="3">
        <v>10.64</v>
      </c>
      <c r="R22" s="3"/>
      <c r="S22" s="73">
        <v>10.46</v>
      </c>
      <c r="T22" s="3"/>
      <c r="U22" s="3"/>
      <c r="V22" s="3"/>
      <c r="W22" s="3"/>
      <c r="X22" s="2"/>
      <c r="Y22" s="2"/>
      <c r="Z22" s="2"/>
    </row>
    <row r="23" spans="1:26" ht="93.6">
      <c r="A23" s="150">
        <v>22</v>
      </c>
      <c r="B23" s="52" t="s">
        <v>226</v>
      </c>
      <c r="C23" s="52"/>
      <c r="D23" s="55" t="s">
        <v>225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2" t="s">
        <v>339</v>
      </c>
      <c r="P23" s="64" t="s">
        <v>471</v>
      </c>
      <c r="Q23" s="3">
        <v>3200</v>
      </c>
      <c r="R23" s="3">
        <v>3200</v>
      </c>
      <c r="S23" s="3">
        <v>3200</v>
      </c>
      <c r="T23" s="3">
        <v>3200</v>
      </c>
      <c r="U23" s="3">
        <v>3200</v>
      </c>
      <c r="V23" s="3">
        <v>3200</v>
      </c>
      <c r="W23" s="3">
        <v>3200</v>
      </c>
      <c r="X23" s="3">
        <v>3200</v>
      </c>
      <c r="Y23" s="3">
        <v>3200</v>
      </c>
      <c r="Z23" s="62">
        <v>400</v>
      </c>
    </row>
    <row r="24" spans="1:26" ht="140.4">
      <c r="A24" s="150">
        <v>23</v>
      </c>
      <c r="B24" s="55" t="s">
        <v>128</v>
      </c>
      <c r="C24" s="55"/>
      <c r="D24" s="55" t="s">
        <v>129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3" t="s">
        <v>357</v>
      </c>
      <c r="P24" s="53" t="s">
        <v>450</v>
      </c>
      <c r="Q24" s="3">
        <v>1000</v>
      </c>
      <c r="R24" s="3">
        <v>1000</v>
      </c>
      <c r="S24" s="3">
        <v>1000</v>
      </c>
      <c r="T24" s="3">
        <v>1000</v>
      </c>
      <c r="U24" s="3">
        <v>1000</v>
      </c>
      <c r="V24" s="3">
        <v>1000</v>
      </c>
      <c r="W24" s="3">
        <v>1000</v>
      </c>
      <c r="X24" s="3">
        <v>1000</v>
      </c>
      <c r="Y24" s="3">
        <v>1000</v>
      </c>
      <c r="Z24" s="3">
        <v>1000</v>
      </c>
    </row>
    <row r="25" spans="1:26" ht="93.6">
      <c r="A25" s="150">
        <v>24</v>
      </c>
      <c r="B25" s="52" t="s">
        <v>223</v>
      </c>
      <c r="C25" s="52"/>
      <c r="D25" s="55" t="s">
        <v>224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3" t="s">
        <v>355</v>
      </c>
      <c r="P25" s="65" t="s">
        <v>473</v>
      </c>
      <c r="Q25" s="3">
        <v>10038.700000000001</v>
      </c>
      <c r="R25" s="3">
        <v>3968.99</v>
      </c>
      <c r="S25" s="3">
        <v>3968.99</v>
      </c>
      <c r="T25" s="3">
        <v>3968.99</v>
      </c>
      <c r="U25" s="3">
        <v>3968.99</v>
      </c>
      <c r="V25" s="3">
        <v>3968.99</v>
      </c>
      <c r="W25" s="3">
        <v>3968.99</v>
      </c>
      <c r="X25" s="3">
        <v>3968.99</v>
      </c>
      <c r="Y25" s="62">
        <v>6751.09</v>
      </c>
      <c r="Z25" s="2"/>
    </row>
    <row r="26" spans="1:26" ht="62.4" hidden="1">
      <c r="A26" s="150">
        <v>25</v>
      </c>
      <c r="B26" s="55" t="s">
        <v>65</v>
      </c>
      <c r="C26" s="55"/>
      <c r="D26" s="55" t="s">
        <v>66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3" t="s">
        <v>350</v>
      </c>
      <c r="P26" s="53" t="s">
        <v>450</v>
      </c>
      <c r="Q26" s="3">
        <v>1000</v>
      </c>
      <c r="R26" s="3">
        <v>1000</v>
      </c>
      <c r="S26" s="3">
        <v>1465</v>
      </c>
      <c r="T26" s="3"/>
      <c r="U26" s="3"/>
      <c r="V26" s="3"/>
      <c r="W26" s="3"/>
      <c r="X26" s="2"/>
      <c r="Y26" s="2"/>
      <c r="Z26" s="2"/>
    </row>
    <row r="27" spans="1:26" ht="124.8">
      <c r="A27" s="150">
        <v>26</v>
      </c>
      <c r="B27" s="55" t="s">
        <v>24</v>
      </c>
      <c r="C27" s="55"/>
      <c r="D27" s="55" t="s">
        <v>25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3" t="s">
        <v>348</v>
      </c>
      <c r="P27" s="65" t="s">
        <v>474</v>
      </c>
      <c r="Q27" s="3">
        <v>50000</v>
      </c>
      <c r="R27" s="3">
        <v>50000</v>
      </c>
      <c r="S27" s="3">
        <v>50000</v>
      </c>
      <c r="T27" s="3">
        <v>50000</v>
      </c>
      <c r="U27" s="3">
        <v>50000</v>
      </c>
      <c r="V27" s="3">
        <v>65000</v>
      </c>
      <c r="W27" s="3">
        <v>5000</v>
      </c>
      <c r="X27" s="62">
        <v>4700.1499999999996</v>
      </c>
      <c r="Y27" s="62">
        <v>17411.060000000001</v>
      </c>
      <c r="Z27" s="2"/>
    </row>
    <row r="28" spans="1:26" ht="62.4">
      <c r="A28" s="150">
        <v>27</v>
      </c>
      <c r="B28" s="55" t="s">
        <v>94</v>
      </c>
      <c r="C28" s="55"/>
      <c r="D28" s="55" t="s">
        <v>95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3" t="s">
        <v>364</v>
      </c>
      <c r="P28" s="65" t="s">
        <v>463</v>
      </c>
      <c r="Q28" s="3">
        <v>1500</v>
      </c>
      <c r="R28" s="3">
        <v>1500</v>
      </c>
      <c r="S28" s="3">
        <v>1500</v>
      </c>
      <c r="T28" s="3">
        <v>1500</v>
      </c>
      <c r="U28" s="3">
        <v>1500</v>
      </c>
      <c r="V28" s="3">
        <v>1500</v>
      </c>
      <c r="W28" s="62">
        <v>1500</v>
      </c>
      <c r="X28" s="2"/>
      <c r="Y28" s="2"/>
      <c r="Z28" s="2"/>
    </row>
    <row r="29" spans="1:26" ht="15.6">
      <c r="A29" s="150">
        <v>28</v>
      </c>
      <c r="B29" s="55" t="s">
        <v>197</v>
      </c>
      <c r="C29" s="55"/>
      <c r="D29" s="55" t="s">
        <v>198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2" t="s">
        <v>370</v>
      </c>
      <c r="P29" s="52" t="s">
        <v>450</v>
      </c>
      <c r="Q29" s="3">
        <v>880</v>
      </c>
      <c r="R29" s="3">
        <v>880</v>
      </c>
      <c r="S29" s="3">
        <v>880</v>
      </c>
      <c r="T29" s="3">
        <v>880</v>
      </c>
      <c r="U29" s="3">
        <v>880</v>
      </c>
      <c r="V29" s="3"/>
      <c r="W29" s="3"/>
      <c r="X29" s="2"/>
      <c r="Y29" s="2"/>
      <c r="Z29" s="2"/>
    </row>
    <row r="30" spans="1:26" ht="93.6">
      <c r="A30" s="150">
        <v>29</v>
      </c>
      <c r="B30" s="76" t="s">
        <v>158</v>
      </c>
      <c r="C30" s="76"/>
      <c r="D30" s="57" t="s">
        <v>159</v>
      </c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3" t="s">
        <v>349</v>
      </c>
      <c r="P30" s="53" t="s">
        <v>450</v>
      </c>
      <c r="Q30" s="3">
        <v>2000</v>
      </c>
      <c r="R30" s="3">
        <v>2000</v>
      </c>
      <c r="S30" s="3">
        <v>2000</v>
      </c>
      <c r="T30" s="3">
        <v>2000</v>
      </c>
      <c r="U30" s="3">
        <v>2000</v>
      </c>
      <c r="V30" s="3">
        <v>2000</v>
      </c>
      <c r="W30" s="3">
        <v>2000</v>
      </c>
      <c r="X30" s="3">
        <v>2000</v>
      </c>
      <c r="Y30" s="2"/>
      <c r="Z30" s="2"/>
    </row>
    <row r="31" spans="1:26" ht="140.4">
      <c r="A31" s="150">
        <v>30</v>
      </c>
      <c r="B31" s="57" t="s">
        <v>336</v>
      </c>
      <c r="C31" s="57"/>
      <c r="D31" s="57" t="s">
        <v>337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3" t="s">
        <v>335</v>
      </c>
      <c r="P31" s="65" t="s">
        <v>453</v>
      </c>
      <c r="Q31" s="3">
        <v>3500</v>
      </c>
      <c r="R31" s="3">
        <v>3500</v>
      </c>
      <c r="S31" s="62">
        <v>10733.45</v>
      </c>
      <c r="T31" s="3"/>
      <c r="U31" s="3"/>
      <c r="V31" s="3"/>
      <c r="W31" s="3"/>
      <c r="X31" s="2"/>
      <c r="Y31" s="2"/>
      <c r="Z31" s="2"/>
    </row>
    <row r="32" spans="1:26" ht="15.6">
      <c r="A32" s="150">
        <v>31</v>
      </c>
      <c r="B32" s="57" t="s">
        <v>343</v>
      </c>
      <c r="C32" s="57"/>
      <c r="D32" s="57" t="s">
        <v>344</v>
      </c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3" t="s">
        <v>345</v>
      </c>
      <c r="P32" s="53" t="s">
        <v>450</v>
      </c>
      <c r="Q32" s="3">
        <v>2000</v>
      </c>
      <c r="R32" s="3">
        <v>2000</v>
      </c>
      <c r="S32" s="3">
        <v>2000</v>
      </c>
      <c r="T32" s="3">
        <v>2000</v>
      </c>
      <c r="U32" s="3">
        <v>2000</v>
      </c>
      <c r="V32" s="3">
        <v>2000</v>
      </c>
      <c r="W32" s="3">
        <v>2000</v>
      </c>
      <c r="X32" s="3">
        <v>2000</v>
      </c>
      <c r="Y32" s="3">
        <v>2000</v>
      </c>
      <c r="Z32" s="3">
        <v>2000</v>
      </c>
    </row>
    <row r="33" spans="1:40" ht="46.8">
      <c r="A33" s="150">
        <v>32</v>
      </c>
      <c r="B33" s="76" t="s">
        <v>264</v>
      </c>
      <c r="C33" s="76"/>
      <c r="D33" s="77" t="s">
        <v>353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53" t="s">
        <v>354</v>
      </c>
      <c r="P33" s="68" t="s">
        <v>475</v>
      </c>
      <c r="Q33" s="3">
        <v>2500</v>
      </c>
      <c r="R33" s="3">
        <v>2500</v>
      </c>
      <c r="S33" s="3">
        <v>2500</v>
      </c>
      <c r="T33" s="3">
        <v>2500</v>
      </c>
      <c r="U33" s="3"/>
      <c r="V33" s="3"/>
      <c r="W33" s="3"/>
      <c r="X33" s="2"/>
      <c r="Y33" s="2"/>
      <c r="Z33" s="2"/>
    </row>
    <row r="34" spans="1:40" ht="15.6">
      <c r="A34" s="150">
        <v>33</v>
      </c>
      <c r="B34" s="57" t="s">
        <v>308</v>
      </c>
      <c r="C34" s="57"/>
      <c r="D34" s="57" t="s">
        <v>360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3" t="s">
        <v>361</v>
      </c>
      <c r="P34" s="53" t="s">
        <v>450</v>
      </c>
      <c r="Q34" s="3">
        <v>1400</v>
      </c>
      <c r="R34" s="3">
        <v>1400</v>
      </c>
      <c r="S34" s="3">
        <v>1400</v>
      </c>
      <c r="T34" s="3">
        <v>1400</v>
      </c>
      <c r="U34" s="3">
        <v>1400</v>
      </c>
      <c r="V34" s="3">
        <v>1400</v>
      </c>
      <c r="W34" s="3">
        <v>1400</v>
      </c>
      <c r="X34" s="3">
        <v>1400</v>
      </c>
      <c r="Y34" s="2"/>
      <c r="Z34" s="2"/>
    </row>
    <row r="35" spans="1:40" ht="31.2">
      <c r="A35" s="150">
        <v>34</v>
      </c>
      <c r="B35" s="57" t="s">
        <v>367</v>
      </c>
      <c r="C35" s="57"/>
      <c r="D35" s="57" t="s">
        <v>40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3" t="s">
        <v>368</v>
      </c>
      <c r="P35" s="65" t="s">
        <v>456</v>
      </c>
      <c r="Q35" s="3">
        <v>268.92</v>
      </c>
      <c r="R35" s="3">
        <v>268.92</v>
      </c>
      <c r="S35" s="3">
        <v>268.92</v>
      </c>
      <c r="T35" s="3">
        <v>268.92</v>
      </c>
      <c r="U35" s="3">
        <v>268.92</v>
      </c>
      <c r="V35" s="62">
        <v>369.29</v>
      </c>
      <c r="W35" s="3"/>
      <c r="X35" s="2"/>
      <c r="Y35" s="2"/>
      <c r="Z35" s="2"/>
    </row>
    <row r="36" spans="1:40" ht="31.2">
      <c r="A36" s="150">
        <v>35</v>
      </c>
      <c r="B36" s="55" t="s">
        <v>203</v>
      </c>
      <c r="C36" s="55"/>
      <c r="D36" s="52" t="s">
        <v>204</v>
      </c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6" t="s">
        <v>371</v>
      </c>
      <c r="P36" s="56" t="s">
        <v>450</v>
      </c>
      <c r="Q36" s="3"/>
      <c r="R36" s="3">
        <v>2000</v>
      </c>
      <c r="S36" s="3">
        <v>2000</v>
      </c>
      <c r="T36" s="3"/>
      <c r="U36" s="3"/>
      <c r="V36" s="3"/>
      <c r="W36" s="3"/>
      <c r="X36" s="2"/>
      <c r="Y36" s="2"/>
      <c r="Z36" s="2"/>
    </row>
    <row r="37" spans="1:40" ht="46.8">
      <c r="A37" s="150">
        <v>36</v>
      </c>
      <c r="B37" s="57" t="s">
        <v>113</v>
      </c>
      <c r="C37" s="57"/>
      <c r="D37" s="57" t="s">
        <v>114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6" t="s">
        <v>455</v>
      </c>
      <c r="P37" s="66" t="s">
        <v>454</v>
      </c>
      <c r="Q37" s="3"/>
      <c r="R37" s="3">
        <v>1240</v>
      </c>
      <c r="S37" s="3">
        <v>1240</v>
      </c>
      <c r="T37" s="3">
        <v>1240</v>
      </c>
      <c r="U37" s="3">
        <v>1240</v>
      </c>
      <c r="V37" s="3">
        <v>1240</v>
      </c>
      <c r="W37" s="3">
        <v>1240</v>
      </c>
      <c r="X37" s="3">
        <v>1240</v>
      </c>
      <c r="Y37" s="3">
        <v>1240</v>
      </c>
      <c r="Z37" s="3">
        <v>1240</v>
      </c>
      <c r="AA37" s="3">
        <v>1240</v>
      </c>
      <c r="AB37" s="62">
        <v>702.79</v>
      </c>
    </row>
    <row r="38" spans="1:40" ht="62.4">
      <c r="A38" s="150">
        <v>37</v>
      </c>
      <c r="B38" s="55" t="s">
        <v>201</v>
      </c>
      <c r="C38" s="55"/>
      <c r="D38" s="57" t="s">
        <v>89</v>
      </c>
      <c r="E38" s="129"/>
      <c r="F38" s="57"/>
      <c r="G38" s="57"/>
      <c r="H38" s="57"/>
      <c r="I38" s="57"/>
      <c r="J38" s="57"/>
      <c r="K38" s="57"/>
      <c r="L38" s="57"/>
      <c r="M38" s="141"/>
      <c r="N38" s="141"/>
      <c r="O38" s="57" t="s">
        <v>406</v>
      </c>
      <c r="P38" s="66" t="s">
        <v>476</v>
      </c>
      <c r="Q38" s="3"/>
      <c r="R38" s="3">
        <v>3800</v>
      </c>
      <c r="S38" s="3">
        <v>3800</v>
      </c>
      <c r="T38" s="3">
        <v>3800</v>
      </c>
      <c r="U38" s="3">
        <v>3800</v>
      </c>
      <c r="V38" s="3">
        <v>3800</v>
      </c>
      <c r="W38" s="3">
        <v>3800</v>
      </c>
      <c r="X38" s="3">
        <v>3800</v>
      </c>
      <c r="Y38" s="3">
        <v>3800</v>
      </c>
      <c r="Z38" s="3">
        <v>3800</v>
      </c>
      <c r="AA38" s="3">
        <v>3800</v>
      </c>
      <c r="AB38" s="62">
        <v>1500</v>
      </c>
      <c r="AC38" s="62">
        <v>10226.07</v>
      </c>
    </row>
    <row r="39" spans="1:40" ht="15.6">
      <c r="A39" s="150">
        <v>38</v>
      </c>
      <c r="B39" s="78" t="s">
        <v>403</v>
      </c>
      <c r="C39" s="78"/>
      <c r="D39" s="150" t="s">
        <v>404</v>
      </c>
      <c r="E39" s="78"/>
      <c r="F39" s="78"/>
      <c r="G39" s="78"/>
      <c r="H39" s="150"/>
      <c r="I39" s="78"/>
      <c r="J39" s="78"/>
      <c r="K39" s="78"/>
      <c r="L39" s="78"/>
      <c r="M39" s="142"/>
      <c r="N39" s="142"/>
      <c r="O39" s="57" t="s">
        <v>405</v>
      </c>
      <c r="P39" s="57" t="s">
        <v>450</v>
      </c>
      <c r="Q39" s="3"/>
      <c r="R39" s="3">
        <v>1000</v>
      </c>
      <c r="S39" s="3">
        <v>1000</v>
      </c>
      <c r="T39" s="3">
        <v>1000</v>
      </c>
      <c r="U39" s="3">
        <v>1000</v>
      </c>
      <c r="V39" s="3">
        <v>1000</v>
      </c>
      <c r="W39" s="3">
        <v>1000</v>
      </c>
      <c r="X39" s="2"/>
      <c r="Y39" s="2"/>
      <c r="Z39" s="2"/>
    </row>
    <row r="40" spans="1:40" ht="15.6">
      <c r="A40" s="150">
        <v>39</v>
      </c>
      <c r="B40" s="57" t="s">
        <v>377</v>
      </c>
      <c r="C40" s="57"/>
      <c r="D40" s="57" t="s">
        <v>378</v>
      </c>
      <c r="E40" s="57"/>
      <c r="F40" s="57"/>
      <c r="G40" s="57"/>
      <c r="H40" s="57"/>
      <c r="I40" s="57"/>
      <c r="J40" s="57"/>
      <c r="K40" s="57"/>
      <c r="L40" s="57"/>
      <c r="M40" s="141"/>
      <c r="N40" s="141"/>
      <c r="O40" s="57" t="s">
        <v>435</v>
      </c>
      <c r="P40" s="57" t="s">
        <v>450</v>
      </c>
      <c r="Q40" s="3"/>
      <c r="R40" s="3"/>
      <c r="S40" s="3">
        <v>1000</v>
      </c>
      <c r="T40" s="3">
        <v>1000</v>
      </c>
      <c r="U40" s="3">
        <v>1000</v>
      </c>
      <c r="V40" s="3">
        <v>1000</v>
      </c>
      <c r="W40" s="3">
        <v>1000</v>
      </c>
      <c r="X40" s="2"/>
      <c r="Y40" s="2"/>
      <c r="Z40" s="2"/>
    </row>
    <row r="41" spans="1:40" ht="31.2">
      <c r="A41" s="150">
        <v>40</v>
      </c>
      <c r="B41" s="52" t="s">
        <v>290</v>
      </c>
      <c r="C41" s="52"/>
      <c r="D41" s="55" t="s">
        <v>432</v>
      </c>
      <c r="E41" s="55"/>
      <c r="F41" s="55"/>
      <c r="G41" s="55"/>
      <c r="H41" s="55"/>
      <c r="I41" s="55"/>
      <c r="J41" s="55"/>
      <c r="K41" s="55"/>
      <c r="L41" s="55"/>
      <c r="M41" s="143"/>
      <c r="N41" s="143"/>
      <c r="O41" s="79" t="s">
        <v>458</v>
      </c>
      <c r="P41" s="69" t="s">
        <v>457</v>
      </c>
      <c r="Q41" s="3"/>
      <c r="R41" s="3"/>
      <c r="S41" s="3"/>
      <c r="T41" s="3">
        <v>2000</v>
      </c>
      <c r="U41" s="3">
        <v>2000</v>
      </c>
      <c r="V41" s="3">
        <v>2000</v>
      </c>
      <c r="W41" s="3">
        <v>2000</v>
      </c>
      <c r="X41" s="3">
        <v>2000</v>
      </c>
      <c r="Y41" s="3">
        <v>2000</v>
      </c>
      <c r="Z41" s="3">
        <v>2000</v>
      </c>
      <c r="AA41" s="3">
        <v>2000</v>
      </c>
      <c r="AB41" s="3">
        <v>2000</v>
      </c>
      <c r="AC41" s="62">
        <v>926.12</v>
      </c>
    </row>
    <row r="42" spans="1:40" ht="15.6">
      <c r="A42" s="150">
        <v>41</v>
      </c>
      <c r="B42" s="55" t="s">
        <v>209</v>
      </c>
      <c r="C42" s="55"/>
      <c r="D42" s="55" t="s">
        <v>210</v>
      </c>
      <c r="E42" s="55"/>
      <c r="F42" s="55"/>
      <c r="G42" s="55"/>
      <c r="H42" s="55"/>
      <c r="I42" s="55"/>
      <c r="J42" s="55"/>
      <c r="K42" s="55"/>
      <c r="L42" s="55"/>
      <c r="M42" s="143"/>
      <c r="N42" s="143"/>
      <c r="O42" s="55" t="s">
        <v>468</v>
      </c>
      <c r="P42" s="55" t="s">
        <v>450</v>
      </c>
      <c r="Q42" s="3"/>
      <c r="R42" s="3"/>
      <c r="S42" s="3"/>
      <c r="T42" s="3">
        <v>1000</v>
      </c>
      <c r="U42" s="3">
        <v>1000</v>
      </c>
      <c r="V42" s="3">
        <v>1000</v>
      </c>
      <c r="W42" s="3">
        <v>1000</v>
      </c>
      <c r="X42" s="2"/>
      <c r="Y42" s="2"/>
      <c r="Z42" s="2"/>
    </row>
    <row r="43" spans="1:40" ht="15.6">
      <c r="A43" s="150">
        <v>42</v>
      </c>
      <c r="B43" s="80" t="s">
        <v>119</v>
      </c>
      <c r="C43" s="80"/>
      <c r="D43" s="57" t="s">
        <v>120</v>
      </c>
      <c r="E43" s="80" t="s">
        <v>389</v>
      </c>
      <c r="F43" s="80"/>
      <c r="G43" s="80"/>
      <c r="H43" s="57"/>
      <c r="I43" s="80"/>
      <c r="J43" s="80"/>
      <c r="K43" s="80"/>
      <c r="L43" s="80"/>
      <c r="M43" s="144"/>
      <c r="N43" s="144"/>
      <c r="O43" s="57" t="s">
        <v>499</v>
      </c>
      <c r="P43" s="81" t="s">
        <v>500</v>
      </c>
      <c r="Q43" s="3"/>
      <c r="R43" s="3"/>
      <c r="S43" s="62">
        <v>2672.49</v>
      </c>
      <c r="T43" s="3"/>
      <c r="U43" s="3"/>
      <c r="V43" s="3"/>
      <c r="W43" s="3"/>
      <c r="X43" s="2"/>
      <c r="Y43" s="2"/>
      <c r="Z43" s="2"/>
    </row>
    <row r="44" spans="1:40" ht="62.4">
      <c r="A44" s="150">
        <v>43</v>
      </c>
      <c r="B44" s="55" t="s">
        <v>87</v>
      </c>
      <c r="C44" s="55"/>
      <c r="D44" s="52" t="s">
        <v>510</v>
      </c>
      <c r="E44" s="52"/>
      <c r="F44" s="52"/>
      <c r="G44" s="52"/>
      <c r="H44" s="52"/>
      <c r="I44" s="52"/>
      <c r="J44" s="52"/>
      <c r="K44" s="52"/>
      <c r="L44" s="52"/>
      <c r="M44" s="145"/>
      <c r="N44" s="145"/>
      <c r="O44" s="56" t="s">
        <v>508</v>
      </c>
      <c r="P44" s="64" t="s">
        <v>509</v>
      </c>
      <c r="Q44" s="20">
        <f>SUM(Q2:Q38)</f>
        <v>125553.53</v>
      </c>
      <c r="R44" s="3"/>
      <c r="S44" s="30">
        <v>5000</v>
      </c>
      <c r="T44" s="3">
        <v>3993.34</v>
      </c>
      <c r="U44" s="3">
        <v>3993.34</v>
      </c>
      <c r="V44" s="3">
        <v>3993.34</v>
      </c>
      <c r="W44" s="3">
        <v>3993.34</v>
      </c>
      <c r="X44" s="3">
        <v>3993.34</v>
      </c>
      <c r="Y44" s="3">
        <v>3993.34</v>
      </c>
      <c r="Z44" s="3">
        <v>3993.34</v>
      </c>
      <c r="AA44" s="3">
        <v>3993.34</v>
      </c>
      <c r="AB44" s="3">
        <v>3993.34</v>
      </c>
      <c r="AC44" s="3">
        <v>3993.34</v>
      </c>
      <c r="AD44" s="3">
        <v>3993.34</v>
      </c>
      <c r="AE44" s="3">
        <v>3993.34</v>
      </c>
      <c r="AF44" s="3">
        <v>3993.34</v>
      </c>
      <c r="AG44" s="3">
        <v>3993.34</v>
      </c>
      <c r="AH44" s="3">
        <v>3993.34</v>
      </c>
      <c r="AI44" s="62">
        <v>1500</v>
      </c>
      <c r="AJ44" s="62">
        <v>9568.98</v>
      </c>
    </row>
    <row r="45" spans="1:40" ht="156">
      <c r="A45" s="150">
        <v>44</v>
      </c>
      <c r="B45" s="87" t="s">
        <v>92</v>
      </c>
      <c r="C45" s="87"/>
      <c r="D45" s="57" t="s">
        <v>93</v>
      </c>
      <c r="E45" s="56" t="s">
        <v>398</v>
      </c>
      <c r="F45" s="57" t="s">
        <v>26</v>
      </c>
      <c r="G45" s="57"/>
      <c r="H45" s="57" t="s">
        <v>390</v>
      </c>
      <c r="I45" s="88">
        <v>43363</v>
      </c>
      <c r="J45" s="88">
        <v>45024</v>
      </c>
      <c r="K45" s="56" t="s">
        <v>399</v>
      </c>
      <c r="L45" s="57"/>
      <c r="M45" s="141"/>
      <c r="N45" s="141"/>
      <c r="O45" s="151" t="s">
        <v>525</v>
      </c>
      <c r="P45" s="90" t="s">
        <v>524</v>
      </c>
      <c r="Q45" s="20"/>
      <c r="R45" s="3"/>
      <c r="S45" s="30"/>
      <c r="T45" s="3">
        <v>6941.02</v>
      </c>
      <c r="U45" s="3">
        <v>2570.75</v>
      </c>
      <c r="V45" s="3">
        <v>2570.75</v>
      </c>
      <c r="W45" s="3">
        <v>2570.75</v>
      </c>
      <c r="X45" s="3">
        <v>2570.75</v>
      </c>
      <c r="Y45" s="3">
        <v>2570.75</v>
      </c>
      <c r="Z45" s="3">
        <v>2570.75</v>
      </c>
      <c r="AA45" s="3">
        <v>2570.75</v>
      </c>
      <c r="AB45" s="3">
        <v>2570.75</v>
      </c>
      <c r="AC45" s="3">
        <v>2570.75</v>
      </c>
      <c r="AD45" s="3">
        <v>2570.75</v>
      </c>
      <c r="AE45" s="3">
        <v>2570.75</v>
      </c>
      <c r="AF45" s="3">
        <v>2570.75</v>
      </c>
      <c r="AG45" s="3">
        <v>2570.75</v>
      </c>
      <c r="AH45" s="3">
        <v>2570.75</v>
      </c>
      <c r="AI45" s="3">
        <v>2570.75</v>
      </c>
      <c r="AJ45" s="3">
        <v>2570.75</v>
      </c>
      <c r="AK45" s="3">
        <v>2570.75</v>
      </c>
      <c r="AN45" s="91">
        <v>14805.86</v>
      </c>
    </row>
    <row r="46" spans="1:40" ht="27">
      <c r="A46" s="150">
        <v>45</v>
      </c>
      <c r="B46" s="148" t="s">
        <v>259</v>
      </c>
      <c r="C46" s="92"/>
      <c r="D46" s="77" t="s">
        <v>497</v>
      </c>
      <c r="E46" s="82" t="s">
        <v>498</v>
      </c>
      <c r="F46" s="82" t="s">
        <v>143</v>
      </c>
      <c r="G46" s="82" t="s">
        <v>26</v>
      </c>
      <c r="H46" s="150" t="s">
        <v>390</v>
      </c>
      <c r="I46" s="93">
        <v>44274</v>
      </c>
      <c r="J46" s="93">
        <v>45720</v>
      </c>
      <c r="K46" s="78" t="s">
        <v>526</v>
      </c>
      <c r="L46" s="78" t="s">
        <v>450</v>
      </c>
      <c r="M46" s="142"/>
      <c r="N46" s="142"/>
      <c r="O46" s="152" t="s">
        <v>527</v>
      </c>
      <c r="P46" s="78" t="s">
        <v>450</v>
      </c>
      <c r="Q46" s="1"/>
      <c r="R46" s="3"/>
      <c r="S46" s="30"/>
      <c r="T46" s="3">
        <v>2266.6799999999998</v>
      </c>
      <c r="U46" s="3">
        <v>1133.3399999999999</v>
      </c>
      <c r="V46" s="3">
        <v>1133.3399999999999</v>
      </c>
      <c r="W46" s="3">
        <v>1133.3399999999999</v>
      </c>
      <c r="X46" s="3">
        <v>1133.3399999999999</v>
      </c>
      <c r="Y46" s="3">
        <v>1133.3399999999999</v>
      </c>
      <c r="Z46" s="3">
        <v>1133.3399999999999</v>
      </c>
      <c r="AA46" s="3">
        <v>1133.3399999999999</v>
      </c>
      <c r="AB46" s="3">
        <v>1133.3399999999999</v>
      </c>
      <c r="AC46" s="3">
        <v>1133.3399999999999</v>
      </c>
      <c r="AD46" s="3">
        <v>1133.3399999999999</v>
      </c>
      <c r="AE46" s="3">
        <v>1133.3399999999999</v>
      </c>
      <c r="AF46" s="3">
        <v>1133.3399999999999</v>
      </c>
      <c r="AG46" s="3">
        <v>1133.3399999999999</v>
      </c>
    </row>
    <row r="47" spans="1:40" ht="55.8">
      <c r="A47" s="150">
        <v>46</v>
      </c>
      <c r="B47" s="55" t="s">
        <v>58</v>
      </c>
      <c r="C47" s="55"/>
      <c r="D47" s="55" t="s">
        <v>59</v>
      </c>
      <c r="E47" s="55" t="s">
        <v>654</v>
      </c>
      <c r="F47" s="55" t="s">
        <v>26</v>
      </c>
      <c r="G47" s="55"/>
      <c r="H47" s="150"/>
      <c r="I47" s="78"/>
      <c r="J47" s="78"/>
      <c r="K47" s="78" t="s">
        <v>526</v>
      </c>
      <c r="L47" s="78" t="s">
        <v>450</v>
      </c>
      <c r="M47" s="142"/>
      <c r="N47" s="142"/>
      <c r="O47" s="130" t="s">
        <v>655</v>
      </c>
      <c r="P47" s="139" t="s">
        <v>450</v>
      </c>
      <c r="Q47" s="1"/>
      <c r="R47" s="3"/>
      <c r="S47" s="30"/>
      <c r="T47" s="3">
        <v>1000</v>
      </c>
      <c r="U47" s="3">
        <v>1000</v>
      </c>
      <c r="V47" s="3">
        <v>1000</v>
      </c>
      <c r="W47" s="3"/>
      <c r="X47" s="2"/>
      <c r="Y47" s="2"/>
      <c r="Z47" s="2"/>
    </row>
    <row r="48" spans="1:40" ht="15.6">
      <c r="A48" s="150">
        <v>47</v>
      </c>
      <c r="B48" s="132" t="s">
        <v>79</v>
      </c>
      <c r="C48" s="132"/>
      <c r="D48" s="132" t="s">
        <v>80</v>
      </c>
      <c r="E48" s="132" t="s">
        <v>18</v>
      </c>
      <c r="F48" s="132" t="s">
        <v>26</v>
      </c>
      <c r="G48" s="55"/>
      <c r="H48" s="150"/>
      <c r="I48" s="78"/>
      <c r="J48" s="78"/>
      <c r="K48" s="78"/>
      <c r="L48" s="78"/>
      <c r="M48" s="142"/>
      <c r="N48" s="142"/>
      <c r="O48" s="153"/>
      <c r="P48" s="78"/>
      <c r="Q48" s="1"/>
      <c r="R48" s="3"/>
      <c r="S48" s="30"/>
      <c r="T48" s="3"/>
      <c r="U48" s="3"/>
      <c r="V48" s="3"/>
      <c r="W48" s="3"/>
      <c r="X48" s="2"/>
      <c r="Y48" s="2"/>
      <c r="Z48" s="2"/>
    </row>
    <row r="49" spans="1:33" ht="15.6">
      <c r="A49" s="150">
        <v>48</v>
      </c>
      <c r="B49" s="55" t="s">
        <v>240</v>
      </c>
      <c r="C49" s="149">
        <v>45811</v>
      </c>
      <c r="D49" s="55" t="s">
        <v>241</v>
      </c>
      <c r="E49" s="55" t="s">
        <v>47</v>
      </c>
      <c r="F49" s="55"/>
      <c r="G49" s="55" t="s">
        <v>669</v>
      </c>
      <c r="H49" s="55" t="s">
        <v>390</v>
      </c>
      <c r="I49" s="149">
        <v>45079</v>
      </c>
      <c r="J49" s="149">
        <v>45821</v>
      </c>
      <c r="K49" s="78" t="s">
        <v>450</v>
      </c>
      <c r="L49" s="78" t="s">
        <v>450</v>
      </c>
      <c r="M49" s="147">
        <v>41579.74</v>
      </c>
      <c r="N49" s="142">
        <v>15000</v>
      </c>
      <c r="O49" s="153"/>
      <c r="P49" s="78"/>
      <c r="Q49" s="1"/>
      <c r="R49" s="3"/>
      <c r="S49" s="30"/>
      <c r="T49" s="3"/>
      <c r="U49" s="3"/>
      <c r="V49" s="3"/>
      <c r="W49" s="3"/>
      <c r="X49" s="2"/>
      <c r="Y49" s="2"/>
      <c r="Z49" s="2"/>
    </row>
    <row r="50" spans="1:33" ht="15.6">
      <c r="A50" s="150">
        <v>49</v>
      </c>
      <c r="B50" s="55" t="s">
        <v>83</v>
      </c>
      <c r="C50" s="149">
        <v>45475</v>
      </c>
      <c r="D50" s="55" t="s">
        <v>84</v>
      </c>
      <c r="E50" s="55" t="s">
        <v>18</v>
      </c>
      <c r="F50" s="55" t="s">
        <v>143</v>
      </c>
      <c r="G50" s="55" t="s">
        <v>668</v>
      </c>
      <c r="H50" s="55" t="s">
        <v>390</v>
      </c>
      <c r="I50" s="149">
        <v>45219</v>
      </c>
      <c r="J50" s="149">
        <v>45308</v>
      </c>
      <c r="K50" s="78" t="s">
        <v>450</v>
      </c>
      <c r="L50" s="78" t="s">
        <v>450</v>
      </c>
      <c r="M50" s="147">
        <v>67026.05</v>
      </c>
      <c r="N50" s="142">
        <v>9000</v>
      </c>
      <c r="O50" s="153"/>
      <c r="P50" s="78"/>
      <c r="Q50" s="1"/>
      <c r="R50" s="3"/>
      <c r="S50" s="30"/>
      <c r="T50" s="3"/>
      <c r="U50" s="3"/>
      <c r="V50" s="3"/>
      <c r="W50" s="3"/>
      <c r="X50" s="2"/>
      <c r="Y50" s="2"/>
      <c r="Z50" s="2"/>
    </row>
    <row r="51" spans="1:33" ht="42">
      <c r="A51" s="150">
        <v>50</v>
      </c>
      <c r="B51" s="55" t="s">
        <v>202</v>
      </c>
      <c r="C51" s="149">
        <v>45554</v>
      </c>
      <c r="D51" s="55" t="s">
        <v>665</v>
      </c>
      <c r="E51" s="55" t="s">
        <v>155</v>
      </c>
      <c r="F51" s="52" t="s">
        <v>670</v>
      </c>
      <c r="G51" s="52" t="s">
        <v>671</v>
      </c>
      <c r="H51" s="150" t="s">
        <v>384</v>
      </c>
      <c r="I51" s="154">
        <v>44798</v>
      </c>
      <c r="J51" s="154">
        <v>45295</v>
      </c>
      <c r="K51" s="78" t="s">
        <v>450</v>
      </c>
      <c r="L51" s="78" t="s">
        <v>450</v>
      </c>
      <c r="M51" s="142">
        <v>101461.84</v>
      </c>
      <c r="N51" s="142">
        <v>50000</v>
      </c>
      <c r="O51" s="140" t="s">
        <v>666</v>
      </c>
      <c r="P51" s="78"/>
      <c r="Q51" s="1"/>
      <c r="R51" s="3"/>
      <c r="S51" s="3">
        <v>3000</v>
      </c>
      <c r="T51" s="3">
        <v>3000</v>
      </c>
      <c r="U51" s="3">
        <v>3000</v>
      </c>
      <c r="V51" s="3">
        <v>3000</v>
      </c>
      <c r="W51" s="3">
        <v>3000</v>
      </c>
      <c r="X51" s="3">
        <v>3000</v>
      </c>
      <c r="Y51" s="3">
        <v>3000</v>
      </c>
      <c r="Z51" s="3">
        <v>3000</v>
      </c>
      <c r="AA51" s="3">
        <v>3000</v>
      </c>
      <c r="AB51" s="3">
        <v>3000</v>
      </c>
      <c r="AC51" s="3">
        <v>3000</v>
      </c>
      <c r="AD51" s="3">
        <v>3000</v>
      </c>
      <c r="AE51" s="3">
        <v>3000</v>
      </c>
      <c r="AF51" s="3">
        <v>3000</v>
      </c>
      <c r="AG51" s="3">
        <v>3000</v>
      </c>
    </row>
    <row r="52" spans="1:33" ht="15.6">
      <c r="B52" s="161"/>
      <c r="C52" s="155"/>
      <c r="D52" s="137"/>
      <c r="E52" s="137"/>
      <c r="F52" s="156"/>
      <c r="G52" s="137"/>
      <c r="H52" s="157"/>
      <c r="I52" s="158"/>
      <c r="J52" s="158"/>
      <c r="K52" s="138"/>
      <c r="L52" s="138"/>
      <c r="M52" s="146"/>
      <c r="N52" s="146"/>
      <c r="O52" s="130"/>
      <c r="P52" s="138"/>
      <c r="Q52" s="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5.6">
      <c r="B53" s="137"/>
      <c r="C53" s="155"/>
      <c r="D53" s="137"/>
      <c r="E53" s="137"/>
      <c r="F53" s="156"/>
      <c r="G53" s="137"/>
      <c r="H53" s="157"/>
      <c r="I53" s="158"/>
      <c r="J53" s="158"/>
      <c r="K53" s="138"/>
      <c r="L53" s="138"/>
      <c r="M53" s="146"/>
      <c r="N53" s="146"/>
      <c r="O53" s="130"/>
      <c r="P53" s="138"/>
      <c r="Q53" s="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5.6">
      <c r="G54" s="13"/>
      <c r="O54" s="89"/>
      <c r="Q54" s="1"/>
      <c r="R54" s="20">
        <f>SUM(R2:R43)</f>
        <v>122214.58</v>
      </c>
      <c r="S54" s="20">
        <f>SUM(S2:S51)</f>
        <v>143576.68999999997</v>
      </c>
      <c r="T54" s="20">
        <f>SUM(T2:T51)</f>
        <v>133501.07999999999</v>
      </c>
      <c r="U54" s="20">
        <f>SUM(U2:U51)</f>
        <v>121021.90999999999</v>
      </c>
      <c r="V54" s="20">
        <f>SUM(V2:V51)</f>
        <v>131204.50999999998</v>
      </c>
      <c r="W54" s="20">
        <f>SUM(W2:W51)</f>
        <v>57418.01999999999</v>
      </c>
      <c r="X54" s="20">
        <f>SUM(X2:X51)</f>
        <v>43654.979999999996</v>
      </c>
      <c r="Y54" s="20">
        <f>SUM(Y2:Y51)</f>
        <v>57741.34</v>
      </c>
      <c r="Z54" s="20">
        <f>SUM(Z2:Z51)</f>
        <v>23054.100000000002</v>
      </c>
      <c r="AA54" s="20">
        <f>SUM(AA2:AA51)</f>
        <v>19237.43</v>
      </c>
      <c r="AB54" s="20">
        <f>SUM(AB2:AB51)</f>
        <v>14900.220000000001</v>
      </c>
      <c r="AC54" s="32">
        <f>SUM(AC2:AC51)</f>
        <v>21849.62</v>
      </c>
    </row>
    <row r="55" spans="1:33" ht="15.6">
      <c r="O55" s="89"/>
      <c r="Q55" s="1"/>
      <c r="R55" s="20"/>
      <c r="S55" s="20"/>
      <c r="T55" s="20"/>
      <c r="U55" s="20"/>
      <c r="V55" s="20"/>
      <c r="W55" s="20"/>
      <c r="X55" s="20"/>
      <c r="Y55" s="20"/>
      <c r="Z55" s="20"/>
    </row>
    <row r="56" spans="1:33">
      <c r="Q56" s="1"/>
      <c r="R56" s="1"/>
      <c r="S56" s="1"/>
      <c r="T56" s="1"/>
      <c r="U56" s="1"/>
      <c r="V56" s="1"/>
      <c r="W56" s="1"/>
    </row>
    <row r="57" spans="1:33">
      <c r="Q57" s="1"/>
      <c r="R57" s="1"/>
      <c r="S57" s="1"/>
      <c r="T57" s="1"/>
      <c r="U57" s="1"/>
      <c r="V57" s="1"/>
      <c r="W57" s="1"/>
    </row>
    <row r="58" spans="1:33">
      <c r="Q58" s="1"/>
      <c r="R58" s="1"/>
      <c r="S58" s="1"/>
      <c r="T58" s="1"/>
      <c r="U58" s="1"/>
      <c r="V58" s="1"/>
      <c r="W58" s="1"/>
    </row>
    <row r="59" spans="1:33">
      <c r="Q59" s="1"/>
      <c r="R59" s="1"/>
      <c r="S59" s="1"/>
      <c r="T59" s="1"/>
      <c r="U59" s="1"/>
      <c r="V59" s="1"/>
      <c r="W59" s="1"/>
    </row>
    <row r="60" spans="1:33">
      <c r="Q60" s="1"/>
      <c r="R60" s="1"/>
      <c r="S60" s="1"/>
      <c r="T60" s="1"/>
      <c r="U60" s="1"/>
      <c r="V60" s="1"/>
      <c r="W60" s="1"/>
    </row>
    <row r="61" spans="1:33">
      <c r="Q61" s="1"/>
      <c r="R61" s="1"/>
      <c r="S61" s="1"/>
      <c r="T61" s="1"/>
      <c r="U61" s="1"/>
      <c r="V61" s="1"/>
      <c r="W61" s="1"/>
    </row>
    <row r="62" spans="1:33">
      <c r="Q62" s="1"/>
      <c r="R62" s="1"/>
      <c r="S62" s="1"/>
      <c r="T62" s="1"/>
      <c r="U62" s="1"/>
      <c r="V62" s="1"/>
      <c r="W62" s="1"/>
    </row>
    <row r="63" spans="1:33">
      <c r="Q63" s="1"/>
      <c r="R63" s="1"/>
      <c r="S63" s="1"/>
      <c r="T63" s="1"/>
      <c r="U63" s="1"/>
      <c r="V63" s="1"/>
      <c r="W63" s="1"/>
    </row>
    <row r="64" spans="1:33">
      <c r="Q64" s="1"/>
      <c r="R64" s="1"/>
      <c r="S64" s="1"/>
      <c r="T64" s="1"/>
      <c r="U64" s="1"/>
      <c r="V64" s="1"/>
      <c r="W64" s="1"/>
    </row>
    <row r="65" spans="17:23">
      <c r="Q65" s="1"/>
      <c r="R65" s="1"/>
      <c r="S65" s="1"/>
      <c r="T65" s="1"/>
      <c r="U65" s="1"/>
      <c r="V65" s="1"/>
      <c r="W65" s="1"/>
    </row>
    <row r="66" spans="17:23">
      <c r="Q66" s="1"/>
      <c r="R66" s="1"/>
      <c r="S66" s="1"/>
      <c r="T66" s="1"/>
      <c r="U66" s="1"/>
      <c r="V66" s="1"/>
      <c r="W66" s="1"/>
    </row>
    <row r="67" spans="17:23">
      <c r="Q67" s="1"/>
      <c r="R67" s="1"/>
      <c r="S67" s="1"/>
      <c r="T67" s="1"/>
      <c r="U67" s="1"/>
      <c r="V67" s="1"/>
      <c r="W67" s="1"/>
    </row>
    <row r="68" spans="17:23">
      <c r="Q68" s="1"/>
      <c r="R68" s="1"/>
      <c r="S68" s="1"/>
      <c r="T68" s="1"/>
      <c r="U68" s="1"/>
      <c r="V68" s="1"/>
      <c r="W68" s="1"/>
    </row>
    <row r="69" spans="17:23" ht="18">
      <c r="Q69" s="1"/>
      <c r="R69" s="1"/>
      <c r="S69" s="1"/>
      <c r="T69" s="1"/>
      <c r="U69" s="70" t="s">
        <v>185</v>
      </c>
      <c r="V69" s="70">
        <f>SUM(S54:AC54)</f>
        <v>767159.89999999991</v>
      </c>
      <c r="W69" s="1">
        <v>728159.9</v>
      </c>
    </row>
    <row r="70" spans="17:23">
      <c r="Q70" s="1"/>
      <c r="R70" s="1"/>
      <c r="S70" s="1"/>
      <c r="T70" s="1"/>
      <c r="U70" s="1"/>
      <c r="V70" s="1"/>
      <c r="W70" s="1"/>
    </row>
    <row r="71" spans="17:23">
      <c r="Q71" s="1"/>
      <c r="R71" s="1"/>
      <c r="S71" s="1"/>
      <c r="T71" s="1"/>
      <c r="U71" s="1"/>
      <c r="V71" s="1"/>
      <c r="W71" s="1"/>
    </row>
    <row r="72" spans="17:23">
      <c r="Q72" s="1"/>
      <c r="R72" s="1"/>
      <c r="S72" s="1"/>
      <c r="T72" s="1"/>
      <c r="U72" s="1"/>
      <c r="V72" s="1"/>
      <c r="W72" s="1"/>
    </row>
    <row r="73" spans="17:23">
      <c r="Q73" s="1"/>
      <c r="R73" s="1"/>
      <c r="S73" s="1"/>
      <c r="T73" s="1"/>
      <c r="U73" s="1"/>
      <c r="V73" s="1"/>
      <c r="W73" s="1"/>
    </row>
    <row r="74" spans="17:23">
      <c r="Q74" s="1"/>
      <c r="R74" s="1"/>
      <c r="S74" s="1"/>
      <c r="T74" s="1"/>
      <c r="U74" s="1"/>
      <c r="V74" s="1"/>
      <c r="W74" s="1"/>
    </row>
    <row r="75" spans="17:23">
      <c r="Q75" s="1"/>
      <c r="R75" s="1"/>
      <c r="S75" s="1"/>
      <c r="T75" s="1"/>
      <c r="U75" s="1"/>
      <c r="V75" s="1"/>
      <c r="W75" s="1"/>
    </row>
    <row r="76" spans="17:23">
      <c r="Q76" s="1"/>
      <c r="R76" s="1"/>
      <c r="S76" s="1"/>
      <c r="T76" s="1"/>
      <c r="U76" s="1"/>
      <c r="V76" s="1"/>
      <c r="W76" s="1"/>
    </row>
    <row r="77" spans="17:23">
      <c r="Q77" s="1"/>
      <c r="R77" s="1"/>
      <c r="S77" s="1"/>
      <c r="T77" s="1"/>
      <c r="U77" s="1"/>
      <c r="V77" s="1"/>
      <c r="W77" s="1"/>
    </row>
    <row r="78" spans="17:23">
      <c r="Q78" s="1"/>
      <c r="R78" s="1"/>
      <c r="S78" s="1"/>
      <c r="T78" s="1"/>
      <c r="U78" s="1"/>
      <c r="V78" s="1"/>
      <c r="W78" s="1"/>
    </row>
    <row r="79" spans="17:23">
      <c r="Q79" s="1"/>
      <c r="R79" s="1"/>
      <c r="S79" s="1"/>
      <c r="T79" s="1"/>
      <c r="U79" s="1"/>
      <c r="V79" s="1"/>
      <c r="W79" s="1"/>
    </row>
    <row r="80" spans="17:23">
      <c r="Q80" s="1"/>
      <c r="R80" s="1"/>
      <c r="S80" s="1"/>
      <c r="T80" s="1"/>
      <c r="U80" s="1"/>
      <c r="V80" s="1"/>
      <c r="W80" s="1"/>
    </row>
    <row r="81" spans="17:23">
      <c r="Q81" s="1"/>
      <c r="R81" s="1"/>
      <c r="S81" s="1"/>
      <c r="T81" s="1"/>
      <c r="U81" s="1"/>
      <c r="V81" s="1"/>
      <c r="W81" s="1"/>
    </row>
    <row r="82" spans="17:23">
      <c r="Q82" s="1"/>
      <c r="R82" s="1"/>
      <c r="S82" s="1"/>
      <c r="T82" s="1"/>
      <c r="U82" s="1"/>
      <c r="V82" s="1"/>
      <c r="W82" s="1"/>
    </row>
    <row r="83" spans="17:23">
      <c r="Q83" s="1"/>
      <c r="R83" s="1"/>
      <c r="S83" s="1"/>
      <c r="T83" s="1"/>
      <c r="U83" s="1"/>
      <c r="V83" s="1"/>
      <c r="W83" s="1"/>
    </row>
    <row r="84" spans="17:23">
      <c r="Q84" s="1"/>
      <c r="R84" s="1"/>
      <c r="S84" s="1"/>
      <c r="T84" s="1"/>
      <c r="U84" s="1"/>
      <c r="V84" s="1"/>
      <c r="W84" s="1"/>
    </row>
    <row r="85" spans="17:23">
      <c r="Q85" s="1"/>
      <c r="R85" s="1"/>
      <c r="S85" s="1"/>
      <c r="T85" s="1"/>
      <c r="U85" s="1"/>
      <c r="V85" s="1"/>
      <c r="W85" s="1"/>
    </row>
    <row r="86" spans="17:23">
      <c r="Q86" s="1"/>
      <c r="R86" s="1"/>
      <c r="S86" s="1"/>
      <c r="T86" s="1"/>
      <c r="U86" s="1"/>
      <c r="V86" s="1"/>
      <c r="W86" s="1"/>
    </row>
    <row r="87" spans="17:23">
      <c r="Q87" s="1"/>
      <c r="R87" s="1"/>
      <c r="S87" s="1"/>
      <c r="T87" s="1"/>
      <c r="U87" s="1"/>
      <c r="V87" s="1"/>
      <c r="W87" s="1"/>
    </row>
    <row r="88" spans="17:23">
      <c r="Q88" s="1"/>
      <c r="R88" s="1"/>
      <c r="S88" s="1"/>
      <c r="T88" s="1"/>
      <c r="U88" s="1"/>
      <c r="V88" s="1"/>
      <c r="W88" s="1"/>
    </row>
    <row r="89" spans="17:23">
      <c r="Q89" s="1"/>
      <c r="R89" s="1"/>
      <c r="S89" s="1"/>
      <c r="T89" s="1"/>
      <c r="U89" s="1"/>
      <c r="V89" s="1"/>
      <c r="W89" s="1"/>
    </row>
    <row r="90" spans="17:23">
      <c r="Q90" s="1"/>
      <c r="R90" s="1"/>
      <c r="S90" s="1"/>
      <c r="T90" s="1"/>
      <c r="U90" s="1"/>
      <c r="V90" s="1"/>
      <c r="W90" s="1"/>
    </row>
    <row r="91" spans="17:23">
      <c r="Q91" s="1"/>
      <c r="R91" s="1"/>
      <c r="S91" s="1"/>
      <c r="T91" s="1"/>
      <c r="U91" s="1"/>
      <c r="V91" s="1"/>
      <c r="W91" s="1"/>
    </row>
    <row r="92" spans="17:23">
      <c r="Q92" s="1"/>
      <c r="R92" s="1"/>
      <c r="S92" s="1"/>
      <c r="T92" s="1"/>
      <c r="U92" s="1"/>
      <c r="V92" s="1"/>
      <c r="W92" s="1"/>
    </row>
    <row r="93" spans="17:23">
      <c r="Q93" s="1"/>
      <c r="R93" s="1"/>
      <c r="S93" s="1"/>
      <c r="T93" s="1"/>
      <c r="U93" s="1"/>
      <c r="V93" s="1"/>
      <c r="W93" s="1"/>
    </row>
    <row r="94" spans="17:23">
      <c r="Q94" s="1"/>
      <c r="R94" s="1"/>
      <c r="S94" s="1"/>
      <c r="T94" s="1"/>
      <c r="U94" s="1"/>
      <c r="V94" s="1"/>
      <c r="W94" s="1"/>
    </row>
    <row r="95" spans="17:23">
      <c r="Q95" s="1"/>
      <c r="R95" s="1"/>
      <c r="S95" s="1"/>
      <c r="T95" s="1"/>
      <c r="U95" s="1"/>
      <c r="V95" s="1"/>
      <c r="W95" s="1"/>
    </row>
    <row r="96" spans="17:23">
      <c r="Q96" s="1"/>
      <c r="R96" s="1"/>
      <c r="S96" s="1"/>
      <c r="T96" s="1"/>
      <c r="U96" s="1"/>
      <c r="V96" s="1"/>
      <c r="W96" s="1"/>
    </row>
    <row r="97" spans="17:23">
      <c r="Q97" s="1"/>
      <c r="R97" s="1"/>
      <c r="S97" s="1"/>
      <c r="T97" s="1"/>
      <c r="U97" s="1"/>
      <c r="V97" s="1"/>
      <c r="W97" s="1"/>
    </row>
    <row r="98" spans="17:23">
      <c r="Q98" s="1"/>
      <c r="R98" s="1"/>
      <c r="S98" s="1"/>
      <c r="T98" s="1"/>
      <c r="U98" s="1"/>
      <c r="V98" s="1"/>
      <c r="W98" s="1"/>
    </row>
    <row r="99" spans="17:23">
      <c r="Q99" s="1"/>
      <c r="R99" s="1"/>
      <c r="S99" s="1"/>
      <c r="T99" s="1"/>
      <c r="U99" s="1"/>
      <c r="V99" s="1"/>
      <c r="W99" s="1"/>
    </row>
    <row r="100" spans="17:23">
      <c r="Q100" s="1"/>
      <c r="R100" s="1"/>
      <c r="S100" s="1"/>
      <c r="T100" s="1"/>
      <c r="U100" s="1"/>
      <c r="V100" s="1"/>
      <c r="W100" s="1"/>
    </row>
    <row r="101" spans="17:23">
      <c r="Q101" s="1"/>
      <c r="R101" s="1"/>
      <c r="S101" s="1"/>
      <c r="T101" s="1"/>
      <c r="U101" s="1"/>
      <c r="V101" s="1"/>
      <c r="W101" s="1"/>
    </row>
    <row r="102" spans="17:23">
      <c r="Q102" s="1"/>
      <c r="R102" s="1"/>
      <c r="S102" s="1"/>
      <c r="T102" s="1"/>
      <c r="U102" s="1"/>
      <c r="V102" s="1"/>
      <c r="W102" s="1"/>
    </row>
    <row r="103" spans="17:23">
      <c r="Q103" s="1"/>
      <c r="R103" s="1"/>
      <c r="S103" s="1"/>
      <c r="T103" s="1"/>
      <c r="U103" s="1"/>
      <c r="V103" s="1"/>
      <c r="W103" s="1"/>
    </row>
    <row r="104" spans="17:23">
      <c r="Q104" s="1"/>
      <c r="R104" s="1"/>
      <c r="S104" s="1"/>
      <c r="T104" s="1"/>
      <c r="U104" s="1"/>
      <c r="V104" s="1"/>
      <c r="W104" s="1"/>
    </row>
    <row r="105" spans="17:23">
      <c r="Q105" s="1"/>
      <c r="R105" s="1"/>
      <c r="S105" s="1"/>
      <c r="T105" s="1"/>
      <c r="U105" s="1"/>
      <c r="V105" s="1"/>
      <c r="W105" s="1"/>
    </row>
    <row r="106" spans="17:23">
      <c r="Q106" s="1"/>
      <c r="R106" s="1"/>
      <c r="S106" s="1"/>
      <c r="T106" s="1"/>
      <c r="U106" s="1"/>
      <c r="V106" s="1"/>
      <c r="W106" s="1"/>
    </row>
    <row r="107" spans="17:23">
      <c r="Q107" s="1"/>
      <c r="R107" s="1"/>
      <c r="S107" s="1"/>
      <c r="T107" s="1"/>
      <c r="U107" s="1"/>
      <c r="V107" s="1"/>
      <c r="W107" s="1"/>
    </row>
    <row r="108" spans="17:23">
      <c r="Q108" s="1"/>
      <c r="R108" s="1"/>
      <c r="S108" s="1"/>
      <c r="T108" s="1"/>
      <c r="U108" s="1"/>
      <c r="V108" s="1"/>
      <c r="W108" s="1"/>
    </row>
    <row r="109" spans="17:23">
      <c r="Q109" s="1"/>
      <c r="R109" s="1"/>
      <c r="S109" s="1"/>
      <c r="T109" s="1"/>
      <c r="U109" s="1"/>
      <c r="V109" s="1"/>
      <c r="W109" s="1"/>
    </row>
    <row r="110" spans="17:23">
      <c r="Q110" s="1"/>
      <c r="R110" s="1"/>
      <c r="S110" s="1"/>
      <c r="T110" s="1"/>
      <c r="U110" s="1"/>
      <c r="V110" s="1"/>
      <c r="W110" s="1"/>
    </row>
    <row r="111" spans="17:23">
      <c r="Q111" s="1"/>
      <c r="R111" s="1"/>
      <c r="S111" s="1"/>
      <c r="T111" s="1"/>
      <c r="U111" s="1"/>
      <c r="V111" s="1"/>
      <c r="W111" s="1"/>
    </row>
    <row r="112" spans="17:23">
      <c r="Q112" s="1"/>
      <c r="R112" s="1"/>
      <c r="S112" s="1"/>
      <c r="T112" s="1"/>
      <c r="U112" s="1"/>
      <c r="V112" s="1"/>
      <c r="W112" s="1"/>
    </row>
    <row r="113" spans="17:23">
      <c r="Q113" s="1"/>
      <c r="R113" s="1"/>
      <c r="S113" s="1"/>
      <c r="T113" s="1"/>
      <c r="U113" s="1"/>
      <c r="V113" s="1"/>
      <c r="W113" s="1"/>
    </row>
    <row r="114" spans="17:23">
      <c r="R114" s="1"/>
      <c r="S114" s="1"/>
      <c r="T114" s="1"/>
      <c r="U114" s="1"/>
      <c r="V114" s="1"/>
      <c r="W114" s="1"/>
    </row>
    <row r="115" spans="17:23">
      <c r="R115" s="1"/>
      <c r="S115" s="1"/>
      <c r="T115" s="1"/>
      <c r="U115" s="1"/>
      <c r="V115" s="1"/>
      <c r="W115" s="1"/>
    </row>
    <row r="116" spans="17:23">
      <c r="R116" s="1"/>
      <c r="S116" s="1"/>
      <c r="T116" s="1"/>
      <c r="U116" s="1"/>
      <c r="V116" s="1"/>
      <c r="W116" s="1"/>
    </row>
    <row r="117" spans="17:23">
      <c r="R117" s="1"/>
      <c r="S117" s="1"/>
      <c r="T117" s="1"/>
      <c r="U117" s="1"/>
      <c r="V117" s="1"/>
      <c r="W117" s="1"/>
    </row>
  </sheetData>
  <autoFilter ref="U1:U117" xr:uid="{842B1CC9-8B02-4FAA-971F-F966FA451044}"/>
  <pageMargins left="0.511811024" right="0.511811024" top="0.78740157499999996" bottom="0.78740157499999996" header="0.31496062000000002" footer="0.31496062000000002"/>
  <pageSetup paperSize="9" scale="3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B81E-3453-4FFE-A71B-F93CBD739DCD}">
  <dimension ref="A1:G152"/>
  <sheetViews>
    <sheetView workbookViewId="0">
      <selection activeCell="A13" sqref="A13"/>
    </sheetView>
  </sheetViews>
  <sheetFormatPr defaultRowHeight="14.4"/>
  <cols>
    <col min="1" max="1" width="48.88671875" bestFit="1" customWidth="1"/>
    <col min="2" max="2" width="52.44140625" bestFit="1" customWidth="1"/>
    <col min="3" max="3" width="53.77734375" bestFit="1" customWidth="1"/>
    <col min="4" max="4" width="17.33203125" bestFit="1" customWidth="1"/>
    <col min="5" max="5" width="51.6640625" bestFit="1" customWidth="1"/>
    <col min="6" max="6" width="24.44140625" bestFit="1" customWidth="1"/>
    <col min="7" max="7" width="54.77734375" bestFit="1" customWidth="1"/>
  </cols>
  <sheetData>
    <row r="1" spans="1:7" ht="17.399999999999999">
      <c r="A1" s="71" t="s">
        <v>485</v>
      </c>
      <c r="B1" s="71" t="s">
        <v>477</v>
      </c>
      <c r="C1" s="71" t="s">
        <v>478</v>
      </c>
      <c r="D1" s="71" t="s">
        <v>479</v>
      </c>
      <c r="E1" s="71" t="s">
        <v>480</v>
      </c>
      <c r="F1" s="71" t="s">
        <v>481</v>
      </c>
      <c r="G1" s="71" t="s">
        <v>487</v>
      </c>
    </row>
    <row r="2" spans="1:7" ht="15.6">
      <c r="A2" s="95" t="s">
        <v>489</v>
      </c>
      <c r="B2" s="96" t="s">
        <v>483</v>
      </c>
      <c r="C2" s="95" t="s">
        <v>484</v>
      </c>
      <c r="D2" s="98">
        <v>99489.7</v>
      </c>
      <c r="E2" s="96" t="s">
        <v>486</v>
      </c>
      <c r="F2" s="94" t="s">
        <v>482</v>
      </c>
      <c r="G2" s="94"/>
    </row>
    <row r="3" spans="1:7" ht="15.6">
      <c r="A3" s="95" t="s">
        <v>488</v>
      </c>
      <c r="B3" s="95" t="s">
        <v>484</v>
      </c>
      <c r="C3" s="96" t="s">
        <v>483</v>
      </c>
      <c r="D3" s="99">
        <v>16929</v>
      </c>
      <c r="E3" s="96" t="s">
        <v>490</v>
      </c>
      <c r="F3" s="94" t="s">
        <v>482</v>
      </c>
      <c r="G3" s="94"/>
    </row>
    <row r="4" spans="1:7" ht="15.6">
      <c r="A4" s="95" t="s">
        <v>491</v>
      </c>
      <c r="B4" s="100" t="s">
        <v>492</v>
      </c>
      <c r="C4" s="96" t="s">
        <v>493</v>
      </c>
      <c r="D4" s="98">
        <v>865393.96</v>
      </c>
      <c r="E4" s="96" t="s">
        <v>494</v>
      </c>
      <c r="F4" s="94" t="s">
        <v>495</v>
      </c>
      <c r="G4" s="94" t="s">
        <v>496</v>
      </c>
    </row>
    <row r="5" spans="1:7" ht="15.6">
      <c r="A5" s="95" t="s">
        <v>504</v>
      </c>
      <c r="B5" s="100" t="s">
        <v>505</v>
      </c>
      <c r="C5" s="96" t="s">
        <v>493</v>
      </c>
      <c r="D5" s="99">
        <v>206.15</v>
      </c>
      <c r="E5" s="96" t="s">
        <v>506</v>
      </c>
      <c r="F5" s="94" t="s">
        <v>507</v>
      </c>
      <c r="G5" s="94" t="s">
        <v>544</v>
      </c>
    </row>
    <row r="6" spans="1:7" ht="15.6">
      <c r="A6" s="96" t="s">
        <v>533</v>
      </c>
      <c r="B6" s="96" t="s">
        <v>537</v>
      </c>
      <c r="C6" s="96" t="s">
        <v>534</v>
      </c>
      <c r="D6" s="101"/>
      <c r="E6" s="96" t="s">
        <v>540</v>
      </c>
      <c r="F6" s="94" t="s">
        <v>5</v>
      </c>
      <c r="G6" s="94" t="s">
        <v>539</v>
      </c>
    </row>
    <row r="7" spans="1:7" ht="30">
      <c r="A7" s="96" t="s">
        <v>535</v>
      </c>
      <c r="B7" s="100" t="s">
        <v>538</v>
      </c>
      <c r="C7" s="100" t="s">
        <v>536</v>
      </c>
      <c r="D7" s="98">
        <v>53512.66</v>
      </c>
      <c r="E7" s="96" t="s">
        <v>541</v>
      </c>
      <c r="F7" s="94" t="s">
        <v>542</v>
      </c>
      <c r="G7" s="94" t="s">
        <v>543</v>
      </c>
    </row>
    <row r="8" spans="1:7" ht="31.2">
      <c r="A8" s="96" t="s">
        <v>545</v>
      </c>
      <c r="B8" s="96" t="s">
        <v>546</v>
      </c>
      <c r="C8" s="96" t="s">
        <v>547</v>
      </c>
      <c r="D8" s="102">
        <v>74138.64</v>
      </c>
      <c r="E8" s="96" t="s">
        <v>549</v>
      </c>
      <c r="F8" s="94" t="s">
        <v>507</v>
      </c>
      <c r="G8" s="97" t="s">
        <v>550</v>
      </c>
    </row>
    <row r="9" spans="1:7" ht="15.6">
      <c r="A9" s="105" t="s">
        <v>548</v>
      </c>
      <c r="B9" s="96" t="s">
        <v>546</v>
      </c>
      <c r="C9" s="96" t="s">
        <v>547</v>
      </c>
      <c r="D9" s="103">
        <v>94235.22</v>
      </c>
      <c r="E9" s="96" t="s">
        <v>551</v>
      </c>
      <c r="F9" s="94" t="s">
        <v>507</v>
      </c>
      <c r="G9" s="94" t="s">
        <v>552</v>
      </c>
    </row>
    <row r="10" spans="1:7" ht="15.6">
      <c r="A10" s="96" t="s">
        <v>553</v>
      </c>
      <c r="B10" s="95" t="s">
        <v>554</v>
      </c>
      <c r="C10" s="100" t="s">
        <v>555</v>
      </c>
      <c r="D10" s="98">
        <v>93857.36</v>
      </c>
      <c r="E10" s="96" t="s">
        <v>556</v>
      </c>
      <c r="F10" s="94" t="s">
        <v>557</v>
      </c>
      <c r="G10" s="94"/>
    </row>
    <row r="11" spans="1:7" ht="16.2" thickBot="1">
      <c r="A11" t="s">
        <v>561</v>
      </c>
      <c r="B11" s="106" t="s">
        <v>562</v>
      </c>
      <c r="C11" s="104" t="s">
        <v>563</v>
      </c>
      <c r="D11" s="107">
        <v>86382.65</v>
      </c>
      <c r="E11" s="104" t="s">
        <v>564</v>
      </c>
      <c r="F11" s="94" t="s">
        <v>495</v>
      </c>
      <c r="G11" s="94" t="s">
        <v>496</v>
      </c>
    </row>
    <row r="12" spans="1:7" ht="15.6">
      <c r="A12" t="s">
        <v>565</v>
      </c>
      <c r="B12" s="104" t="s">
        <v>566</v>
      </c>
      <c r="C12" s="104" t="s">
        <v>567</v>
      </c>
      <c r="D12" s="109">
        <v>535.78</v>
      </c>
      <c r="E12" s="104" t="s">
        <v>568</v>
      </c>
      <c r="F12" s="108" t="s">
        <v>569</v>
      </c>
      <c r="G12" s="108" t="s">
        <v>570</v>
      </c>
    </row>
    <row r="13" spans="1:7" ht="15.6">
      <c r="A13" s="104"/>
      <c r="B13" s="104"/>
      <c r="C13" s="104"/>
      <c r="D13" s="104"/>
      <c r="E13" s="104"/>
    </row>
    <row r="14" spans="1:7" ht="15.6">
      <c r="A14" s="104"/>
      <c r="B14" s="104"/>
      <c r="C14" s="104"/>
      <c r="D14" s="104"/>
      <c r="E14" s="104"/>
    </row>
    <row r="15" spans="1:7" ht="15.6">
      <c r="A15" s="104"/>
      <c r="B15" s="104"/>
      <c r="C15" s="104"/>
      <c r="D15" s="104"/>
      <c r="E15" s="104"/>
    </row>
    <row r="16" spans="1:7" ht="15.6">
      <c r="A16" s="104"/>
      <c r="B16" s="104"/>
      <c r="C16" s="104"/>
      <c r="D16" s="104"/>
      <c r="E16" s="104"/>
    </row>
    <row r="17" spans="1:5" ht="15.6">
      <c r="A17" s="104"/>
      <c r="B17" s="104"/>
      <c r="C17" s="104"/>
      <c r="D17" s="104"/>
      <c r="E17" s="104"/>
    </row>
    <row r="18" spans="1:5" ht="15.6">
      <c r="A18" s="104"/>
      <c r="B18" s="104"/>
      <c r="C18" s="104"/>
      <c r="D18" s="104"/>
      <c r="E18" s="104"/>
    </row>
    <row r="19" spans="1:5" ht="15.6">
      <c r="A19" s="104"/>
      <c r="B19" s="104"/>
      <c r="C19" s="104"/>
      <c r="D19" s="104"/>
      <c r="E19" s="104"/>
    </row>
    <row r="20" spans="1:5" ht="15.6">
      <c r="A20" s="104"/>
      <c r="B20" s="104"/>
      <c r="C20" s="104"/>
      <c r="D20" s="104"/>
      <c r="E20" s="104"/>
    </row>
    <row r="21" spans="1:5" ht="15.6">
      <c r="A21" s="104"/>
      <c r="B21" s="104"/>
      <c r="C21" s="104"/>
      <c r="D21" s="104"/>
      <c r="E21" s="104"/>
    </row>
    <row r="22" spans="1:5" ht="15.6">
      <c r="A22" s="104"/>
      <c r="B22" s="104"/>
      <c r="C22" s="104"/>
      <c r="D22" s="104"/>
      <c r="E22" s="104"/>
    </row>
    <row r="23" spans="1:5" ht="15.6">
      <c r="A23" s="104"/>
      <c r="B23" s="104"/>
      <c r="C23" s="104"/>
      <c r="D23" s="104"/>
      <c r="E23" s="104"/>
    </row>
    <row r="24" spans="1:5" ht="15.6">
      <c r="A24" s="104"/>
      <c r="B24" s="104"/>
      <c r="C24" s="104"/>
      <c r="D24" s="104"/>
      <c r="E24" s="104"/>
    </row>
    <row r="25" spans="1:5" ht="15.6">
      <c r="A25" s="104"/>
      <c r="B25" s="104"/>
      <c r="C25" s="104"/>
      <c r="D25" s="104"/>
      <c r="E25" s="104"/>
    </row>
    <row r="26" spans="1:5" ht="15.6">
      <c r="A26" s="104"/>
      <c r="B26" s="104"/>
      <c r="C26" s="104"/>
      <c r="D26" s="104"/>
      <c r="E26" s="104"/>
    </row>
    <row r="27" spans="1:5" ht="15.6">
      <c r="A27" s="104"/>
      <c r="B27" s="104"/>
      <c r="C27" s="104"/>
      <c r="D27" s="104"/>
      <c r="E27" s="104"/>
    </row>
    <row r="28" spans="1:5" ht="15.6">
      <c r="A28" s="104"/>
      <c r="B28" s="104"/>
      <c r="C28" s="104"/>
      <c r="D28" s="104"/>
      <c r="E28" s="104"/>
    </row>
    <row r="29" spans="1:5" ht="15.6">
      <c r="A29" s="104"/>
      <c r="B29" s="104"/>
      <c r="C29" s="104"/>
      <c r="D29" s="104"/>
      <c r="E29" s="104"/>
    </row>
    <row r="30" spans="1:5" ht="15.6">
      <c r="A30" s="104"/>
      <c r="B30" s="104"/>
      <c r="C30" s="104"/>
      <c r="D30" s="104"/>
      <c r="E30" s="104"/>
    </row>
    <row r="31" spans="1:5" ht="15.6">
      <c r="A31" s="104"/>
      <c r="B31" s="104"/>
      <c r="C31" s="104"/>
      <c r="D31" s="104"/>
      <c r="E31" s="104"/>
    </row>
    <row r="32" spans="1:5" ht="15.6">
      <c r="A32" s="104"/>
      <c r="B32" s="104"/>
      <c r="C32" s="104"/>
      <c r="D32" s="104"/>
      <c r="E32" s="104"/>
    </row>
    <row r="33" spans="1:5" ht="15.6">
      <c r="A33" s="104"/>
      <c r="B33" s="104"/>
      <c r="C33" s="104"/>
      <c r="D33" s="104"/>
      <c r="E33" s="104"/>
    </row>
    <row r="34" spans="1:5" ht="15.6">
      <c r="A34" s="104"/>
      <c r="B34" s="104"/>
      <c r="C34" s="104"/>
      <c r="D34" s="104"/>
      <c r="E34" s="104"/>
    </row>
    <row r="35" spans="1:5" ht="15.6">
      <c r="A35" s="104"/>
      <c r="B35" s="104"/>
      <c r="C35" s="104"/>
      <c r="D35" s="104"/>
      <c r="E35" s="104"/>
    </row>
    <row r="36" spans="1:5" ht="15.6">
      <c r="A36" s="104"/>
      <c r="B36" s="104"/>
      <c r="C36" s="104"/>
      <c r="D36" s="104"/>
      <c r="E36" s="104"/>
    </row>
    <row r="37" spans="1:5" ht="15.6">
      <c r="A37" s="104"/>
      <c r="B37" s="104"/>
      <c r="C37" s="104"/>
      <c r="D37" s="104"/>
      <c r="E37" s="104"/>
    </row>
    <row r="38" spans="1:5" ht="15.6">
      <c r="A38" s="104"/>
      <c r="B38" s="104"/>
      <c r="C38" s="104"/>
      <c r="D38" s="104"/>
      <c r="E38" s="104"/>
    </row>
    <row r="39" spans="1:5" ht="15.6">
      <c r="A39" s="104"/>
      <c r="B39" s="104"/>
      <c r="C39" s="104"/>
      <c r="D39" s="104"/>
      <c r="E39" s="104"/>
    </row>
    <row r="40" spans="1:5" ht="15.6">
      <c r="A40" s="104"/>
      <c r="B40" s="104"/>
      <c r="C40" s="104"/>
      <c r="D40" s="104"/>
      <c r="E40" s="104"/>
    </row>
    <row r="41" spans="1:5" ht="15.6">
      <c r="A41" s="104"/>
      <c r="B41" s="104"/>
      <c r="C41" s="104"/>
      <c r="D41" s="104"/>
      <c r="E41" s="104"/>
    </row>
    <row r="42" spans="1:5" ht="15.6">
      <c r="A42" s="104"/>
      <c r="B42" s="104"/>
      <c r="C42" s="104"/>
      <c r="D42" s="104"/>
      <c r="E42" s="104"/>
    </row>
    <row r="43" spans="1:5" ht="15.6">
      <c r="A43" s="104"/>
      <c r="B43" s="104"/>
      <c r="C43" s="104"/>
      <c r="D43" s="104"/>
      <c r="E43" s="104"/>
    </row>
    <row r="44" spans="1:5" ht="15.6">
      <c r="A44" s="104"/>
      <c r="B44" s="104"/>
      <c r="C44" s="104"/>
      <c r="D44" s="104"/>
      <c r="E44" s="104"/>
    </row>
    <row r="45" spans="1:5" ht="15.6">
      <c r="A45" s="104"/>
      <c r="B45" s="104"/>
      <c r="C45" s="104"/>
      <c r="D45" s="104"/>
      <c r="E45" s="104"/>
    </row>
    <row r="46" spans="1:5" ht="15.6">
      <c r="A46" s="104"/>
      <c r="B46" s="104"/>
      <c r="C46" s="104"/>
      <c r="D46" s="104"/>
      <c r="E46" s="104"/>
    </row>
    <row r="47" spans="1:5" ht="15.6">
      <c r="A47" s="104"/>
      <c r="B47" s="104"/>
      <c r="C47" s="104"/>
      <c r="D47" s="104"/>
      <c r="E47" s="104"/>
    </row>
    <row r="48" spans="1:5" ht="15.6">
      <c r="A48" s="104"/>
      <c r="B48" s="104"/>
      <c r="C48" s="104"/>
      <c r="D48" s="104"/>
      <c r="E48" s="104"/>
    </row>
    <row r="49" spans="1:5" ht="15.6">
      <c r="A49" s="104"/>
      <c r="B49" s="104"/>
      <c r="C49" s="104"/>
      <c r="D49" s="104"/>
      <c r="E49" s="104"/>
    </row>
    <row r="50" spans="1:5" ht="15.6">
      <c r="A50" s="104"/>
      <c r="B50" s="104"/>
      <c r="C50" s="104"/>
      <c r="D50" s="104"/>
      <c r="E50" s="104"/>
    </row>
    <row r="51" spans="1:5" ht="15.6">
      <c r="A51" s="104"/>
      <c r="B51" s="104"/>
      <c r="C51" s="104"/>
      <c r="D51" s="104"/>
      <c r="E51" s="104"/>
    </row>
    <row r="52" spans="1:5" ht="15.6">
      <c r="A52" s="104"/>
      <c r="B52" s="104"/>
      <c r="C52" s="104"/>
      <c r="D52" s="104"/>
      <c r="E52" s="104"/>
    </row>
    <row r="53" spans="1:5" ht="15.6">
      <c r="A53" s="104"/>
      <c r="B53" s="104"/>
      <c r="C53" s="104"/>
      <c r="D53" s="104"/>
      <c r="E53" s="104"/>
    </row>
    <row r="54" spans="1:5" ht="15.6">
      <c r="A54" s="104"/>
      <c r="B54" s="104"/>
      <c r="C54" s="104"/>
      <c r="D54" s="104"/>
      <c r="E54" s="104"/>
    </row>
    <row r="55" spans="1:5" ht="15.6">
      <c r="A55" s="104"/>
      <c r="B55" s="104"/>
      <c r="C55" s="104"/>
      <c r="D55" s="104"/>
      <c r="E55" s="104"/>
    </row>
    <row r="56" spans="1:5" ht="15.6">
      <c r="A56" s="104"/>
      <c r="B56" s="104"/>
      <c r="C56" s="104"/>
      <c r="D56" s="104"/>
      <c r="E56" s="104"/>
    </row>
    <row r="57" spans="1:5" ht="15.6">
      <c r="A57" s="104"/>
      <c r="B57" s="104"/>
      <c r="C57" s="104"/>
      <c r="D57" s="104"/>
      <c r="E57" s="104"/>
    </row>
    <row r="58" spans="1:5" ht="15.6">
      <c r="A58" s="104"/>
      <c r="B58" s="104"/>
      <c r="C58" s="104"/>
      <c r="D58" s="104"/>
      <c r="E58" s="104"/>
    </row>
    <row r="59" spans="1:5" ht="15.6">
      <c r="A59" s="104"/>
      <c r="B59" s="104"/>
      <c r="C59" s="104"/>
      <c r="D59" s="104"/>
      <c r="E59" s="104"/>
    </row>
    <row r="60" spans="1:5" ht="15.6">
      <c r="A60" s="104"/>
      <c r="B60" s="104"/>
      <c r="C60" s="104"/>
      <c r="D60" s="104"/>
      <c r="E60" s="104"/>
    </row>
    <row r="61" spans="1:5" ht="15.6">
      <c r="A61" s="104"/>
      <c r="B61" s="104"/>
      <c r="C61" s="104"/>
      <c r="D61" s="104"/>
      <c r="E61" s="104"/>
    </row>
    <row r="62" spans="1:5" ht="15.6">
      <c r="A62" s="104"/>
      <c r="B62" s="104"/>
      <c r="C62" s="104"/>
      <c r="D62" s="104"/>
      <c r="E62" s="104"/>
    </row>
    <row r="63" spans="1:5" ht="15.6">
      <c r="A63" s="104"/>
      <c r="B63" s="104"/>
      <c r="C63" s="104"/>
      <c r="D63" s="104"/>
      <c r="E63" s="104"/>
    </row>
    <row r="64" spans="1:5" ht="15.6">
      <c r="A64" s="104"/>
      <c r="B64" s="104"/>
      <c r="C64" s="104"/>
      <c r="D64" s="104"/>
      <c r="E64" s="104"/>
    </row>
    <row r="65" spans="1:5" ht="15.6">
      <c r="A65" s="104"/>
      <c r="B65" s="104"/>
      <c r="C65" s="104"/>
      <c r="D65" s="104"/>
      <c r="E65" s="104"/>
    </row>
    <row r="66" spans="1:5" ht="15.6">
      <c r="A66" s="104"/>
      <c r="B66" s="104"/>
      <c r="C66" s="104"/>
      <c r="D66" s="104"/>
      <c r="E66" s="104"/>
    </row>
    <row r="67" spans="1:5" ht="15.6">
      <c r="A67" s="104"/>
      <c r="B67" s="104"/>
      <c r="C67" s="104"/>
      <c r="D67" s="104"/>
      <c r="E67" s="104"/>
    </row>
    <row r="68" spans="1:5" ht="15.6">
      <c r="A68" s="104"/>
      <c r="B68" s="104"/>
      <c r="C68" s="104"/>
      <c r="D68" s="104"/>
      <c r="E68" s="104"/>
    </row>
    <row r="69" spans="1:5" ht="15.6">
      <c r="A69" s="104"/>
      <c r="B69" s="104"/>
      <c r="C69" s="104"/>
      <c r="D69" s="104"/>
      <c r="E69" s="104"/>
    </row>
    <row r="70" spans="1:5" ht="15.6">
      <c r="A70" s="104"/>
      <c r="B70" s="104"/>
      <c r="C70" s="104"/>
      <c r="D70" s="104"/>
      <c r="E70" s="104"/>
    </row>
    <row r="71" spans="1:5" ht="15.6">
      <c r="A71" s="104"/>
      <c r="B71" s="104"/>
      <c r="C71" s="104"/>
      <c r="D71" s="104"/>
      <c r="E71" s="104"/>
    </row>
    <row r="72" spans="1:5" ht="15.6">
      <c r="A72" s="104"/>
      <c r="B72" s="104"/>
      <c r="C72" s="104"/>
      <c r="D72" s="104"/>
      <c r="E72" s="104"/>
    </row>
    <row r="73" spans="1:5" ht="15.6">
      <c r="A73" s="104"/>
      <c r="B73" s="104"/>
      <c r="C73" s="104"/>
      <c r="D73" s="104"/>
      <c r="E73" s="104"/>
    </row>
    <row r="74" spans="1:5" ht="15.6">
      <c r="A74" s="104"/>
      <c r="B74" s="104"/>
      <c r="C74" s="104"/>
      <c r="D74" s="104"/>
      <c r="E74" s="104"/>
    </row>
    <row r="75" spans="1:5" ht="15.6">
      <c r="A75" s="104"/>
      <c r="B75" s="104"/>
      <c r="C75" s="104"/>
      <c r="D75" s="104"/>
      <c r="E75" s="104"/>
    </row>
    <row r="76" spans="1:5" ht="15.6">
      <c r="A76" s="104"/>
      <c r="B76" s="104"/>
      <c r="C76" s="104"/>
      <c r="D76" s="104"/>
      <c r="E76" s="104"/>
    </row>
    <row r="77" spans="1:5" ht="15.6">
      <c r="A77" s="104"/>
      <c r="B77" s="104"/>
      <c r="C77" s="104"/>
      <c r="D77" s="104"/>
      <c r="E77" s="104"/>
    </row>
    <row r="78" spans="1:5" ht="15.6">
      <c r="A78" s="104"/>
      <c r="B78" s="104"/>
      <c r="C78" s="104"/>
      <c r="D78" s="104"/>
      <c r="E78" s="104"/>
    </row>
    <row r="79" spans="1:5" ht="15.6">
      <c r="A79" s="104"/>
      <c r="B79" s="104"/>
      <c r="C79" s="104"/>
      <c r="D79" s="104"/>
      <c r="E79" s="104"/>
    </row>
    <row r="80" spans="1:5" ht="15.6">
      <c r="A80" s="104"/>
      <c r="B80" s="104"/>
      <c r="C80" s="104"/>
      <c r="D80" s="104"/>
      <c r="E80" s="104"/>
    </row>
    <row r="81" spans="1:5" ht="15.6">
      <c r="A81" s="104"/>
      <c r="B81" s="104"/>
      <c r="C81" s="104"/>
      <c r="D81" s="104"/>
      <c r="E81" s="104"/>
    </row>
    <row r="82" spans="1:5" ht="15.6">
      <c r="A82" s="104"/>
      <c r="B82" s="104"/>
      <c r="C82" s="104"/>
      <c r="D82" s="104"/>
      <c r="E82" s="104"/>
    </row>
    <row r="83" spans="1:5" ht="15.6">
      <c r="A83" s="104"/>
      <c r="B83" s="104"/>
      <c r="C83" s="104"/>
      <c r="D83" s="104"/>
      <c r="E83" s="104"/>
    </row>
    <row r="84" spans="1:5" ht="15.6">
      <c r="A84" s="104"/>
      <c r="B84" s="104"/>
      <c r="C84" s="104"/>
      <c r="D84" s="104"/>
      <c r="E84" s="104"/>
    </row>
    <row r="85" spans="1:5" ht="15.6">
      <c r="A85" s="104"/>
      <c r="B85" s="104"/>
      <c r="C85" s="104"/>
      <c r="D85" s="104"/>
      <c r="E85" s="104"/>
    </row>
    <row r="86" spans="1:5" ht="15.6">
      <c r="A86" s="104"/>
      <c r="B86" s="104"/>
      <c r="C86" s="104"/>
      <c r="D86" s="104"/>
      <c r="E86" s="104"/>
    </row>
    <row r="87" spans="1:5" ht="15.6">
      <c r="A87" s="104"/>
      <c r="B87" s="104"/>
      <c r="C87" s="104"/>
      <c r="D87" s="104"/>
      <c r="E87" s="104"/>
    </row>
    <row r="88" spans="1:5" ht="15.6">
      <c r="A88" s="104"/>
      <c r="B88" s="104"/>
      <c r="C88" s="104"/>
      <c r="D88" s="104"/>
      <c r="E88" s="104"/>
    </row>
    <row r="89" spans="1:5" ht="15.6">
      <c r="A89" s="104"/>
      <c r="B89" s="104"/>
      <c r="C89" s="104"/>
      <c r="D89" s="104"/>
      <c r="E89" s="104"/>
    </row>
    <row r="90" spans="1:5" ht="15.6">
      <c r="A90" s="104"/>
      <c r="B90" s="104"/>
      <c r="C90" s="104"/>
      <c r="D90" s="104"/>
      <c r="E90" s="104"/>
    </row>
    <row r="91" spans="1:5" ht="15.6">
      <c r="A91" s="104"/>
      <c r="B91" s="104"/>
      <c r="C91" s="104"/>
      <c r="D91" s="104"/>
      <c r="E91" s="104"/>
    </row>
    <row r="92" spans="1:5" ht="15.6">
      <c r="A92" s="104"/>
      <c r="B92" s="104"/>
      <c r="C92" s="104"/>
      <c r="D92" s="104"/>
      <c r="E92" s="104"/>
    </row>
    <row r="93" spans="1:5" ht="15.6">
      <c r="A93" s="104"/>
      <c r="B93" s="104"/>
      <c r="C93" s="104"/>
      <c r="D93" s="104"/>
      <c r="E93" s="104"/>
    </row>
    <row r="94" spans="1:5" ht="15.6">
      <c r="A94" s="104"/>
      <c r="B94" s="104"/>
      <c r="C94" s="104"/>
      <c r="D94" s="104"/>
      <c r="E94" s="104"/>
    </row>
    <row r="95" spans="1:5" ht="15.6">
      <c r="A95" s="104"/>
      <c r="B95" s="104"/>
      <c r="C95" s="104"/>
      <c r="D95" s="104"/>
      <c r="E95" s="104"/>
    </row>
    <row r="96" spans="1:5" ht="15.6">
      <c r="A96" s="104"/>
      <c r="B96" s="104"/>
      <c r="C96" s="104"/>
      <c r="D96" s="104"/>
      <c r="E96" s="104"/>
    </row>
    <row r="97" spans="1:5" ht="15.6">
      <c r="A97" s="104"/>
      <c r="B97" s="104"/>
      <c r="C97" s="104"/>
      <c r="D97" s="104"/>
      <c r="E97" s="104"/>
    </row>
    <row r="98" spans="1:5" ht="15.6">
      <c r="A98" s="104"/>
      <c r="B98" s="104"/>
      <c r="C98" s="104"/>
      <c r="D98" s="104"/>
      <c r="E98" s="104"/>
    </row>
    <row r="99" spans="1:5" ht="15.6">
      <c r="A99" s="104"/>
      <c r="B99" s="104"/>
      <c r="C99" s="104"/>
      <c r="D99" s="104"/>
      <c r="E99" s="104"/>
    </row>
    <row r="100" spans="1:5" ht="15.6">
      <c r="A100" s="104"/>
      <c r="B100" s="104"/>
      <c r="C100" s="104"/>
      <c r="D100" s="104"/>
      <c r="E100" s="104"/>
    </row>
    <row r="101" spans="1:5" ht="15.6">
      <c r="A101" s="104"/>
      <c r="B101" s="104"/>
      <c r="C101" s="104"/>
      <c r="D101" s="104"/>
      <c r="E101" s="104"/>
    </row>
    <row r="102" spans="1:5" ht="15.6">
      <c r="A102" s="104"/>
      <c r="B102" s="104"/>
      <c r="C102" s="104"/>
      <c r="D102" s="104"/>
      <c r="E102" s="104"/>
    </row>
    <row r="103" spans="1:5" ht="15.6">
      <c r="A103" s="104"/>
      <c r="B103" s="104"/>
      <c r="C103" s="104"/>
      <c r="D103" s="104"/>
      <c r="E103" s="104"/>
    </row>
    <row r="104" spans="1:5" ht="15.6">
      <c r="A104" s="104"/>
      <c r="B104" s="104"/>
      <c r="C104" s="104"/>
      <c r="D104" s="104"/>
      <c r="E104" s="104"/>
    </row>
    <row r="105" spans="1:5" ht="15.6">
      <c r="A105" s="104"/>
      <c r="B105" s="104"/>
      <c r="C105" s="104"/>
      <c r="D105" s="104"/>
      <c r="E105" s="104"/>
    </row>
    <row r="106" spans="1:5" ht="15.6">
      <c r="A106" s="104"/>
      <c r="B106" s="104"/>
      <c r="C106" s="104"/>
      <c r="D106" s="104"/>
      <c r="E106" s="104"/>
    </row>
    <row r="107" spans="1:5" ht="15.6">
      <c r="A107" s="104"/>
      <c r="B107" s="104"/>
      <c r="C107" s="104"/>
      <c r="D107" s="104"/>
      <c r="E107" s="104"/>
    </row>
    <row r="108" spans="1:5" ht="15.6">
      <c r="A108" s="104"/>
      <c r="B108" s="104"/>
      <c r="C108" s="104"/>
      <c r="D108" s="104"/>
      <c r="E108" s="104"/>
    </row>
    <row r="109" spans="1:5" ht="15.6">
      <c r="A109" s="104"/>
      <c r="B109" s="104"/>
      <c r="C109" s="104"/>
      <c r="D109" s="104"/>
      <c r="E109" s="104"/>
    </row>
    <row r="110" spans="1:5" ht="15.6">
      <c r="A110" s="104"/>
      <c r="B110" s="104"/>
      <c r="C110" s="104"/>
      <c r="D110" s="104"/>
      <c r="E110" s="104"/>
    </row>
    <row r="111" spans="1:5" ht="15.6">
      <c r="A111" s="104"/>
      <c r="B111" s="104"/>
      <c r="C111" s="104"/>
      <c r="D111" s="104"/>
      <c r="E111" s="104"/>
    </row>
    <row r="112" spans="1:5" ht="15.6">
      <c r="A112" s="104"/>
      <c r="B112" s="104"/>
      <c r="C112" s="104"/>
      <c r="D112" s="104"/>
      <c r="E112" s="104"/>
    </row>
    <row r="113" spans="1:5" ht="15.6">
      <c r="A113" s="104"/>
      <c r="B113" s="104"/>
      <c r="C113" s="104"/>
      <c r="D113" s="104"/>
      <c r="E113" s="104"/>
    </row>
    <row r="114" spans="1:5" ht="15.6">
      <c r="A114" s="104"/>
      <c r="B114" s="104"/>
      <c r="C114" s="104"/>
      <c r="D114" s="104"/>
      <c r="E114" s="104"/>
    </row>
    <row r="115" spans="1:5" ht="15.6">
      <c r="A115" s="104"/>
      <c r="B115" s="104"/>
      <c r="C115" s="104"/>
      <c r="D115" s="104"/>
      <c r="E115" s="104"/>
    </row>
    <row r="116" spans="1:5" ht="15.6">
      <c r="A116" s="104"/>
      <c r="B116" s="104"/>
      <c r="C116" s="104"/>
      <c r="D116" s="104"/>
      <c r="E116" s="104"/>
    </row>
    <row r="117" spans="1:5" ht="15.6">
      <c r="A117" s="104"/>
      <c r="B117" s="104"/>
      <c r="C117" s="104"/>
      <c r="D117" s="104"/>
      <c r="E117" s="104"/>
    </row>
    <row r="118" spans="1:5" ht="15.6">
      <c r="A118" s="104"/>
      <c r="B118" s="104"/>
      <c r="C118" s="104"/>
      <c r="D118" s="104"/>
      <c r="E118" s="104"/>
    </row>
    <row r="119" spans="1:5" ht="15.6">
      <c r="A119" s="104"/>
      <c r="B119" s="104"/>
      <c r="C119" s="104"/>
      <c r="D119" s="104"/>
      <c r="E119" s="104"/>
    </row>
    <row r="120" spans="1:5" ht="15.6">
      <c r="A120" s="104"/>
      <c r="B120" s="104"/>
      <c r="C120" s="104"/>
      <c r="D120" s="104"/>
      <c r="E120" s="104"/>
    </row>
    <row r="121" spans="1:5" ht="15.6">
      <c r="A121" s="104"/>
      <c r="B121" s="104"/>
      <c r="C121" s="104"/>
      <c r="D121" s="104"/>
      <c r="E121" s="104"/>
    </row>
    <row r="122" spans="1:5" ht="15.6">
      <c r="A122" s="104"/>
      <c r="B122" s="104"/>
      <c r="C122" s="104"/>
      <c r="D122" s="104"/>
      <c r="E122" s="104"/>
    </row>
    <row r="123" spans="1:5" ht="15.6">
      <c r="A123" s="104"/>
      <c r="B123" s="104"/>
      <c r="C123" s="104"/>
      <c r="D123" s="104"/>
      <c r="E123" s="104"/>
    </row>
    <row r="124" spans="1:5" ht="15.6">
      <c r="A124" s="104"/>
      <c r="B124" s="104"/>
      <c r="C124" s="104"/>
      <c r="D124" s="104"/>
      <c r="E124" s="104"/>
    </row>
    <row r="125" spans="1:5" ht="15.6">
      <c r="A125" s="104"/>
      <c r="B125" s="104"/>
      <c r="C125" s="104"/>
      <c r="D125" s="104"/>
      <c r="E125" s="104"/>
    </row>
    <row r="126" spans="1:5" ht="15.6">
      <c r="A126" s="104"/>
      <c r="B126" s="104"/>
      <c r="C126" s="104"/>
      <c r="D126" s="104"/>
      <c r="E126" s="104"/>
    </row>
    <row r="127" spans="1:5" ht="15.6">
      <c r="A127" s="104"/>
      <c r="B127" s="104"/>
      <c r="C127" s="104"/>
      <c r="D127" s="104"/>
      <c r="E127" s="104"/>
    </row>
    <row r="128" spans="1:5" ht="15.6">
      <c r="A128" s="104"/>
      <c r="B128" s="104"/>
      <c r="C128" s="104"/>
      <c r="D128" s="104"/>
      <c r="E128" s="104"/>
    </row>
    <row r="129" spans="1:5" ht="15.6">
      <c r="A129" s="104"/>
      <c r="B129" s="104"/>
      <c r="C129" s="104"/>
      <c r="D129" s="104"/>
      <c r="E129" s="104"/>
    </row>
    <row r="130" spans="1:5" ht="15.6">
      <c r="A130" s="104"/>
      <c r="B130" s="104"/>
      <c r="C130" s="104"/>
      <c r="D130" s="104"/>
      <c r="E130" s="104"/>
    </row>
    <row r="131" spans="1:5" ht="15.6">
      <c r="A131" s="104"/>
      <c r="B131" s="104"/>
      <c r="C131" s="104"/>
      <c r="D131" s="104"/>
      <c r="E131" s="104"/>
    </row>
    <row r="132" spans="1:5" ht="15.6">
      <c r="A132" s="104"/>
      <c r="B132" s="104"/>
      <c r="C132" s="104"/>
      <c r="D132" s="104"/>
      <c r="E132" s="104"/>
    </row>
    <row r="133" spans="1:5" ht="15.6">
      <c r="A133" s="104"/>
      <c r="B133" s="104"/>
      <c r="C133" s="104"/>
      <c r="D133" s="104"/>
      <c r="E133" s="104"/>
    </row>
    <row r="134" spans="1:5" ht="15.6">
      <c r="A134" s="104"/>
      <c r="B134" s="104"/>
      <c r="C134" s="104"/>
      <c r="D134" s="104"/>
      <c r="E134" s="104"/>
    </row>
    <row r="135" spans="1:5" ht="15.6">
      <c r="A135" s="104"/>
      <c r="B135" s="104"/>
      <c r="C135" s="104"/>
      <c r="D135" s="104"/>
      <c r="E135" s="104"/>
    </row>
    <row r="136" spans="1:5" ht="15.6">
      <c r="A136" s="104"/>
      <c r="B136" s="104"/>
      <c r="C136" s="104"/>
      <c r="D136" s="104"/>
      <c r="E136" s="104"/>
    </row>
    <row r="137" spans="1:5" ht="15.6">
      <c r="A137" s="104"/>
      <c r="B137" s="104"/>
      <c r="C137" s="104"/>
      <c r="D137" s="104"/>
      <c r="E137" s="104"/>
    </row>
    <row r="138" spans="1:5" ht="15.6">
      <c r="A138" s="104"/>
      <c r="B138" s="104"/>
      <c r="C138" s="104"/>
      <c r="D138" s="104"/>
      <c r="E138" s="104"/>
    </row>
    <row r="139" spans="1:5" ht="15.6">
      <c r="A139" s="104"/>
      <c r="B139" s="104"/>
      <c r="C139" s="104"/>
      <c r="D139" s="104"/>
      <c r="E139" s="104"/>
    </row>
    <row r="140" spans="1:5" ht="15.6">
      <c r="A140" s="104"/>
      <c r="B140" s="104"/>
      <c r="C140" s="104"/>
      <c r="D140" s="104"/>
      <c r="E140" s="104"/>
    </row>
    <row r="141" spans="1:5" ht="15.6">
      <c r="A141" s="104"/>
      <c r="B141" s="104"/>
      <c r="C141" s="104"/>
      <c r="D141" s="104"/>
      <c r="E141" s="104"/>
    </row>
    <row r="142" spans="1:5" ht="15.6">
      <c r="A142" s="104"/>
      <c r="B142" s="104"/>
      <c r="C142" s="104"/>
      <c r="D142" s="104"/>
      <c r="E142" s="104"/>
    </row>
    <row r="143" spans="1:5" ht="15.6">
      <c r="A143" s="104"/>
      <c r="B143" s="104"/>
      <c r="C143" s="104"/>
      <c r="D143" s="104"/>
      <c r="E143" s="104"/>
    </row>
    <row r="144" spans="1:5" ht="15.6">
      <c r="A144" s="104"/>
      <c r="B144" s="104"/>
      <c r="C144" s="104"/>
      <c r="D144" s="104"/>
      <c r="E144" s="104"/>
    </row>
    <row r="145" spans="1:5" ht="15.6">
      <c r="A145" s="104"/>
      <c r="B145" s="104"/>
      <c r="C145" s="104"/>
      <c r="D145" s="104"/>
      <c r="E145" s="104"/>
    </row>
    <row r="146" spans="1:5" ht="15.6">
      <c r="A146" s="104"/>
      <c r="B146" s="104"/>
      <c r="C146" s="104"/>
      <c r="D146" s="104"/>
      <c r="E146" s="104"/>
    </row>
    <row r="147" spans="1:5" ht="15.6">
      <c r="A147" s="104"/>
      <c r="B147" s="104"/>
      <c r="C147" s="104"/>
      <c r="D147" s="104"/>
      <c r="E147" s="104"/>
    </row>
    <row r="148" spans="1:5" ht="15.6">
      <c r="A148" s="104"/>
      <c r="B148" s="104"/>
      <c r="C148" s="104"/>
      <c r="D148" s="104"/>
      <c r="E148" s="104"/>
    </row>
    <row r="149" spans="1:5" ht="15.6">
      <c r="A149" s="104"/>
      <c r="B149" s="104"/>
      <c r="C149" s="104"/>
      <c r="D149" s="104"/>
      <c r="E149" s="104"/>
    </row>
    <row r="150" spans="1:5" ht="15.6">
      <c r="A150" s="104"/>
      <c r="B150" s="104"/>
      <c r="C150" s="104"/>
      <c r="D150" s="104"/>
      <c r="E150" s="104"/>
    </row>
    <row r="151" spans="1:5" ht="15.6">
      <c r="A151" s="104"/>
      <c r="B151" s="104"/>
      <c r="C151" s="104"/>
      <c r="D151" s="104"/>
      <c r="E151" s="104"/>
    </row>
    <row r="152" spans="1:5" ht="15.6">
      <c r="A152" s="104"/>
      <c r="B152" s="104"/>
      <c r="C152" s="104"/>
      <c r="D152" s="104"/>
      <c r="E152" s="10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59B3-233E-437F-A8DC-70106347DED1}">
  <dimension ref="A1:P24"/>
  <sheetViews>
    <sheetView topLeftCell="A14" zoomScale="80" zoomScaleNormal="80" workbookViewId="0">
      <selection activeCell="E23" sqref="E23"/>
    </sheetView>
  </sheetViews>
  <sheetFormatPr defaultRowHeight="14.4"/>
  <cols>
    <col min="1" max="1" width="26.5546875" bestFit="1" customWidth="1"/>
    <col min="2" max="2" width="38.6640625" style="38" bestFit="1" customWidth="1"/>
    <col min="3" max="3" width="35.109375" style="38" bestFit="1" customWidth="1"/>
    <col min="4" max="4" width="26" style="38" bestFit="1" customWidth="1"/>
    <col min="5" max="5" width="56.44140625" style="38" bestFit="1" customWidth="1"/>
    <col min="7" max="8" width="12" bestFit="1" customWidth="1"/>
    <col min="11" max="11" width="64.88671875" bestFit="1" customWidth="1"/>
  </cols>
  <sheetData>
    <row r="1" spans="1:15">
      <c r="A1" t="s">
        <v>148</v>
      </c>
    </row>
    <row r="3" spans="1:15" ht="15.6">
      <c r="A3" s="2" t="s">
        <v>17</v>
      </c>
      <c r="B3" s="2" t="s">
        <v>19</v>
      </c>
      <c r="C3" s="2" t="s">
        <v>18</v>
      </c>
      <c r="D3" s="2" t="s">
        <v>147</v>
      </c>
      <c r="E3" s="10" t="s">
        <v>171</v>
      </c>
      <c r="F3" s="2"/>
      <c r="G3" s="2"/>
    </row>
    <row r="4" spans="1:15" ht="15.6">
      <c r="A4" s="2" t="s">
        <v>164</v>
      </c>
      <c r="B4" s="2" t="s">
        <v>165</v>
      </c>
      <c r="C4" s="2" t="s">
        <v>166</v>
      </c>
      <c r="D4" s="2" t="s">
        <v>29</v>
      </c>
      <c r="E4" s="2" t="s">
        <v>167</v>
      </c>
    </row>
    <row r="5" spans="1:15" ht="15.6">
      <c r="A5" s="2" t="s">
        <v>169</v>
      </c>
      <c r="B5" s="2" t="s">
        <v>170</v>
      </c>
      <c r="C5" s="2" t="s">
        <v>18</v>
      </c>
      <c r="D5" s="2"/>
      <c r="E5" s="10" t="s">
        <v>171</v>
      </c>
    </row>
    <row r="6" spans="1:15" ht="15.6">
      <c r="A6" s="83" t="s">
        <v>175</v>
      </c>
      <c r="B6" s="84" t="s">
        <v>176</v>
      </c>
      <c r="C6" s="2" t="s">
        <v>166</v>
      </c>
      <c r="D6" s="2" t="s">
        <v>177</v>
      </c>
      <c r="E6" s="2" t="s">
        <v>167</v>
      </c>
    </row>
    <row r="7" spans="1:15" ht="15.6">
      <c r="A7" s="83" t="s">
        <v>180</v>
      </c>
      <c r="B7" s="2" t="s">
        <v>181</v>
      </c>
      <c r="C7" s="2" t="s">
        <v>182</v>
      </c>
      <c r="D7" s="2"/>
      <c r="E7" s="10" t="s">
        <v>171</v>
      </c>
    </row>
    <row r="8" spans="1:15" ht="15.6">
      <c r="A8" s="83" t="s">
        <v>183</v>
      </c>
      <c r="B8" s="84" t="s">
        <v>184</v>
      </c>
      <c r="C8" s="2" t="s">
        <v>18</v>
      </c>
      <c r="D8" s="2"/>
      <c r="E8" s="2" t="s">
        <v>167</v>
      </c>
    </row>
    <row r="9" spans="1:15" ht="15.6">
      <c r="A9" s="13" t="s">
        <v>130</v>
      </c>
      <c r="B9" s="13" t="s">
        <v>131</v>
      </c>
      <c r="C9" s="13" t="s">
        <v>8</v>
      </c>
      <c r="D9" s="2"/>
      <c r="E9" s="10" t="s">
        <v>171</v>
      </c>
    </row>
    <row r="10" spans="1:15" ht="31.2">
      <c r="A10" s="83" t="s">
        <v>501</v>
      </c>
      <c r="B10" s="7" t="s">
        <v>502</v>
      </c>
      <c r="C10" s="7" t="s">
        <v>503</v>
      </c>
      <c r="D10" s="2"/>
      <c r="E10" s="10" t="s">
        <v>171</v>
      </c>
    </row>
    <row r="11" spans="1:15" ht="15.6">
      <c r="A11" s="14" t="s">
        <v>312</v>
      </c>
      <c r="B11" s="13" t="s">
        <v>313</v>
      </c>
      <c r="C11" s="13" t="s">
        <v>53</v>
      </c>
      <c r="D11" s="13" t="s">
        <v>314</v>
      </c>
      <c r="E11" s="2" t="s">
        <v>167</v>
      </c>
    </row>
    <row r="12" spans="1:15" ht="15.6">
      <c r="A12" s="2" t="s">
        <v>515</v>
      </c>
      <c r="B12" s="84" t="s">
        <v>516</v>
      </c>
      <c r="C12" s="2" t="s">
        <v>517</v>
      </c>
      <c r="D12" s="2" t="s">
        <v>518</v>
      </c>
      <c r="E12" s="10" t="s">
        <v>519</v>
      </c>
    </row>
    <row r="13" spans="1:15" ht="15.6">
      <c r="A13" s="55" t="s">
        <v>253</v>
      </c>
      <c r="B13" s="55" t="s">
        <v>173</v>
      </c>
      <c r="C13" s="2" t="s">
        <v>18</v>
      </c>
      <c r="D13" s="2" t="s">
        <v>520</v>
      </c>
      <c r="E13" s="10" t="s">
        <v>171</v>
      </c>
    </row>
    <row r="14" spans="1:15" ht="31.2">
      <c r="A14" s="76" t="s">
        <v>172</v>
      </c>
      <c r="B14" s="77" t="s">
        <v>333</v>
      </c>
      <c r="C14" s="86" t="s">
        <v>503</v>
      </c>
      <c r="D14" s="56"/>
      <c r="E14" s="10" t="s">
        <v>171</v>
      </c>
      <c r="F14" s="3"/>
      <c r="G14" s="2"/>
      <c r="H14" s="2"/>
    </row>
    <row r="15" spans="1:15" ht="104.4" customHeight="1">
      <c r="A15" s="13" t="s">
        <v>207</v>
      </c>
      <c r="B15" s="13" t="s">
        <v>208</v>
      </c>
      <c r="C15" s="14" t="s">
        <v>433</v>
      </c>
      <c r="D15" s="14" t="s">
        <v>434</v>
      </c>
      <c r="E15" s="2" t="s">
        <v>167</v>
      </c>
      <c r="F15" s="15"/>
      <c r="G15" s="123"/>
      <c r="H15" s="123"/>
      <c r="I15" s="124"/>
      <c r="J15" s="15"/>
      <c r="K15" s="121"/>
    </row>
    <row r="16" spans="1:15" ht="31.2">
      <c r="A16" s="29" t="s">
        <v>280</v>
      </c>
      <c r="B16" s="24" t="s">
        <v>281</v>
      </c>
      <c r="C16" s="13" t="s">
        <v>8</v>
      </c>
      <c r="D16" s="24"/>
      <c r="E16" s="2" t="s">
        <v>167</v>
      </c>
      <c r="F16" s="15"/>
      <c r="G16" s="24"/>
      <c r="H16" s="24"/>
      <c r="I16" s="61"/>
      <c r="J16" s="13"/>
      <c r="K16" s="14"/>
      <c r="L16" s="14"/>
      <c r="M16" s="24"/>
      <c r="N16" s="24"/>
      <c r="O16" s="24"/>
    </row>
    <row r="17" spans="1:16" ht="15.6">
      <c r="A17" s="13" t="s">
        <v>12</v>
      </c>
      <c r="B17" s="13" t="s">
        <v>13</v>
      </c>
      <c r="C17" s="13" t="s">
        <v>14</v>
      </c>
      <c r="D17" s="13" t="s">
        <v>29</v>
      </c>
      <c r="E17" s="10" t="s">
        <v>171</v>
      </c>
      <c r="F17" s="13"/>
      <c r="G17" s="13"/>
      <c r="H17" s="13"/>
      <c r="I17" s="26"/>
      <c r="J17" s="26"/>
      <c r="K17" s="14"/>
      <c r="L17" s="14"/>
      <c r="M17" s="13"/>
      <c r="N17" s="13"/>
      <c r="O17" s="24"/>
      <c r="P17" t="s">
        <v>420</v>
      </c>
    </row>
    <row r="18" spans="1:16" ht="15.6">
      <c r="A18" s="13" t="s">
        <v>67</v>
      </c>
      <c r="B18" s="13" t="s">
        <v>68</v>
      </c>
      <c r="C18" s="13" t="s">
        <v>8</v>
      </c>
      <c r="D18" s="13" t="s">
        <v>139</v>
      </c>
      <c r="E18" s="2" t="s">
        <v>167</v>
      </c>
      <c r="F18" s="13"/>
      <c r="G18" s="13"/>
      <c r="H18" s="13"/>
      <c r="I18" s="13"/>
      <c r="J18" s="26"/>
      <c r="K18" s="26"/>
      <c r="L18" s="13"/>
    </row>
    <row r="19" spans="1:16" ht="15.6">
      <c r="A19" s="13" t="s">
        <v>69</v>
      </c>
      <c r="B19" s="13" t="s">
        <v>70</v>
      </c>
      <c r="C19" s="13" t="s">
        <v>8</v>
      </c>
      <c r="D19" s="13" t="s">
        <v>26</v>
      </c>
      <c r="E19" s="2" t="s">
        <v>167</v>
      </c>
    </row>
    <row r="20" spans="1:16" ht="15.6">
      <c r="A20" s="14" t="s">
        <v>188</v>
      </c>
      <c r="B20" s="13" t="s">
        <v>189</v>
      </c>
      <c r="C20" s="13" t="s">
        <v>18</v>
      </c>
      <c r="E20" s="10" t="s">
        <v>171</v>
      </c>
    </row>
    <row r="21" spans="1:16" ht="46.8">
      <c r="A21" s="13" t="s">
        <v>17</v>
      </c>
      <c r="B21" s="13" t="s">
        <v>19</v>
      </c>
      <c r="C21" s="13" t="s">
        <v>18</v>
      </c>
      <c r="D21" s="14" t="s">
        <v>28</v>
      </c>
      <c r="E21" s="10" t="s">
        <v>171</v>
      </c>
      <c r="F21" s="14"/>
      <c r="G21" s="14"/>
      <c r="H21" s="14"/>
      <c r="I21" s="26"/>
      <c r="J21" s="26"/>
      <c r="K21" s="14"/>
    </row>
    <row r="22" spans="1:16" ht="31.2">
      <c r="A22" s="14" t="s">
        <v>288</v>
      </c>
      <c r="B22" s="15" t="s">
        <v>289</v>
      </c>
      <c r="C22" s="13" t="s">
        <v>8</v>
      </c>
      <c r="D22" s="10"/>
      <c r="E22" s="10" t="s">
        <v>171</v>
      </c>
    </row>
    <row r="23" spans="1:16" ht="31.2">
      <c r="A23" s="14" t="s">
        <v>282</v>
      </c>
      <c r="B23" s="15" t="s">
        <v>283</v>
      </c>
      <c r="C23" s="13" t="s">
        <v>8</v>
      </c>
      <c r="D23" s="24" t="s">
        <v>284</v>
      </c>
      <c r="E23" s="10" t="s">
        <v>171</v>
      </c>
    </row>
    <row r="24" spans="1:16" ht="15.6">
      <c r="A24" s="55" t="s">
        <v>0</v>
      </c>
      <c r="B24" s="55" t="s">
        <v>1</v>
      </c>
      <c r="C24" s="55" t="s">
        <v>141</v>
      </c>
      <c r="D24" s="10"/>
      <c r="E24" s="10" t="s">
        <v>171</v>
      </c>
    </row>
  </sheetData>
  <dataValidations disablePrompts="1" count="2">
    <dataValidation type="list" allowBlank="1" showInputMessage="1" showErrorMessage="1" sqref="C3 C9" xr:uid="{AA670ECB-58EE-455F-BA45-5D537499E49C}">
      <formula1>"Henrique Jean, Hserv Serviços de Apoio, Hserv Clean, Hserv Facilities, Vitor Augusto, Hserv Representações, Hserv Limpeza e Segurança, Hserv Tecnologia, Hserv Terceirizados"</formula1>
    </dataValidation>
    <dataValidation type="list" allowBlank="1" showInputMessage="1" showErrorMessage="1" sqref="F3" xr:uid="{CAD13580-A563-47A1-AB0B-4D276FA21401}">
      <formula1>"Audiência Inicial, Perícia, Sentença, Recurso, Liquidação, Execução, Acordo"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Conhecimento</vt:lpstr>
      <vt:lpstr>Execução</vt:lpstr>
      <vt:lpstr>Acordos Mensal</vt:lpstr>
      <vt:lpstr>Cíveis - Diversos</vt:lpstr>
      <vt:lpstr>Finalizados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Hserv</dc:creator>
  <cp:lastModifiedBy>Hserv</cp:lastModifiedBy>
  <cp:lastPrinted>2025-07-23T14:58:04Z</cp:lastPrinted>
  <dcterms:created xsi:type="dcterms:W3CDTF">2025-06-02T12:21:13Z</dcterms:created>
  <dcterms:modified xsi:type="dcterms:W3CDTF">2025-11-04T16:26:07Z</dcterms:modified>
</cp:coreProperties>
</file>