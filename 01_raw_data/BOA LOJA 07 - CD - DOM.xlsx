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2E7869D3-F76D-4F57-B246-1F31BF1C23C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Ester Cardozo</author>
  </authors>
  <commentList>
    <comment ref="I5" authorId="0" shapeId="0" xr:uid="{B4A0F855-BDEC-4D1F-8466-02FC0ACC589B}">
      <text>
        <r>
          <rPr>
            <b/>
            <sz val="9"/>
            <color indexed="81"/>
            <rFont val="Segoe UI"/>
            <family val="2"/>
          </rPr>
          <t>Ester Cardozo:</t>
        </r>
        <r>
          <rPr>
            <sz val="9"/>
            <color indexed="81"/>
            <rFont val="Segoe UI"/>
            <family val="2"/>
          </rPr>
          <t xml:space="preserve">
não houve lançamento de FT para essa loja</t>
        </r>
      </text>
    </comment>
  </commentList>
</comments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<sst xmlns="http://schemas.openxmlformats.org/spreadsheetml/2006/main" count="38" uniqueCount="37">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</sst>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J17" sqref="J17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2450.89</v>
      </c>
      <c r="E5" s="23">
        <v>8</v>
      </c>
      <c r="F5" s="23">
        <v>0</v>
      </c>
      <c r="G5" s="23">
        <v>2064.58</v>
      </c>
      <c r="H5" s="23">
        <v>80</v>
      </c>
      <c r="I5" s="23">
        <v>0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9773.27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9773.27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2450.89</v>
      </c>
      <c r="E35" s="34">
        <f t="shared" si="1"/>
        <v>8</v>
      </c>
      <c r="F35" s="34">
        <f t="shared" si="1"/>
        <v>0</v>
      </c>
      <c r="G35" s="34">
        <f t="shared" si="1"/>
        <v>2064.58</v>
      </c>
      <c r="H35" s="54">
        <v>80</v>
      </c>
      <c r="I35" s="34">
        <f t="shared" si="1"/>
        <v>0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-9773.27</v>
      </c>
      <c r="P35" s="51"/>
      <c r="Q35" s="34">
        <f t="shared" si="1"/>
        <v>30</v>
      </c>
      <c r="R35" s="22"/>
      <c r="S35" s="52">
        <f>SUBTOTAL(109,S5:S34)</f>
        <v>9773.27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2024-09-17T13:52:51Z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