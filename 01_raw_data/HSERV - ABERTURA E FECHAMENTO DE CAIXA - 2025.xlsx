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6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7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9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drawings/drawing10.xml" ContentType="application/vnd.openxmlformats-officedocument.drawing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11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RELATÓRIOS\"/>
    </mc:Choice>
  </mc:AlternateContent>
  <xr:revisionPtr revIDLastSave="0" documentId="13_ncr:1_{A131E1A1-3996-4480-B57F-070BE68078EE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CAIXA DIÁRIO JANEIRO" sheetId="19" r:id="rId1"/>
    <sheet name="CAIXA DIÁRIO FEVEREIRO" sheetId="20" r:id="rId2"/>
    <sheet name="CAIXA DIÁRIO MARÇO" sheetId="21" r:id="rId3"/>
    <sheet name="CAIXA DIÁRIO ABRIL" sheetId="23" r:id="rId4"/>
    <sheet name="CAIXA DIÁRIO MAIO" sheetId="24" r:id="rId5"/>
    <sheet name="CAIXA DIÁRIO JUNHO" sheetId="25" r:id="rId6"/>
    <sheet name="CAIXA DIÁRIO JULHO" sheetId="27" r:id="rId7"/>
    <sheet name="CAIXA DIÁRIO AGOSTO" sheetId="28" r:id="rId8"/>
    <sheet name="CAIXA DIÁRIO SETEMBRO" sheetId="29" r:id="rId9"/>
    <sheet name="CAIXA DIÁRIO OUTUBRO" sheetId="30" r:id="rId10"/>
    <sheet name="CAIXA DIÁRIO NOVEMBRO" sheetId="31" r:id="rId11"/>
  </sheets>
  <definedNames>
    <definedName name="_xlnm._FilterDatabase" localSheetId="0" hidden="1">'CAIXA DIÁRIO JANEIRO'!$A$7:$G$7</definedName>
    <definedName name="_xlnm.Print_Area" localSheetId="0">'CAIXA DIÁRIO JANEIRO'!$A$1:$H$51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1" l="1"/>
  <c r="I34" i="31" s="1"/>
  <c r="E85" i="31"/>
  <c r="I86" i="31" s="1"/>
  <c r="E82" i="31"/>
  <c r="I82" i="31" s="1"/>
  <c r="I77" i="31"/>
  <c r="I74" i="31"/>
  <c r="I70" i="31"/>
  <c r="I68" i="31"/>
  <c r="I65" i="31"/>
  <c r="I62" i="31"/>
  <c r="E58" i="31"/>
  <c r="I58" i="31" s="1"/>
  <c r="E55" i="31"/>
  <c r="I55" i="31" s="1"/>
  <c r="I53" i="31"/>
  <c r="I49" i="31"/>
  <c r="E46" i="31"/>
  <c r="I47" i="31" s="1"/>
  <c r="E43" i="31"/>
  <c r="I44" i="31" s="1"/>
  <c r="E40" i="31"/>
  <c r="I41" i="31" s="1"/>
  <c r="E37" i="31"/>
  <c r="I38" i="31" s="1"/>
  <c r="I30" i="31"/>
  <c r="I28" i="31"/>
  <c r="E21" i="31"/>
  <c r="I22" i="31" s="1"/>
  <c r="E18" i="31"/>
  <c r="I18" i="31" s="1"/>
  <c r="I16" i="31"/>
  <c r="E12" i="31"/>
  <c r="I13" i="31" s="1"/>
  <c r="E9" i="31"/>
  <c r="I9" i="31" s="1"/>
  <c r="C82" i="30"/>
  <c r="E82" i="30" s="1"/>
  <c r="I79" i="30"/>
  <c r="I76" i="30"/>
  <c r="E57" i="30"/>
  <c r="I57" i="30" s="1"/>
  <c r="I27" i="30"/>
  <c r="C27" i="30"/>
  <c r="I18" i="30"/>
  <c r="I58" i="29"/>
  <c r="I52" i="29"/>
  <c r="I48" i="29"/>
  <c r="I73" i="28"/>
  <c r="I60" i="28"/>
  <c r="I57" i="28"/>
  <c r="E57" i="28"/>
  <c r="I51" i="28"/>
  <c r="I39" i="28"/>
  <c r="I33" i="28"/>
  <c r="I27" i="28"/>
  <c r="I15" i="28"/>
  <c r="I9" i="28"/>
  <c r="E88" i="30"/>
  <c r="I89" i="30" s="1"/>
  <c r="E85" i="30"/>
  <c r="I86" i="30" s="1"/>
  <c r="E79" i="30"/>
  <c r="I80" i="30" s="1"/>
  <c r="E76" i="30"/>
  <c r="I77" i="30" s="1"/>
  <c r="E73" i="30"/>
  <c r="I74" i="30" s="1"/>
  <c r="E70" i="30"/>
  <c r="I71" i="30" s="1"/>
  <c r="E67" i="30"/>
  <c r="I68" i="30" s="1"/>
  <c r="E63" i="30"/>
  <c r="I63" i="30" s="1"/>
  <c r="E60" i="30"/>
  <c r="I61" i="30" s="1"/>
  <c r="E54" i="30"/>
  <c r="I54" i="30" s="1"/>
  <c r="E51" i="30"/>
  <c r="I51" i="30" s="1"/>
  <c r="E48" i="30"/>
  <c r="I49" i="30" s="1"/>
  <c r="E45" i="30"/>
  <c r="I45" i="30" s="1"/>
  <c r="I43" i="30"/>
  <c r="I42" i="30"/>
  <c r="E42" i="30"/>
  <c r="E39" i="30"/>
  <c r="I40" i="30" s="1"/>
  <c r="E36" i="30"/>
  <c r="I37" i="30" s="1"/>
  <c r="I34" i="30"/>
  <c r="E33" i="30"/>
  <c r="I33" i="30" s="1"/>
  <c r="E30" i="30"/>
  <c r="I31" i="30" s="1"/>
  <c r="E27" i="30"/>
  <c r="I28" i="30" s="1"/>
  <c r="E24" i="30"/>
  <c r="I25" i="30" s="1"/>
  <c r="E21" i="30"/>
  <c r="I21" i="30" s="1"/>
  <c r="I19" i="30"/>
  <c r="E18" i="30"/>
  <c r="E15" i="30"/>
  <c r="I16" i="30" s="1"/>
  <c r="E12" i="30"/>
  <c r="I13" i="30" s="1"/>
  <c r="E9" i="30"/>
  <c r="I9" i="30" s="1"/>
  <c r="E85" i="29"/>
  <c r="I86" i="29" s="1"/>
  <c r="E82" i="29"/>
  <c r="I82" i="29" s="1"/>
  <c r="E79" i="29"/>
  <c r="I80" i="29" s="1"/>
  <c r="E76" i="29"/>
  <c r="I76" i="29" s="1"/>
  <c r="E73" i="29"/>
  <c r="I73" i="29" s="1"/>
  <c r="E70" i="29"/>
  <c r="I70" i="29" s="1"/>
  <c r="E67" i="29"/>
  <c r="I68" i="29" s="1"/>
  <c r="E63" i="29"/>
  <c r="I63" i="29" s="1"/>
  <c r="E60" i="29"/>
  <c r="I61" i="29" s="1"/>
  <c r="E54" i="29"/>
  <c r="I54" i="29" s="1"/>
  <c r="E51" i="29"/>
  <c r="I51" i="29" s="1"/>
  <c r="E48" i="29"/>
  <c r="I49" i="29" s="1"/>
  <c r="E45" i="29"/>
  <c r="I45" i="29" s="1"/>
  <c r="E42" i="29"/>
  <c r="I42" i="29" s="1"/>
  <c r="E39" i="29"/>
  <c r="I39" i="29" s="1"/>
  <c r="E36" i="29"/>
  <c r="I37" i="29" s="1"/>
  <c r="E33" i="29"/>
  <c r="I33" i="29" s="1"/>
  <c r="E30" i="29"/>
  <c r="I31" i="29" s="1"/>
  <c r="E27" i="29"/>
  <c r="I27" i="29" s="1"/>
  <c r="E24" i="29"/>
  <c r="I25" i="29" s="1"/>
  <c r="E21" i="29"/>
  <c r="I21" i="29" s="1"/>
  <c r="E18" i="29"/>
  <c r="I18" i="29" s="1"/>
  <c r="E15" i="29"/>
  <c r="I15" i="29" s="1"/>
  <c r="E12" i="29"/>
  <c r="I13" i="29" s="1"/>
  <c r="E9" i="29"/>
  <c r="I9" i="29" s="1"/>
  <c r="E63" i="27"/>
  <c r="I64" i="27" s="1"/>
  <c r="E60" i="27"/>
  <c r="I61" i="27" s="1"/>
  <c r="E57" i="27"/>
  <c r="I58" i="27" s="1"/>
  <c r="E85" i="28"/>
  <c r="I86" i="28" s="1"/>
  <c r="E82" i="28"/>
  <c r="I83" i="28" s="1"/>
  <c r="E79" i="28"/>
  <c r="I80" i="28" s="1"/>
  <c r="E76" i="28"/>
  <c r="I77" i="28" s="1"/>
  <c r="E73" i="28"/>
  <c r="E70" i="28"/>
  <c r="I71" i="28" s="1"/>
  <c r="E67" i="28"/>
  <c r="I68" i="28" s="1"/>
  <c r="E63" i="28"/>
  <c r="I63" i="28" s="1"/>
  <c r="E60" i="28"/>
  <c r="I61" i="28" s="1"/>
  <c r="E54" i="28"/>
  <c r="I54" i="28" s="1"/>
  <c r="E51" i="28"/>
  <c r="E48" i="28"/>
  <c r="I49" i="28" s="1"/>
  <c r="E45" i="28"/>
  <c r="I45" i="28" s="1"/>
  <c r="E42" i="28"/>
  <c r="I42" i="28" s="1"/>
  <c r="E39" i="28"/>
  <c r="I40" i="28" s="1"/>
  <c r="E36" i="28"/>
  <c r="I37" i="28" s="1"/>
  <c r="E30" i="28"/>
  <c r="I30" i="28" s="1"/>
  <c r="E27" i="28"/>
  <c r="I28" i="28" s="1"/>
  <c r="E24" i="28"/>
  <c r="I25" i="28" s="1"/>
  <c r="E21" i="28"/>
  <c r="I21" i="28" s="1"/>
  <c r="E18" i="28"/>
  <c r="I18" i="28" s="1"/>
  <c r="E15" i="28"/>
  <c r="I16" i="28" s="1"/>
  <c r="E12" i="28"/>
  <c r="I13" i="28" s="1"/>
  <c r="E9" i="28"/>
  <c r="C82" i="25"/>
  <c r="E82" i="25" s="1"/>
  <c r="I83" i="25" s="1"/>
  <c r="I70" i="25"/>
  <c r="I67" i="25"/>
  <c r="E67" i="25"/>
  <c r="I68" i="25" s="1"/>
  <c r="E89" i="27"/>
  <c r="I90" i="27" s="1"/>
  <c r="I9" i="27"/>
  <c r="E86" i="27"/>
  <c r="I87" i="27" s="1"/>
  <c r="E83" i="27"/>
  <c r="I84" i="27" s="1"/>
  <c r="E80" i="27"/>
  <c r="I81" i="27" s="1"/>
  <c r="E77" i="27"/>
  <c r="I77" i="27" s="1"/>
  <c r="E73" i="27"/>
  <c r="I75" i="27" s="1"/>
  <c r="E70" i="27"/>
  <c r="I71" i="27" s="1"/>
  <c r="E67" i="27"/>
  <c r="I67" i="27" s="1"/>
  <c r="E54" i="27"/>
  <c r="I55" i="27" s="1"/>
  <c r="E51" i="27"/>
  <c r="I51" i="27" s="1"/>
  <c r="E48" i="27"/>
  <c r="I48" i="27" s="1"/>
  <c r="E45" i="27"/>
  <c r="I46" i="27" s="1"/>
  <c r="E42" i="27"/>
  <c r="I43" i="27" s="1"/>
  <c r="E39" i="27"/>
  <c r="I40" i="27" s="1"/>
  <c r="E36" i="27"/>
  <c r="I36" i="27" s="1"/>
  <c r="E33" i="27"/>
  <c r="I34" i="27" s="1"/>
  <c r="E30" i="27"/>
  <c r="I31" i="27" s="1"/>
  <c r="E27" i="27"/>
  <c r="I28" i="27" s="1"/>
  <c r="E24" i="27"/>
  <c r="I24" i="27" s="1"/>
  <c r="E21" i="27"/>
  <c r="I22" i="27" s="1"/>
  <c r="E18" i="27"/>
  <c r="I19" i="27" s="1"/>
  <c r="E15" i="27"/>
  <c r="I16" i="27" s="1"/>
  <c r="E12" i="27"/>
  <c r="I12" i="27" s="1"/>
  <c r="E51" i="25"/>
  <c r="E15" i="25"/>
  <c r="I15" i="25" s="1"/>
  <c r="E12" i="25"/>
  <c r="I12" i="25" s="1"/>
  <c r="E9" i="25"/>
  <c r="I9" i="25" s="1"/>
  <c r="E79" i="25"/>
  <c r="I80" i="25" s="1"/>
  <c r="E76" i="25"/>
  <c r="I76" i="25" s="1"/>
  <c r="E73" i="25"/>
  <c r="I73" i="25" s="1"/>
  <c r="E70" i="25"/>
  <c r="I71" i="25" s="1"/>
  <c r="I84" i="24"/>
  <c r="E64" i="25"/>
  <c r="I65" i="25" s="1"/>
  <c r="E60" i="25"/>
  <c r="I60" i="25" s="1"/>
  <c r="E57" i="25"/>
  <c r="I58" i="25" s="1"/>
  <c r="I55" i="25"/>
  <c r="I52" i="25"/>
  <c r="E48" i="25"/>
  <c r="I48" i="25" s="1"/>
  <c r="E45" i="25"/>
  <c r="I46" i="25" s="1"/>
  <c r="E42" i="25"/>
  <c r="I43" i="25" s="1"/>
  <c r="E39" i="25"/>
  <c r="I40" i="25" s="1"/>
  <c r="E36" i="25"/>
  <c r="I37" i="25" s="1"/>
  <c r="E33" i="25"/>
  <c r="I34" i="25" s="1"/>
  <c r="E30" i="25"/>
  <c r="I30" i="25" s="1"/>
  <c r="E27" i="25"/>
  <c r="I28" i="25" s="1"/>
  <c r="E24" i="25"/>
  <c r="I25" i="25" s="1"/>
  <c r="E21" i="25"/>
  <c r="I22" i="25" s="1"/>
  <c r="E18" i="25"/>
  <c r="I18" i="25" s="1"/>
  <c r="I16" i="25"/>
  <c r="I10" i="25"/>
  <c r="E81" i="24"/>
  <c r="E72" i="24"/>
  <c r="E48" i="24"/>
  <c r="E45" i="24"/>
  <c r="E42" i="24"/>
  <c r="E39" i="24"/>
  <c r="E36" i="24"/>
  <c r="E33" i="24"/>
  <c r="E30" i="24"/>
  <c r="E18" i="24"/>
  <c r="E15" i="24"/>
  <c r="E12" i="24"/>
  <c r="E27" i="24"/>
  <c r="I33" i="31" l="1"/>
  <c r="I59" i="31"/>
  <c r="I67" i="31"/>
  <c r="I56" i="31"/>
  <c r="I71" i="31"/>
  <c r="I85" i="31"/>
  <c r="I46" i="31"/>
  <c r="I25" i="31"/>
  <c r="I24" i="31"/>
  <c r="I10" i="31"/>
  <c r="I15" i="31"/>
  <c r="I19" i="31"/>
  <c r="I27" i="31"/>
  <c r="I31" i="31"/>
  <c r="I43" i="31"/>
  <c r="I52" i="31"/>
  <c r="I64" i="31"/>
  <c r="I76" i="31"/>
  <c r="C79" i="31" s="1"/>
  <c r="E79" i="31" s="1"/>
  <c r="I83" i="31"/>
  <c r="I12" i="31"/>
  <c r="I40" i="31"/>
  <c r="I61" i="31"/>
  <c r="I73" i="31"/>
  <c r="I21" i="31"/>
  <c r="I37" i="31"/>
  <c r="I85" i="30"/>
  <c r="I83" i="30"/>
  <c r="I82" i="30"/>
  <c r="I73" i="30"/>
  <c r="I64" i="30"/>
  <c r="I58" i="30"/>
  <c r="I55" i="30"/>
  <c r="I60" i="30"/>
  <c r="I46" i="30"/>
  <c r="I30" i="30"/>
  <c r="I22" i="30"/>
  <c r="I10" i="30"/>
  <c r="I43" i="29"/>
  <c r="I64" i="29"/>
  <c r="I77" i="29"/>
  <c r="I60" i="29"/>
  <c r="I74" i="29"/>
  <c r="I30" i="29"/>
  <c r="I55" i="29"/>
  <c r="I46" i="29"/>
  <c r="I34" i="29"/>
  <c r="I22" i="29"/>
  <c r="I19" i="29"/>
  <c r="I74" i="28"/>
  <c r="I64" i="28"/>
  <c r="I58" i="28"/>
  <c r="I88" i="30"/>
  <c r="I15" i="30"/>
  <c r="I39" i="30"/>
  <c r="I70" i="30"/>
  <c r="I12" i="30"/>
  <c r="I24" i="30"/>
  <c r="I36" i="30"/>
  <c r="I48" i="30"/>
  <c r="I67" i="30"/>
  <c r="I10" i="29"/>
  <c r="I12" i="29"/>
  <c r="I16" i="29"/>
  <c r="I24" i="29"/>
  <c r="I28" i="29"/>
  <c r="I36" i="29"/>
  <c r="I40" i="29"/>
  <c r="I67" i="29"/>
  <c r="I71" i="29"/>
  <c r="I79" i="29"/>
  <c r="I83" i="29"/>
  <c r="I85" i="29"/>
  <c r="I57" i="27"/>
  <c r="I63" i="27"/>
  <c r="I60" i="27"/>
  <c r="I70" i="27"/>
  <c r="I33" i="27"/>
  <c r="I45" i="27"/>
  <c r="I19" i="28"/>
  <c r="I31" i="28"/>
  <c r="I82" i="28"/>
  <c r="I46" i="28"/>
  <c r="I55" i="28"/>
  <c r="I22" i="28"/>
  <c r="I43" i="28"/>
  <c r="I85" i="28"/>
  <c r="I10" i="28"/>
  <c r="I70" i="28"/>
  <c r="I12" i="28"/>
  <c r="I24" i="28"/>
  <c r="I36" i="28"/>
  <c r="I48" i="28"/>
  <c r="I67" i="28"/>
  <c r="I79" i="28"/>
  <c r="I76" i="28"/>
  <c r="I74" i="25"/>
  <c r="I68" i="27"/>
  <c r="I37" i="27"/>
  <c r="I89" i="27"/>
  <c r="I10" i="27"/>
  <c r="I78" i="27"/>
  <c r="I54" i="27"/>
  <c r="I25" i="27"/>
  <c r="I13" i="27"/>
  <c r="I21" i="27"/>
  <c r="I49" i="27"/>
  <c r="I18" i="27"/>
  <c r="I30" i="27"/>
  <c r="I42" i="27"/>
  <c r="I73" i="27"/>
  <c r="I15" i="27"/>
  <c r="I27" i="27"/>
  <c r="I39" i="27"/>
  <c r="I83" i="27"/>
  <c r="I80" i="27"/>
  <c r="I86" i="27"/>
  <c r="I33" i="25"/>
  <c r="I36" i="25"/>
  <c r="I13" i="25"/>
  <c r="I77" i="25"/>
  <c r="I79" i="25"/>
  <c r="I39" i="25"/>
  <c r="I31" i="25"/>
  <c r="I57" i="25"/>
  <c r="I19" i="25"/>
  <c r="I27" i="25"/>
  <c r="I42" i="25"/>
  <c r="I61" i="25"/>
  <c r="I24" i="25"/>
  <c r="I54" i="25"/>
  <c r="I64" i="25"/>
  <c r="I21" i="25"/>
  <c r="I45" i="25"/>
  <c r="I51" i="25"/>
  <c r="I24" i="24"/>
  <c r="E24" i="24"/>
  <c r="I80" i="31" l="1"/>
  <c r="I79" i="31"/>
  <c r="E21" i="24"/>
  <c r="I21" i="24" s="1"/>
  <c r="I12" i="24" l="1"/>
  <c r="I84" i="23"/>
  <c r="E81" i="23" l="1"/>
  <c r="E72" i="23" l="1"/>
  <c r="E48" i="23" l="1"/>
  <c r="E45" i="23"/>
  <c r="I46" i="23" s="1"/>
  <c r="E36" i="23"/>
  <c r="I36" i="23" s="1"/>
  <c r="E30" i="23"/>
  <c r="I31" i="23" s="1"/>
  <c r="E27" i="23"/>
  <c r="E18" i="23"/>
  <c r="I19" i="23" s="1"/>
  <c r="E15" i="23"/>
  <c r="I16" i="23" s="1"/>
  <c r="E12" i="23"/>
  <c r="I88" i="24"/>
  <c r="I85" i="24"/>
  <c r="I82" i="24"/>
  <c r="E78" i="24"/>
  <c r="I78" i="24" s="1"/>
  <c r="E75" i="24"/>
  <c r="I75" i="24" s="1"/>
  <c r="I73" i="24"/>
  <c r="I72" i="24"/>
  <c r="E69" i="24"/>
  <c r="I69" i="24" s="1"/>
  <c r="E66" i="24"/>
  <c r="I67" i="24" s="1"/>
  <c r="E63" i="24"/>
  <c r="I64" i="24" s="1"/>
  <c r="E60" i="24"/>
  <c r="I61" i="24" s="1"/>
  <c r="E57" i="24"/>
  <c r="I58" i="24" s="1"/>
  <c r="E54" i="24"/>
  <c r="I55" i="24" s="1"/>
  <c r="E51" i="24"/>
  <c r="I52" i="24" s="1"/>
  <c r="I46" i="24"/>
  <c r="I45" i="24"/>
  <c r="I43" i="24"/>
  <c r="I42" i="24"/>
  <c r="I40" i="24"/>
  <c r="I39" i="24"/>
  <c r="I37" i="24"/>
  <c r="I36" i="24"/>
  <c r="I34" i="24"/>
  <c r="I33" i="24"/>
  <c r="I31" i="24"/>
  <c r="I30" i="24"/>
  <c r="I28" i="24"/>
  <c r="I27" i="24"/>
  <c r="I25" i="24"/>
  <c r="I22" i="24"/>
  <c r="I19" i="24"/>
  <c r="I18" i="24"/>
  <c r="I16" i="24"/>
  <c r="I13" i="24"/>
  <c r="I85" i="23"/>
  <c r="I82" i="23"/>
  <c r="E78" i="23"/>
  <c r="I79" i="23" s="1"/>
  <c r="E75" i="23"/>
  <c r="I75" i="23" s="1"/>
  <c r="I73" i="23"/>
  <c r="E69" i="23"/>
  <c r="I70" i="23" s="1"/>
  <c r="E66" i="23"/>
  <c r="I67" i="23" s="1"/>
  <c r="E63" i="23"/>
  <c r="I64" i="23" s="1"/>
  <c r="E60" i="23"/>
  <c r="I61" i="23" s="1"/>
  <c r="E57" i="23"/>
  <c r="I58" i="23" s="1"/>
  <c r="E54" i="23"/>
  <c r="I55" i="23" s="1"/>
  <c r="E51" i="23"/>
  <c r="I52" i="23" s="1"/>
  <c r="I49" i="23"/>
  <c r="I43" i="23"/>
  <c r="I40" i="23"/>
  <c r="I34" i="23"/>
  <c r="I25" i="23"/>
  <c r="I13" i="23"/>
  <c r="E9" i="23"/>
  <c r="I10" i="23" s="1"/>
  <c r="E78" i="21"/>
  <c r="E75" i="21"/>
  <c r="E72" i="21"/>
  <c r="E69" i="21"/>
  <c r="E66" i="21"/>
  <c r="E63" i="21"/>
  <c r="E60" i="21"/>
  <c r="E57" i="21"/>
  <c r="E54" i="21"/>
  <c r="E51" i="21"/>
  <c r="E48" i="21"/>
  <c r="E45" i="21"/>
  <c r="E42" i="21"/>
  <c r="E39" i="21"/>
  <c r="E36" i="21"/>
  <c r="E33" i="21"/>
  <c r="E30" i="21"/>
  <c r="E27" i="21"/>
  <c r="E24" i="21"/>
  <c r="E21" i="21"/>
  <c r="E17" i="21"/>
  <c r="E14" i="21"/>
  <c r="E11" i="21"/>
  <c r="E8" i="21"/>
  <c r="E77" i="20"/>
  <c r="E74" i="20"/>
  <c r="E71" i="20"/>
  <c r="E68" i="20"/>
  <c r="E65" i="20"/>
  <c r="E62" i="20"/>
  <c r="E59" i="20"/>
  <c r="E56" i="20"/>
  <c r="E53" i="20"/>
  <c r="E50" i="20"/>
  <c r="E47" i="20"/>
  <c r="E44" i="20"/>
  <c r="E41" i="20"/>
  <c r="E38" i="20"/>
  <c r="E35" i="20"/>
  <c r="E29" i="20"/>
  <c r="E26" i="20"/>
  <c r="E23" i="20"/>
  <c r="E20" i="20"/>
  <c r="E17" i="20"/>
  <c r="E14" i="20"/>
  <c r="E11" i="20"/>
  <c r="E8" i="20"/>
  <c r="E60" i="19"/>
  <c r="E57" i="19"/>
  <c r="E54" i="19"/>
  <c r="E63" i="19"/>
  <c r="E66" i="19"/>
  <c r="E15" i="19"/>
  <c r="E45" i="19"/>
  <c r="E42" i="19"/>
  <c r="E39" i="19"/>
  <c r="E36" i="19"/>
  <c r="E33" i="19"/>
  <c r="E30" i="19"/>
  <c r="E27" i="19"/>
  <c r="E24" i="19"/>
  <c r="E21" i="19"/>
  <c r="E18" i="19"/>
  <c r="E12" i="19"/>
  <c r="E51" i="19"/>
  <c r="E48" i="19"/>
  <c r="E9" i="19"/>
  <c r="I79" i="24" l="1"/>
  <c r="I66" i="24"/>
  <c r="I70" i="24"/>
  <c r="I57" i="24"/>
  <c r="I37" i="23"/>
  <c r="I30" i="23"/>
  <c r="I18" i="23"/>
  <c r="I63" i="24"/>
  <c r="I54" i="24"/>
  <c r="I76" i="24"/>
  <c r="I51" i="24"/>
  <c r="I10" i="24"/>
  <c r="I60" i="24"/>
  <c r="I78" i="23"/>
  <c r="I76" i="23"/>
  <c r="I22" i="23"/>
  <c r="I81" i="23"/>
  <c r="I72" i="23"/>
  <c r="I69" i="23"/>
  <c r="I66" i="23"/>
  <c r="I63" i="23"/>
  <c r="I60" i="23"/>
  <c r="I57" i="23"/>
  <c r="I54" i="23"/>
  <c r="I51" i="23"/>
  <c r="I48" i="23"/>
  <c r="I45" i="23"/>
  <c r="I42" i="23"/>
  <c r="I39" i="23"/>
  <c r="I24" i="23"/>
  <c r="I15" i="23"/>
  <c r="I12" i="23"/>
  <c r="I9" i="23"/>
  <c r="E33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tc={64F29CC7-0C77-4A38-9716-115AB333FB27}</author>
  </authors>
  <commentList>
    <comment ref="H83" authorId="0" shapeId="0" xr:uid="{64F29CC7-0C77-4A38-9716-115AB333FB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R$ 300,00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tc={A2626E7D-4735-45F3-B511-EBB242E0E4F5}</author>
  </authors>
  <commentList>
    <comment ref="D45" authorId="0" shapeId="0" xr:uid="{A2626E7D-4735-45F3-B511-EBB242E0E4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Observação: Reposição de R$ 300,00 do dia 29/07</t>
      </text>
    </comment>
  </commentList>
</comments>
</file>

<file path=xl/sharedStrings.xml><?xml version="1.0" encoding="utf-8"?>
<sst xmlns="http://schemas.openxmlformats.org/spreadsheetml/2006/main" count="1016" uniqueCount="144">
  <si>
    <t>Revisão: 00</t>
  </si>
  <si>
    <t>Elaboração:
18/12/2024</t>
  </si>
  <si>
    <t xml:space="preserve">Criado por: Esther Daiane de Lima </t>
  </si>
  <si>
    <t>Ano Vigente: 2025</t>
  </si>
  <si>
    <t>DATA</t>
  </si>
  <si>
    <t>OBSERVAÇÕES</t>
  </si>
  <si>
    <t>PROCEDIMENTO OPERACIONAL PADRÃO 
ABERTURA E FECHAMENTO DE CAIXA</t>
  </si>
  <si>
    <t>SALDO FECHAMENTO</t>
  </si>
  <si>
    <t>SALDO ABERTURA</t>
  </si>
  <si>
    <t>DINHEIRO</t>
  </si>
  <si>
    <t>CARTÃO</t>
  </si>
  <si>
    <t xml:space="preserve">DINHEIRO </t>
  </si>
  <si>
    <t>TOTAL DO DIA ................................................................................................</t>
  </si>
  <si>
    <t xml:space="preserve">TOTAL DO DIA </t>
  </si>
  <si>
    <t>TOTAL DO DIA</t>
  </si>
  <si>
    <t>340,00 PG.EXTINTORES</t>
  </si>
  <si>
    <t>Cliente devolveu refil de mop que ele pagou com débito em 13/02 ás 12h09. Devolvemos os R$ 18,00 pra ele dinheiro.
Despesa Margarina R$ 10,00</t>
  </si>
  <si>
    <t>R$ 18,80 compra de rolamento para loja de Francisco Morato</t>
  </si>
  <si>
    <t>R$ 5,49 açucar</t>
  </si>
  <si>
    <t>R$ 5,50 peça de manutenção</t>
  </si>
  <si>
    <t>R$ 29,34 Jhony pagou e abatemos dos R$ 160,00. Falta R$ 130,66</t>
  </si>
  <si>
    <t>R$ 32,50 Jhony pagou e abatemos dos R$ 130,66. Falta R$ 99,16 para descontar do Jhony</t>
  </si>
  <si>
    <t xml:space="preserve"> R$ 100,00 Flex adesivo guarita </t>
  </si>
  <si>
    <t>R$ 5,50 filtro coador</t>
  </si>
  <si>
    <t>MÊS DE FEVEREIRO</t>
  </si>
  <si>
    <t>Dia 24/12 Vale Jhony R$ 99,00
Dia 02/01 Vale Daniel R$ 20,00
Dia 08/01 vale Daniel R$ 20,00
R$ 6,99 filtro café
R$ 28,00 rolamento</t>
  </si>
  <si>
    <t>R$ 21,50 bits ponteira dupla</t>
  </si>
  <si>
    <t xml:space="preserve">R$ 250,00 jony compra fio nylon
R$ 12,00 margarina </t>
  </si>
  <si>
    <t>R$ 300,00 manutenção das calhas</t>
  </si>
  <si>
    <t>R$ 41,00 manipulo e abraçadeira</t>
  </si>
  <si>
    <t>R$ 25,00 recarga cartucho</t>
  </si>
  <si>
    <t>R$ 104,60 Correio Tamires</t>
  </si>
  <si>
    <t>320,00 PG.limpeza Toldo e Letreiros
100,00 PG.Flex Guarita
12,00 Margarina
R$ 32,71 fita crepe e spray</t>
  </si>
  <si>
    <r>
      <t xml:space="preserve">R$ 20,00 para compra de rolamento (Max)
</t>
    </r>
    <r>
      <rPr>
        <b/>
        <sz val="14"/>
        <color rgb="FFFF0000"/>
        <rFont val="Calibri"/>
        <family val="2"/>
        <scheme val="minor"/>
      </rPr>
      <t>OBSERVAÇÃO:</t>
    </r>
    <r>
      <rPr>
        <b/>
        <sz val="14"/>
        <color rgb="FF0070C0"/>
        <rFont val="Calibri"/>
        <family val="2"/>
        <scheme val="minor"/>
      </rPr>
      <t xml:space="preserve"> ACERTO DE VALORES
DIFERENÇA + R$ 237,68</t>
    </r>
  </si>
  <si>
    <t>MÊS DE JANEIRO</t>
  </si>
  <si>
    <t>R$ 13,14 compra tomadas</t>
  </si>
  <si>
    <t>MÊS DE MARÇO</t>
  </si>
  <si>
    <t xml:space="preserve"> </t>
  </si>
  <si>
    <t>R$ 65,40 - correios</t>
  </si>
  <si>
    <t>R$ 26,24 compra de parafusos</t>
  </si>
  <si>
    <t>R$ 70,00 - manutenção Max</t>
  </si>
  <si>
    <t xml:space="preserve">R$ 9,99-Margarina
R$ 65,00-costura
Omie deu problemas, não imprimia a notinha e não registrava as vendas no sistema. Foram feitas várias vendas durante o dia mas o sistema registrou somente até às 9h29 e depois a partir das 17h00. </t>
  </si>
  <si>
    <t xml:space="preserve">R$ 27,00 - correio
R$ 15,00 - galão Gedson </t>
  </si>
  <si>
    <t xml:space="preserve"> + R$ 100,00 referente a entrega  MGE </t>
  </si>
  <si>
    <t xml:space="preserve">R$ 48,37 WD40 - manutenção
R$ 280,00 - ventilador    
R$ 25,90 - papelaria  </t>
  </si>
  <si>
    <t xml:space="preserve">R$ 12,40 - manutenção
  </t>
  </si>
  <si>
    <t xml:space="preserve">R$ 39,88 -  manutenção 
R$ 9,36-padaria </t>
  </si>
  <si>
    <t>MÊS DE ABRIL</t>
  </si>
  <si>
    <t>OP.</t>
  </si>
  <si>
    <t>TOTAL</t>
  </si>
  <si>
    <t>DESPESAS</t>
  </si>
  <si>
    <t>VALOR VENDA DO DIA ATUAL</t>
  </si>
  <si>
    <t>VALOR VENDA DIA ANTERIOR</t>
  </si>
  <si>
    <t>TOTAL DO DIA (- as despesas)</t>
  </si>
  <si>
    <t>MÊS DE MAIO</t>
  </si>
  <si>
    <t>FERIADO</t>
  </si>
  <si>
    <t xml:space="preserve">R$ 10,00 - MANTEIGA 
R$ 264,40 - ELETRICISTA </t>
  </si>
  <si>
    <t>R$ 130,00 - MANUTENÇÃO MAX</t>
  </si>
  <si>
    <t xml:space="preserve">R$ 44,69 - DIABO VERDE LIQUIDO
R$ 138,00 - CHALEIRA ELETRICA </t>
  </si>
  <si>
    <t xml:space="preserve">R$ 30,00 - JHONY CARREGADOR
 R$ 173,55 -MANUTENÇÃO </t>
  </si>
  <si>
    <t xml:space="preserve">R$ 19,50 - BOBINA SAT </t>
  </si>
  <si>
    <t>R$ 5,91 - COMPRA DE LÂMPADA</t>
  </si>
  <si>
    <t xml:space="preserve">R$ 27,00 - CORREIO </t>
  </si>
  <si>
    <t xml:space="preserve">R$ 12,00 - ESTILETE EMBORRACHADO 
R$ 140,00 - CATÁLAGO 
R$ 12,00 - CHAVE COMB.
R$ 6,90 - CHAVE FENDA </t>
  </si>
  <si>
    <t xml:space="preserve">R$ 29,70 - CORREIO </t>
  </si>
  <si>
    <t xml:space="preserve">R$ 164,00 - COSTURA
R$ 30,00 - MANUTENÇÃO DA PORTA </t>
  </si>
  <si>
    <t xml:space="preserve">R$ 45,10 -  MANUTENÇÃO DO LED </t>
  </si>
  <si>
    <t>R$ 16,53 - MATERIAL DE MANUTENÇÃO</t>
  </si>
  <si>
    <t>R$ 2,50 - PÃO</t>
  </si>
  <si>
    <t>R$20,00 combustivel manutenção B 70</t>
  </si>
  <si>
    <t xml:space="preserve">R$ 300,00 - ANTECIPAÇÃO CARRO THIAGO </t>
  </si>
  <si>
    <t>R$ 4,00 - PARAFUSO 
OBSERVAÇÃO: NA DATA DE HOJE ESTÁ SOBRANDO R$ 9,37</t>
  </si>
  <si>
    <t>NO CAIXA CONTEM 859,85</t>
  </si>
  <si>
    <t xml:space="preserve">R$ 350,00 retirado para pagamento da Caçamba FW Ambiental
R$ 27,96 Camacom Obra Clean 
R$ + 300,00 ADIANTAMENTO DO THIAGO </t>
  </si>
  <si>
    <t xml:space="preserve">R$ 2,88 - PARAFUSO 
R$ 69,90 - LIVRO CODIGO DO  CONSUMIDOR </t>
  </si>
  <si>
    <t xml:space="preserve">OBS: NO CAIXA CONTEM: R$708,15, O SEJA, R$ 5,48 A MAIS </t>
  </si>
  <si>
    <t>R$ 60,00 PARA RECARGA CARTUCHO IMPRESSORA CLEAN</t>
  </si>
  <si>
    <t xml:space="preserve">R$ 61,98 - GARRAFA DE CAFÉ E AÇUCAREIRO 
R$ 8,75 -BOBINA PARA O SAT 
R$ 37,90 - ARGAMASSA PARA FAZER O ACESSO DA PORTA PARA CADEIRANTE
R$ 38,28 - MANUTENÇÃO </t>
  </si>
  <si>
    <r>
      <t xml:space="preserve">SAÍDA MARIA ELIZA DA EMPRESA </t>
    </r>
    <r>
      <rPr>
        <b/>
        <sz val="10"/>
        <color theme="6" tint="-0.499984740745262"/>
        <rFont val="Calibri"/>
        <family val="2"/>
        <scheme val="minor"/>
      </rPr>
      <t>(NO CAIXA TEM R$ 967,45)</t>
    </r>
  </si>
  <si>
    <t>R$ 20,00 - ADIANTAMENTO PARA PABLO                                                                                                                                     R$ 400,00 PARA COMPRAS UTENSÍLIOS DOMÉSTICOS</t>
  </si>
  <si>
    <t xml:space="preserve">R$ 4,87 - PARAFUSO MAX CONSERTO GAVETA SR. JAIR </t>
  </si>
  <si>
    <t>MÊS DE JUNHO</t>
  </si>
  <si>
    <t>R$ 20,00 CONSERTO CONECTOR CELULAR CLEAN</t>
  </si>
  <si>
    <t>R$ 100,00 COMPRA SSD 120GB CENTRAL DIGITAL</t>
  </si>
  <si>
    <t xml:space="preserve">R$ 20,00 MARMITA PARA A DONA SIMONE A PEDIDO DA PAMELA
R$ 35,00 REEMBOLSO ESTHER MATRIZ BORDADA LOGO HASERV </t>
  </si>
  <si>
    <t>R$ 50,00 SUPORTE DE AÇO PARA CORRENTE</t>
  </si>
  <si>
    <t>R$ 33,29 Café 
R$ 30,00 Injetor
R$ 79,00 polimatic automático</t>
  </si>
  <si>
    <t>R$ 10,00 peças manutenção          
R$ 12,00 Margarina</t>
  </si>
  <si>
    <t>Aprovado por: Esther Daiane de Lima</t>
  </si>
  <si>
    <t>R$ 12,00 PG. Peças manutenção                           R$ 27,00 correio</t>
  </si>
  <si>
    <t>R$ 2,30 Papelaria       
R$ 32,77 Toalha mesa 
R$ 120,00 Teclado e pilha</t>
  </si>
  <si>
    <t>R$ 50,00 vale Jhony</t>
  </si>
  <si>
    <t>R$ 8,00 Margarina</t>
  </si>
  <si>
    <t>R$ 10,00 filtro de papel + pão
R$ 48,00 Rolamento
R$ 160,00 pagamento catalogo
R$ 50,00 Combustivel</t>
  </si>
  <si>
    <t xml:space="preserve">R$ 100,00 - gasolina para entrega MGE  </t>
  </si>
  <si>
    <t xml:space="preserve">R$ 50,00 combustível Jhony
 R$ 50,00 combustível Pablo 
R$ 9,90 pedágio
R$ 264,42 - eletricista
R$14,00 Estacionamento Max
</t>
  </si>
  <si>
    <t>R$ 107,00 - COPO DESCARTAVEL JHONY COMPROU NA PACLIMP PARA ITW</t>
  </si>
  <si>
    <t>R$ 20,00 PABLO PAGOU VALOR DO DIA 09/05</t>
  </si>
  <si>
    <t>MÊS DE JULHO</t>
  </si>
  <si>
    <t>R$ 84,00 PÓ DE CAFÉ E AÇUCAR + R$ 7,50 FILTRO NR. 103, CONFORME AUTORIZAÇÃO DO FINANCEIRO
R$ 20,00 GASOLINA MOTO HSERV
R$ 60,00 03 LÂMPADAS H4 FIORINO MAX</t>
  </si>
  <si>
    <t>SANGRIA CAIXA = R$ 1.855,95</t>
  </si>
  <si>
    <t>R$ 49,90 FITA ANTIDERRAPANTE PARA COLOCAR NA ENTRADA DA LOJA</t>
  </si>
  <si>
    <t>R$ 15,99 COMPRA DE 01 CX DE MÁSCARA DESCARTÁVEL VAZAMENTO PERACETICFOOD SPARTAN</t>
  </si>
  <si>
    <t>MÊS DE AGOSTO</t>
  </si>
  <si>
    <t>PAGAMENTO RECARGA CARTUCHO PRETO R$ 30,00</t>
  </si>
  <si>
    <t>REEMBOLSO MAX REFERENTE A COMPRA DE 30 TOMADAS 2P+T R$ 30,00</t>
  </si>
  <si>
    <t>R$ 126,20 GASTO COM DOAÇÃO DE DOCES PARA O FESTIVAL DE INVERNO DE CABREÚVA. AUTORIZADO PELA DIRETORIA FINANCEIRA.</t>
  </si>
  <si>
    <t>R$ 91,30 CORREIO TAMIRES</t>
  </si>
  <si>
    <t>R$ 25,00 MANIPULO TERMOPLA MAX</t>
  </si>
  <si>
    <t>R$ 26,00 PARAFUSO, PORCA E ARRUELA MAX</t>
  </si>
  <si>
    <t>R$ 28,00 COMPRA DE P. CHIPBOARD CH E ABRAÇADEIRA SEM F MAX</t>
  </si>
  <si>
    <t>R$ 36,50 COMPRA DE EMENDA PARA MANGUEIRA, BICO PARA TORNEIRA, ENGATE RÁPIDO E ESGUICHO COM ENGATE</t>
  </si>
  <si>
    <t>R$ 31,95 CORREIO TAMIRES</t>
  </si>
  <si>
    <t>R$ 84,00 REEMBOLSO PARA O MAX POIS ELE COMPROU CAFÉ PARA A HSERV CLEAN</t>
  </si>
  <si>
    <t>MÊS DE SETEMBRO</t>
  </si>
  <si>
    <t>R$ 103,05 REEMBOLSO À BRAN ENGENHARIA PAGAMENTO DA ART</t>
  </si>
  <si>
    <t>R$ 142,15 REEMBOLSO À BRAN ENGENHARIA PAGAMENTO DA DARE CLCB</t>
  </si>
  <si>
    <t>MÊS DE OUTUBRO</t>
  </si>
  <si>
    <t>R$ 100,00 ZÉ CARIOCA DESENTUPIR PIA E TANQUE
R$ 52,70 TAMIRES CORREIO</t>
  </si>
  <si>
    <t>R$ 8,90 COMPRA DE CABINE PARA ORGANIZAÇÃO DOS TERNOS/UNIFORMES</t>
  </si>
  <si>
    <t>R$ 50,00 PAGAMENTO PARA LAVAGEM DE CALÇADOS DE SEGURANÇA</t>
  </si>
  <si>
    <t>R$ 88,00 PAGAMENTO DAS MARMITEX ENVIADAS PARA AS ASG´S QUE ESTÃO TRABALHANDO NA NOVA UPA
R$ 254,00 SUELI AQUINO REFERENTE A COSTURA DE UNIFORMES
R$ 1.060,00 JD MANUTENÇÃO ELÉTRICA REPAROS NA CLEAN PARA EMISSÃO DO CLCB</t>
  </si>
  <si>
    <t>R$ 14,99 PINO 2 SAÍDAS PARA INSTALAR RELÓGIO DE PONTO NO BOA + R$ 17,76 BUCHA PARAFUSO E CORDA PARA COLOCAR A FAIXA NA HSERV</t>
  </si>
  <si>
    <r>
      <t xml:space="preserve">R$ 76,00 REFENTE A COMPRA DE 02 PACOTES DE PÓ DE CAFÉ E 01 PACOTE DE AÇUCAR
</t>
    </r>
    <r>
      <rPr>
        <b/>
        <sz val="11"/>
        <color rgb="FF00FF00"/>
        <rFont val="Calibri"/>
        <family val="2"/>
        <scheme val="minor"/>
      </rPr>
      <t>R$ 2.100,00 NA BOLSINHA + R$ 246,90 NO CAIXA = R$ 2.346,90</t>
    </r>
  </si>
  <si>
    <t>R$ 100,00 PAGAMENTO AO SR. PEDRO PELOS SERVIÇOS DE PEDREIRO (CONFECÇÃO DE CAIXINHA DE ESCOAMENTO/DESENTUPIMENTO DE CANO PIA/TANQUE)</t>
  </si>
  <si>
    <t>R$ 42,65 CORREIO TAMIRES ENVIO DE CARTÕES PARA ASSIS</t>
  </si>
  <si>
    <t>R$ 4,25 BICO PARA TORNEIRA</t>
  </si>
  <si>
    <t>R$ 117,69 REFERENTE AO COFFEBREAK - TREINAMENTO DE BRIGADA DE INCÊNDIO E PRIMEIROS SOCORROS - BRAN ENGENHARIA</t>
  </si>
  <si>
    <t>R$ 33,65 REFERENTE A COMPRA DE ABRAÇADEIRA E BICO PARA TORNEIRA - MAX
R$ 6,00 REFERENTE A COMPRA DE 05 ABRAÇADEIRAS RSF</t>
  </si>
  <si>
    <t>R$ 33,65 REFERENTE A COMPRA DE PÓ DE CAFÉ PARA A CLEAN
R$ 50,00 EMPRÉSTIMO GEDSON PARA PAGAMENTO DIA 06/10</t>
  </si>
  <si>
    <t>R$ 47,00 AQUISIÇÃO DE UM BOLO PARA COMEMORAÇÃO DA ARRUMAÇÃO DO ESTOQUE E SUCESSO NAS ENTREGAS DO LALAMOVE</t>
  </si>
  <si>
    <t>R$ 96,80 AQUISIÇÃO DE MOP ÁGUA E PANO XADREX PARA COMPLETAR AS ENTREGAS DOS BOAS 08 E 22</t>
  </si>
  <si>
    <t>R$ 115,00 REFERENTE A ENTREGA DE MATERIAIS DO BOA 23 - PAULINIA, POIS O LALAMOVE NÃO ATENDE ESSA CIDADE. MOTORISTA ELDER CAIRES</t>
  </si>
  <si>
    <t>R$ 20,00 REFERENTE A COMPRA DE 01 ROLAMENTO NA MECÂNICA ELETRO NASCIMENTO</t>
  </si>
  <si>
    <t>R$ 7,00 MAX REFERENTE REEMBOLSO DE PAGAMENTO DE ESTACIONAMENTO QUANDO FOI LEVAR ESTER DO FINANCEIRO AO BANCO</t>
  </si>
  <si>
    <t>R$ 7,00 REFERENTE A COMPRA DE FILTRO PARA CAFÉ</t>
  </si>
  <si>
    <t>R$ 9,50 SUPER BONDER QUE O MAX COMPROU PARA COLAR O ANEL O´RING DA MÁQUINA DO BOA 16 - CAMPO LIMPO
R$ 70,00 REFERENTE A COMPRA DO CABO DE ACELERADOR PARA A MOTO TORNADO XR250 E PARA BROS 125 ES/KS</t>
  </si>
  <si>
    <t>R$ 12,65 REFERENTE A ABASTECIMENTO DE GASOLINA DO RESERVATÓRIO DA FIORINO PLACA QUY9F89</t>
  </si>
  <si>
    <t>R$ 12,00 REFERENTE A COMPRA DE ENGATE RÁPIDO 1/2 E UM ESGUICHO COM ENGATE ROSQUEADO - MAX
R$ 59,40 CORREIO TAMIRES</t>
  </si>
  <si>
    <t>R$ 50,00 REFERENTE A COMPRA DE 15 UNID. PANO DE PRATO PARA VENDA A ENGELMIG E TAMBÉM NA LOJA (VALOR UNIT COMPRA: 3,50 COM DESCONTO DE R$ 2,50 NO TOTAL -&gt; R$ VALOR UNIT. VENDA R$ 8,00)
R$ 70,37 REFERENTE A COMPRA DE 02 PACOTES DE PÓ DE CAFÉ + 01 PACOTE DE AÇUCAR
R$ 24,00 REFERENTE A COMPRA DE 3 ABRAÇADEIRAS NA JUNDIPAR</t>
  </si>
  <si>
    <t>R$ 8,35 REFERENTE A COMPRA DE BALAS PARA OS CLIENTES NA FRENTE DE LOJA</t>
  </si>
  <si>
    <t>R$ 40,00 REFERENTE AO PAGAMENTO PARA O SR. ERNANDO GOMES DE LIMA QUE AJUDOU A DESCARREGAR O CAMINHÃO DA SPARTAN (NF 266.821)</t>
  </si>
  <si>
    <t>R$ 25,00 REFERENTE A COMPRA DE MANIPULO NA JUNDIPAR</t>
  </si>
  <si>
    <t>MÊS DE 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</si>
</sst>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h:mm;@"/>
    <numFmt numFmtId="165" formatCode="_-[$R$-416]\ * #,##0.00_-;\-[$R$-416]\ * #,##0.00_-;_-[$R$-416]\ * &quot;-&quot;??_-;_-@_-"/>
  </numFmts>
  <fonts count="5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20"/>
      <color theme="0"/>
      <name val="Calibri"/>
      <family val="2"/>
    </font>
    <font>
      <b/>
      <sz val="20"/>
      <color rgb="FFFFFF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0"/>
      <color theme="3"/>
      <name val="Arial"/>
      <family val="2"/>
    </font>
    <font>
      <b/>
      <sz val="10"/>
      <color rgb="FFFF0000"/>
      <name val="Arial"/>
      <family val="2"/>
    </font>
    <font>
      <b/>
      <sz val="18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4"/>
      <color theme="6" tint="-0.49998474074526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4"/>
      <color rgb="FFED231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009EDE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26"/>
      <color rgb="FFD60093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33CC"/>
      <name val="Calibri"/>
      <family val="2"/>
      <scheme val="minor"/>
    </font>
    <font>
      <b/>
      <sz val="14"/>
      <color rgb="FF0033CC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80D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25C7C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8">
    <xf numFmtId="0" fontId="0" fillId="0" borderId="0" xfId="0"/>
    <xf numFmtId="0" fontId="3" fillId="0" borderId="3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14" fontId="7" fillId="0" borderId="5" xfId="0" applyNumberFormat="1" applyFont="1" applyBorder="1" applyAlignment="1">
      <alignment horizontal="left" vertical="center" wrapText="1"/>
    </xf>
    <xf numFmtId="165" fontId="7" fillId="0" borderId="5" xfId="1" applyNumberFormat="1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165" fontId="7" fillId="0" borderId="1" xfId="1" applyNumberFormat="1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5" fillId="0" borderId="18" xfId="0" applyFont="1" applyBorder="1" applyAlignment="1">
      <alignment vertical="center" wrapText="1"/>
    </xf>
    <xf numFmtId="0" fontId="3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65" fontId="8" fillId="0" borderId="0" xfId="0" applyNumberFormat="1" applyFont="1"/>
    <xf numFmtId="165" fontId="6" fillId="0" borderId="0" xfId="0" applyNumberFormat="1" applyFont="1"/>
    <xf numFmtId="14" fontId="7" fillId="0" borderId="1" xfId="0" applyNumberFormat="1" applyFont="1" applyBorder="1" applyAlignment="1">
      <alignment horizontal="center" vertical="center"/>
    </xf>
    <xf numFmtId="44" fontId="0" fillId="0" borderId="0" xfId="1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65" fontId="8" fillId="0" borderId="1" xfId="1" applyNumberFormat="1" applyFont="1" applyBorder="1" applyAlignment="1">
      <alignment horizontal="left" vertical="center" wrapText="1"/>
    </xf>
    <xf numFmtId="0" fontId="15" fillId="0" borderId="0" xfId="0" applyFont="1"/>
    <xf numFmtId="0" fontId="19" fillId="0" borderId="1" xfId="0" applyFont="1" applyBorder="1" applyAlignment="1">
      <alignment vertical="center" wrapText="1"/>
    </xf>
    <xf numFmtId="0" fontId="20" fillId="0" borderId="0" xfId="0" applyFont="1"/>
    <xf numFmtId="0" fontId="19" fillId="0" borderId="1" xfId="0" applyFont="1" applyBorder="1" applyAlignment="1">
      <alignment vertical="center"/>
    </xf>
    <xf numFmtId="164" fontId="23" fillId="5" borderId="1" xfId="0" applyNumberFormat="1" applyFont="1" applyFill="1" applyBorder="1" applyAlignment="1">
      <alignment horizontal="center" vertical="center" wrapText="1"/>
    </xf>
    <xf numFmtId="164" fontId="24" fillId="5" borderId="1" xfId="0" applyNumberFormat="1" applyFont="1" applyFill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left" vertical="center" wrapText="1"/>
    </xf>
    <xf numFmtId="165" fontId="27" fillId="0" borderId="1" xfId="1" applyNumberFormat="1" applyFont="1" applyBorder="1" applyAlignment="1">
      <alignment horizontal="left" vertical="center" wrapText="1"/>
    </xf>
    <xf numFmtId="44" fontId="27" fillId="0" borderId="1" xfId="1" applyFont="1" applyBorder="1" applyAlignment="1">
      <alignment horizontal="left" vertical="center" wrapText="1"/>
    </xf>
    <xf numFmtId="165" fontId="27" fillId="0" borderId="1" xfId="0" applyNumberFormat="1" applyFont="1" applyBorder="1" applyAlignment="1">
      <alignment horizontal="left" vertical="center"/>
    </xf>
    <xf numFmtId="44" fontId="20" fillId="0" borderId="0" xfId="1" applyFont="1"/>
    <xf numFmtId="165" fontId="28" fillId="7" borderId="1" xfId="0" applyNumberFormat="1" applyFont="1" applyFill="1" applyBorder="1" applyAlignment="1">
      <alignment horizontal="center"/>
    </xf>
    <xf numFmtId="0" fontId="19" fillId="0" borderId="0" xfId="0" applyFont="1"/>
    <xf numFmtId="44" fontId="19" fillId="0" borderId="0" xfId="1" applyFont="1"/>
    <xf numFmtId="44" fontId="20" fillId="0" borderId="0" xfId="0" applyNumberFormat="1" applyFont="1"/>
    <xf numFmtId="165" fontId="29" fillId="7" borderId="1" xfId="0" applyNumberFormat="1" applyFont="1" applyFill="1" applyBorder="1" applyAlignment="1">
      <alignment horizontal="center"/>
    </xf>
    <xf numFmtId="0" fontId="26" fillId="0" borderId="0" xfId="0" applyFont="1"/>
    <xf numFmtId="0" fontId="20" fillId="0" borderId="0" xfId="0" applyFont="1" applyAlignment="1">
      <alignment horizontal="left" vertical="center"/>
    </xf>
    <xf numFmtId="44" fontId="0" fillId="0" borderId="0" xfId="0" applyNumberFormat="1"/>
    <xf numFmtId="165" fontId="7" fillId="0" borderId="1" xfId="0" applyNumberFormat="1" applyFont="1" applyBorder="1" applyAlignment="1">
      <alignment horizontal="left" vertical="center"/>
    </xf>
    <xf numFmtId="164" fontId="31" fillId="5" borderId="1" xfId="0" applyNumberFormat="1" applyFont="1" applyFill="1" applyBorder="1" applyAlignment="1">
      <alignment horizontal="center" vertical="center" wrapText="1"/>
    </xf>
    <xf numFmtId="164" fontId="32" fillId="5" borderId="1" xfId="0" applyNumberFormat="1" applyFont="1" applyFill="1" applyBorder="1" applyAlignment="1">
      <alignment horizontal="center" vertical="center" wrapText="1"/>
    </xf>
    <xf numFmtId="44" fontId="33" fillId="0" borderId="1" xfId="1" applyFont="1" applyBorder="1" applyAlignment="1">
      <alignment horizontal="left" vertical="center" wrapText="1"/>
    </xf>
    <xf numFmtId="0" fontId="34" fillId="0" borderId="0" xfId="0" applyFont="1"/>
    <xf numFmtId="165" fontId="9" fillId="0" borderId="1" xfId="0" applyNumberFormat="1" applyFont="1" applyBorder="1" applyAlignment="1">
      <alignment horizontal="left" vertical="center"/>
    </xf>
    <xf numFmtId="0" fontId="35" fillId="0" borderId="0" xfId="0" applyFont="1"/>
    <xf numFmtId="165" fontId="7" fillId="7" borderId="1" xfId="0" applyNumberFormat="1" applyFont="1" applyFill="1" applyBorder="1" applyAlignment="1">
      <alignment horizontal="center"/>
    </xf>
    <xf numFmtId="165" fontId="7" fillId="7" borderId="1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7" fillId="6" borderId="1" xfId="0" applyNumberFormat="1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center"/>
    </xf>
    <xf numFmtId="165" fontId="42" fillId="0" borderId="1" xfId="0" applyNumberFormat="1" applyFont="1" applyBorder="1" applyAlignment="1">
      <alignment horizontal="left" vertical="center"/>
    </xf>
    <xf numFmtId="44" fontId="43" fillId="0" borderId="1" xfId="1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/>
    </xf>
    <xf numFmtId="14" fontId="7" fillId="0" borderId="30" xfId="0" applyNumberFormat="1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left" vertical="center" wrapText="1"/>
    </xf>
    <xf numFmtId="165" fontId="8" fillId="0" borderId="31" xfId="1" applyNumberFormat="1" applyFont="1" applyBorder="1" applyAlignment="1">
      <alignment horizontal="left" vertical="center" wrapText="1"/>
    </xf>
    <xf numFmtId="44" fontId="33" fillId="0" borderId="31" xfId="1" applyFont="1" applyBorder="1" applyAlignment="1">
      <alignment horizontal="left" vertical="center" wrapText="1"/>
    </xf>
    <xf numFmtId="165" fontId="8" fillId="0" borderId="31" xfId="0" applyNumberFormat="1" applyFont="1" applyBorder="1" applyAlignment="1">
      <alignment horizontal="left" vertical="center"/>
    </xf>
    <xf numFmtId="165" fontId="9" fillId="0" borderId="32" xfId="0" applyNumberFormat="1" applyFont="1" applyBorder="1" applyAlignment="1">
      <alignment horizontal="left" vertical="center"/>
    </xf>
    <xf numFmtId="165" fontId="7" fillId="16" borderId="1" xfId="0" applyNumberFormat="1" applyFont="1" applyFill="1" applyBorder="1" applyAlignment="1">
      <alignment horizontal="center"/>
    </xf>
    <xf numFmtId="165" fontId="7" fillId="16" borderId="1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/>
    </xf>
    <xf numFmtId="165" fontId="7" fillId="14" borderId="1" xfId="0" applyNumberFormat="1" applyFont="1" applyFill="1" applyBorder="1" applyAlignment="1">
      <alignment horizontal="center" vertical="center"/>
    </xf>
    <xf numFmtId="164" fontId="3" fillId="6" borderId="14" xfId="0" applyNumberFormat="1" applyFont="1" applyFill="1" applyBorder="1" applyAlignment="1">
      <alignment horizontal="center" vertical="center" wrapText="1"/>
    </xf>
    <xf numFmtId="164" fontId="3" fillId="6" borderId="17" xfId="0" applyNumberFormat="1" applyFont="1" applyFill="1" applyBorder="1" applyAlignment="1">
      <alignment horizontal="center" vertical="center" wrapText="1"/>
    </xf>
    <xf numFmtId="164" fontId="3" fillId="6" borderId="51" xfId="0" applyNumberFormat="1" applyFont="1" applyFill="1" applyBorder="1" applyAlignment="1">
      <alignment horizontal="center" vertical="center" wrapText="1"/>
    </xf>
    <xf numFmtId="164" fontId="10" fillId="6" borderId="19" xfId="0" applyNumberFormat="1" applyFont="1" applyFill="1" applyBorder="1" applyAlignment="1">
      <alignment horizontal="center" vertical="center" wrapText="1"/>
    </xf>
    <xf numFmtId="164" fontId="10" fillId="6" borderId="0" xfId="0" applyNumberFormat="1" applyFont="1" applyFill="1" applyAlignment="1">
      <alignment horizontal="center" vertical="center" wrapText="1"/>
    </xf>
    <xf numFmtId="164" fontId="10" fillId="6" borderId="52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left" vertical="center"/>
    </xf>
    <xf numFmtId="0" fontId="35" fillId="6" borderId="0" xfId="0" applyFont="1" applyFill="1"/>
    <xf numFmtId="0" fontId="5" fillId="6" borderId="1" xfId="0" applyFont="1" applyFill="1" applyBorder="1" applyAlignment="1">
      <alignment vertical="center" wrapText="1"/>
    </xf>
    <xf numFmtId="0" fontId="0" fillId="6" borderId="0" xfId="0" applyFill="1"/>
    <xf numFmtId="0" fontId="5" fillId="6" borderId="1" xfId="0" applyFont="1" applyFill="1" applyBorder="1" applyAlignment="1">
      <alignment vertical="center"/>
    </xf>
    <xf numFmtId="14" fontId="7" fillId="6" borderId="1" xfId="0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left" vertical="center" wrapText="1"/>
    </xf>
    <xf numFmtId="165" fontId="8" fillId="6" borderId="1" xfId="1" applyNumberFormat="1" applyFont="1" applyFill="1" applyBorder="1" applyAlignment="1">
      <alignment horizontal="left" vertical="center" wrapText="1"/>
    </xf>
    <xf numFmtId="44" fontId="7" fillId="6" borderId="1" xfId="1" applyFont="1" applyFill="1" applyBorder="1" applyAlignment="1">
      <alignment horizontal="left" vertical="center" wrapText="1"/>
    </xf>
    <xf numFmtId="165" fontId="8" fillId="6" borderId="1" xfId="0" applyNumberFormat="1" applyFont="1" applyFill="1" applyBorder="1" applyAlignment="1">
      <alignment horizontal="left" vertical="center"/>
    </xf>
    <xf numFmtId="44" fontId="0" fillId="6" borderId="0" xfId="1" applyFont="1" applyFill="1"/>
    <xf numFmtId="44" fontId="0" fillId="6" borderId="0" xfId="0" applyNumberFormat="1" applyFill="1"/>
    <xf numFmtId="0" fontId="15" fillId="6" borderId="0" xfId="0" applyFont="1" applyFill="1"/>
    <xf numFmtId="165" fontId="7" fillId="17" borderId="1" xfId="0" applyNumberFormat="1" applyFont="1" applyFill="1" applyBorder="1" applyAlignment="1">
      <alignment horizontal="center" vertical="center"/>
    </xf>
    <xf numFmtId="165" fontId="7" fillId="17" borderId="1" xfId="0" applyNumberFormat="1" applyFont="1" applyFill="1" applyBorder="1" applyAlignment="1">
      <alignment horizontal="center"/>
    </xf>
    <xf numFmtId="164" fontId="11" fillId="18" borderId="1" xfId="0" applyNumberFormat="1" applyFont="1" applyFill="1" applyBorder="1" applyAlignment="1">
      <alignment horizontal="center" vertical="center" wrapText="1"/>
    </xf>
    <xf numFmtId="164" fontId="31" fillId="18" borderId="1" xfId="0" applyNumberFormat="1" applyFont="1" applyFill="1" applyBorder="1" applyAlignment="1">
      <alignment horizontal="center" vertical="center" wrapText="1"/>
    </xf>
    <xf numFmtId="164" fontId="47" fillId="18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165" fontId="0" fillId="0" borderId="0" xfId="0" applyNumberFormat="1"/>
    <xf numFmtId="165" fontId="34" fillId="0" borderId="0" xfId="0" applyNumberFormat="1" applyFont="1"/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left" vertical="center" wrapText="1"/>
    </xf>
    <xf numFmtId="165" fontId="9" fillId="7" borderId="30" xfId="0" applyNumberFormat="1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left" vertical="center" wrapText="1"/>
    </xf>
    <xf numFmtId="164" fontId="7" fillId="5" borderId="9" xfId="0" applyNumberFormat="1" applyFont="1" applyFill="1" applyBorder="1" applyAlignment="1">
      <alignment horizontal="left" vertical="center" wrapText="1"/>
    </xf>
    <xf numFmtId="164" fontId="7" fillId="5" borderId="10" xfId="0" applyNumberFormat="1" applyFont="1" applyFill="1" applyBorder="1" applyAlignment="1">
      <alignment horizontal="left" vertical="center" wrapText="1"/>
    </xf>
    <xf numFmtId="165" fontId="7" fillId="0" borderId="5" xfId="0" applyNumberFormat="1" applyFont="1" applyBorder="1" applyAlignment="1">
      <alignment horizontal="left" vertical="center"/>
    </xf>
    <xf numFmtId="165" fontId="9" fillId="7" borderId="11" xfId="0" applyNumberFormat="1" applyFont="1" applyFill="1" applyBorder="1" applyAlignment="1">
      <alignment horizontal="left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7" fillId="3" borderId="8" xfId="0" applyNumberFormat="1" applyFont="1" applyFill="1" applyBorder="1" applyAlignment="1">
      <alignment horizontal="left" vertical="center" wrapText="1"/>
    </xf>
    <xf numFmtId="164" fontId="7" fillId="3" borderId="9" xfId="0" applyNumberFormat="1" applyFont="1" applyFill="1" applyBorder="1" applyAlignment="1">
      <alignment horizontal="left" vertical="center" wrapText="1"/>
    </xf>
    <xf numFmtId="164" fontId="7" fillId="3" borderId="10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164" fontId="10" fillId="4" borderId="33" xfId="0" applyNumberFormat="1" applyFont="1" applyFill="1" applyBorder="1" applyAlignment="1">
      <alignment horizontal="center" vertical="center" wrapText="1"/>
    </xf>
    <xf numFmtId="164" fontId="10" fillId="4" borderId="34" xfId="0" applyNumberFormat="1" applyFont="1" applyFill="1" applyBorder="1" applyAlignment="1">
      <alignment horizontal="center" vertical="center" wrapText="1"/>
    </xf>
    <xf numFmtId="164" fontId="10" fillId="4" borderId="35" xfId="0" applyNumberFormat="1" applyFont="1" applyFill="1" applyBorder="1" applyAlignment="1">
      <alignment horizontal="center" vertical="center" wrapText="1"/>
    </xf>
    <xf numFmtId="164" fontId="7" fillId="3" borderId="26" xfId="0" applyNumberFormat="1" applyFont="1" applyFill="1" applyBorder="1" applyAlignment="1">
      <alignment horizontal="left" vertical="center" wrapText="1"/>
    </xf>
    <xf numFmtId="164" fontId="7" fillId="3" borderId="27" xfId="0" applyNumberFormat="1" applyFont="1" applyFill="1" applyBorder="1" applyAlignment="1">
      <alignment horizontal="left" vertical="center" wrapText="1"/>
    </xf>
    <xf numFmtId="164" fontId="7" fillId="3" borderId="28" xfId="0" applyNumberFormat="1" applyFont="1" applyFill="1" applyBorder="1" applyAlignment="1">
      <alignment horizontal="left" vertical="center" wrapText="1"/>
    </xf>
    <xf numFmtId="165" fontId="9" fillId="7" borderId="29" xfId="0" applyNumberFormat="1" applyFont="1" applyFill="1" applyBorder="1" applyAlignment="1">
      <alignment horizontal="left" vertical="center"/>
    </xf>
    <xf numFmtId="14" fontId="7" fillId="0" borderId="36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164" fontId="7" fillId="3" borderId="38" xfId="0" applyNumberFormat="1" applyFont="1" applyFill="1" applyBorder="1" applyAlignment="1">
      <alignment horizontal="left" vertical="center" wrapText="1"/>
    </xf>
    <xf numFmtId="164" fontId="7" fillId="3" borderId="11" xfId="0" applyNumberFormat="1" applyFont="1" applyFill="1" applyBorder="1" applyAlignment="1">
      <alignment horizontal="left" vertical="center" wrapText="1"/>
    </xf>
    <xf numFmtId="165" fontId="9" fillId="7" borderId="23" xfId="0" applyNumberFormat="1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165" fontId="7" fillId="5" borderId="23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164" fontId="3" fillId="8" borderId="33" xfId="0" applyNumberFormat="1" applyFont="1" applyFill="1" applyBorder="1" applyAlignment="1">
      <alignment horizontal="center" vertical="center" wrapText="1"/>
    </xf>
    <xf numFmtId="164" fontId="3" fillId="8" borderId="34" xfId="0" applyNumberFormat="1" applyFont="1" applyFill="1" applyBorder="1" applyAlignment="1">
      <alignment horizontal="center" vertical="center" wrapText="1"/>
    </xf>
    <xf numFmtId="164" fontId="3" fillId="8" borderId="35" xfId="0" applyNumberFormat="1" applyFont="1" applyFill="1" applyBorder="1" applyAlignment="1">
      <alignment horizontal="center" vertical="center" wrapText="1"/>
    </xf>
    <xf numFmtId="44" fontId="7" fillId="6" borderId="39" xfId="1" applyFont="1" applyFill="1" applyBorder="1" applyAlignment="1">
      <alignment horizontal="center"/>
    </xf>
    <xf numFmtId="44" fontId="7" fillId="6" borderId="40" xfId="1" applyFont="1" applyFill="1" applyBorder="1" applyAlignment="1">
      <alignment horizontal="center"/>
    </xf>
    <xf numFmtId="44" fontId="7" fillId="6" borderId="41" xfId="1" applyFont="1" applyFill="1" applyBorder="1" applyAlignment="1">
      <alignment horizontal="center"/>
    </xf>
    <xf numFmtId="44" fontId="9" fillId="7" borderId="23" xfId="0" applyNumberFormat="1" applyFont="1" applyFill="1" applyBorder="1" applyAlignment="1">
      <alignment horizontal="center"/>
    </xf>
    <xf numFmtId="165" fontId="7" fillId="0" borderId="39" xfId="0" applyNumberFormat="1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165" fontId="7" fillId="0" borderId="30" xfId="0" applyNumberFormat="1" applyFont="1" applyBorder="1" applyAlignment="1">
      <alignment horizontal="left" vertical="center"/>
    </xf>
    <xf numFmtId="164" fontId="3" fillId="10" borderId="33" xfId="0" applyNumberFormat="1" applyFont="1" applyFill="1" applyBorder="1" applyAlignment="1">
      <alignment horizontal="center" vertical="center" wrapText="1"/>
    </xf>
    <xf numFmtId="164" fontId="3" fillId="10" borderId="34" xfId="0" applyNumberFormat="1" applyFont="1" applyFill="1" applyBorder="1" applyAlignment="1">
      <alignment horizontal="center" vertical="center" wrapText="1"/>
    </xf>
    <xf numFmtId="164" fontId="3" fillId="10" borderId="35" xfId="0" applyNumberFormat="1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164" fontId="26" fillId="3" borderId="30" xfId="0" applyNumberFormat="1" applyFont="1" applyFill="1" applyBorder="1" applyAlignment="1">
      <alignment horizontal="left" vertical="center" wrapText="1"/>
    </xf>
    <xf numFmtId="164" fontId="26" fillId="3" borderId="31" xfId="0" applyNumberFormat="1" applyFont="1" applyFill="1" applyBorder="1" applyAlignment="1">
      <alignment horizontal="left" vertical="center" wrapText="1"/>
    </xf>
    <xf numFmtId="164" fontId="26" fillId="3" borderId="32" xfId="0" applyNumberFormat="1" applyFont="1" applyFill="1" applyBorder="1" applyAlignment="1">
      <alignment horizontal="left" vertical="center" wrapText="1"/>
    </xf>
    <xf numFmtId="164" fontId="27" fillId="6" borderId="30" xfId="0" applyNumberFormat="1" applyFont="1" applyFill="1" applyBorder="1" applyAlignment="1">
      <alignment horizontal="center" vertical="center" wrapText="1"/>
    </xf>
    <xf numFmtId="164" fontId="27" fillId="6" borderId="31" xfId="0" applyNumberFormat="1" applyFont="1" applyFill="1" applyBorder="1" applyAlignment="1">
      <alignment horizontal="center" vertical="center" wrapText="1"/>
    </xf>
    <xf numFmtId="164" fontId="27" fillId="6" borderId="32" xfId="0" applyNumberFormat="1" applyFont="1" applyFill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164" fontId="25" fillId="6" borderId="30" xfId="0" applyNumberFormat="1" applyFont="1" applyFill="1" applyBorder="1" applyAlignment="1">
      <alignment horizontal="center" vertical="center" wrapText="1"/>
    </xf>
    <xf numFmtId="164" fontId="25" fillId="6" borderId="31" xfId="0" applyNumberFormat="1" applyFont="1" applyFill="1" applyBorder="1" applyAlignment="1">
      <alignment horizontal="center" vertical="center" wrapText="1"/>
    </xf>
    <xf numFmtId="164" fontId="25" fillId="6" borderId="32" xfId="0" applyNumberFormat="1" applyFont="1" applyFill="1" applyBorder="1" applyAlignment="1">
      <alignment horizontal="center" vertical="center" wrapText="1"/>
    </xf>
    <xf numFmtId="164" fontId="21" fillId="9" borderId="1" xfId="0" applyNumberFormat="1" applyFont="1" applyFill="1" applyBorder="1" applyAlignment="1">
      <alignment horizontal="center" vertical="center" wrapText="1"/>
    </xf>
    <xf numFmtId="164" fontId="23" fillId="5" borderId="1" xfId="0" applyNumberFormat="1" applyFont="1" applyFill="1" applyBorder="1" applyAlignment="1">
      <alignment horizontal="center" vertical="center" wrapText="1"/>
    </xf>
    <xf numFmtId="0" fontId="27" fillId="0" borderId="49" xfId="0" applyFont="1" applyBorder="1" applyAlignment="1">
      <alignment horizontal="left" vertical="center" wrapText="1"/>
    </xf>
    <xf numFmtId="164" fontId="22" fillId="6" borderId="30" xfId="0" applyNumberFormat="1" applyFont="1" applyFill="1" applyBorder="1" applyAlignment="1">
      <alignment horizontal="center" vertical="center" wrapText="1"/>
    </xf>
    <xf numFmtId="164" fontId="22" fillId="6" borderId="31" xfId="0" applyNumberFormat="1" applyFont="1" applyFill="1" applyBorder="1" applyAlignment="1">
      <alignment horizontal="center" vertical="center" wrapText="1"/>
    </xf>
    <xf numFmtId="164" fontId="22" fillId="6" borderId="32" xfId="0" applyNumberFormat="1" applyFont="1" applyFill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4" fillId="0" borderId="29" xfId="0" applyFont="1" applyBorder="1" applyAlignment="1">
      <alignment horizontal="left" vertical="top" wrapText="1"/>
    </xf>
    <xf numFmtId="0" fontId="26" fillId="0" borderId="49" xfId="0" applyFont="1" applyBorder="1" applyAlignment="1">
      <alignment horizontal="left" vertical="top" wrapText="1"/>
    </xf>
    <xf numFmtId="0" fontId="27" fillId="0" borderId="49" xfId="0" applyFont="1" applyBorder="1" applyAlignment="1">
      <alignment horizontal="left" vertical="top" wrapText="1"/>
    </xf>
    <xf numFmtId="0" fontId="26" fillId="0" borderId="29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left" vertical="center" wrapText="1"/>
    </xf>
    <xf numFmtId="164" fontId="27" fillId="3" borderId="30" xfId="0" applyNumberFormat="1" applyFont="1" applyFill="1" applyBorder="1" applyAlignment="1">
      <alignment horizontal="left" vertical="center" wrapText="1"/>
    </xf>
    <xf numFmtId="164" fontId="27" fillId="3" borderId="31" xfId="0" applyNumberFormat="1" applyFont="1" applyFill="1" applyBorder="1" applyAlignment="1">
      <alignment horizontal="left" vertical="center" wrapText="1"/>
    </xf>
    <xf numFmtId="164" fontId="27" fillId="3" borderId="32" xfId="0" applyNumberFormat="1" applyFont="1" applyFill="1" applyBorder="1" applyAlignment="1">
      <alignment horizontal="left" vertical="center" wrapText="1"/>
    </xf>
    <xf numFmtId="8" fontId="24" fillId="0" borderId="29" xfId="0" applyNumberFormat="1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16" fillId="11" borderId="1" xfId="0" applyNumberFormat="1" applyFont="1" applyFill="1" applyBorder="1" applyAlignment="1">
      <alignment horizontal="center" vertical="center" wrapText="1"/>
    </xf>
    <xf numFmtId="164" fontId="10" fillId="6" borderId="30" xfId="0" applyNumberFormat="1" applyFont="1" applyFill="1" applyBorder="1" applyAlignment="1">
      <alignment horizontal="center" vertical="center" wrapText="1"/>
    </xf>
    <xf numFmtId="164" fontId="10" fillId="6" borderId="31" xfId="0" applyNumberFormat="1" applyFont="1" applyFill="1" applyBorder="1" applyAlignment="1">
      <alignment horizontal="center" vertical="center" wrapText="1"/>
    </xf>
    <xf numFmtId="164" fontId="10" fillId="6" borderId="32" xfId="0" applyNumberFormat="1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164" fontId="14" fillId="6" borderId="30" xfId="0" applyNumberFormat="1" applyFont="1" applyFill="1" applyBorder="1" applyAlignment="1">
      <alignment horizontal="center" vertical="center" wrapText="1"/>
    </xf>
    <xf numFmtId="164" fontId="14" fillId="6" borderId="31" xfId="0" applyNumberFormat="1" applyFont="1" applyFill="1" applyBorder="1" applyAlignment="1">
      <alignment horizontal="center" vertical="center" wrapText="1"/>
    </xf>
    <xf numFmtId="164" fontId="14" fillId="6" borderId="32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left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164" fontId="8" fillId="3" borderId="30" xfId="0" applyNumberFormat="1" applyFont="1" applyFill="1" applyBorder="1" applyAlignment="1">
      <alignment horizontal="left" vertical="center" wrapText="1"/>
    </xf>
    <xf numFmtId="164" fontId="8" fillId="3" borderId="31" xfId="0" applyNumberFormat="1" applyFont="1" applyFill="1" applyBorder="1" applyAlignment="1">
      <alignment horizontal="left" vertical="center" wrapText="1"/>
    </xf>
    <xf numFmtId="164" fontId="8" fillId="3" borderId="32" xfId="0" applyNumberFormat="1" applyFont="1" applyFill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left" vertical="center" wrapText="1"/>
    </xf>
    <xf numFmtId="0" fontId="31" fillId="0" borderId="49" xfId="0" applyFont="1" applyBorder="1" applyAlignment="1">
      <alignment horizontal="left" vertical="center" wrapText="1"/>
    </xf>
    <xf numFmtId="0" fontId="36" fillId="0" borderId="29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49" xfId="0" applyFont="1" applyBorder="1" applyAlignment="1">
      <alignment horizontal="left" vertical="center" wrapText="1"/>
    </xf>
    <xf numFmtId="164" fontId="8" fillId="6" borderId="30" xfId="0" applyNumberFormat="1" applyFont="1" applyFill="1" applyBorder="1" applyAlignment="1">
      <alignment horizontal="center" vertical="center" wrapText="1"/>
    </xf>
    <xf numFmtId="164" fontId="8" fillId="6" borderId="31" xfId="0" applyNumberFormat="1" applyFont="1" applyFill="1" applyBorder="1" applyAlignment="1">
      <alignment horizontal="center" vertical="center" wrapText="1"/>
    </xf>
    <xf numFmtId="164" fontId="8" fillId="6" borderId="32" xfId="0" applyNumberFormat="1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left" vertical="center" wrapText="1"/>
    </xf>
    <xf numFmtId="0" fontId="7" fillId="6" borderId="49" xfId="0" applyFont="1" applyFill="1" applyBorder="1" applyAlignment="1">
      <alignment horizontal="left" vertical="center" wrapText="1"/>
    </xf>
    <xf numFmtId="164" fontId="40" fillId="12" borderId="1" xfId="0" applyNumberFormat="1" applyFont="1" applyFill="1" applyBorder="1" applyAlignment="1">
      <alignment horizontal="center" vertical="center" wrapText="1"/>
    </xf>
    <xf numFmtId="164" fontId="39" fillId="12" borderId="1" xfId="0" applyNumberFormat="1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49" xfId="0" applyFont="1" applyBorder="1" applyAlignment="1">
      <alignment horizontal="left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44" fillId="0" borderId="29" xfId="0" applyFont="1" applyBorder="1" applyAlignment="1">
      <alignment horizontal="left" vertical="center" wrapText="1"/>
    </xf>
    <xf numFmtId="0" fontId="44" fillId="0" borderId="49" xfId="0" applyFont="1" applyBorder="1" applyAlignment="1">
      <alignment horizontal="left" vertical="center" wrapText="1"/>
    </xf>
    <xf numFmtId="0" fontId="8" fillId="0" borderId="50" xfId="0" applyFont="1" applyBorder="1" applyAlignment="1">
      <alignment horizontal="center" vertical="center" wrapText="1"/>
    </xf>
    <xf numFmtId="164" fontId="16" fillId="13" borderId="1" xfId="0" applyNumberFormat="1" applyFont="1" applyFill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45" fillId="0" borderId="49" xfId="0" applyFont="1" applyBorder="1" applyAlignment="1">
      <alignment horizontal="left" vertical="center" wrapText="1"/>
    </xf>
    <xf numFmtId="164" fontId="3" fillId="14" borderId="1" xfId="0" applyNumberFormat="1" applyFont="1" applyFill="1" applyBorder="1" applyAlignment="1">
      <alignment horizontal="center" vertical="center" wrapText="1"/>
    </xf>
    <xf numFmtId="164" fontId="8" fillId="18" borderId="30" xfId="0" applyNumberFormat="1" applyFont="1" applyFill="1" applyBorder="1" applyAlignment="1">
      <alignment horizontal="center" vertical="center" wrapText="1"/>
    </xf>
    <xf numFmtId="164" fontId="8" fillId="18" borderId="31" xfId="0" applyNumberFormat="1" applyFont="1" applyFill="1" applyBorder="1" applyAlignment="1">
      <alignment horizontal="center" vertical="center" wrapText="1"/>
    </xf>
    <xf numFmtId="164" fontId="8" fillId="18" borderId="32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center" vertical="center" wrapText="1"/>
    </xf>
    <xf numFmtId="0" fontId="8" fillId="6" borderId="49" xfId="0" applyFont="1" applyFill="1" applyBorder="1" applyAlignment="1">
      <alignment horizontal="center" vertical="center" wrapText="1"/>
    </xf>
    <xf numFmtId="164" fontId="8" fillId="6" borderId="30" xfId="0" applyNumberFormat="1" applyFont="1" applyFill="1" applyBorder="1" applyAlignment="1">
      <alignment horizontal="left" vertical="center" wrapText="1"/>
    </xf>
    <xf numFmtId="164" fontId="8" fillId="6" borderId="31" xfId="0" applyNumberFormat="1" applyFont="1" applyFill="1" applyBorder="1" applyAlignment="1">
      <alignment horizontal="left" vertical="center" wrapText="1"/>
    </xf>
    <xf numFmtId="164" fontId="8" fillId="6" borderId="32" xfId="0" applyNumberFormat="1" applyFont="1" applyFill="1" applyBorder="1" applyAlignment="1">
      <alignment horizontal="left" vertical="center" wrapText="1"/>
    </xf>
    <xf numFmtId="0" fontId="11" fillId="6" borderId="29" xfId="0" applyFont="1" applyFill="1" applyBorder="1" applyAlignment="1">
      <alignment horizontal="left" vertical="center" wrapText="1"/>
    </xf>
    <xf numFmtId="0" fontId="11" fillId="6" borderId="49" xfId="0" applyFont="1" applyFill="1" applyBorder="1" applyAlignment="1">
      <alignment horizontal="left" vertical="center" wrapText="1"/>
    </xf>
    <xf numFmtId="164" fontId="7" fillId="18" borderId="30" xfId="0" applyNumberFormat="1" applyFont="1" applyFill="1" applyBorder="1" applyAlignment="1">
      <alignment horizontal="center" vertical="center" wrapText="1"/>
    </xf>
    <xf numFmtId="164" fontId="7" fillId="18" borderId="31" xfId="0" applyNumberFormat="1" applyFont="1" applyFill="1" applyBorder="1" applyAlignment="1">
      <alignment horizontal="center" vertical="center" wrapText="1"/>
    </xf>
    <xf numFmtId="164" fontId="7" fillId="18" borderId="32" xfId="0" applyNumberFormat="1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7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164" fontId="50" fillId="17" borderId="1" xfId="0" applyNumberFormat="1" applyFont="1" applyFill="1" applyBorder="1" applyAlignment="1">
      <alignment horizontal="center" vertical="center" wrapText="1"/>
    </xf>
    <xf numFmtId="164" fontId="3" fillId="6" borderId="30" xfId="0" applyNumberFormat="1" applyFont="1" applyFill="1" applyBorder="1" applyAlignment="1">
      <alignment horizontal="center" vertical="center" wrapText="1"/>
    </xf>
    <xf numFmtId="164" fontId="3" fillId="6" borderId="31" xfId="0" applyNumberFormat="1" applyFont="1" applyFill="1" applyBorder="1" applyAlignment="1">
      <alignment horizontal="center" vertical="center" wrapText="1"/>
    </xf>
    <xf numFmtId="164" fontId="3" fillId="6" borderId="32" xfId="0" applyNumberFormat="1" applyFont="1" applyFill="1" applyBorder="1" applyAlignment="1">
      <alignment horizontal="center" vertical="center" wrapText="1"/>
    </xf>
    <xf numFmtId="164" fontId="11" fillId="18" borderId="1" xfId="0" applyNumberFormat="1" applyFont="1" applyFill="1" applyBorder="1" applyAlignment="1">
      <alignment horizontal="center" vertical="center" wrapText="1"/>
    </xf>
    <xf numFmtId="164" fontId="47" fillId="6" borderId="30" xfId="0" applyNumberFormat="1" applyFont="1" applyFill="1" applyBorder="1" applyAlignment="1">
      <alignment horizontal="center" vertical="center" wrapText="1"/>
    </xf>
    <xf numFmtId="164" fontId="47" fillId="6" borderId="31" xfId="0" applyNumberFormat="1" applyFont="1" applyFill="1" applyBorder="1" applyAlignment="1">
      <alignment horizontal="center" vertical="center" wrapText="1"/>
    </xf>
    <xf numFmtId="164" fontId="47" fillId="6" borderId="32" xfId="0" applyNumberFormat="1" applyFont="1" applyFill="1" applyBorder="1" applyAlignment="1">
      <alignment horizontal="center" vertical="center" wrapText="1"/>
    </xf>
    <xf numFmtId="0" fontId="48" fillId="6" borderId="29" xfId="0" applyFont="1" applyFill="1" applyBorder="1" applyAlignment="1">
      <alignment horizontal="center" vertical="center" wrapText="1"/>
    </xf>
    <xf numFmtId="0" fontId="48" fillId="6" borderId="49" xfId="0" applyFont="1" applyFill="1" applyBorder="1" applyAlignment="1">
      <alignment horizontal="center" vertical="center" wrapText="1"/>
    </xf>
    <xf numFmtId="164" fontId="49" fillId="15" borderId="1" xfId="0" applyNumberFormat="1" applyFont="1" applyFill="1" applyBorder="1" applyAlignment="1">
      <alignment horizontal="center" vertical="center" wrapText="1"/>
    </xf>
    <xf numFmtId="164" fontId="51" fillId="19" borderId="1" xfId="0" applyNumberFormat="1" applyFont="1" applyFill="1" applyBorder="1" applyAlignment="1">
      <alignment horizontal="center" vertical="center" wrapText="1"/>
    </xf>
    <xf numFmtId="165" fontId="52" fillId="19" borderId="1" xfId="0" applyNumberFormat="1" applyFont="1" applyFill="1" applyBorder="1" applyAlignment="1">
      <alignment horizontal="center"/>
    </xf>
    <xf numFmtId="165" fontId="52" fillId="19" borderId="1" xfId="0" applyNumberFormat="1" applyFont="1" applyFill="1" applyBorder="1" applyAlignment="1">
      <alignment horizontal="center" vertical="center"/>
    </xf>
    <xf numFmtId="165" fontId="53" fillId="6" borderId="1" xfId="0" applyNumberFormat="1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0033CC"/>
      <color rgb="FFD60093"/>
      <color rgb="FFFF33CC"/>
      <color rgb="FF00FF00"/>
      <color rgb="FFCCFF33"/>
      <color rgb="FFFF9900"/>
      <color rgb="FFFF9933"/>
      <color rgb="FFFF3300"/>
      <color rgb="FF00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20" dropStyle="simple" dx="26" sel="0" val="0" widthMin="87"/>
</file>

<file path=xl/ctrlProps/ctrlProp2.xml><?xml version="1.0" encoding="utf-8"?>
<formControlPr xmlns="http://schemas.microsoft.com/office/spreadsheetml/2009/9/main" objectType="Drop" dropLines="20" dropStyle="simple" dx="26" sel="0" val="0" widthMin="87"/>
</file>

<file path=xl/ctrlProps/ctrlProp3.xml><?xml version="1.0" encoding="utf-8"?>
<formControlPr xmlns="http://schemas.microsoft.com/office/spreadsheetml/2009/9/main" objectType="Drop" dropLines="20" dropStyle="simple" dx="26" sel="0" val="0" widthMin="87"/>
</file>

<file path=xl/ctrlProps/ctrlProp4.xml><?xml version="1.0" encoding="utf-8"?>
<formControlPr xmlns="http://schemas.microsoft.com/office/spreadsheetml/2009/9/main" objectType="Drop" dropLines="20" dropStyle="simple" dx="26" sel="0" val="0" widthMin="87"/>
</file>

<file path=xl/ctrlProps/ctrlProp5.xml><?xml version="1.0" encoding="utf-8"?>
<formControlPr xmlns="http://schemas.microsoft.com/office/spreadsheetml/2009/9/main" objectType="Drop" dropLines="20" dropStyle="simple" dx="26" sel="0" val="0" widthMin="87"/>
</file>

<file path=xl/ctrlProps/ctrlProp6.xml><?xml version="1.0" encoding="utf-8"?>
<formControlPr xmlns="http://schemas.microsoft.com/office/spreadsheetml/2009/9/main" objectType="Drop" dropLines="20" dropStyle="simple" dx="26" sel="0" val="0" widthMin="87"/>
</file>

<file path=xl/ctrlProps/ctrlProp7.xml><?xml version="1.0" encoding="utf-8"?>
<formControlPr xmlns="http://schemas.microsoft.com/office/spreadsheetml/2009/9/main" objectType="Drop" dropLines="20" dropStyle="simple" dx="26" sel="0" val="0" widthMin="87"/>
</file>

<file path=xl/ctrlProps/ctrlProp8.xml><?xml version="1.0" encoding="utf-8"?>
<formControlPr xmlns="http://schemas.microsoft.com/office/spreadsheetml/2009/9/main" objectType="Drop" dropLines="20" dropStyle="simple" dx="26" sel="0" val="0" widthMin="87"/>
</file>

<file path=xl/ctrlProps/ctrlProp9.xml><?xml version="1.0" encoding="utf-8"?>
<formControlPr xmlns="http://schemas.microsoft.com/office/spreadsheetml/2009/9/main" objectType="Drop" dropLines="20" dropStyle="simple" dx="26" sel="0" val="0" widthMin="87"/>
</file>

<file path=xl/ctrlProps/ctrlProp10.xml><?xml version="1.0" encoding="utf-8"?>
<formControlPr xmlns="http://schemas.microsoft.com/office/spreadsheetml/2009/9/main" objectType="Drop" dropLines="20" dropStyle="simple" dx="26" sel="0" val="0" widthMin="87"/>
</file>

<file path=xl/ctrlProps/ctrlProp11.xml><?xml version="1.0" encoding="utf-8"?>
<formControlPr xmlns="http://schemas.microsoft.com/office/spreadsheetml/2009/9/main" objectType="Drop" dropLines="20" dropStyle="simple" dx="26" sel="0" val="0" widthMin="87"/>
</file>

<file path=xl/ctrlProps/ctrlProp12.xml><?xml version="1.0" encoding="utf-8"?>
<formControlPr xmlns="http://schemas.microsoft.com/office/spreadsheetml/2009/9/main" objectType="Drop" dropLines="20" dropStyle="simple" dx="26" sel="0" val="0" widthMin="87"/>
</file>

<file path=xl/ctrlProps/ctrlProp13.xml><?xml version="1.0" encoding="utf-8"?>
<formControlPr xmlns="http://schemas.microsoft.com/office/spreadsheetml/2009/9/main" objectType="Drop" dropLines="20" dropStyle="simple" dx="26" sel="0" val="0" widthMin="87"/>
</file>

<file path=xl/ctrlProps/ctrlProp14.xml><?xml version="1.0" encoding="utf-8"?>
<formControlPr xmlns="http://schemas.microsoft.com/office/spreadsheetml/2009/9/main" objectType="Drop" dropLines="20" dropStyle="simple" dx="26" sel="0" val="0" widthMin="87"/>
</file>

<file path=xl/ctrlProps/ctrlProp15.xml><?xml version="1.0" encoding="utf-8"?>
<formControlPr xmlns="http://schemas.microsoft.com/office/spreadsheetml/2009/9/main" objectType="Drop" dropLines="20" dropStyle="simple" dx="26" sel="0" val="0" widthMin="87"/>
</file>

<file path=xl/ctrlProps/ctrlProp16.xml><?xml version="1.0" encoding="utf-8"?>
<formControlPr xmlns="http://schemas.microsoft.com/office/spreadsheetml/2009/9/main" objectType="Drop" dropLines="20" dropStyle="simple" dx="26" sel="0" val="0" widthMin="87"/>
</file>

<file path=xl/ctrlProps/ctrlProp17.xml><?xml version="1.0" encoding="utf-8"?>
<formControlPr xmlns="http://schemas.microsoft.com/office/spreadsheetml/2009/9/main" objectType="Drop" dropLines="20" dropStyle="simple" dx="26" sel="0" val="0" widthMin="87"/>
</file>

<file path=xl/ctrlProps/ctrlProp18.xml><?xml version="1.0" encoding="utf-8"?>
<formControlPr xmlns="http://schemas.microsoft.com/office/spreadsheetml/2009/9/main" objectType="Drop" dropLines="20" dropStyle="simple" dx="26" sel="0" val="0" widthMin="87"/>
</file>

<file path=xl/ctrlProps/ctrlProp19.xml><?xml version="1.0" encoding="utf-8"?>
<formControlPr xmlns="http://schemas.microsoft.com/office/spreadsheetml/2009/9/main" objectType="Drop" dropLines="20" dropStyle="simple" dx="26" sel="0" val="0" widthMin="87"/>
</file>

<file path=xl/ctrlProps/ctrlProp20.xml><?xml version="1.0" encoding="utf-8"?>
<formControlPr xmlns="http://schemas.microsoft.com/office/spreadsheetml/2009/9/main" objectType="Drop" dropLines="20" dropStyle="simple" dx="26" sel="0" val="0" widthMin="87"/>
</file>

<file path=xl/ctrlProps/ctrlProp21.xml><?xml version="1.0" encoding="utf-8"?>
<formControlPr xmlns="http://schemas.microsoft.com/office/spreadsheetml/2009/9/main" objectType="Drop" dropLines="20" dropStyle="simple" dx="26" sel="0" val="0" widthMin="87"/>
</file>

<file path=xl/ctrlProps/ctrlProp22.xml><?xml version="1.0" encoding="utf-8"?>
<formControlPr xmlns="http://schemas.microsoft.com/office/spreadsheetml/2009/9/main" objectType="Drop" dropLines="20" dropStyle="simple" dx="26" sel="0" val="0" widthMin="87"/>
</file>

<file path=xl/ctrlProps/ctrlProp23.xml><?xml version="1.0" encoding="utf-8"?>
<formControlPr xmlns="http://schemas.microsoft.com/office/spreadsheetml/2009/9/main" objectType="Drop" dropLines="20" dropStyle="simple" dx="26" sel="0" val="0" widthMin="87"/>
</file>

<file path=xl/ctrlProps/ctrlProp24.xml><?xml version="1.0" encoding="utf-8"?>
<formControlPr xmlns="http://schemas.microsoft.com/office/spreadsheetml/2009/9/main" objectType="Drop" dropLines="20" dropStyle="simple" dx="26" sel="0" val="0" widthMin="87"/>
</file>

<file path=xl/ctrlProps/ctrlProp25.xml><?xml version="1.0" encoding="utf-8"?>
<formControlPr xmlns="http://schemas.microsoft.com/office/spreadsheetml/2009/9/main" objectType="Drop" dropLines="20" dropStyle="simple" dx="26" sel="0" val="0" widthMin="87"/>
</file>

<file path=xl/ctrlProps/ctrlProp26.xml><?xml version="1.0" encoding="utf-8"?>
<formControlPr xmlns="http://schemas.microsoft.com/office/spreadsheetml/2009/9/main" objectType="Drop" dropLines="20" dropStyle="simple" dx="26" sel="0" val="0" widthMin="87"/>
</file>

<file path=xl/ctrlProps/ctrlProp27.xml><?xml version="1.0" encoding="utf-8"?>
<formControlPr xmlns="http://schemas.microsoft.com/office/spreadsheetml/2009/9/main" objectType="Drop" dropLines="20" dropStyle="simple" dx="26" sel="0" val="0" widthMin="87"/>
</file>

<file path=xl/ctrlProps/ctrlProp28.xml><?xml version="1.0" encoding="utf-8"?>
<formControlPr xmlns="http://schemas.microsoft.com/office/spreadsheetml/2009/9/main" objectType="Drop" dropLines="20" dropStyle="simple" dx="26" sel="0" val="0" widthMin="87"/>
</file>

<file path=xl/ctrlProps/ctrlProp29.xml><?xml version="1.0" encoding="utf-8"?>
<formControlPr xmlns="http://schemas.microsoft.com/office/spreadsheetml/2009/9/main" objectType="Drop" dropLines="20" dropStyle="simple" dx="26" sel="0" val="0" widthMin="87"/>
</file>

<file path=xl/ctrlProps/ctrlProp30.xml><?xml version="1.0" encoding="utf-8"?>
<formControlPr xmlns="http://schemas.microsoft.com/office/spreadsheetml/2009/9/main" objectType="Drop" dropLines="20" dropStyle="simple" dx="26" sel="0" val="0" widthMin="87"/>
</file>

<file path=xl/ctrlProps/ctrlProp31.xml><?xml version="1.0" encoding="utf-8"?>
<formControlPr xmlns="http://schemas.microsoft.com/office/spreadsheetml/2009/9/main" objectType="Drop" dropLines="20" dropStyle="simple" dx="26" sel="0" val="0" widthMin="87"/>
</file>

<file path=xl/ctrlProps/ctrlProp32.xml><?xml version="1.0" encoding="utf-8"?>
<formControlPr xmlns="http://schemas.microsoft.com/office/spreadsheetml/2009/9/main" objectType="Drop" dropLines="20" dropStyle="simple" dx="26" sel="0" val="0" widthMin="87"/>
</file>

<file path=xl/ctrlProps/ctrlProp33.xml><?xml version="1.0" encoding="utf-8"?>
<formControlPr xmlns="http://schemas.microsoft.com/office/spreadsheetml/2009/9/main" objectType="Drop" dropLines="20" dropStyle="simple" dx="26" sel="0" val="0" widthMin="87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7411" name="Drop Dow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7412" name="Drop Down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7413" name="Drop Down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00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468110</xdr:colOff>
      <xdr:row>0</xdr:row>
      <xdr:rowOff>89774</xdr:rowOff>
    </xdr:from>
    <xdr:to>
      <xdr:col>1</xdr:col>
      <xdr:colOff>649605</xdr:colOff>
      <xdr:row>2</xdr:row>
      <xdr:rowOff>308610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55363DC-4B7B-1D9F-64F8-D22A7F64B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110" y="89774"/>
          <a:ext cx="1191145" cy="1076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304800</xdr:colOff>
      <xdr:row>0</xdr:row>
      <xdr:rowOff>28575</xdr:rowOff>
    </xdr:from>
    <xdr:to>
      <xdr:col>1</xdr:col>
      <xdr:colOff>486295</xdr:colOff>
      <xdr:row>2</xdr:row>
      <xdr:rowOff>295036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DB9E67-B406-4731-9EB5-0B54526E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8575"/>
          <a:ext cx="1191145" cy="1076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9458" name="Drop Dow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2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19459" name="Drop Dow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2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409575</xdr:colOff>
      <xdr:row>0</xdr:row>
      <xdr:rowOff>85726</xdr:rowOff>
    </xdr:from>
    <xdr:to>
      <xdr:col>1</xdr:col>
      <xdr:colOff>590550</xdr:colOff>
      <xdr:row>2</xdr:row>
      <xdr:rowOff>238126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746CB4-4BD2-43E2-9BA3-E656BD193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5726"/>
          <a:ext cx="11906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1505" name="Drop Dow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3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1506" name="Drop Dow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3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1507" name="Drop Down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3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495865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311008-D375-4962-9145-B757487F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2529" name="Drop Dow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4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2530" name="Drop Dow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4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2531" name="Drop Down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4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591115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D3BE28-0779-4802-A9E4-DF01732E7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3553" name="Drop Dow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5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3554" name="Drop Down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5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3555" name="Drop Down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5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591115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99A0A6-82EF-43C6-A539-23A9A7626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4577" name="Drop Dow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6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4578" name="Drop Down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6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4579" name="Drop Down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6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591115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D20C61-6107-4682-BE69-2AA2B84D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5601" name="Drop Down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7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5602" name="Drop Down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07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5603" name="Drop Down 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00000000-0008-0000-07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591115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22125A-D64D-4FF0-9B4B-8EBA423A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6625" name="Drop Dow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8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6626" name="Drop Down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8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6627" name="Drop Down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8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591115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34EA1B-3FA5-4F4A-88E8-96EC1DB5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9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9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7651" name="Drop Dow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9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591115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7B8AA9-970A-423F-937A-DD221D6E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8673" name="Drop Down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427AA023-E44F-4972-9668-763DEFBBA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8674" name="Drop Down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46F579AC-0539-46EF-9C07-0401626E9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8675" name="Drop Down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3C1285CB-6D96-481D-AB78-2A2DEBF54D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  <xdr:twoCellAnchor editAs="oneCell">
    <xdr:from>
      <xdr:col>0</xdr:col>
      <xdr:colOff>438150</xdr:colOff>
      <xdr:row>0</xdr:row>
      <xdr:rowOff>38100</xdr:rowOff>
    </xdr:from>
    <xdr:to>
      <xdr:col>1</xdr:col>
      <xdr:colOff>591115</xdr:colOff>
      <xdr:row>2</xdr:row>
      <xdr:rowOff>304799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7965FE-D9EA-442A-9E76-824144DF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"/>
          <a:ext cx="1189285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sther Lima" id="{574385A5-0911-491B-8552-8BC7ECB5E368}" userId="Esther Lima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3" dT="2025-09-03T15:06:49.90" personId="{574385A5-0911-491B-8552-8BC7ECB5E368}" id="{64F29CC7-0C77-4A38-9716-115AB333FB27}">
    <text>Retirada R$ 300,00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5" dT="2025-08-15T19:08:56.57" personId="{574385A5-0911-491B-8552-8BC7ECB5E368}" id="{A2626E7D-4735-45F3-B511-EBB242E0E4F5}">
    <text>Observação: Reposição de R$ 300,00 do dia 29/07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7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vmlDrawing" Target="../drawings/vmlDrawing7.vml"/><Relationship Id="rId7" Type="http://schemas.openxmlformats.org/officeDocument/2006/relationships/comments" Target="../comments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8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vmlDrawing" Target="../drawings/vmlDrawing8.vml"/><Relationship Id="rId7" Type="http://schemas.openxmlformats.org/officeDocument/2006/relationships/comments" Target="../comments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4" Type="http://schemas.openxmlformats.org/officeDocument/2006/relationships/ctrlProp" Target="../ctrlProps/ctrlProp2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5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5" Type="http://schemas.openxmlformats.org/officeDocument/2006/relationships/ctrlProp" Target="../ctrlProps/ctrlProp27.xml"/><Relationship Id="rId4" Type="http://schemas.openxmlformats.org/officeDocument/2006/relationships/ctrlProp" Target="../ctrlProps/ctrlProp2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5" Type="http://schemas.openxmlformats.org/officeDocument/2006/relationships/ctrlProp" Target="../ctrlProps/ctrlProp33.xml"/><Relationship Id="rId4" Type="http://schemas.openxmlformats.org/officeDocument/2006/relationships/ctrlProp" Target="../ctrlProps/ctrlProp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tabColor rgb="FF7030A0"/>
  </sheetPr>
  <dimension ref="A1:J139"/>
  <sheetViews>
    <sheetView showGridLines="0" zoomScaleNormal="100" zoomScaleSheetLayoutView="100" workbookViewId="0">
      <pane ySplit="4" topLeftCell="A5" activePane="bottomLeft" state="frozen"/>
      <selection pane="bottomLeft" activeCell="A4" sqref="A4:H4"/>
    </sheetView>
  </sheetViews>
  <sheetFormatPr defaultColWidth="8.88671875" defaultRowHeight="13.8" x14ac:dyDescent="0.3"/>
  <cols>
    <col min="1" max="1" width="15.109375" style="3" bestFit="1" customWidth="1"/>
    <col min="2" max="2" width="20.109375" style="2" customWidth="1"/>
    <col min="3" max="3" width="27.33203125" style="2" bestFit="1" customWidth="1"/>
    <col min="4" max="4" width="19.33203125" style="2" bestFit="1" customWidth="1"/>
    <col min="5" max="5" width="11.5546875" style="2" customWidth="1"/>
    <col min="6" max="6" width="8.6640625" style="2" customWidth="1"/>
    <col min="7" max="7" width="4.33203125" style="2" customWidth="1"/>
    <col min="8" max="8" width="34.6640625" style="2" customWidth="1"/>
    <col min="9" max="9" width="8.88671875" style="2"/>
    <col min="10" max="10" width="16.5546875" style="2" bestFit="1" customWidth="1"/>
    <col min="11" max="16384" width="8.88671875" style="2"/>
  </cols>
  <sheetData>
    <row r="1" spans="1:10" ht="42" customHeight="1" x14ac:dyDescent="0.3">
      <c r="A1" s="11"/>
      <c r="B1" s="12"/>
      <c r="C1" s="128" t="s">
        <v>6</v>
      </c>
      <c r="D1" s="129"/>
      <c r="E1" s="129"/>
      <c r="F1" s="129"/>
      <c r="G1" s="129"/>
      <c r="H1" s="13" t="s">
        <v>1</v>
      </c>
    </row>
    <row r="2" spans="1:10" ht="25.5" customHeight="1" x14ac:dyDescent="0.3">
      <c r="A2" s="14"/>
      <c r="B2" s="1"/>
      <c r="C2" s="130" t="s">
        <v>3</v>
      </c>
      <c r="D2" s="130"/>
      <c r="E2" s="130"/>
      <c r="F2" s="130"/>
      <c r="G2" s="130"/>
      <c r="H2" s="15" t="s">
        <v>0</v>
      </c>
    </row>
    <row r="3" spans="1:10" ht="25.5" customHeight="1" thickBot="1" x14ac:dyDescent="0.35">
      <c r="A3" s="16"/>
      <c r="B3" s="17"/>
      <c r="C3" s="133" t="s">
        <v>2</v>
      </c>
      <c r="D3" s="134"/>
      <c r="E3" s="134"/>
      <c r="F3" s="135"/>
      <c r="G3" s="131" t="s">
        <v>88</v>
      </c>
      <c r="H3" s="132"/>
    </row>
    <row r="4" spans="1:10" ht="25.5" customHeight="1" thickBot="1" x14ac:dyDescent="0.35">
      <c r="A4" s="142" t="s">
        <v>34</v>
      </c>
      <c r="B4" s="143"/>
      <c r="C4" s="143"/>
      <c r="D4" s="143"/>
      <c r="E4" s="143"/>
      <c r="F4" s="143"/>
      <c r="G4" s="143"/>
      <c r="H4" s="144"/>
    </row>
    <row r="5" spans="1:10" ht="25.5" customHeight="1" x14ac:dyDescent="0.3">
      <c r="A5" s="80"/>
      <c r="B5" s="81"/>
      <c r="C5" s="81"/>
      <c r="D5" s="81"/>
      <c r="E5" s="81"/>
      <c r="F5" s="81"/>
      <c r="G5" s="81"/>
      <c r="H5" s="82"/>
    </row>
    <row r="6" spans="1:10" s="4" customFormat="1" ht="30.6" customHeight="1" thickBot="1" x14ac:dyDescent="0.4">
      <c r="A6" s="18" t="s">
        <v>4</v>
      </c>
      <c r="B6" s="136" t="s">
        <v>8</v>
      </c>
      <c r="C6" s="137"/>
      <c r="D6" s="136" t="s">
        <v>7</v>
      </c>
      <c r="E6" s="138"/>
      <c r="F6" s="138"/>
      <c r="G6" s="137"/>
      <c r="H6" s="19" t="s">
        <v>5</v>
      </c>
    </row>
    <row r="7" spans="1:10" s="4" customFormat="1" ht="30" customHeight="1" x14ac:dyDescent="0.35">
      <c r="A7" s="117">
        <v>45666</v>
      </c>
      <c r="B7" s="5" t="s">
        <v>9</v>
      </c>
      <c r="C7" s="6">
        <v>354</v>
      </c>
      <c r="D7" s="7" t="s">
        <v>11</v>
      </c>
      <c r="E7" s="115">
        <v>336</v>
      </c>
      <c r="F7" s="115"/>
      <c r="G7" s="115"/>
      <c r="H7" s="139" t="s">
        <v>25</v>
      </c>
      <c r="J7" s="20"/>
    </row>
    <row r="8" spans="1:10" s="4" customFormat="1" ht="30" customHeight="1" x14ac:dyDescent="0.35">
      <c r="A8" s="118"/>
      <c r="B8" s="8" t="s">
        <v>10</v>
      </c>
      <c r="C8" s="9">
        <v>235.29</v>
      </c>
      <c r="D8" s="10" t="s">
        <v>10</v>
      </c>
      <c r="E8" s="106">
        <v>151.49</v>
      </c>
      <c r="F8" s="106"/>
      <c r="G8" s="106"/>
      <c r="H8" s="140"/>
    </row>
    <row r="9" spans="1:10" s="4" customFormat="1" ht="30" customHeight="1" thickBot="1" x14ac:dyDescent="0.4">
      <c r="A9" s="122" t="s">
        <v>13</v>
      </c>
      <c r="B9" s="123"/>
      <c r="C9" s="123"/>
      <c r="D9" s="124"/>
      <c r="E9" s="116">
        <f>E7+E8</f>
        <v>487.49</v>
      </c>
      <c r="F9" s="116"/>
      <c r="G9" s="116"/>
      <c r="H9" s="141"/>
    </row>
    <row r="10" spans="1:10" s="4" customFormat="1" ht="30" customHeight="1" x14ac:dyDescent="0.35">
      <c r="A10" s="117">
        <v>45667</v>
      </c>
      <c r="B10" s="5" t="s">
        <v>9</v>
      </c>
      <c r="C10" s="6">
        <v>301.01</v>
      </c>
      <c r="D10" s="7" t="s">
        <v>11</v>
      </c>
      <c r="E10" s="115">
        <v>209.93</v>
      </c>
      <c r="F10" s="115"/>
      <c r="G10" s="115"/>
      <c r="H10" s="139" t="s">
        <v>86</v>
      </c>
    </row>
    <row r="11" spans="1:10" s="4" customFormat="1" ht="30" customHeight="1" x14ac:dyDescent="0.35">
      <c r="A11" s="118"/>
      <c r="B11" s="8" t="s">
        <v>10</v>
      </c>
      <c r="C11" s="9">
        <v>151.49</v>
      </c>
      <c r="D11" s="10" t="s">
        <v>10</v>
      </c>
      <c r="E11" s="106">
        <v>758.97</v>
      </c>
      <c r="F11" s="106"/>
      <c r="G11" s="106"/>
      <c r="H11" s="140"/>
    </row>
    <row r="12" spans="1:10" s="4" customFormat="1" ht="30" customHeight="1" thickBot="1" x14ac:dyDescent="0.4">
      <c r="A12" s="122" t="s">
        <v>13</v>
      </c>
      <c r="B12" s="123"/>
      <c r="C12" s="123"/>
      <c r="D12" s="124"/>
      <c r="E12" s="116">
        <f>E10+E11</f>
        <v>968.90000000000009</v>
      </c>
      <c r="F12" s="116"/>
      <c r="G12" s="116"/>
      <c r="H12" s="141"/>
    </row>
    <row r="13" spans="1:10" s="4" customFormat="1" ht="30" customHeight="1" x14ac:dyDescent="0.35">
      <c r="A13" s="117">
        <v>45668</v>
      </c>
      <c r="B13" s="5" t="s">
        <v>9</v>
      </c>
      <c r="C13" s="6">
        <v>209.93</v>
      </c>
      <c r="D13" s="7" t="s">
        <v>11</v>
      </c>
      <c r="E13" s="115">
        <v>282.39999999999998</v>
      </c>
      <c r="F13" s="115"/>
      <c r="G13" s="115"/>
      <c r="H13" s="119"/>
    </row>
    <row r="14" spans="1:10" s="4" customFormat="1" ht="30" customHeight="1" x14ac:dyDescent="0.35">
      <c r="A14" s="118"/>
      <c r="B14" s="8" t="s">
        <v>10</v>
      </c>
      <c r="C14" s="9">
        <v>758.97</v>
      </c>
      <c r="D14" s="10" t="s">
        <v>10</v>
      </c>
      <c r="E14" s="106">
        <v>180.68</v>
      </c>
      <c r="F14" s="106"/>
      <c r="G14" s="106"/>
      <c r="H14" s="120"/>
    </row>
    <row r="15" spans="1:10" s="4" customFormat="1" ht="30" customHeight="1" thickBot="1" x14ac:dyDescent="0.4">
      <c r="A15" s="122" t="s">
        <v>13</v>
      </c>
      <c r="B15" s="123"/>
      <c r="C15" s="123"/>
      <c r="D15" s="124"/>
      <c r="E15" s="116">
        <f>E13+E14</f>
        <v>463.08</v>
      </c>
      <c r="F15" s="116"/>
      <c r="G15" s="116"/>
      <c r="H15" s="121"/>
    </row>
    <row r="16" spans="1:10" s="4" customFormat="1" ht="30" customHeight="1" x14ac:dyDescent="0.35">
      <c r="A16" s="117">
        <v>45670</v>
      </c>
      <c r="B16" s="5" t="s">
        <v>9</v>
      </c>
      <c r="C16" s="6">
        <v>282.39999999999998</v>
      </c>
      <c r="D16" s="7" t="s">
        <v>11</v>
      </c>
      <c r="E16" s="115">
        <v>706.55</v>
      </c>
      <c r="F16" s="115"/>
      <c r="G16" s="115"/>
      <c r="H16" s="119"/>
    </row>
    <row r="17" spans="1:8" s="4" customFormat="1" ht="30" customHeight="1" x14ac:dyDescent="0.35">
      <c r="A17" s="118"/>
      <c r="B17" s="8" t="s">
        <v>10</v>
      </c>
      <c r="C17" s="9">
        <v>180.68</v>
      </c>
      <c r="D17" s="10" t="s">
        <v>10</v>
      </c>
      <c r="E17" s="106">
        <v>103.58</v>
      </c>
      <c r="F17" s="106"/>
      <c r="G17" s="106"/>
      <c r="H17" s="120"/>
    </row>
    <row r="18" spans="1:8" s="4" customFormat="1" ht="30" customHeight="1" thickBot="1" x14ac:dyDescent="0.4">
      <c r="A18" s="122" t="s">
        <v>13</v>
      </c>
      <c r="B18" s="123"/>
      <c r="C18" s="123"/>
      <c r="D18" s="124"/>
      <c r="E18" s="116">
        <f>E16+E17</f>
        <v>810.13</v>
      </c>
      <c r="F18" s="116"/>
      <c r="G18" s="116"/>
      <c r="H18" s="121"/>
    </row>
    <row r="19" spans="1:8" s="4" customFormat="1" ht="30" customHeight="1" x14ac:dyDescent="0.35">
      <c r="A19" s="117">
        <v>45671</v>
      </c>
      <c r="B19" s="5" t="s">
        <v>9</v>
      </c>
      <c r="C19" s="6">
        <v>706.55</v>
      </c>
      <c r="D19" s="7" t="s">
        <v>11</v>
      </c>
      <c r="E19" s="115">
        <v>701.8</v>
      </c>
      <c r="F19" s="115"/>
      <c r="G19" s="115"/>
      <c r="H19" s="119" t="s">
        <v>26</v>
      </c>
    </row>
    <row r="20" spans="1:8" s="4" customFormat="1" ht="30" customHeight="1" x14ac:dyDescent="0.35">
      <c r="A20" s="118"/>
      <c r="B20" s="8" t="s">
        <v>10</v>
      </c>
      <c r="C20" s="9">
        <v>103.58</v>
      </c>
      <c r="D20" s="10" t="s">
        <v>10</v>
      </c>
      <c r="E20" s="106">
        <v>404.16</v>
      </c>
      <c r="F20" s="106"/>
      <c r="G20" s="106"/>
      <c r="H20" s="120"/>
    </row>
    <row r="21" spans="1:8" s="4" customFormat="1" ht="30" customHeight="1" thickBot="1" x14ac:dyDescent="0.4">
      <c r="A21" s="122" t="s">
        <v>13</v>
      </c>
      <c r="B21" s="123"/>
      <c r="C21" s="123"/>
      <c r="D21" s="124"/>
      <c r="E21" s="116">
        <f>E19+E20</f>
        <v>1105.96</v>
      </c>
      <c r="F21" s="116"/>
      <c r="G21" s="116"/>
      <c r="H21" s="121"/>
    </row>
    <row r="22" spans="1:8" s="4" customFormat="1" ht="30" customHeight="1" x14ac:dyDescent="0.35">
      <c r="A22" s="117">
        <v>45672</v>
      </c>
      <c r="B22" s="5" t="s">
        <v>9</v>
      </c>
      <c r="C22" s="6">
        <v>701.8</v>
      </c>
      <c r="D22" s="7" t="s">
        <v>11</v>
      </c>
      <c r="E22" s="115">
        <v>719.8</v>
      </c>
      <c r="F22" s="115"/>
      <c r="G22" s="115"/>
      <c r="H22" s="119"/>
    </row>
    <row r="23" spans="1:8" s="4" customFormat="1" ht="30" customHeight="1" x14ac:dyDescent="0.35">
      <c r="A23" s="118"/>
      <c r="B23" s="8" t="s">
        <v>10</v>
      </c>
      <c r="C23" s="9">
        <v>404.16</v>
      </c>
      <c r="D23" s="10" t="s">
        <v>10</v>
      </c>
      <c r="E23" s="106">
        <v>108.12</v>
      </c>
      <c r="F23" s="106"/>
      <c r="G23" s="106"/>
      <c r="H23" s="120"/>
    </row>
    <row r="24" spans="1:8" s="4" customFormat="1" ht="30" customHeight="1" thickBot="1" x14ac:dyDescent="0.4">
      <c r="A24" s="122" t="s">
        <v>13</v>
      </c>
      <c r="B24" s="123"/>
      <c r="C24" s="123"/>
      <c r="D24" s="124"/>
      <c r="E24" s="116">
        <f>E22+E23</f>
        <v>827.92</v>
      </c>
      <c r="F24" s="116"/>
      <c r="G24" s="116"/>
      <c r="H24" s="121"/>
    </row>
    <row r="25" spans="1:8" s="4" customFormat="1" ht="30" customHeight="1" x14ac:dyDescent="0.35">
      <c r="A25" s="117">
        <v>45673</v>
      </c>
      <c r="B25" s="5" t="s">
        <v>9</v>
      </c>
      <c r="C25" s="6">
        <v>719.8</v>
      </c>
      <c r="D25" s="7" t="s">
        <v>11</v>
      </c>
      <c r="E25" s="115">
        <v>778.62</v>
      </c>
      <c r="F25" s="115"/>
      <c r="G25" s="115"/>
      <c r="H25" s="125" t="s">
        <v>20</v>
      </c>
    </row>
    <row r="26" spans="1:8" s="4" customFormat="1" ht="30" customHeight="1" x14ac:dyDescent="0.35">
      <c r="A26" s="118"/>
      <c r="B26" s="8" t="s">
        <v>10</v>
      </c>
      <c r="C26" s="9">
        <v>108.12</v>
      </c>
      <c r="D26" s="10" t="s">
        <v>10</v>
      </c>
      <c r="E26" s="106">
        <v>173.79</v>
      </c>
      <c r="F26" s="106"/>
      <c r="G26" s="106"/>
      <c r="H26" s="126"/>
    </row>
    <row r="27" spans="1:8" s="4" customFormat="1" ht="30" customHeight="1" thickBot="1" x14ac:dyDescent="0.4">
      <c r="A27" s="122" t="s">
        <v>12</v>
      </c>
      <c r="B27" s="123"/>
      <c r="C27" s="123"/>
      <c r="D27" s="124"/>
      <c r="E27" s="116">
        <f>E25+E26</f>
        <v>952.41</v>
      </c>
      <c r="F27" s="116"/>
      <c r="G27" s="116"/>
      <c r="H27" s="127"/>
    </row>
    <row r="28" spans="1:8" s="4" customFormat="1" ht="30" customHeight="1" x14ac:dyDescent="0.35">
      <c r="A28" s="117">
        <v>45674</v>
      </c>
      <c r="B28" s="5" t="s">
        <v>9</v>
      </c>
      <c r="C28" s="6">
        <v>778.62</v>
      </c>
      <c r="D28" s="7" t="s">
        <v>11</v>
      </c>
      <c r="E28" s="115">
        <v>882.5</v>
      </c>
      <c r="F28" s="115"/>
      <c r="G28" s="115"/>
      <c r="H28" s="125" t="s">
        <v>21</v>
      </c>
    </row>
    <row r="29" spans="1:8" s="4" customFormat="1" ht="30" customHeight="1" x14ac:dyDescent="0.35">
      <c r="A29" s="118"/>
      <c r="B29" s="8" t="s">
        <v>10</v>
      </c>
      <c r="C29" s="9">
        <v>173.9</v>
      </c>
      <c r="D29" s="10" t="s">
        <v>10</v>
      </c>
      <c r="E29" s="106">
        <v>11.5</v>
      </c>
      <c r="F29" s="106"/>
      <c r="G29" s="106"/>
      <c r="H29" s="126"/>
    </row>
    <row r="30" spans="1:8" s="4" customFormat="1" ht="30" customHeight="1" thickBot="1" x14ac:dyDescent="0.4">
      <c r="A30" s="122" t="s">
        <v>13</v>
      </c>
      <c r="B30" s="123"/>
      <c r="C30" s="123"/>
      <c r="D30" s="124"/>
      <c r="E30" s="116">
        <f>E28+E29</f>
        <v>894</v>
      </c>
      <c r="F30" s="116"/>
      <c r="G30" s="116"/>
      <c r="H30" s="127"/>
    </row>
    <row r="31" spans="1:8" s="4" customFormat="1" ht="30" customHeight="1" x14ac:dyDescent="0.35">
      <c r="A31" s="117">
        <v>45675</v>
      </c>
      <c r="B31" s="5" t="s">
        <v>9</v>
      </c>
      <c r="C31" s="6">
        <v>882.5</v>
      </c>
      <c r="D31" s="7" t="s">
        <v>11</v>
      </c>
      <c r="E31" s="115">
        <v>894.5</v>
      </c>
      <c r="F31" s="115"/>
      <c r="G31" s="115"/>
      <c r="H31" s="119"/>
    </row>
    <row r="32" spans="1:8" s="4" customFormat="1" ht="30" customHeight="1" x14ac:dyDescent="0.35">
      <c r="A32" s="118"/>
      <c r="B32" s="8" t="s">
        <v>10</v>
      </c>
      <c r="C32" s="9">
        <v>11.5</v>
      </c>
      <c r="D32" s="10" t="s">
        <v>10</v>
      </c>
      <c r="E32" s="106">
        <v>39.26</v>
      </c>
      <c r="F32" s="106"/>
      <c r="G32" s="106"/>
      <c r="H32" s="120"/>
    </row>
    <row r="33" spans="1:8" s="4" customFormat="1" ht="30" customHeight="1" thickBot="1" x14ac:dyDescent="0.4">
      <c r="A33" s="122" t="s">
        <v>13</v>
      </c>
      <c r="B33" s="123"/>
      <c r="C33" s="123"/>
      <c r="D33" s="124"/>
      <c r="E33" s="116">
        <f>E31+E32</f>
        <v>933.76</v>
      </c>
      <c r="F33" s="116"/>
      <c r="G33" s="116"/>
      <c r="H33" s="121"/>
    </row>
    <row r="34" spans="1:8" s="4" customFormat="1" ht="30" customHeight="1" x14ac:dyDescent="0.35">
      <c r="A34" s="117">
        <v>45677</v>
      </c>
      <c r="B34" s="5" t="s">
        <v>9</v>
      </c>
      <c r="C34" s="6">
        <v>894.5</v>
      </c>
      <c r="D34" s="7" t="s">
        <v>11</v>
      </c>
      <c r="E34" s="115">
        <v>915.51</v>
      </c>
      <c r="F34" s="115"/>
      <c r="G34" s="115"/>
      <c r="H34" s="119"/>
    </row>
    <row r="35" spans="1:8" s="4" customFormat="1" ht="30" customHeight="1" x14ac:dyDescent="0.35">
      <c r="A35" s="118"/>
      <c r="B35" s="8" t="s">
        <v>10</v>
      </c>
      <c r="C35" s="9">
        <v>39.26</v>
      </c>
      <c r="D35" s="10" t="s">
        <v>10</v>
      </c>
      <c r="E35" s="106">
        <v>266.58999999999997</v>
      </c>
      <c r="F35" s="106"/>
      <c r="G35" s="106"/>
      <c r="H35" s="120"/>
    </row>
    <row r="36" spans="1:8" s="4" customFormat="1" ht="30" customHeight="1" thickBot="1" x14ac:dyDescent="0.4">
      <c r="A36" s="122" t="s">
        <v>13</v>
      </c>
      <c r="B36" s="123"/>
      <c r="C36" s="123"/>
      <c r="D36" s="124"/>
      <c r="E36" s="116">
        <f>E34+E35</f>
        <v>1182.0999999999999</v>
      </c>
      <c r="F36" s="116"/>
      <c r="G36" s="116"/>
      <c r="H36" s="121"/>
    </row>
    <row r="37" spans="1:8" s="4" customFormat="1" ht="30" customHeight="1" x14ac:dyDescent="0.35">
      <c r="A37" s="117">
        <v>45678</v>
      </c>
      <c r="B37" s="5" t="s">
        <v>9</v>
      </c>
      <c r="C37" s="6">
        <v>915.51</v>
      </c>
      <c r="D37" s="7" t="s">
        <v>11</v>
      </c>
      <c r="E37" s="115">
        <v>1110.3499999999999</v>
      </c>
      <c r="F37" s="115"/>
      <c r="G37" s="115"/>
      <c r="H37" s="119"/>
    </row>
    <row r="38" spans="1:8" s="4" customFormat="1" ht="30" customHeight="1" x14ac:dyDescent="0.35">
      <c r="A38" s="118"/>
      <c r="B38" s="8" t="s">
        <v>10</v>
      </c>
      <c r="C38" s="9">
        <v>266.58999999999997</v>
      </c>
      <c r="D38" s="10" t="s">
        <v>10</v>
      </c>
      <c r="E38" s="106">
        <v>53.71</v>
      </c>
      <c r="F38" s="106"/>
      <c r="G38" s="106"/>
      <c r="H38" s="120"/>
    </row>
    <row r="39" spans="1:8" s="4" customFormat="1" ht="30" customHeight="1" thickBot="1" x14ac:dyDescent="0.4">
      <c r="A39" s="122" t="s">
        <v>13</v>
      </c>
      <c r="B39" s="123"/>
      <c r="C39" s="123"/>
      <c r="D39" s="124"/>
      <c r="E39" s="116">
        <f>E37+E38</f>
        <v>1164.06</v>
      </c>
      <c r="F39" s="116"/>
      <c r="G39" s="116"/>
      <c r="H39" s="121"/>
    </row>
    <row r="40" spans="1:8" s="4" customFormat="1" ht="30" customHeight="1" x14ac:dyDescent="0.35">
      <c r="A40" s="117">
        <v>45679</v>
      </c>
      <c r="B40" s="5" t="s">
        <v>9</v>
      </c>
      <c r="C40" s="6">
        <v>1110.3499999999999</v>
      </c>
      <c r="D40" s="7" t="s">
        <v>11</v>
      </c>
      <c r="E40" s="115">
        <v>848.35</v>
      </c>
      <c r="F40" s="115"/>
      <c r="G40" s="115"/>
      <c r="H40" s="125" t="s">
        <v>27</v>
      </c>
    </row>
    <row r="41" spans="1:8" s="4" customFormat="1" ht="30" customHeight="1" x14ac:dyDescent="0.35">
      <c r="A41" s="118"/>
      <c r="B41" s="8" t="s">
        <v>10</v>
      </c>
      <c r="C41" s="9">
        <v>53.71</v>
      </c>
      <c r="D41" s="10" t="s">
        <v>10</v>
      </c>
      <c r="E41" s="106">
        <v>39.43</v>
      </c>
      <c r="F41" s="106"/>
      <c r="G41" s="106"/>
      <c r="H41" s="126"/>
    </row>
    <row r="42" spans="1:8" s="4" customFormat="1" ht="30" customHeight="1" thickBot="1" x14ac:dyDescent="0.4">
      <c r="A42" s="122" t="s">
        <v>13</v>
      </c>
      <c r="B42" s="123"/>
      <c r="C42" s="123"/>
      <c r="D42" s="124"/>
      <c r="E42" s="116">
        <f>E40+E41</f>
        <v>887.78</v>
      </c>
      <c r="F42" s="116"/>
      <c r="G42" s="116"/>
      <c r="H42" s="127"/>
    </row>
    <row r="43" spans="1:8" s="4" customFormat="1" ht="30" customHeight="1" x14ac:dyDescent="0.35">
      <c r="A43" s="117">
        <v>45680</v>
      </c>
      <c r="B43" s="5" t="s">
        <v>9</v>
      </c>
      <c r="C43" s="6">
        <v>848.35</v>
      </c>
      <c r="D43" s="7" t="s">
        <v>11</v>
      </c>
      <c r="E43" s="115">
        <v>873.35</v>
      </c>
      <c r="F43" s="115"/>
      <c r="G43" s="115"/>
      <c r="H43" s="119"/>
    </row>
    <row r="44" spans="1:8" s="4" customFormat="1" ht="30" customHeight="1" x14ac:dyDescent="0.35">
      <c r="A44" s="118"/>
      <c r="B44" s="8" t="s">
        <v>10</v>
      </c>
      <c r="C44" s="9">
        <v>39.43</v>
      </c>
      <c r="D44" s="10" t="s">
        <v>10</v>
      </c>
      <c r="E44" s="106">
        <v>108.2</v>
      </c>
      <c r="F44" s="106"/>
      <c r="G44" s="106"/>
      <c r="H44" s="120"/>
    </row>
    <row r="45" spans="1:8" s="4" customFormat="1" ht="30" customHeight="1" thickBot="1" x14ac:dyDescent="0.4">
      <c r="A45" s="122" t="s">
        <v>13</v>
      </c>
      <c r="B45" s="123"/>
      <c r="C45" s="123"/>
      <c r="D45" s="124"/>
      <c r="E45" s="116">
        <f>E43+E44</f>
        <v>981.55000000000007</v>
      </c>
      <c r="F45" s="116"/>
      <c r="G45" s="116"/>
      <c r="H45" s="121"/>
    </row>
    <row r="46" spans="1:8" s="4" customFormat="1" ht="30" customHeight="1" x14ac:dyDescent="0.35">
      <c r="A46" s="117">
        <v>45681</v>
      </c>
      <c r="B46" s="5" t="s">
        <v>9</v>
      </c>
      <c r="C46" s="6">
        <v>873.35</v>
      </c>
      <c r="D46" s="7" t="s">
        <v>11</v>
      </c>
      <c r="E46" s="115">
        <v>579.57000000000005</v>
      </c>
      <c r="F46" s="115"/>
      <c r="G46" s="115"/>
      <c r="H46" s="125" t="s">
        <v>28</v>
      </c>
    </row>
    <row r="47" spans="1:8" s="4" customFormat="1" ht="30" customHeight="1" x14ac:dyDescent="0.35">
      <c r="A47" s="118"/>
      <c r="B47" s="8" t="s">
        <v>10</v>
      </c>
      <c r="C47" s="9">
        <v>108.2</v>
      </c>
      <c r="D47" s="10" t="s">
        <v>10</v>
      </c>
      <c r="E47" s="106">
        <v>150.22999999999999</v>
      </c>
      <c r="F47" s="106"/>
      <c r="G47" s="106"/>
      <c r="H47" s="126"/>
    </row>
    <row r="48" spans="1:8" s="4" customFormat="1" ht="30" customHeight="1" thickBot="1" x14ac:dyDescent="0.4">
      <c r="A48" s="112" t="s">
        <v>13</v>
      </c>
      <c r="B48" s="113"/>
      <c r="C48" s="113"/>
      <c r="D48" s="114"/>
      <c r="E48" s="116">
        <f>E46+E47</f>
        <v>729.80000000000007</v>
      </c>
      <c r="F48" s="116"/>
      <c r="G48" s="116"/>
      <c r="H48" s="127"/>
    </row>
    <row r="49" spans="1:8" s="4" customFormat="1" ht="30" customHeight="1" x14ac:dyDescent="0.35">
      <c r="A49" s="117">
        <v>45682</v>
      </c>
      <c r="B49" s="5" t="s">
        <v>9</v>
      </c>
      <c r="C49" s="6">
        <v>579.57000000000005</v>
      </c>
      <c r="D49" s="7" t="s">
        <v>11</v>
      </c>
      <c r="E49" s="115">
        <v>724.04</v>
      </c>
      <c r="F49" s="115"/>
      <c r="G49" s="115"/>
      <c r="H49" s="119"/>
    </row>
    <row r="50" spans="1:8" s="4" customFormat="1" ht="30" customHeight="1" x14ac:dyDescent="0.35">
      <c r="A50" s="118"/>
      <c r="B50" s="8" t="s">
        <v>10</v>
      </c>
      <c r="C50" s="9">
        <v>150.22999999999999</v>
      </c>
      <c r="D50" s="10" t="s">
        <v>10</v>
      </c>
      <c r="E50" s="106">
        <v>35.44</v>
      </c>
      <c r="F50" s="106"/>
      <c r="G50" s="106"/>
      <c r="H50" s="120"/>
    </row>
    <row r="51" spans="1:8" s="4" customFormat="1" ht="30" customHeight="1" x14ac:dyDescent="0.35">
      <c r="A51" s="145" t="s">
        <v>13</v>
      </c>
      <c r="B51" s="146"/>
      <c r="C51" s="146"/>
      <c r="D51" s="147"/>
      <c r="E51" s="148">
        <f>E49+E50</f>
        <v>759.48</v>
      </c>
      <c r="F51" s="148"/>
      <c r="G51" s="148"/>
      <c r="H51" s="120"/>
    </row>
    <row r="52" spans="1:8" ht="30" customHeight="1" x14ac:dyDescent="0.3">
      <c r="A52" s="104">
        <v>45684</v>
      </c>
      <c r="B52" s="8" t="s">
        <v>9</v>
      </c>
      <c r="C52" s="9">
        <v>724.04</v>
      </c>
      <c r="D52" s="10" t="s">
        <v>11</v>
      </c>
      <c r="E52" s="106">
        <v>695.82</v>
      </c>
      <c r="F52" s="106"/>
      <c r="G52" s="106"/>
      <c r="H52" s="107" t="s">
        <v>29</v>
      </c>
    </row>
    <row r="53" spans="1:8" ht="30" customHeight="1" x14ac:dyDescent="0.3">
      <c r="A53" s="105"/>
      <c r="B53" s="8" t="s">
        <v>10</v>
      </c>
      <c r="C53" s="9">
        <v>35.44</v>
      </c>
      <c r="D53" s="10" t="s">
        <v>10</v>
      </c>
      <c r="E53" s="106">
        <v>43.8</v>
      </c>
      <c r="F53" s="106"/>
      <c r="G53" s="106"/>
      <c r="H53" s="107"/>
    </row>
    <row r="54" spans="1:8" ht="30" customHeight="1" x14ac:dyDescent="0.35">
      <c r="A54" s="108" t="s">
        <v>13</v>
      </c>
      <c r="B54" s="108"/>
      <c r="C54" s="108"/>
      <c r="D54" s="108"/>
      <c r="E54" s="109">
        <f>SUM(E52:G53)</f>
        <v>739.62</v>
      </c>
      <c r="F54" s="110"/>
      <c r="G54" s="111"/>
      <c r="H54" s="107"/>
    </row>
    <row r="55" spans="1:8" ht="30" customHeight="1" x14ac:dyDescent="0.3">
      <c r="A55" s="104">
        <v>45685</v>
      </c>
      <c r="B55" s="8" t="s">
        <v>9</v>
      </c>
      <c r="C55" s="9">
        <v>695.82</v>
      </c>
      <c r="D55" s="10" t="s">
        <v>11</v>
      </c>
      <c r="E55" s="106">
        <v>794.8</v>
      </c>
      <c r="F55" s="106"/>
      <c r="G55" s="106"/>
      <c r="H55" s="105" t="s">
        <v>30</v>
      </c>
    </row>
    <row r="56" spans="1:8" ht="30" customHeight="1" x14ac:dyDescent="0.3">
      <c r="A56" s="105"/>
      <c r="B56" s="8" t="s">
        <v>10</v>
      </c>
      <c r="C56" s="9">
        <v>43.8</v>
      </c>
      <c r="D56" s="10" t="s">
        <v>10</v>
      </c>
      <c r="E56" s="106">
        <v>32.14</v>
      </c>
      <c r="F56" s="106"/>
      <c r="G56" s="106"/>
      <c r="H56" s="105"/>
    </row>
    <row r="57" spans="1:8" ht="30" customHeight="1" x14ac:dyDescent="0.35">
      <c r="A57" s="108" t="s">
        <v>13</v>
      </c>
      <c r="B57" s="108"/>
      <c r="C57" s="108"/>
      <c r="D57" s="108"/>
      <c r="E57" s="109">
        <f>SUM(E55:G56)</f>
        <v>826.93999999999994</v>
      </c>
      <c r="F57" s="110"/>
      <c r="G57" s="111"/>
      <c r="H57" s="105"/>
    </row>
    <row r="58" spans="1:8" ht="30" customHeight="1" x14ac:dyDescent="0.3">
      <c r="A58" s="104">
        <v>45686</v>
      </c>
      <c r="B58" s="8" t="s">
        <v>9</v>
      </c>
      <c r="C58" s="9">
        <v>794.8</v>
      </c>
      <c r="D58" s="10" t="s">
        <v>11</v>
      </c>
      <c r="E58" s="106">
        <v>719.9</v>
      </c>
      <c r="F58" s="106"/>
      <c r="G58" s="106"/>
      <c r="H58" s="107" t="s">
        <v>31</v>
      </c>
    </row>
    <row r="59" spans="1:8" ht="30" customHeight="1" x14ac:dyDescent="0.3">
      <c r="A59" s="105"/>
      <c r="B59" s="8" t="s">
        <v>10</v>
      </c>
      <c r="C59" s="9">
        <v>32.14</v>
      </c>
      <c r="D59" s="10" t="s">
        <v>10</v>
      </c>
      <c r="E59" s="106">
        <v>87.15</v>
      </c>
      <c r="F59" s="106"/>
      <c r="G59" s="106"/>
      <c r="H59" s="107"/>
    </row>
    <row r="60" spans="1:8" ht="30" customHeight="1" x14ac:dyDescent="0.35">
      <c r="A60" s="108" t="s">
        <v>13</v>
      </c>
      <c r="B60" s="108"/>
      <c r="C60" s="108"/>
      <c r="D60" s="108"/>
      <c r="E60" s="109">
        <f>SUM(E58:G59)</f>
        <v>807.05</v>
      </c>
      <c r="F60" s="110"/>
      <c r="G60" s="111"/>
      <c r="H60" s="107"/>
    </row>
    <row r="61" spans="1:8" ht="30" customHeight="1" x14ac:dyDescent="0.3">
      <c r="A61" s="104">
        <v>45687</v>
      </c>
      <c r="B61" s="8" t="s">
        <v>9</v>
      </c>
      <c r="C61" s="9">
        <v>719.9</v>
      </c>
      <c r="D61" s="10" t="s">
        <v>11</v>
      </c>
      <c r="E61" s="106">
        <v>291.47000000000003</v>
      </c>
      <c r="F61" s="106"/>
      <c r="G61" s="106"/>
      <c r="H61" s="107" t="s">
        <v>32</v>
      </c>
    </row>
    <row r="62" spans="1:8" ht="30" customHeight="1" x14ac:dyDescent="0.3">
      <c r="A62" s="105"/>
      <c r="B62" s="8" t="s">
        <v>10</v>
      </c>
      <c r="C62" s="9">
        <v>87.15</v>
      </c>
      <c r="D62" s="10" t="s">
        <v>10</v>
      </c>
      <c r="E62" s="106">
        <v>531.17999999999995</v>
      </c>
      <c r="F62" s="106"/>
      <c r="G62" s="106"/>
      <c r="H62" s="105"/>
    </row>
    <row r="63" spans="1:8" ht="30" customHeight="1" x14ac:dyDescent="0.35">
      <c r="A63" s="108" t="s">
        <v>13</v>
      </c>
      <c r="B63" s="108"/>
      <c r="C63" s="108"/>
      <c r="D63" s="108"/>
      <c r="E63" s="109">
        <f>E61+E62</f>
        <v>822.65</v>
      </c>
      <c r="F63" s="110"/>
      <c r="G63" s="111"/>
      <c r="H63" s="105"/>
    </row>
    <row r="64" spans="1:8" ht="30" customHeight="1" x14ac:dyDescent="0.3">
      <c r="A64" s="104">
        <v>45688</v>
      </c>
      <c r="B64" s="8" t="s">
        <v>9</v>
      </c>
      <c r="C64" s="9">
        <v>291.47000000000003</v>
      </c>
      <c r="D64" s="10" t="s">
        <v>11</v>
      </c>
      <c r="E64" s="106">
        <v>478.83</v>
      </c>
      <c r="F64" s="106"/>
      <c r="G64" s="106"/>
      <c r="H64" s="107"/>
    </row>
    <row r="65" spans="1:8" ht="30" customHeight="1" x14ac:dyDescent="0.3">
      <c r="A65" s="105"/>
      <c r="B65" s="8" t="s">
        <v>10</v>
      </c>
      <c r="C65" s="9">
        <v>531.17999999999995</v>
      </c>
      <c r="D65" s="10" t="s">
        <v>10</v>
      </c>
      <c r="E65" s="106">
        <v>235.35</v>
      </c>
      <c r="F65" s="106"/>
      <c r="G65" s="106"/>
      <c r="H65" s="107"/>
    </row>
    <row r="66" spans="1:8" ht="30" customHeight="1" x14ac:dyDescent="0.35">
      <c r="A66" s="108" t="s">
        <v>13</v>
      </c>
      <c r="B66" s="108"/>
      <c r="C66" s="108"/>
      <c r="D66" s="108"/>
      <c r="E66" s="109">
        <f>E64+E65</f>
        <v>714.18</v>
      </c>
      <c r="F66" s="110"/>
      <c r="G66" s="111"/>
      <c r="H66" s="107"/>
    </row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</sheetData>
  <mergeCells count="127">
    <mergeCell ref="A4:H4"/>
    <mergeCell ref="A49:A50"/>
    <mergeCell ref="H49:H51"/>
    <mergeCell ref="A51:D51"/>
    <mergeCell ref="E49:G49"/>
    <mergeCell ref="E50:G50"/>
    <mergeCell ref="E51:G51"/>
    <mergeCell ref="A58:A59"/>
    <mergeCell ref="E58:G58"/>
    <mergeCell ref="H58:H60"/>
    <mergeCell ref="E59:G59"/>
    <mergeCell ref="A60:D60"/>
    <mergeCell ref="E60:G60"/>
    <mergeCell ref="A52:A53"/>
    <mergeCell ref="E52:G52"/>
    <mergeCell ref="H52:H54"/>
    <mergeCell ref="E53:G53"/>
    <mergeCell ref="A54:D54"/>
    <mergeCell ref="E54:G54"/>
    <mergeCell ref="A55:A56"/>
    <mergeCell ref="E55:G55"/>
    <mergeCell ref="H55:H57"/>
    <mergeCell ref="E56:G56"/>
    <mergeCell ref="A57:D57"/>
    <mergeCell ref="E57:G57"/>
    <mergeCell ref="A28:A29"/>
    <mergeCell ref="H28:H30"/>
    <mergeCell ref="A30:D30"/>
    <mergeCell ref="E34:G34"/>
    <mergeCell ref="E35:G35"/>
    <mergeCell ref="E36:G36"/>
    <mergeCell ref="E31:G31"/>
    <mergeCell ref="A31:A32"/>
    <mergeCell ref="H31:H33"/>
    <mergeCell ref="A33:D33"/>
    <mergeCell ref="A34:A35"/>
    <mergeCell ref="H34:H36"/>
    <mergeCell ref="A36:D36"/>
    <mergeCell ref="E32:G32"/>
    <mergeCell ref="E33:G33"/>
    <mergeCell ref="E28:G28"/>
    <mergeCell ref="E29:G29"/>
    <mergeCell ref="E30:G30"/>
    <mergeCell ref="A43:A44"/>
    <mergeCell ref="H43:H45"/>
    <mergeCell ref="A45:D45"/>
    <mergeCell ref="A46:A47"/>
    <mergeCell ref="H46:H48"/>
    <mergeCell ref="A10:A11"/>
    <mergeCell ref="H10:H12"/>
    <mergeCell ref="H13:H15"/>
    <mergeCell ref="H16:H18"/>
    <mergeCell ref="E9:G9"/>
    <mergeCell ref="E10:G10"/>
    <mergeCell ref="A18:D18"/>
    <mergeCell ref="E15:G15"/>
    <mergeCell ref="E16:G16"/>
    <mergeCell ref="A15:D15"/>
    <mergeCell ref="A16:A17"/>
    <mergeCell ref="E14:G14"/>
    <mergeCell ref="E13:G13"/>
    <mergeCell ref="E17:G17"/>
    <mergeCell ref="E18:G18"/>
    <mergeCell ref="E19:G19"/>
    <mergeCell ref="E22:G22"/>
    <mergeCell ref="E23:G23"/>
    <mergeCell ref="E24:G24"/>
    <mergeCell ref="C1:G1"/>
    <mergeCell ref="E7:G7"/>
    <mergeCell ref="E8:G8"/>
    <mergeCell ref="C2:G2"/>
    <mergeCell ref="G3:H3"/>
    <mergeCell ref="C3:F3"/>
    <mergeCell ref="H19:H21"/>
    <mergeCell ref="B6:C6"/>
    <mergeCell ref="D6:G6"/>
    <mergeCell ref="E20:G20"/>
    <mergeCell ref="E21:G21"/>
    <mergeCell ref="A21:D21"/>
    <mergeCell ref="E11:G11"/>
    <mergeCell ref="E12:G12"/>
    <mergeCell ref="A12:D12"/>
    <mergeCell ref="A7:A8"/>
    <mergeCell ref="A13:A14"/>
    <mergeCell ref="A19:A20"/>
    <mergeCell ref="A9:D9"/>
    <mergeCell ref="H7:H9"/>
    <mergeCell ref="A22:A23"/>
    <mergeCell ref="H22:H24"/>
    <mergeCell ref="A24:D24"/>
    <mergeCell ref="A25:A26"/>
    <mergeCell ref="H25:H27"/>
    <mergeCell ref="A27:D27"/>
    <mergeCell ref="E25:G25"/>
    <mergeCell ref="E26:G26"/>
    <mergeCell ref="E27:G27"/>
    <mergeCell ref="A48:D48"/>
    <mergeCell ref="E46:G46"/>
    <mergeCell ref="E43:G43"/>
    <mergeCell ref="E44:G44"/>
    <mergeCell ref="E45:G45"/>
    <mergeCell ref="E47:G47"/>
    <mergeCell ref="E48:G48"/>
    <mergeCell ref="A37:A38"/>
    <mergeCell ref="H37:H39"/>
    <mergeCell ref="A39:D39"/>
    <mergeCell ref="E37:G37"/>
    <mergeCell ref="E38:G38"/>
    <mergeCell ref="E39:G39"/>
    <mergeCell ref="A40:A41"/>
    <mergeCell ref="H40:H42"/>
    <mergeCell ref="A42:D42"/>
    <mergeCell ref="E40:G40"/>
    <mergeCell ref="E42:G42"/>
    <mergeCell ref="E41:G41"/>
    <mergeCell ref="A61:A62"/>
    <mergeCell ref="E61:G61"/>
    <mergeCell ref="H61:H63"/>
    <mergeCell ref="E62:G62"/>
    <mergeCell ref="A63:D63"/>
    <mergeCell ref="E63:G63"/>
    <mergeCell ref="A64:A65"/>
    <mergeCell ref="E64:G64"/>
    <mergeCell ref="H64:H66"/>
    <mergeCell ref="E65:G65"/>
    <mergeCell ref="A66:D66"/>
    <mergeCell ref="E66:G66"/>
  </mergeCells>
  <phoneticPr fontId="1" type="noConversion"/>
  <printOptions horizontalCentered="1"/>
  <pageMargins left="0" right="0" top="0" bottom="0" header="0" footer="0"/>
  <pageSetup paperSize="9" scale="67" orientation="landscape" horizontalDpi="4294967294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11" r:id="rId4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5" name="Drop Down 4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6" name="Drop Down 5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EF9A-7266-46C2-BF5E-AC80177D1099}">
  <sheetPr>
    <tabColor rgb="FFFF0000"/>
  </sheetPr>
  <dimension ref="A1:K77"/>
  <sheetViews>
    <sheetView showGridLines="0" zoomScaleNormal="100" workbookViewId="0">
      <pane ySplit="4" topLeftCell="A5" activePane="bottomLeft" state="frozen"/>
      <selection pane="bottomLeft" activeCell="A6" sqref="A6:A7"/>
    </sheetView>
  </sheetViews>
  <sheetFormatPr defaultRowHeight="13.2" x14ac:dyDescent="0.25"/>
  <cols>
    <col min="1" max="1" width="15.109375" bestFit="1" customWidth="1"/>
    <col min="2" max="2" width="12.6640625" bestFit="1" customWidth="1"/>
    <col min="3" max="3" width="14" bestFit="1" customWidth="1"/>
    <col min="4" max="4" width="12.6640625" bestFit="1" customWidth="1"/>
    <col min="8" max="8" width="48.6640625" style="61" customWidth="1"/>
    <col min="11" max="11" width="12.44140625" bestFit="1" customWidth="1"/>
  </cols>
  <sheetData>
    <row r="1" spans="1:11" ht="37.5" customHeight="1" x14ac:dyDescent="0.25">
      <c r="A1" s="11"/>
      <c r="B1" s="12"/>
      <c r="C1" s="128" t="s">
        <v>6</v>
      </c>
      <c r="D1" s="129"/>
      <c r="E1" s="129"/>
      <c r="F1" s="129"/>
      <c r="G1" s="129"/>
      <c r="H1" s="59" t="s">
        <v>1</v>
      </c>
    </row>
    <row r="2" spans="1:11" ht="25.8" x14ac:dyDescent="0.25">
      <c r="A2" s="14"/>
      <c r="B2" s="1"/>
      <c r="C2" s="130" t="s">
        <v>3</v>
      </c>
      <c r="D2" s="130"/>
      <c r="E2" s="130"/>
      <c r="F2" s="130"/>
      <c r="G2" s="130"/>
      <c r="H2" s="60" t="s">
        <v>0</v>
      </c>
    </row>
    <row r="3" spans="1:11" ht="26.4" thickBot="1" x14ac:dyDescent="0.3">
      <c r="A3" s="16"/>
      <c r="B3" s="17"/>
      <c r="C3" s="133" t="s">
        <v>2</v>
      </c>
      <c r="D3" s="134"/>
      <c r="E3" s="134"/>
      <c r="F3" s="135"/>
      <c r="G3" s="131" t="s">
        <v>88</v>
      </c>
      <c r="H3" s="132"/>
    </row>
    <row r="4" spans="1:11" s="2" customFormat="1" ht="30" customHeight="1" thickBot="1" x14ac:dyDescent="0.35">
      <c r="A4" s="162" t="s">
        <v>24</v>
      </c>
      <c r="B4" s="163"/>
      <c r="C4" s="163"/>
      <c r="D4" s="163"/>
      <c r="E4" s="163"/>
      <c r="F4" s="163"/>
      <c r="G4" s="163"/>
      <c r="H4" s="164"/>
    </row>
    <row r="5" spans="1:11" s="2" customFormat="1" ht="30" customHeight="1" thickBot="1" x14ac:dyDescent="0.35">
      <c r="A5" s="77"/>
      <c r="B5" s="78"/>
      <c r="C5" s="78"/>
      <c r="D5" s="78"/>
      <c r="E5" s="78"/>
      <c r="F5" s="78"/>
      <c r="G5" s="78"/>
      <c r="H5" s="79"/>
    </row>
    <row r="6" spans="1:11" s="2" customFormat="1" ht="30" customHeight="1" x14ac:dyDescent="0.3">
      <c r="A6" s="149">
        <v>45689</v>
      </c>
      <c r="B6" s="5" t="s">
        <v>9</v>
      </c>
      <c r="C6" s="6">
        <v>478.83</v>
      </c>
      <c r="D6" s="7" t="s">
        <v>11</v>
      </c>
      <c r="E6" s="115">
        <v>478.83</v>
      </c>
      <c r="F6" s="115"/>
      <c r="G6" s="115"/>
      <c r="H6" s="151"/>
    </row>
    <row r="7" spans="1:11" s="2" customFormat="1" ht="30" customHeight="1" x14ac:dyDescent="0.3">
      <c r="A7" s="150"/>
      <c r="B7" s="8" t="s">
        <v>10</v>
      </c>
      <c r="C7" s="9">
        <v>235.35</v>
      </c>
      <c r="D7" s="10" t="s">
        <v>10</v>
      </c>
      <c r="E7" s="106">
        <v>97.37</v>
      </c>
      <c r="F7" s="106"/>
      <c r="G7" s="106"/>
      <c r="H7" s="152"/>
    </row>
    <row r="8" spans="1:11" s="2" customFormat="1" ht="30" customHeight="1" thickBot="1" x14ac:dyDescent="0.4">
      <c r="A8" s="154" t="s">
        <v>13</v>
      </c>
      <c r="B8" s="155"/>
      <c r="C8" s="155"/>
      <c r="D8" s="155"/>
      <c r="E8" s="156">
        <f>SUM(E6:G7)</f>
        <v>576.20000000000005</v>
      </c>
      <c r="F8" s="157"/>
      <c r="G8" s="158"/>
      <c r="H8" s="153"/>
    </row>
    <row r="9" spans="1:11" s="2" customFormat="1" ht="30" customHeight="1" x14ac:dyDescent="0.3">
      <c r="A9" s="149">
        <v>45691</v>
      </c>
      <c r="B9" s="5" t="s">
        <v>9</v>
      </c>
      <c r="C9" s="6">
        <v>478.83</v>
      </c>
      <c r="D9" s="7" t="s">
        <v>11</v>
      </c>
      <c r="E9" s="115">
        <v>532.14</v>
      </c>
      <c r="F9" s="115"/>
      <c r="G9" s="115"/>
      <c r="H9" s="151" t="s">
        <v>19</v>
      </c>
      <c r="K9" s="21"/>
    </row>
    <row r="10" spans="1:11" s="2" customFormat="1" ht="30" customHeight="1" x14ac:dyDescent="0.3">
      <c r="A10" s="150"/>
      <c r="B10" s="8" t="s">
        <v>10</v>
      </c>
      <c r="C10" s="9">
        <v>97.37</v>
      </c>
      <c r="D10" s="10" t="s">
        <v>10</v>
      </c>
      <c r="E10" s="106">
        <v>140</v>
      </c>
      <c r="F10" s="106"/>
      <c r="G10" s="106"/>
      <c r="H10" s="152"/>
    </row>
    <row r="11" spans="1:11" s="2" customFormat="1" ht="30" customHeight="1" thickBot="1" x14ac:dyDescent="0.4">
      <c r="A11" s="154" t="s">
        <v>13</v>
      </c>
      <c r="B11" s="155"/>
      <c r="C11" s="155"/>
      <c r="D11" s="155"/>
      <c r="E11" s="156">
        <f>SUM(E9:G10)</f>
        <v>672.14</v>
      </c>
      <c r="F11" s="157"/>
      <c r="G11" s="158"/>
      <c r="H11" s="153"/>
    </row>
    <row r="12" spans="1:11" s="2" customFormat="1" ht="30" customHeight="1" x14ac:dyDescent="0.3">
      <c r="A12" s="149">
        <v>45692</v>
      </c>
      <c r="B12" s="5" t="s">
        <v>9</v>
      </c>
      <c r="C12" s="6">
        <v>532.14</v>
      </c>
      <c r="D12" s="7" t="s">
        <v>11</v>
      </c>
      <c r="E12" s="115">
        <v>577.62</v>
      </c>
      <c r="F12" s="115"/>
      <c r="G12" s="115"/>
      <c r="H12" s="151" t="s">
        <v>23</v>
      </c>
    </row>
    <row r="13" spans="1:11" s="2" customFormat="1" ht="30" customHeight="1" x14ac:dyDescent="0.3">
      <c r="A13" s="150"/>
      <c r="B13" s="8" t="s">
        <v>10</v>
      </c>
      <c r="C13" s="9">
        <v>140</v>
      </c>
      <c r="D13" s="10" t="s">
        <v>10</v>
      </c>
      <c r="E13" s="106">
        <v>73.13</v>
      </c>
      <c r="F13" s="106"/>
      <c r="G13" s="106"/>
      <c r="H13" s="152"/>
    </row>
    <row r="14" spans="1:11" s="2" customFormat="1" ht="30" customHeight="1" thickBot="1" x14ac:dyDescent="0.4">
      <c r="A14" s="154" t="s">
        <v>13</v>
      </c>
      <c r="B14" s="155"/>
      <c r="C14" s="155"/>
      <c r="D14" s="155"/>
      <c r="E14" s="156">
        <f>SUM(E12:G13)</f>
        <v>650.75</v>
      </c>
      <c r="F14" s="157"/>
      <c r="G14" s="158"/>
      <c r="H14" s="153"/>
    </row>
    <row r="15" spans="1:11" s="2" customFormat="1" ht="30" customHeight="1" x14ac:dyDescent="0.3">
      <c r="A15" s="149">
        <v>45693</v>
      </c>
      <c r="B15" s="5" t="s">
        <v>9</v>
      </c>
      <c r="C15" s="6">
        <v>577.62</v>
      </c>
      <c r="D15" s="7" t="s">
        <v>11</v>
      </c>
      <c r="E15" s="115">
        <v>622.47</v>
      </c>
      <c r="F15" s="115"/>
      <c r="G15" s="115"/>
      <c r="H15" s="151"/>
    </row>
    <row r="16" spans="1:11" s="2" customFormat="1" ht="30" customHeight="1" x14ac:dyDescent="0.3">
      <c r="A16" s="150"/>
      <c r="B16" s="8" t="s">
        <v>10</v>
      </c>
      <c r="C16" s="9">
        <v>73.13</v>
      </c>
      <c r="D16" s="10" t="s">
        <v>10</v>
      </c>
      <c r="E16" s="106">
        <v>157.51</v>
      </c>
      <c r="F16" s="106"/>
      <c r="G16" s="106"/>
      <c r="H16" s="152"/>
    </row>
    <row r="17" spans="1:8" s="2" customFormat="1" ht="30" customHeight="1" thickBot="1" x14ac:dyDescent="0.4">
      <c r="A17" s="154" t="s">
        <v>13</v>
      </c>
      <c r="B17" s="155"/>
      <c r="C17" s="155"/>
      <c r="D17" s="155"/>
      <c r="E17" s="156">
        <f>SUM(E15:G16)</f>
        <v>779.98</v>
      </c>
      <c r="F17" s="157"/>
      <c r="G17" s="158"/>
      <c r="H17" s="153"/>
    </row>
    <row r="18" spans="1:8" s="2" customFormat="1" ht="30" customHeight="1" x14ac:dyDescent="0.3">
      <c r="A18" s="149">
        <v>45694</v>
      </c>
      <c r="B18" s="5" t="s">
        <v>9</v>
      </c>
      <c r="C18" s="6">
        <v>622.47</v>
      </c>
      <c r="D18" s="7" t="s">
        <v>11</v>
      </c>
      <c r="E18" s="115">
        <v>543.63</v>
      </c>
      <c r="F18" s="115"/>
      <c r="G18" s="115"/>
      <c r="H18" s="151" t="s">
        <v>22</v>
      </c>
    </row>
    <row r="19" spans="1:8" s="2" customFormat="1" ht="30" customHeight="1" x14ac:dyDescent="0.3">
      <c r="A19" s="150"/>
      <c r="B19" s="8" t="s">
        <v>10</v>
      </c>
      <c r="C19" s="9">
        <v>157.51</v>
      </c>
      <c r="D19" s="10" t="s">
        <v>10</v>
      </c>
      <c r="E19" s="106">
        <v>273.82</v>
      </c>
      <c r="F19" s="106"/>
      <c r="G19" s="106"/>
      <c r="H19" s="152"/>
    </row>
    <row r="20" spans="1:8" s="2" customFormat="1" ht="30" customHeight="1" thickBot="1" x14ac:dyDescent="0.4">
      <c r="A20" s="154" t="s">
        <v>13</v>
      </c>
      <c r="B20" s="155"/>
      <c r="C20" s="155"/>
      <c r="D20" s="155"/>
      <c r="E20" s="156">
        <f>SUM(E18:G19)</f>
        <v>817.45</v>
      </c>
      <c r="F20" s="157"/>
      <c r="G20" s="158"/>
      <c r="H20" s="153"/>
    </row>
    <row r="21" spans="1:8" s="2" customFormat="1" ht="30" customHeight="1" x14ac:dyDescent="0.3">
      <c r="A21" s="149">
        <v>45695</v>
      </c>
      <c r="B21" s="5" t="s">
        <v>9</v>
      </c>
      <c r="C21" s="6">
        <v>543.63</v>
      </c>
      <c r="D21" s="7" t="s">
        <v>11</v>
      </c>
      <c r="E21" s="115">
        <v>618.04</v>
      </c>
      <c r="F21" s="115"/>
      <c r="G21" s="115"/>
      <c r="H21" s="151" t="s">
        <v>87</v>
      </c>
    </row>
    <row r="22" spans="1:8" s="2" customFormat="1" ht="30" customHeight="1" x14ac:dyDescent="0.3">
      <c r="A22" s="150"/>
      <c r="B22" s="8" t="s">
        <v>10</v>
      </c>
      <c r="C22" s="9">
        <v>273.82</v>
      </c>
      <c r="D22" s="10" t="s">
        <v>10</v>
      </c>
      <c r="E22" s="106">
        <v>0</v>
      </c>
      <c r="F22" s="106"/>
      <c r="G22" s="106"/>
      <c r="H22" s="152"/>
    </row>
    <row r="23" spans="1:8" s="2" customFormat="1" ht="30" customHeight="1" thickBot="1" x14ac:dyDescent="0.4">
      <c r="A23" s="154" t="s">
        <v>13</v>
      </c>
      <c r="B23" s="155"/>
      <c r="C23" s="155"/>
      <c r="D23" s="155"/>
      <c r="E23" s="156">
        <f>SUM(E21:G22)</f>
        <v>618.04</v>
      </c>
      <c r="F23" s="157"/>
      <c r="G23" s="158"/>
      <c r="H23" s="153"/>
    </row>
    <row r="24" spans="1:8" s="2" customFormat="1" ht="30" customHeight="1" x14ac:dyDescent="0.3">
      <c r="A24" s="149">
        <v>45696</v>
      </c>
      <c r="B24" s="5" t="s">
        <v>9</v>
      </c>
      <c r="C24" s="6">
        <v>618.04</v>
      </c>
      <c r="D24" s="7" t="s">
        <v>11</v>
      </c>
      <c r="E24" s="115">
        <v>0</v>
      </c>
      <c r="F24" s="115"/>
      <c r="G24" s="115"/>
      <c r="H24" s="151"/>
    </row>
    <row r="25" spans="1:8" s="2" customFormat="1" ht="30" customHeight="1" x14ac:dyDescent="0.3">
      <c r="A25" s="150"/>
      <c r="B25" s="8" t="s">
        <v>10</v>
      </c>
      <c r="C25" s="9">
        <v>0</v>
      </c>
      <c r="D25" s="10" t="s">
        <v>10</v>
      </c>
      <c r="E25" s="106">
        <v>172.91</v>
      </c>
      <c r="F25" s="106"/>
      <c r="G25" s="106"/>
      <c r="H25" s="152"/>
    </row>
    <row r="26" spans="1:8" s="2" customFormat="1" ht="30" customHeight="1" thickBot="1" x14ac:dyDescent="0.4">
      <c r="A26" s="154" t="s">
        <v>13</v>
      </c>
      <c r="B26" s="155"/>
      <c r="C26" s="155"/>
      <c r="D26" s="155"/>
      <c r="E26" s="156">
        <f>SUM(E24:G25)</f>
        <v>172.91</v>
      </c>
      <c r="F26" s="157"/>
      <c r="G26" s="158"/>
      <c r="H26" s="153"/>
    </row>
    <row r="27" spans="1:8" s="2" customFormat="1" ht="30" customHeight="1" x14ac:dyDescent="0.3">
      <c r="A27" s="149">
        <v>45698</v>
      </c>
      <c r="B27" s="5" t="s">
        <v>9</v>
      </c>
      <c r="C27" s="6">
        <v>618.04</v>
      </c>
      <c r="D27" s="7" t="s">
        <v>11</v>
      </c>
      <c r="E27" s="115">
        <v>627.37</v>
      </c>
      <c r="F27" s="115"/>
      <c r="G27" s="115"/>
      <c r="H27" s="151"/>
    </row>
    <row r="28" spans="1:8" s="2" customFormat="1" ht="30" customHeight="1" x14ac:dyDescent="0.3">
      <c r="A28" s="150"/>
      <c r="B28" s="8" t="s">
        <v>10</v>
      </c>
      <c r="C28" s="9">
        <v>172.91</v>
      </c>
      <c r="D28" s="10" t="s">
        <v>10</v>
      </c>
      <c r="E28" s="106">
        <v>209.71</v>
      </c>
      <c r="F28" s="106"/>
      <c r="G28" s="106"/>
      <c r="H28" s="152"/>
    </row>
    <row r="29" spans="1:8" s="2" customFormat="1" ht="30" customHeight="1" thickBot="1" x14ac:dyDescent="0.4">
      <c r="A29" s="154" t="s">
        <v>13</v>
      </c>
      <c r="B29" s="155"/>
      <c r="C29" s="155"/>
      <c r="D29" s="155"/>
      <c r="E29" s="156">
        <f>SUM(E27:G28)</f>
        <v>837.08</v>
      </c>
      <c r="F29" s="157"/>
      <c r="G29" s="158"/>
      <c r="H29" s="153"/>
    </row>
    <row r="30" spans="1:8" s="2" customFormat="1" ht="30" customHeight="1" x14ac:dyDescent="0.3">
      <c r="A30" s="149">
        <v>45699</v>
      </c>
      <c r="B30" s="5" t="s">
        <v>9</v>
      </c>
      <c r="C30" s="6">
        <v>627.37</v>
      </c>
      <c r="D30" s="7" t="s">
        <v>11</v>
      </c>
      <c r="E30" s="115">
        <v>294.64</v>
      </c>
      <c r="F30" s="115"/>
      <c r="G30" s="115"/>
      <c r="H30" s="151" t="s">
        <v>15</v>
      </c>
    </row>
    <row r="31" spans="1:8" s="2" customFormat="1" ht="30" customHeight="1" x14ac:dyDescent="0.3">
      <c r="A31" s="150"/>
      <c r="B31" s="8" t="s">
        <v>10</v>
      </c>
      <c r="C31" s="9">
        <v>209.71</v>
      </c>
      <c r="D31" s="10" t="s">
        <v>10</v>
      </c>
      <c r="E31" s="106">
        <v>125.54</v>
      </c>
      <c r="F31" s="106"/>
      <c r="G31" s="106"/>
      <c r="H31" s="152"/>
    </row>
    <row r="32" spans="1:8" s="2" customFormat="1" ht="30" customHeight="1" thickBot="1" x14ac:dyDescent="0.35">
      <c r="A32" s="154" t="s">
        <v>14</v>
      </c>
      <c r="B32" s="155"/>
      <c r="C32" s="155"/>
      <c r="D32" s="155"/>
      <c r="E32" s="116">
        <v>594.64</v>
      </c>
      <c r="F32" s="116"/>
      <c r="G32" s="116"/>
      <c r="H32" s="153"/>
    </row>
    <row r="33" spans="1:8" s="2" customFormat="1" ht="30" customHeight="1" x14ac:dyDescent="0.35">
      <c r="A33" s="149">
        <v>45700</v>
      </c>
      <c r="B33" s="5" t="s">
        <v>9</v>
      </c>
      <c r="C33" s="6">
        <v>294.64</v>
      </c>
      <c r="D33" s="7" t="s">
        <v>11</v>
      </c>
      <c r="E33" s="165">
        <v>467.83</v>
      </c>
      <c r="F33" s="166"/>
      <c r="G33" s="167"/>
      <c r="H33" s="151"/>
    </row>
    <row r="34" spans="1:8" s="2" customFormat="1" ht="30" customHeight="1" x14ac:dyDescent="0.3">
      <c r="A34" s="150"/>
      <c r="B34" s="8" t="s">
        <v>10</v>
      </c>
      <c r="C34" s="9">
        <v>125.54</v>
      </c>
      <c r="D34" s="10" t="s">
        <v>10</v>
      </c>
      <c r="E34" s="106">
        <v>7.2</v>
      </c>
      <c r="F34" s="106"/>
      <c r="G34" s="106"/>
      <c r="H34" s="152"/>
    </row>
    <row r="35" spans="1:8" s="2" customFormat="1" ht="30" customHeight="1" thickBot="1" x14ac:dyDescent="0.4">
      <c r="A35" s="154" t="s">
        <v>13</v>
      </c>
      <c r="B35" s="155"/>
      <c r="C35" s="155"/>
      <c r="D35" s="155"/>
      <c r="E35" s="168">
        <f>SUM(E33:G34)</f>
        <v>475.03</v>
      </c>
      <c r="F35" s="157"/>
      <c r="G35" s="158"/>
      <c r="H35" s="153"/>
    </row>
    <row r="36" spans="1:8" s="2" customFormat="1" ht="30" customHeight="1" x14ac:dyDescent="0.3">
      <c r="A36" s="149">
        <v>45701</v>
      </c>
      <c r="B36" s="5" t="s">
        <v>9</v>
      </c>
      <c r="C36" s="6">
        <v>467.83</v>
      </c>
      <c r="D36" s="7" t="s">
        <v>11</v>
      </c>
      <c r="E36" s="115">
        <v>525.65</v>
      </c>
      <c r="F36" s="115"/>
      <c r="G36" s="115"/>
      <c r="H36" s="151" t="s">
        <v>18</v>
      </c>
    </row>
    <row r="37" spans="1:8" s="2" customFormat="1" ht="30" customHeight="1" x14ac:dyDescent="0.3">
      <c r="A37" s="150"/>
      <c r="B37" s="8" t="s">
        <v>10</v>
      </c>
      <c r="C37" s="9">
        <v>7.2</v>
      </c>
      <c r="D37" s="10" t="s">
        <v>10</v>
      </c>
      <c r="E37" s="106">
        <v>218.26</v>
      </c>
      <c r="F37" s="106"/>
      <c r="G37" s="106"/>
      <c r="H37" s="152"/>
    </row>
    <row r="38" spans="1:8" s="2" customFormat="1" ht="30" customHeight="1" thickBot="1" x14ac:dyDescent="0.4">
      <c r="A38" s="154" t="s">
        <v>14</v>
      </c>
      <c r="B38" s="155"/>
      <c r="C38" s="155"/>
      <c r="D38" s="155"/>
      <c r="E38" s="156">
        <f>SUM(E36:G37)</f>
        <v>743.91</v>
      </c>
      <c r="F38" s="157"/>
      <c r="G38" s="158"/>
      <c r="H38" s="153"/>
    </row>
    <row r="39" spans="1:8" s="2" customFormat="1" ht="30" customHeight="1" x14ac:dyDescent="0.3">
      <c r="A39" s="149">
        <v>45702</v>
      </c>
      <c r="B39" s="5" t="s">
        <v>9</v>
      </c>
      <c r="C39" s="6">
        <v>525.65</v>
      </c>
      <c r="D39" s="7" t="s">
        <v>11</v>
      </c>
      <c r="E39" s="115">
        <v>537.86</v>
      </c>
      <c r="F39" s="115"/>
      <c r="G39" s="115"/>
      <c r="H39" s="151" t="s">
        <v>16</v>
      </c>
    </row>
    <row r="40" spans="1:8" s="2" customFormat="1" ht="30" customHeight="1" x14ac:dyDescent="0.3">
      <c r="A40" s="150"/>
      <c r="B40" s="8" t="s">
        <v>10</v>
      </c>
      <c r="C40" s="9">
        <v>218.26</v>
      </c>
      <c r="D40" s="10" t="s">
        <v>10</v>
      </c>
      <c r="E40" s="106">
        <v>57.41</v>
      </c>
      <c r="F40" s="106"/>
      <c r="G40" s="106"/>
      <c r="H40" s="152"/>
    </row>
    <row r="41" spans="1:8" s="2" customFormat="1" ht="30" customHeight="1" thickBot="1" x14ac:dyDescent="0.4">
      <c r="A41" s="154" t="s">
        <v>13</v>
      </c>
      <c r="B41" s="155"/>
      <c r="C41" s="155"/>
      <c r="D41" s="155"/>
      <c r="E41" s="156">
        <f>SUM(E39:G40)</f>
        <v>595.27</v>
      </c>
      <c r="F41" s="157"/>
      <c r="G41" s="158"/>
      <c r="H41" s="153"/>
    </row>
    <row r="42" spans="1:8" s="2" customFormat="1" ht="30" customHeight="1" x14ac:dyDescent="0.3">
      <c r="A42" s="149">
        <v>45703</v>
      </c>
      <c r="B42" s="5" t="s">
        <v>9</v>
      </c>
      <c r="C42" s="6">
        <v>537.86</v>
      </c>
      <c r="D42" s="7" t="s">
        <v>11</v>
      </c>
      <c r="E42" s="115">
        <v>681.58</v>
      </c>
      <c r="F42" s="115"/>
      <c r="G42" s="115"/>
      <c r="H42" s="151"/>
    </row>
    <row r="43" spans="1:8" s="2" customFormat="1" ht="30" customHeight="1" x14ac:dyDescent="0.3">
      <c r="A43" s="150"/>
      <c r="B43" s="8" t="s">
        <v>10</v>
      </c>
      <c r="C43" s="9">
        <v>57.41</v>
      </c>
      <c r="D43" s="10" t="s">
        <v>10</v>
      </c>
      <c r="E43" s="106">
        <v>101.96</v>
      </c>
      <c r="F43" s="106"/>
      <c r="G43" s="106"/>
      <c r="H43" s="152"/>
    </row>
    <row r="44" spans="1:8" s="2" customFormat="1" ht="30" customHeight="1" thickBot="1" x14ac:dyDescent="0.4">
      <c r="A44" s="154" t="s">
        <v>13</v>
      </c>
      <c r="B44" s="155"/>
      <c r="C44" s="155"/>
      <c r="D44" s="155"/>
      <c r="E44" s="156">
        <f>SUM(E42:G43)</f>
        <v>783.54000000000008</v>
      </c>
      <c r="F44" s="157"/>
      <c r="G44" s="158"/>
      <c r="H44" s="153"/>
    </row>
    <row r="45" spans="1:8" s="2" customFormat="1" ht="30" customHeight="1" x14ac:dyDescent="0.3">
      <c r="A45" s="149">
        <v>45705</v>
      </c>
      <c r="B45" s="5" t="s">
        <v>9</v>
      </c>
      <c r="C45" s="6">
        <v>595.27</v>
      </c>
      <c r="D45" s="7" t="s">
        <v>11</v>
      </c>
      <c r="E45" s="115">
        <v>650.76</v>
      </c>
      <c r="F45" s="115"/>
      <c r="G45" s="115"/>
      <c r="H45" s="151" t="s">
        <v>89</v>
      </c>
    </row>
    <row r="46" spans="1:8" s="2" customFormat="1" ht="30" customHeight="1" x14ac:dyDescent="0.3">
      <c r="A46" s="150"/>
      <c r="B46" s="8" t="s">
        <v>10</v>
      </c>
      <c r="C46" s="9">
        <v>101.96</v>
      </c>
      <c r="D46" s="10" t="s">
        <v>10</v>
      </c>
      <c r="E46" s="106">
        <v>79.13</v>
      </c>
      <c r="F46" s="106"/>
      <c r="G46" s="106"/>
      <c r="H46" s="152"/>
    </row>
    <row r="47" spans="1:8" s="2" customFormat="1" ht="30" customHeight="1" thickBot="1" x14ac:dyDescent="0.4">
      <c r="A47" s="154" t="s">
        <v>13</v>
      </c>
      <c r="B47" s="155"/>
      <c r="C47" s="155"/>
      <c r="D47" s="155"/>
      <c r="E47" s="156">
        <f>SUM(E45:G46)</f>
        <v>729.89</v>
      </c>
      <c r="F47" s="157"/>
      <c r="G47" s="158"/>
      <c r="H47" s="153"/>
    </row>
    <row r="48" spans="1:8" s="2" customFormat="1" ht="30" customHeight="1" x14ac:dyDescent="0.3">
      <c r="A48" s="149">
        <v>45706</v>
      </c>
      <c r="B48" s="5" t="s">
        <v>9</v>
      </c>
      <c r="C48" s="6">
        <v>650.76</v>
      </c>
      <c r="D48" s="7" t="s">
        <v>11</v>
      </c>
      <c r="E48" s="115">
        <v>645.22</v>
      </c>
      <c r="F48" s="115"/>
      <c r="G48" s="115"/>
      <c r="H48" s="151" t="s">
        <v>17</v>
      </c>
    </row>
    <row r="49" spans="1:8" s="2" customFormat="1" ht="30" customHeight="1" x14ac:dyDescent="0.3">
      <c r="A49" s="150"/>
      <c r="B49" s="8" t="s">
        <v>10</v>
      </c>
      <c r="C49" s="9">
        <v>79.13</v>
      </c>
      <c r="D49" s="10" t="s">
        <v>10</v>
      </c>
      <c r="E49" s="106">
        <v>463.81</v>
      </c>
      <c r="F49" s="106"/>
      <c r="G49" s="106"/>
      <c r="H49" s="152"/>
    </row>
    <row r="50" spans="1:8" s="2" customFormat="1" ht="30" customHeight="1" thickBot="1" x14ac:dyDescent="0.4">
      <c r="A50" s="154" t="s">
        <v>13</v>
      </c>
      <c r="B50" s="155"/>
      <c r="C50" s="155"/>
      <c r="D50" s="155"/>
      <c r="E50" s="156">
        <f>SUM(E48:G49)</f>
        <v>1109.03</v>
      </c>
      <c r="F50" s="157"/>
      <c r="G50" s="158"/>
      <c r="H50" s="153"/>
    </row>
    <row r="51" spans="1:8" s="2" customFormat="1" ht="30" customHeight="1" x14ac:dyDescent="0.3">
      <c r="A51" s="149">
        <v>45707</v>
      </c>
      <c r="B51" s="5" t="s">
        <v>9</v>
      </c>
      <c r="C51" s="6">
        <v>645.22</v>
      </c>
      <c r="D51" s="7" t="s">
        <v>11</v>
      </c>
      <c r="E51" s="115">
        <v>882.9</v>
      </c>
      <c r="F51" s="115"/>
      <c r="G51" s="115"/>
      <c r="H51" s="151" t="s">
        <v>33</v>
      </c>
    </row>
    <row r="52" spans="1:8" s="2" customFormat="1" ht="30" customHeight="1" x14ac:dyDescent="0.3">
      <c r="A52" s="150"/>
      <c r="B52" s="8" t="s">
        <v>10</v>
      </c>
      <c r="C52" s="9">
        <v>463.81</v>
      </c>
      <c r="D52" s="10" t="s">
        <v>10</v>
      </c>
      <c r="E52" s="106">
        <v>13.56</v>
      </c>
      <c r="F52" s="106"/>
      <c r="G52" s="106"/>
      <c r="H52" s="152"/>
    </row>
    <row r="53" spans="1:8" s="2" customFormat="1" ht="30" customHeight="1" thickBot="1" x14ac:dyDescent="0.4">
      <c r="A53" s="154" t="s">
        <v>13</v>
      </c>
      <c r="B53" s="155"/>
      <c r="C53" s="155"/>
      <c r="D53" s="155"/>
      <c r="E53" s="156">
        <f>SUM(E51:G52)</f>
        <v>896.45999999999992</v>
      </c>
      <c r="F53" s="157"/>
      <c r="G53" s="158"/>
      <c r="H53" s="153"/>
    </row>
    <row r="54" spans="1:8" s="2" customFormat="1" ht="30" customHeight="1" x14ac:dyDescent="0.3">
      <c r="A54" s="149">
        <v>45708</v>
      </c>
      <c r="B54" s="5" t="s">
        <v>9</v>
      </c>
      <c r="C54" s="6">
        <v>882.9</v>
      </c>
      <c r="D54" s="7" t="s">
        <v>11</v>
      </c>
      <c r="E54" s="115">
        <v>792.52</v>
      </c>
      <c r="F54" s="115"/>
      <c r="G54" s="115"/>
      <c r="H54" s="151" t="s">
        <v>90</v>
      </c>
    </row>
    <row r="55" spans="1:8" s="2" customFormat="1" ht="30" customHeight="1" x14ac:dyDescent="0.3">
      <c r="A55" s="150"/>
      <c r="B55" s="8" t="s">
        <v>10</v>
      </c>
      <c r="C55" s="9">
        <v>13.56</v>
      </c>
      <c r="D55" s="10" t="s">
        <v>10</v>
      </c>
      <c r="E55" s="106">
        <v>154</v>
      </c>
      <c r="F55" s="106"/>
      <c r="G55" s="106"/>
      <c r="H55" s="152"/>
    </row>
    <row r="56" spans="1:8" s="2" customFormat="1" ht="30" customHeight="1" thickBot="1" x14ac:dyDescent="0.4">
      <c r="A56" s="154" t="s">
        <v>13</v>
      </c>
      <c r="B56" s="155"/>
      <c r="C56" s="155"/>
      <c r="D56" s="155"/>
      <c r="E56" s="156">
        <f>SUM(E54:G55)</f>
        <v>946.52</v>
      </c>
      <c r="F56" s="157"/>
      <c r="G56" s="158"/>
      <c r="H56" s="153"/>
    </row>
    <row r="57" spans="1:8" s="2" customFormat="1" ht="30" customHeight="1" x14ac:dyDescent="0.3">
      <c r="A57" s="149">
        <v>45709</v>
      </c>
      <c r="B57" s="5" t="s">
        <v>9</v>
      </c>
      <c r="C57" s="6">
        <v>792.55</v>
      </c>
      <c r="D57" s="7" t="s">
        <v>11</v>
      </c>
      <c r="E57" s="115">
        <v>872.15</v>
      </c>
      <c r="F57" s="115"/>
      <c r="G57" s="115"/>
      <c r="H57" s="151"/>
    </row>
    <row r="58" spans="1:8" s="2" customFormat="1" ht="30" customHeight="1" x14ac:dyDescent="0.3">
      <c r="A58" s="150"/>
      <c r="B58" s="8" t="s">
        <v>10</v>
      </c>
      <c r="C58" s="9">
        <v>154</v>
      </c>
      <c r="D58" s="10" t="s">
        <v>10</v>
      </c>
      <c r="E58" s="106">
        <v>127.42</v>
      </c>
      <c r="F58" s="106"/>
      <c r="G58" s="106"/>
      <c r="H58" s="152"/>
    </row>
    <row r="59" spans="1:8" s="2" customFormat="1" ht="30" customHeight="1" thickBot="1" x14ac:dyDescent="0.4">
      <c r="A59" s="154" t="s">
        <v>13</v>
      </c>
      <c r="B59" s="155"/>
      <c r="C59" s="155"/>
      <c r="D59" s="155"/>
      <c r="E59" s="156">
        <f>SUM(E57:G58)</f>
        <v>999.56999999999994</v>
      </c>
      <c r="F59" s="157"/>
      <c r="G59" s="158"/>
      <c r="H59" s="153"/>
    </row>
    <row r="60" spans="1:8" s="2" customFormat="1" ht="30" customHeight="1" x14ac:dyDescent="0.3">
      <c r="A60" s="149">
        <v>45710</v>
      </c>
      <c r="B60" s="5" t="s">
        <v>9</v>
      </c>
      <c r="C60" s="6">
        <v>872.15</v>
      </c>
      <c r="D60" s="7" t="s">
        <v>11</v>
      </c>
      <c r="E60" s="115">
        <v>822.14</v>
      </c>
      <c r="F60" s="115"/>
      <c r="G60" s="115"/>
      <c r="H60" s="151" t="s">
        <v>91</v>
      </c>
    </row>
    <row r="61" spans="1:8" s="2" customFormat="1" ht="30" customHeight="1" x14ac:dyDescent="0.3">
      <c r="A61" s="150"/>
      <c r="B61" s="8" t="s">
        <v>10</v>
      </c>
      <c r="C61" s="9">
        <v>127.42</v>
      </c>
      <c r="D61" s="10" t="s">
        <v>10</v>
      </c>
      <c r="E61" s="106">
        <v>72.91</v>
      </c>
      <c r="F61" s="106"/>
      <c r="G61" s="106"/>
      <c r="H61" s="152"/>
    </row>
    <row r="62" spans="1:8" s="2" customFormat="1" ht="30" customHeight="1" thickBot="1" x14ac:dyDescent="0.4">
      <c r="A62" s="154" t="s">
        <v>13</v>
      </c>
      <c r="B62" s="155"/>
      <c r="C62" s="155"/>
      <c r="D62" s="155"/>
      <c r="E62" s="159">
        <f>SUM(E60:G61)</f>
        <v>895.05</v>
      </c>
      <c r="F62" s="160"/>
      <c r="G62" s="161"/>
      <c r="H62" s="153"/>
    </row>
    <row r="63" spans="1:8" s="2" customFormat="1" ht="30" customHeight="1" x14ac:dyDescent="0.3">
      <c r="A63" s="149">
        <v>45712</v>
      </c>
      <c r="B63" s="5" t="s">
        <v>9</v>
      </c>
      <c r="C63" s="6">
        <v>822.15</v>
      </c>
      <c r="D63" s="7" t="s">
        <v>11</v>
      </c>
      <c r="E63" s="115">
        <v>842.53</v>
      </c>
      <c r="F63" s="115"/>
      <c r="G63" s="115"/>
      <c r="H63" s="151" t="s">
        <v>92</v>
      </c>
    </row>
    <row r="64" spans="1:8" s="2" customFormat="1" ht="30" customHeight="1" x14ac:dyDescent="0.3">
      <c r="A64" s="150"/>
      <c r="B64" s="8" t="s">
        <v>10</v>
      </c>
      <c r="C64" s="9">
        <v>72.91</v>
      </c>
      <c r="D64" s="10" t="s">
        <v>10</v>
      </c>
      <c r="E64" s="106">
        <v>172.29</v>
      </c>
      <c r="F64" s="106"/>
      <c r="G64" s="106"/>
      <c r="H64" s="152"/>
    </row>
    <row r="65" spans="1:8" s="2" customFormat="1" ht="30" customHeight="1" thickBot="1" x14ac:dyDescent="0.4">
      <c r="A65" s="154" t="s">
        <v>13</v>
      </c>
      <c r="B65" s="155"/>
      <c r="C65" s="155"/>
      <c r="D65" s="155"/>
      <c r="E65" s="156">
        <f>SUM(E63:G64)</f>
        <v>1014.8199999999999</v>
      </c>
      <c r="F65" s="157"/>
      <c r="G65" s="158"/>
      <c r="H65" s="153"/>
    </row>
    <row r="66" spans="1:8" s="2" customFormat="1" ht="30" customHeight="1" x14ac:dyDescent="0.3">
      <c r="A66" s="149">
        <v>45713</v>
      </c>
      <c r="B66" s="5" t="s">
        <v>9</v>
      </c>
      <c r="C66" s="6">
        <v>842.53</v>
      </c>
      <c r="D66" s="7" t="s">
        <v>11</v>
      </c>
      <c r="E66" s="115">
        <v>607.03</v>
      </c>
      <c r="F66" s="115"/>
      <c r="G66" s="115"/>
      <c r="H66" s="151" t="s">
        <v>93</v>
      </c>
    </row>
    <row r="67" spans="1:8" s="2" customFormat="1" ht="30" customHeight="1" x14ac:dyDescent="0.3">
      <c r="A67" s="150"/>
      <c r="B67" s="8" t="s">
        <v>10</v>
      </c>
      <c r="C67" s="9">
        <v>172.29</v>
      </c>
      <c r="D67" s="10" t="s">
        <v>10</v>
      </c>
      <c r="E67" s="106">
        <v>182.7</v>
      </c>
      <c r="F67" s="106"/>
      <c r="G67" s="106"/>
      <c r="H67" s="152"/>
    </row>
    <row r="68" spans="1:8" s="2" customFormat="1" ht="30" customHeight="1" thickBot="1" x14ac:dyDescent="0.4">
      <c r="A68" s="154" t="s">
        <v>13</v>
      </c>
      <c r="B68" s="155"/>
      <c r="C68" s="155"/>
      <c r="D68" s="155"/>
      <c r="E68" s="156">
        <f>SUM(E66:G67)</f>
        <v>789.73</v>
      </c>
      <c r="F68" s="157"/>
      <c r="G68" s="158"/>
      <c r="H68" s="153"/>
    </row>
    <row r="69" spans="1:8" s="2" customFormat="1" ht="30" customHeight="1" x14ac:dyDescent="0.3">
      <c r="A69" s="149">
        <v>45714</v>
      </c>
      <c r="B69" s="5" t="s">
        <v>9</v>
      </c>
      <c r="C69" s="6">
        <v>607.03</v>
      </c>
      <c r="D69" s="7" t="s">
        <v>11</v>
      </c>
      <c r="E69" s="115">
        <v>647.62</v>
      </c>
      <c r="F69" s="115"/>
      <c r="G69" s="115"/>
      <c r="H69" s="151"/>
    </row>
    <row r="70" spans="1:8" s="2" customFormat="1" ht="30" customHeight="1" x14ac:dyDescent="0.3">
      <c r="A70" s="150"/>
      <c r="B70" s="8" t="s">
        <v>10</v>
      </c>
      <c r="C70" s="9">
        <v>182.7</v>
      </c>
      <c r="D70" s="10" t="s">
        <v>10</v>
      </c>
      <c r="E70" s="106">
        <v>124.58</v>
      </c>
      <c r="F70" s="106"/>
      <c r="G70" s="106"/>
      <c r="H70" s="152"/>
    </row>
    <row r="71" spans="1:8" ht="18.600000000000001" thickBot="1" x14ac:dyDescent="0.4">
      <c r="A71" s="154" t="s">
        <v>13</v>
      </c>
      <c r="B71" s="155"/>
      <c r="C71" s="155"/>
      <c r="D71" s="155"/>
      <c r="E71" s="156">
        <f>SUM(E69:G70)</f>
        <v>772.2</v>
      </c>
      <c r="F71" s="157"/>
      <c r="G71" s="158"/>
      <c r="H71" s="153"/>
    </row>
    <row r="72" spans="1:8" ht="18" x14ac:dyDescent="0.25">
      <c r="A72" s="149">
        <v>45715</v>
      </c>
      <c r="B72" s="5" t="s">
        <v>9</v>
      </c>
      <c r="C72" s="6">
        <v>647.62</v>
      </c>
      <c r="D72" s="7" t="s">
        <v>11</v>
      </c>
      <c r="E72" s="115">
        <v>648.38</v>
      </c>
      <c r="F72" s="115"/>
      <c r="G72" s="115"/>
      <c r="H72" s="151" t="s">
        <v>35</v>
      </c>
    </row>
    <row r="73" spans="1:8" ht="18" x14ac:dyDescent="0.25">
      <c r="A73" s="150"/>
      <c r="B73" s="8" t="s">
        <v>10</v>
      </c>
      <c r="C73" s="9">
        <v>124.58</v>
      </c>
      <c r="D73" s="10" t="s">
        <v>10</v>
      </c>
      <c r="E73" s="106">
        <v>139.79</v>
      </c>
      <c r="F73" s="106"/>
      <c r="G73" s="106"/>
      <c r="H73" s="152"/>
    </row>
    <row r="74" spans="1:8" ht="18.600000000000001" thickBot="1" x14ac:dyDescent="0.4">
      <c r="A74" s="154" t="s">
        <v>13</v>
      </c>
      <c r="B74" s="155"/>
      <c r="C74" s="155"/>
      <c r="D74" s="155"/>
      <c r="E74" s="156">
        <f>SUM(E72:G73)</f>
        <v>788.17</v>
      </c>
      <c r="F74" s="157"/>
      <c r="G74" s="158"/>
      <c r="H74" s="153"/>
    </row>
    <row r="75" spans="1:8" ht="18" x14ac:dyDescent="0.25">
      <c r="A75" s="149">
        <v>45716</v>
      </c>
      <c r="B75" s="5" t="s">
        <v>9</v>
      </c>
      <c r="C75" s="6">
        <v>648.38</v>
      </c>
      <c r="D75" s="7" t="s">
        <v>11</v>
      </c>
      <c r="E75" s="115">
        <v>715.74</v>
      </c>
      <c r="F75" s="115"/>
      <c r="G75" s="115"/>
      <c r="H75" s="151"/>
    </row>
    <row r="76" spans="1:8" ht="18" x14ac:dyDescent="0.25">
      <c r="A76" s="150"/>
      <c r="B76" s="8" t="s">
        <v>10</v>
      </c>
      <c r="C76" s="9">
        <v>139.79</v>
      </c>
      <c r="D76" s="10" t="s">
        <v>10</v>
      </c>
      <c r="E76" s="106">
        <v>108.93</v>
      </c>
      <c r="F76" s="106"/>
      <c r="G76" s="106"/>
      <c r="H76" s="152"/>
    </row>
    <row r="77" spans="1:8" ht="18.600000000000001" thickBot="1" x14ac:dyDescent="0.4">
      <c r="A77" s="154" t="s">
        <v>13</v>
      </c>
      <c r="B77" s="155"/>
      <c r="C77" s="155"/>
      <c r="D77" s="155"/>
      <c r="E77" s="156">
        <f>SUM(E75:G76)</f>
        <v>824.67000000000007</v>
      </c>
      <c r="F77" s="157"/>
      <c r="G77" s="158"/>
      <c r="H77" s="153"/>
    </row>
  </sheetData>
  <mergeCells count="149">
    <mergeCell ref="A75:A76"/>
    <mergeCell ref="E75:G75"/>
    <mergeCell ref="H75:H77"/>
    <mergeCell ref="E76:G76"/>
    <mergeCell ref="A77:D77"/>
    <mergeCell ref="E77:G77"/>
    <mergeCell ref="A24:A25"/>
    <mergeCell ref="E24:G24"/>
    <mergeCell ref="H24:H26"/>
    <mergeCell ref="E25:G25"/>
    <mergeCell ref="A26:D26"/>
    <mergeCell ref="E26:G26"/>
    <mergeCell ref="A30:A31"/>
    <mergeCell ref="E30:G30"/>
    <mergeCell ref="H30:H32"/>
    <mergeCell ref="E31:G31"/>
    <mergeCell ref="A32:D32"/>
    <mergeCell ref="A33:A34"/>
    <mergeCell ref="E32:G32"/>
    <mergeCell ref="H33:H35"/>
    <mergeCell ref="E34:G34"/>
    <mergeCell ref="A35:D35"/>
    <mergeCell ref="E35:G35"/>
    <mergeCell ref="A42:A43"/>
    <mergeCell ref="A4:H4"/>
    <mergeCell ref="E33:G33"/>
    <mergeCell ref="A27:A28"/>
    <mergeCell ref="E27:G27"/>
    <mergeCell ref="H27:H29"/>
    <mergeCell ref="E28:G28"/>
    <mergeCell ref="A29:D29"/>
    <mergeCell ref="E29:G29"/>
    <mergeCell ref="A21:A22"/>
    <mergeCell ref="E21:G21"/>
    <mergeCell ref="A18:A19"/>
    <mergeCell ref="E18:G18"/>
    <mergeCell ref="H18:H20"/>
    <mergeCell ref="E19:G19"/>
    <mergeCell ref="A20:D20"/>
    <mergeCell ref="E20:G20"/>
    <mergeCell ref="H21:H23"/>
    <mergeCell ref="E22:G22"/>
    <mergeCell ref="A23:D23"/>
    <mergeCell ref="E23:G23"/>
    <mergeCell ref="A12:A13"/>
    <mergeCell ref="E12:G12"/>
    <mergeCell ref="H12:H14"/>
    <mergeCell ref="E13:G13"/>
    <mergeCell ref="A14:D14"/>
    <mergeCell ref="E14:G14"/>
    <mergeCell ref="A15:A16"/>
    <mergeCell ref="E15:G15"/>
    <mergeCell ref="H15:H17"/>
    <mergeCell ref="E16:G16"/>
    <mergeCell ref="A17:D17"/>
    <mergeCell ref="E17:G17"/>
    <mergeCell ref="A6:A7"/>
    <mergeCell ref="E6:G6"/>
    <mergeCell ref="H6:H8"/>
    <mergeCell ref="E7:G7"/>
    <mergeCell ref="A8:D8"/>
    <mergeCell ref="E8:G8"/>
    <mergeCell ref="A9:A10"/>
    <mergeCell ref="E9:G9"/>
    <mergeCell ref="H9:H11"/>
    <mergeCell ref="E10:G10"/>
    <mergeCell ref="A11:D11"/>
    <mergeCell ref="E11:G11"/>
    <mergeCell ref="E42:G42"/>
    <mergeCell ref="H42:H44"/>
    <mergeCell ref="E43:G43"/>
    <mergeCell ref="A44:D44"/>
    <mergeCell ref="E44:G44"/>
    <mergeCell ref="A36:A37"/>
    <mergeCell ref="E36:G36"/>
    <mergeCell ref="H36:H38"/>
    <mergeCell ref="E37:G37"/>
    <mergeCell ref="A38:D38"/>
    <mergeCell ref="E38:G38"/>
    <mergeCell ref="A39:A40"/>
    <mergeCell ref="E39:G39"/>
    <mergeCell ref="H39:H41"/>
    <mergeCell ref="E40:G40"/>
    <mergeCell ref="A41:D41"/>
    <mergeCell ref="E41:G41"/>
    <mergeCell ref="A48:A49"/>
    <mergeCell ref="E48:G48"/>
    <mergeCell ref="H48:H50"/>
    <mergeCell ref="E49:G49"/>
    <mergeCell ref="A50:D50"/>
    <mergeCell ref="E50:G50"/>
    <mergeCell ref="A45:A46"/>
    <mergeCell ref="E45:G45"/>
    <mergeCell ref="H45:H47"/>
    <mergeCell ref="E46:G46"/>
    <mergeCell ref="A47:D47"/>
    <mergeCell ref="E47:G47"/>
    <mergeCell ref="H57:H59"/>
    <mergeCell ref="E58:G58"/>
    <mergeCell ref="A59:D59"/>
    <mergeCell ref="E59:G59"/>
    <mergeCell ref="A51:A52"/>
    <mergeCell ref="E51:G51"/>
    <mergeCell ref="H51:H53"/>
    <mergeCell ref="E52:G52"/>
    <mergeCell ref="A53:D53"/>
    <mergeCell ref="E53:G53"/>
    <mergeCell ref="A54:A55"/>
    <mergeCell ref="E54:G54"/>
    <mergeCell ref="H54:H56"/>
    <mergeCell ref="E55:G55"/>
    <mergeCell ref="A56:D56"/>
    <mergeCell ref="E56:G56"/>
    <mergeCell ref="C1:G1"/>
    <mergeCell ref="C2:G2"/>
    <mergeCell ref="C3:F3"/>
    <mergeCell ref="G3:H3"/>
    <mergeCell ref="A66:A67"/>
    <mergeCell ref="E66:G66"/>
    <mergeCell ref="H66:H68"/>
    <mergeCell ref="E67:G67"/>
    <mergeCell ref="A68:D68"/>
    <mergeCell ref="E68:G68"/>
    <mergeCell ref="A63:A64"/>
    <mergeCell ref="E63:G63"/>
    <mergeCell ref="H63:H65"/>
    <mergeCell ref="E64:G64"/>
    <mergeCell ref="A65:D65"/>
    <mergeCell ref="E65:G65"/>
    <mergeCell ref="A60:A61"/>
    <mergeCell ref="E60:G60"/>
    <mergeCell ref="H60:H62"/>
    <mergeCell ref="E61:G61"/>
    <mergeCell ref="A62:D62"/>
    <mergeCell ref="E62:G62"/>
    <mergeCell ref="A57:A58"/>
    <mergeCell ref="E57:G57"/>
    <mergeCell ref="A69:A70"/>
    <mergeCell ref="E69:G69"/>
    <mergeCell ref="H69:H71"/>
    <mergeCell ref="E70:G70"/>
    <mergeCell ref="A71:D71"/>
    <mergeCell ref="E71:G71"/>
    <mergeCell ref="A72:A73"/>
    <mergeCell ref="E72:G72"/>
    <mergeCell ref="H72:H74"/>
    <mergeCell ref="E73:G73"/>
    <mergeCell ref="A74:D74"/>
    <mergeCell ref="E74:G74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4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62DB-24A4-4835-839E-15123AEFCD26}">
  <sheetPr>
    <tabColor rgb="FFFC80D3"/>
  </sheetPr>
  <dimension ref="A1:H78"/>
  <sheetViews>
    <sheetView showGridLines="0" workbookViewId="0">
      <pane ySplit="4" topLeftCell="A5" activePane="bottomLeft" state="frozen"/>
      <selection pane="bottomLeft" activeCell="A6" sqref="A6:A7"/>
    </sheetView>
  </sheetViews>
  <sheetFormatPr defaultRowHeight="13.2" x14ac:dyDescent="0.25"/>
  <cols>
    <col min="1" max="2" width="15.109375" customWidth="1"/>
    <col min="3" max="3" width="13.5546875" customWidth="1"/>
    <col min="4" max="4" width="13.44140625" customWidth="1"/>
    <col min="7" max="7" width="12.5546875" customWidth="1"/>
    <col min="8" max="8" width="72.6640625" style="61" customWidth="1"/>
  </cols>
  <sheetData>
    <row r="1" spans="1:8" ht="37.5" customHeight="1" x14ac:dyDescent="0.25">
      <c r="A1" s="11"/>
      <c r="B1" s="12"/>
      <c r="C1" s="128" t="s">
        <v>6</v>
      </c>
      <c r="D1" s="129"/>
      <c r="E1" s="129"/>
      <c r="F1" s="129"/>
      <c r="G1" s="129"/>
      <c r="H1" s="59" t="s">
        <v>1</v>
      </c>
    </row>
    <row r="2" spans="1:8" ht="25.8" x14ac:dyDescent="0.25">
      <c r="A2" s="14"/>
      <c r="B2" s="1"/>
      <c r="C2" s="130" t="s">
        <v>3</v>
      </c>
      <c r="D2" s="130"/>
      <c r="E2" s="130"/>
      <c r="F2" s="130"/>
      <c r="G2" s="130"/>
      <c r="H2" s="60" t="s">
        <v>0</v>
      </c>
    </row>
    <row r="3" spans="1:8" ht="26.4" thickBot="1" x14ac:dyDescent="0.3">
      <c r="A3" s="16"/>
      <c r="B3" s="17"/>
      <c r="C3" s="133" t="s">
        <v>2</v>
      </c>
      <c r="D3" s="134"/>
      <c r="E3" s="134"/>
      <c r="F3" s="135"/>
      <c r="G3" s="131" t="s">
        <v>88</v>
      </c>
      <c r="H3" s="132"/>
    </row>
    <row r="4" spans="1:8" ht="26.4" thickBot="1" x14ac:dyDescent="0.3">
      <c r="A4" s="174" t="s">
        <v>36</v>
      </c>
      <c r="B4" s="175"/>
      <c r="C4" s="175"/>
      <c r="D4" s="175"/>
      <c r="E4" s="175"/>
      <c r="F4" s="175"/>
      <c r="G4" s="175"/>
      <c r="H4" s="176"/>
    </row>
    <row r="5" spans="1:8" ht="26.4" thickBot="1" x14ac:dyDescent="0.3">
      <c r="A5" s="77"/>
      <c r="B5" s="78"/>
      <c r="C5" s="78"/>
      <c r="D5" s="78"/>
      <c r="E5" s="78"/>
      <c r="F5" s="78"/>
      <c r="G5" s="78"/>
      <c r="H5" s="79"/>
    </row>
    <row r="6" spans="1:8" ht="18" x14ac:dyDescent="0.25">
      <c r="A6" s="149">
        <v>45717</v>
      </c>
      <c r="B6" s="5" t="s">
        <v>9</v>
      </c>
      <c r="C6" s="6">
        <v>715.74</v>
      </c>
      <c r="D6" s="7" t="s">
        <v>11</v>
      </c>
      <c r="E6" s="115">
        <v>715.74</v>
      </c>
      <c r="F6" s="115"/>
      <c r="G6" s="115"/>
      <c r="H6" s="151"/>
    </row>
    <row r="7" spans="1:8" ht="18" x14ac:dyDescent="0.25">
      <c r="A7" s="150"/>
      <c r="B7" s="8" t="s">
        <v>10</v>
      </c>
      <c r="C7" s="9">
        <v>108.93</v>
      </c>
      <c r="D7" s="10" t="s">
        <v>10</v>
      </c>
      <c r="E7" s="106">
        <v>108.93</v>
      </c>
      <c r="F7" s="106"/>
      <c r="G7" s="106"/>
      <c r="H7" s="152"/>
    </row>
    <row r="8" spans="1:8" ht="18.600000000000001" thickBot="1" x14ac:dyDescent="0.4">
      <c r="A8" s="154" t="s">
        <v>13</v>
      </c>
      <c r="B8" s="155"/>
      <c r="C8" s="155"/>
      <c r="D8" s="155"/>
      <c r="E8" s="156">
        <f>SUM(E6:G7)</f>
        <v>824.67000000000007</v>
      </c>
      <c r="F8" s="157"/>
      <c r="G8" s="158"/>
      <c r="H8" s="153"/>
    </row>
    <row r="9" spans="1:8" ht="18" x14ac:dyDescent="0.25">
      <c r="A9" s="149">
        <v>45719</v>
      </c>
      <c r="B9" s="5" t="s">
        <v>9</v>
      </c>
      <c r="C9" s="6">
        <v>715.74</v>
      </c>
      <c r="D9" s="7" t="s">
        <v>11</v>
      </c>
      <c r="E9" s="115">
        <v>791.58</v>
      </c>
      <c r="F9" s="115"/>
      <c r="G9" s="115"/>
      <c r="H9" s="151"/>
    </row>
    <row r="10" spans="1:8" ht="18" x14ac:dyDescent="0.25">
      <c r="A10" s="150"/>
      <c r="B10" s="8" t="s">
        <v>10</v>
      </c>
      <c r="C10" s="9">
        <v>108.93</v>
      </c>
      <c r="D10" s="10" t="s">
        <v>10</v>
      </c>
      <c r="E10" s="106">
        <v>377.59</v>
      </c>
      <c r="F10" s="106"/>
      <c r="G10" s="106"/>
      <c r="H10" s="152"/>
    </row>
    <row r="11" spans="1:8" ht="18.600000000000001" thickBot="1" x14ac:dyDescent="0.4">
      <c r="A11" s="154" t="s">
        <v>13</v>
      </c>
      <c r="B11" s="155"/>
      <c r="C11" s="155"/>
      <c r="D11" s="155"/>
      <c r="E11" s="156">
        <f>SUM(E9:G10)</f>
        <v>1169.17</v>
      </c>
      <c r="F11" s="157"/>
      <c r="G11" s="158"/>
      <c r="H11" s="153"/>
    </row>
    <row r="12" spans="1:8" ht="18" x14ac:dyDescent="0.25">
      <c r="A12" s="149">
        <v>45721</v>
      </c>
      <c r="B12" s="5" t="s">
        <v>9</v>
      </c>
      <c r="C12" s="6">
        <v>791.58</v>
      </c>
      <c r="D12" s="7" t="s">
        <v>11</v>
      </c>
      <c r="E12" s="115">
        <v>808.71</v>
      </c>
      <c r="F12" s="115"/>
      <c r="G12" s="115"/>
      <c r="H12" s="151"/>
    </row>
    <row r="13" spans="1:8" ht="18" x14ac:dyDescent="0.25">
      <c r="A13" s="150"/>
      <c r="B13" s="8" t="s">
        <v>10</v>
      </c>
      <c r="C13" s="9">
        <v>377.59</v>
      </c>
      <c r="D13" s="10" t="s">
        <v>10</v>
      </c>
      <c r="E13" s="106">
        <v>287.98</v>
      </c>
      <c r="F13" s="106"/>
      <c r="G13" s="106"/>
      <c r="H13" s="152"/>
    </row>
    <row r="14" spans="1:8" ht="18.600000000000001" thickBot="1" x14ac:dyDescent="0.4">
      <c r="A14" s="154" t="s">
        <v>13</v>
      </c>
      <c r="B14" s="155"/>
      <c r="C14" s="155"/>
      <c r="D14" s="155"/>
      <c r="E14" s="156">
        <f>SUM(E12:G13)</f>
        <v>1096.69</v>
      </c>
      <c r="F14" s="157"/>
      <c r="G14" s="158"/>
      <c r="H14" s="177"/>
    </row>
    <row r="15" spans="1:8" ht="18.75" customHeight="1" x14ac:dyDescent="0.25">
      <c r="A15" s="149">
        <v>45722</v>
      </c>
      <c r="B15" s="5" t="s">
        <v>9</v>
      </c>
      <c r="C15" s="6">
        <v>808.71</v>
      </c>
      <c r="D15" s="7" t="s">
        <v>11</v>
      </c>
      <c r="E15" s="115">
        <v>532.25</v>
      </c>
      <c r="F15" s="115"/>
      <c r="G15" s="169"/>
      <c r="H15" s="170" t="s">
        <v>44</v>
      </c>
    </row>
    <row r="16" spans="1:8" ht="18" x14ac:dyDescent="0.25">
      <c r="A16" s="150"/>
      <c r="B16" s="8" t="s">
        <v>10</v>
      </c>
      <c r="C16" s="9">
        <v>287.98</v>
      </c>
      <c r="D16" s="10" t="s">
        <v>10</v>
      </c>
      <c r="E16" s="106">
        <v>369.84</v>
      </c>
      <c r="F16" s="106"/>
      <c r="G16" s="173"/>
      <c r="H16" s="171"/>
    </row>
    <row r="17" spans="1:8" ht="18.600000000000001" thickBot="1" x14ac:dyDescent="0.4">
      <c r="A17" s="154" t="s">
        <v>13</v>
      </c>
      <c r="B17" s="155"/>
      <c r="C17" s="155"/>
      <c r="D17" s="155"/>
      <c r="E17" s="156">
        <f>SUM(E15:G16)</f>
        <v>902.08999999999992</v>
      </c>
      <c r="F17" s="157"/>
      <c r="G17" s="157"/>
      <c r="H17" s="171"/>
    </row>
    <row r="18" spans="1:8" ht="0.75" customHeight="1" thickBot="1" x14ac:dyDescent="0.3">
      <c r="H18" s="172"/>
    </row>
    <row r="19" spans="1:8" ht="18.75" customHeight="1" x14ac:dyDescent="0.25">
      <c r="A19" s="149">
        <v>45723</v>
      </c>
      <c r="B19" s="5" t="s">
        <v>9</v>
      </c>
      <c r="C19" s="6">
        <v>532.25</v>
      </c>
      <c r="D19" s="7" t="s">
        <v>11</v>
      </c>
      <c r="E19" s="115">
        <v>653.64</v>
      </c>
      <c r="F19" s="115"/>
      <c r="G19" s="169"/>
      <c r="H19" s="170" t="s">
        <v>45</v>
      </c>
    </row>
    <row r="20" spans="1:8" ht="21.75" customHeight="1" x14ac:dyDescent="0.25">
      <c r="A20" s="150"/>
      <c r="B20" s="8" t="s">
        <v>10</v>
      </c>
      <c r="C20" s="9">
        <v>369.84</v>
      </c>
      <c r="D20" s="10" t="s">
        <v>10</v>
      </c>
      <c r="E20" s="106">
        <v>245.95</v>
      </c>
      <c r="F20" s="106"/>
      <c r="G20" s="173"/>
      <c r="H20" s="171"/>
    </row>
    <row r="21" spans="1:8" ht="18.600000000000001" thickBot="1" x14ac:dyDescent="0.4">
      <c r="A21" s="154" t="s">
        <v>13</v>
      </c>
      <c r="B21" s="155"/>
      <c r="C21" s="155"/>
      <c r="D21" s="155"/>
      <c r="E21" s="156">
        <f>SUM(E19:G20)</f>
        <v>899.58999999999992</v>
      </c>
      <c r="F21" s="157"/>
      <c r="G21" s="157"/>
      <c r="H21" s="172"/>
    </row>
    <row r="22" spans="1:8" ht="18" x14ac:dyDescent="0.25">
      <c r="A22" s="149">
        <v>45724</v>
      </c>
      <c r="B22" s="5" t="s">
        <v>9</v>
      </c>
      <c r="C22" s="6">
        <v>653.64</v>
      </c>
      <c r="D22" s="7" t="s">
        <v>11</v>
      </c>
      <c r="E22" s="115">
        <v>671.67</v>
      </c>
      <c r="F22" s="115"/>
      <c r="G22" s="169"/>
      <c r="H22" s="170" t="s">
        <v>37</v>
      </c>
    </row>
    <row r="23" spans="1:8" ht="18" x14ac:dyDescent="0.25">
      <c r="A23" s="150"/>
      <c r="B23" s="8" t="s">
        <v>10</v>
      </c>
      <c r="C23" s="9">
        <v>245.95</v>
      </c>
      <c r="D23" s="10" t="s">
        <v>10</v>
      </c>
      <c r="E23" s="106">
        <v>296.31</v>
      </c>
      <c r="F23" s="106"/>
      <c r="G23" s="173"/>
      <c r="H23" s="171"/>
    </row>
    <row r="24" spans="1:8" ht="18.600000000000001" thickBot="1" x14ac:dyDescent="0.4">
      <c r="A24" s="154" t="s">
        <v>13</v>
      </c>
      <c r="B24" s="155"/>
      <c r="C24" s="155"/>
      <c r="D24" s="155"/>
      <c r="E24" s="156">
        <f>SUM(E22:G23)</f>
        <v>967.98</v>
      </c>
      <c r="F24" s="157"/>
      <c r="G24" s="157"/>
      <c r="H24" s="172"/>
    </row>
    <row r="25" spans="1:8" ht="18" x14ac:dyDescent="0.25">
      <c r="A25" s="149">
        <v>45726</v>
      </c>
      <c r="B25" s="5" t="s">
        <v>9</v>
      </c>
      <c r="C25" s="6">
        <v>653.64</v>
      </c>
      <c r="D25" s="7" t="s">
        <v>11</v>
      </c>
      <c r="E25" s="115">
        <v>666.83</v>
      </c>
      <c r="F25" s="115"/>
      <c r="G25" s="169"/>
      <c r="H25" s="170" t="s">
        <v>38</v>
      </c>
    </row>
    <row r="26" spans="1:8" ht="18" x14ac:dyDescent="0.25">
      <c r="A26" s="150"/>
      <c r="B26" s="8" t="s">
        <v>10</v>
      </c>
      <c r="C26" s="9">
        <v>245.95</v>
      </c>
      <c r="D26" s="10" t="s">
        <v>10</v>
      </c>
      <c r="E26" s="106">
        <v>64.8</v>
      </c>
      <c r="F26" s="106"/>
      <c r="G26" s="173"/>
      <c r="H26" s="171"/>
    </row>
    <row r="27" spans="1:8" ht="18.600000000000001" thickBot="1" x14ac:dyDescent="0.4">
      <c r="A27" s="154" t="s">
        <v>13</v>
      </c>
      <c r="B27" s="155"/>
      <c r="C27" s="155"/>
      <c r="D27" s="155"/>
      <c r="E27" s="156">
        <f>SUM(E25:G26)</f>
        <v>731.63</v>
      </c>
      <c r="F27" s="157"/>
      <c r="G27" s="157"/>
      <c r="H27" s="172"/>
    </row>
    <row r="28" spans="1:8" ht="18" x14ac:dyDescent="0.25">
      <c r="A28" s="149">
        <v>45727</v>
      </c>
      <c r="B28" s="5" t="s">
        <v>9</v>
      </c>
      <c r="C28" s="6">
        <v>666.83</v>
      </c>
      <c r="D28" s="7" t="s">
        <v>11</v>
      </c>
      <c r="E28" s="115">
        <v>711.46</v>
      </c>
      <c r="F28" s="115"/>
      <c r="G28" s="169"/>
      <c r="H28" s="170"/>
    </row>
    <row r="29" spans="1:8" ht="18" x14ac:dyDescent="0.25">
      <c r="A29" s="150"/>
      <c r="B29" s="8" t="s">
        <v>10</v>
      </c>
      <c r="C29" s="9">
        <v>64.8</v>
      </c>
      <c r="D29" s="10" t="s">
        <v>10</v>
      </c>
      <c r="E29" s="106">
        <v>74.34</v>
      </c>
      <c r="F29" s="106"/>
      <c r="G29" s="173"/>
      <c r="H29" s="171"/>
    </row>
    <row r="30" spans="1:8" ht="18.600000000000001" thickBot="1" x14ac:dyDescent="0.4">
      <c r="A30" s="154" t="s">
        <v>13</v>
      </c>
      <c r="B30" s="155"/>
      <c r="C30" s="155"/>
      <c r="D30" s="155"/>
      <c r="E30" s="156">
        <f>SUM(E28:G29)</f>
        <v>785.80000000000007</v>
      </c>
      <c r="F30" s="157"/>
      <c r="G30" s="157"/>
      <c r="H30" s="172"/>
    </row>
    <row r="31" spans="1:8" ht="18" x14ac:dyDescent="0.25">
      <c r="A31" s="149">
        <v>45728</v>
      </c>
      <c r="B31" s="5" t="s">
        <v>9</v>
      </c>
      <c r="C31" s="6">
        <v>711.46</v>
      </c>
      <c r="D31" s="7" t="s">
        <v>11</v>
      </c>
      <c r="E31" s="115">
        <v>722.46</v>
      </c>
      <c r="F31" s="115"/>
      <c r="G31" s="169"/>
      <c r="H31" s="170"/>
    </row>
    <row r="32" spans="1:8" ht="18" x14ac:dyDescent="0.25">
      <c r="A32" s="150"/>
      <c r="B32" s="8" t="s">
        <v>10</v>
      </c>
      <c r="C32" s="9">
        <v>64.8</v>
      </c>
      <c r="D32" s="10" t="s">
        <v>10</v>
      </c>
      <c r="E32" s="106">
        <v>35.51</v>
      </c>
      <c r="F32" s="106"/>
      <c r="G32" s="173"/>
      <c r="H32" s="171"/>
    </row>
    <row r="33" spans="1:8" ht="18.600000000000001" thickBot="1" x14ac:dyDescent="0.4">
      <c r="A33" s="154" t="s">
        <v>13</v>
      </c>
      <c r="B33" s="155"/>
      <c r="C33" s="155"/>
      <c r="D33" s="155"/>
      <c r="E33" s="156">
        <f>SUM(E31:G32)</f>
        <v>757.97</v>
      </c>
      <c r="F33" s="157"/>
      <c r="G33" s="157"/>
      <c r="H33" s="172"/>
    </row>
    <row r="34" spans="1:8" ht="18" x14ac:dyDescent="0.25">
      <c r="A34" s="149">
        <v>45729</v>
      </c>
      <c r="B34" s="5" t="s">
        <v>9</v>
      </c>
      <c r="C34" s="6">
        <v>722.46</v>
      </c>
      <c r="D34" s="7" t="s">
        <v>11</v>
      </c>
      <c r="E34" s="115">
        <v>622.46</v>
      </c>
      <c r="F34" s="115"/>
      <c r="G34" s="169"/>
      <c r="H34" s="170" t="s">
        <v>94</v>
      </c>
    </row>
    <row r="35" spans="1:8" ht="18" x14ac:dyDescent="0.25">
      <c r="A35" s="150"/>
      <c r="B35" s="8" t="s">
        <v>10</v>
      </c>
      <c r="C35" s="9">
        <v>35.51</v>
      </c>
      <c r="D35" s="10" t="s">
        <v>10</v>
      </c>
      <c r="E35" s="106">
        <v>241.72</v>
      </c>
      <c r="F35" s="106"/>
      <c r="G35" s="173"/>
      <c r="H35" s="171"/>
    </row>
    <row r="36" spans="1:8" ht="18.600000000000001" thickBot="1" x14ac:dyDescent="0.4">
      <c r="A36" s="154" t="s">
        <v>13</v>
      </c>
      <c r="B36" s="155"/>
      <c r="C36" s="155"/>
      <c r="D36" s="155"/>
      <c r="E36" s="156">
        <f>SUM(E34:G35)</f>
        <v>864.18000000000006</v>
      </c>
      <c r="F36" s="157"/>
      <c r="G36" s="157"/>
      <c r="H36" s="172"/>
    </row>
    <row r="37" spans="1:8" ht="18" x14ac:dyDescent="0.25">
      <c r="A37" s="149">
        <v>45730</v>
      </c>
      <c r="B37" s="5" t="s">
        <v>9</v>
      </c>
      <c r="C37" s="6">
        <v>622.46</v>
      </c>
      <c r="D37" s="7" t="s">
        <v>11</v>
      </c>
      <c r="E37" s="115">
        <v>648.84</v>
      </c>
      <c r="F37" s="115"/>
      <c r="G37" s="169"/>
      <c r="H37" s="170"/>
    </row>
    <row r="38" spans="1:8" ht="18" x14ac:dyDescent="0.25">
      <c r="A38" s="150"/>
      <c r="B38" s="8" t="s">
        <v>10</v>
      </c>
      <c r="C38" s="9">
        <v>241.72</v>
      </c>
      <c r="D38" s="10" t="s">
        <v>10</v>
      </c>
      <c r="E38" s="106">
        <v>30</v>
      </c>
      <c r="F38" s="106"/>
      <c r="G38" s="173"/>
      <c r="H38" s="171"/>
    </row>
    <row r="39" spans="1:8" ht="18.600000000000001" thickBot="1" x14ac:dyDescent="0.4">
      <c r="A39" s="154" t="s">
        <v>13</v>
      </c>
      <c r="B39" s="155"/>
      <c r="C39" s="155"/>
      <c r="D39" s="155"/>
      <c r="E39" s="156">
        <f>SUM(E37:G38)</f>
        <v>678.84</v>
      </c>
      <c r="F39" s="157"/>
      <c r="G39" s="157"/>
      <c r="H39" s="172"/>
    </row>
    <row r="40" spans="1:8" ht="18" x14ac:dyDescent="0.25">
      <c r="A40" s="149">
        <v>45731</v>
      </c>
      <c r="B40" s="5" t="s">
        <v>9</v>
      </c>
      <c r="C40" s="6">
        <v>648.84</v>
      </c>
      <c r="D40" s="7" t="s">
        <v>11</v>
      </c>
      <c r="E40" s="115">
        <v>667.49</v>
      </c>
      <c r="F40" s="115"/>
      <c r="G40" s="169"/>
      <c r="H40" s="170"/>
    </row>
    <row r="41" spans="1:8" ht="18" x14ac:dyDescent="0.25">
      <c r="A41" s="150"/>
      <c r="B41" s="8" t="s">
        <v>10</v>
      </c>
      <c r="C41" s="9">
        <v>30</v>
      </c>
      <c r="D41" s="10" t="s">
        <v>10</v>
      </c>
      <c r="E41" s="106"/>
      <c r="F41" s="106"/>
      <c r="G41" s="173"/>
      <c r="H41" s="171"/>
    </row>
    <row r="42" spans="1:8" ht="18.600000000000001" thickBot="1" x14ac:dyDescent="0.4">
      <c r="A42" s="154" t="s">
        <v>13</v>
      </c>
      <c r="B42" s="155"/>
      <c r="C42" s="155"/>
      <c r="D42" s="155"/>
      <c r="E42" s="156">
        <f>SUM(E40:G41)</f>
        <v>667.49</v>
      </c>
      <c r="F42" s="157"/>
      <c r="G42" s="157"/>
      <c r="H42" s="172"/>
    </row>
    <row r="43" spans="1:8" ht="18" x14ac:dyDescent="0.25">
      <c r="A43" s="149">
        <v>45733</v>
      </c>
      <c r="B43" s="5" t="s">
        <v>9</v>
      </c>
      <c r="C43" s="6">
        <v>667.49</v>
      </c>
      <c r="D43" s="7" t="s">
        <v>11</v>
      </c>
      <c r="E43" s="115">
        <v>621.42999999999995</v>
      </c>
      <c r="F43" s="115"/>
      <c r="G43" s="169"/>
      <c r="H43" s="170" t="s">
        <v>46</v>
      </c>
    </row>
    <row r="44" spans="1:8" ht="18" x14ac:dyDescent="0.25">
      <c r="A44" s="150"/>
      <c r="B44" s="8" t="s">
        <v>10</v>
      </c>
      <c r="C44" s="9"/>
      <c r="D44" s="10" t="s">
        <v>10</v>
      </c>
      <c r="E44" s="106">
        <v>32.380000000000003</v>
      </c>
      <c r="F44" s="106"/>
      <c r="G44" s="173"/>
      <c r="H44" s="171"/>
    </row>
    <row r="45" spans="1:8" ht="18.600000000000001" thickBot="1" x14ac:dyDescent="0.4">
      <c r="A45" s="154" t="s">
        <v>13</v>
      </c>
      <c r="B45" s="155"/>
      <c r="C45" s="155"/>
      <c r="D45" s="155"/>
      <c r="E45" s="156">
        <f>SUM(E43:G44)</f>
        <v>653.80999999999995</v>
      </c>
      <c r="F45" s="157"/>
      <c r="G45" s="157"/>
      <c r="H45" s="172"/>
    </row>
    <row r="46" spans="1:8" ht="18" x14ac:dyDescent="0.25">
      <c r="A46" s="149">
        <v>45734</v>
      </c>
      <c r="B46" s="5" t="s">
        <v>9</v>
      </c>
      <c r="C46" s="6">
        <v>621.42999999999995</v>
      </c>
      <c r="D46" s="7" t="s">
        <v>11</v>
      </c>
      <c r="E46" s="115">
        <v>774.87</v>
      </c>
      <c r="F46" s="115"/>
      <c r="G46" s="169"/>
      <c r="H46" s="170" t="s">
        <v>43</v>
      </c>
    </row>
    <row r="47" spans="1:8" ht="18" x14ac:dyDescent="0.25">
      <c r="A47" s="150"/>
      <c r="B47" s="8" t="s">
        <v>10</v>
      </c>
      <c r="C47" s="9">
        <v>32.380000000000003</v>
      </c>
      <c r="D47" s="10" t="s">
        <v>10</v>
      </c>
      <c r="E47" s="106">
        <v>61.53</v>
      </c>
      <c r="F47" s="106"/>
      <c r="G47" s="173"/>
      <c r="H47" s="171"/>
    </row>
    <row r="48" spans="1:8" ht="18.600000000000001" thickBot="1" x14ac:dyDescent="0.4">
      <c r="A48" s="154" t="s">
        <v>13</v>
      </c>
      <c r="B48" s="155"/>
      <c r="C48" s="155"/>
      <c r="D48" s="155"/>
      <c r="E48" s="156">
        <f>SUM(E46:G47)</f>
        <v>836.4</v>
      </c>
      <c r="F48" s="157"/>
      <c r="G48" s="157"/>
      <c r="H48" s="172"/>
    </row>
    <row r="49" spans="1:8" ht="18" x14ac:dyDescent="0.25">
      <c r="A49" s="149">
        <v>45735</v>
      </c>
      <c r="B49" s="5" t="s">
        <v>9</v>
      </c>
      <c r="C49" s="6">
        <v>774.87</v>
      </c>
      <c r="D49" s="7" t="s">
        <v>11</v>
      </c>
      <c r="E49" s="115">
        <v>818.45</v>
      </c>
      <c r="F49" s="115"/>
      <c r="G49" s="169"/>
      <c r="H49" s="170"/>
    </row>
    <row r="50" spans="1:8" ht="18" x14ac:dyDescent="0.25">
      <c r="A50" s="150"/>
      <c r="B50" s="8" t="s">
        <v>10</v>
      </c>
      <c r="C50" s="9">
        <v>61.53</v>
      </c>
      <c r="D50" s="10" t="s">
        <v>10</v>
      </c>
      <c r="E50" s="106">
        <v>187.28</v>
      </c>
      <c r="F50" s="106"/>
      <c r="G50" s="173"/>
      <c r="H50" s="171"/>
    </row>
    <row r="51" spans="1:8" ht="18.600000000000001" thickBot="1" x14ac:dyDescent="0.4">
      <c r="A51" s="154" t="s">
        <v>13</v>
      </c>
      <c r="B51" s="155"/>
      <c r="C51" s="155"/>
      <c r="D51" s="155"/>
      <c r="E51" s="156">
        <f>SUM(E49:G50)</f>
        <v>1005.73</v>
      </c>
      <c r="F51" s="157"/>
      <c r="G51" s="157"/>
      <c r="H51" s="172"/>
    </row>
    <row r="52" spans="1:8" ht="18" x14ac:dyDescent="0.25">
      <c r="A52" s="149">
        <v>45736</v>
      </c>
      <c r="B52" s="5" t="s">
        <v>9</v>
      </c>
      <c r="C52" s="6">
        <v>818.45</v>
      </c>
      <c r="D52" s="7" t="s">
        <v>11</v>
      </c>
      <c r="E52" s="115">
        <v>505.97</v>
      </c>
      <c r="F52" s="115"/>
      <c r="G52" s="169"/>
      <c r="H52" s="170" t="s">
        <v>95</v>
      </c>
    </row>
    <row r="53" spans="1:8" ht="18" x14ac:dyDescent="0.25">
      <c r="A53" s="150"/>
      <c r="B53" s="8" t="s">
        <v>10</v>
      </c>
      <c r="C53" s="9">
        <v>187.28</v>
      </c>
      <c r="D53" s="10" t="s">
        <v>10</v>
      </c>
      <c r="E53" s="106">
        <v>111.24</v>
      </c>
      <c r="F53" s="106"/>
      <c r="G53" s="173"/>
      <c r="H53" s="171"/>
    </row>
    <row r="54" spans="1:8" ht="77.400000000000006" customHeight="1" thickBot="1" x14ac:dyDescent="0.4">
      <c r="A54" s="154" t="s">
        <v>13</v>
      </c>
      <c r="B54" s="155"/>
      <c r="C54" s="155"/>
      <c r="D54" s="155"/>
      <c r="E54" s="156">
        <f>SUM(E52:G53)</f>
        <v>617.21</v>
      </c>
      <c r="F54" s="157"/>
      <c r="G54" s="157"/>
      <c r="H54" s="172"/>
    </row>
    <row r="55" spans="1:8" ht="18" x14ac:dyDescent="0.25">
      <c r="A55" s="149">
        <v>45737</v>
      </c>
      <c r="B55" s="5" t="s">
        <v>9</v>
      </c>
      <c r="C55" s="6">
        <v>505.97</v>
      </c>
      <c r="D55" s="7" t="s">
        <v>11</v>
      </c>
      <c r="E55" s="115">
        <v>635.97</v>
      </c>
      <c r="F55" s="115"/>
      <c r="G55" s="169"/>
      <c r="H55" s="170" t="s">
        <v>42</v>
      </c>
    </row>
    <row r="56" spans="1:8" ht="18" x14ac:dyDescent="0.25">
      <c r="A56" s="150"/>
      <c r="B56" s="8" t="s">
        <v>10</v>
      </c>
      <c r="C56" s="9">
        <v>187.28</v>
      </c>
      <c r="D56" s="10" t="s">
        <v>10</v>
      </c>
      <c r="E56" s="106">
        <v>37.61</v>
      </c>
      <c r="F56" s="106"/>
      <c r="G56" s="173"/>
      <c r="H56" s="171"/>
    </row>
    <row r="57" spans="1:8" ht="18.600000000000001" thickBot="1" x14ac:dyDescent="0.4">
      <c r="A57" s="154" t="s">
        <v>13</v>
      </c>
      <c r="B57" s="155"/>
      <c r="C57" s="155"/>
      <c r="D57" s="155"/>
      <c r="E57" s="156">
        <f>SUM(E55:G56)</f>
        <v>673.58</v>
      </c>
      <c r="F57" s="157"/>
      <c r="G57" s="157"/>
      <c r="H57" s="172"/>
    </row>
    <row r="58" spans="1:8" ht="18" x14ac:dyDescent="0.25">
      <c r="A58" s="149">
        <v>45738</v>
      </c>
      <c r="B58" s="5" t="s">
        <v>9</v>
      </c>
      <c r="C58" s="6">
        <v>635.97</v>
      </c>
      <c r="D58" s="7" t="s">
        <v>11</v>
      </c>
      <c r="E58" s="115">
        <v>704.94</v>
      </c>
      <c r="F58" s="115"/>
      <c r="G58" s="169"/>
      <c r="H58" s="170"/>
    </row>
    <row r="59" spans="1:8" ht="18" x14ac:dyDescent="0.25">
      <c r="A59" s="150"/>
      <c r="B59" s="8" t="s">
        <v>10</v>
      </c>
      <c r="C59" s="9">
        <v>37.61</v>
      </c>
      <c r="D59" s="10" t="s">
        <v>10</v>
      </c>
      <c r="E59" s="106">
        <v>171.2</v>
      </c>
      <c r="F59" s="106"/>
      <c r="G59" s="173"/>
      <c r="H59" s="171"/>
    </row>
    <row r="60" spans="1:8" ht="18.600000000000001" thickBot="1" x14ac:dyDescent="0.4">
      <c r="A60" s="154" t="s">
        <v>13</v>
      </c>
      <c r="B60" s="155"/>
      <c r="C60" s="155"/>
      <c r="D60" s="155"/>
      <c r="E60" s="156">
        <f>SUM(E58:G59)</f>
        <v>876.1400000000001</v>
      </c>
      <c r="F60" s="157"/>
      <c r="G60" s="157"/>
      <c r="H60" s="172"/>
    </row>
    <row r="61" spans="1:8" ht="18" x14ac:dyDescent="0.25">
      <c r="A61" s="149">
        <v>45741</v>
      </c>
      <c r="B61" s="5" t="s">
        <v>9</v>
      </c>
      <c r="C61" s="6">
        <v>704.94</v>
      </c>
      <c r="D61" s="7" t="s">
        <v>11</v>
      </c>
      <c r="E61" s="115">
        <v>636.22</v>
      </c>
      <c r="F61" s="115"/>
      <c r="G61" s="169"/>
      <c r="H61" s="170" t="s">
        <v>40</v>
      </c>
    </row>
    <row r="62" spans="1:8" ht="18" x14ac:dyDescent="0.25">
      <c r="A62" s="150"/>
      <c r="B62" s="8" t="s">
        <v>10</v>
      </c>
      <c r="C62" s="9">
        <v>171.2</v>
      </c>
      <c r="D62" s="10" t="s">
        <v>10</v>
      </c>
      <c r="E62" s="106">
        <v>158.38</v>
      </c>
      <c r="F62" s="106"/>
      <c r="G62" s="173"/>
      <c r="H62" s="171"/>
    </row>
    <row r="63" spans="1:8" ht="18.600000000000001" thickBot="1" x14ac:dyDescent="0.4">
      <c r="A63" s="154" t="s">
        <v>13</v>
      </c>
      <c r="B63" s="155"/>
      <c r="C63" s="155"/>
      <c r="D63" s="155"/>
      <c r="E63" s="156">
        <f>SUM(E61:G62)</f>
        <v>794.6</v>
      </c>
      <c r="F63" s="157"/>
      <c r="G63" s="157"/>
      <c r="H63" s="172"/>
    </row>
    <row r="64" spans="1:8" ht="18" x14ac:dyDescent="0.25">
      <c r="A64" s="149">
        <v>45742</v>
      </c>
      <c r="B64" s="5" t="s">
        <v>9</v>
      </c>
      <c r="C64" s="6">
        <v>636.22</v>
      </c>
      <c r="D64" s="7" t="s">
        <v>11</v>
      </c>
      <c r="E64" s="115">
        <v>748.84</v>
      </c>
      <c r="F64" s="115"/>
      <c r="G64" s="169"/>
      <c r="H64" s="170"/>
    </row>
    <row r="65" spans="1:8" ht="18" x14ac:dyDescent="0.25">
      <c r="A65" s="150"/>
      <c r="B65" s="8" t="s">
        <v>10</v>
      </c>
      <c r="C65" s="9">
        <v>158.38</v>
      </c>
      <c r="D65" s="10" t="s">
        <v>10</v>
      </c>
      <c r="E65" s="106">
        <v>240.25</v>
      </c>
      <c r="F65" s="106"/>
      <c r="G65" s="173"/>
      <c r="H65" s="171"/>
    </row>
    <row r="66" spans="1:8" ht="18.600000000000001" thickBot="1" x14ac:dyDescent="0.4">
      <c r="A66" s="154" t="s">
        <v>13</v>
      </c>
      <c r="B66" s="155"/>
      <c r="C66" s="155"/>
      <c r="D66" s="155"/>
      <c r="E66" s="156">
        <f>SUM(E64:G65)</f>
        <v>989.09</v>
      </c>
      <c r="F66" s="157"/>
      <c r="G66" s="157"/>
      <c r="H66" s="172"/>
    </row>
    <row r="67" spans="1:8" ht="18" x14ac:dyDescent="0.25">
      <c r="A67" s="149">
        <v>45743</v>
      </c>
      <c r="B67" s="5" t="s">
        <v>9</v>
      </c>
      <c r="C67" s="6">
        <v>748.84</v>
      </c>
      <c r="D67" s="7" t="s">
        <v>11</v>
      </c>
      <c r="E67" s="115">
        <v>733.79</v>
      </c>
      <c r="F67" s="115"/>
      <c r="G67" s="169"/>
      <c r="H67" s="170" t="s">
        <v>41</v>
      </c>
    </row>
    <row r="68" spans="1:8" ht="82.5" customHeight="1" x14ac:dyDescent="0.25">
      <c r="A68" s="150"/>
      <c r="B68" s="8" t="s">
        <v>10</v>
      </c>
      <c r="C68" s="9">
        <v>240.25</v>
      </c>
      <c r="D68" s="10" t="s">
        <v>10</v>
      </c>
      <c r="E68" s="106">
        <v>96.74</v>
      </c>
      <c r="F68" s="106"/>
      <c r="G68" s="173"/>
      <c r="H68" s="171"/>
    </row>
    <row r="69" spans="1:8" ht="18.600000000000001" thickBot="1" x14ac:dyDescent="0.4">
      <c r="A69" s="154" t="s">
        <v>13</v>
      </c>
      <c r="B69" s="155"/>
      <c r="C69" s="155"/>
      <c r="D69" s="155"/>
      <c r="E69" s="156">
        <f>SUM(E67:G68)</f>
        <v>830.53</v>
      </c>
      <c r="F69" s="157"/>
      <c r="G69" s="157"/>
      <c r="H69" s="172"/>
    </row>
    <row r="70" spans="1:8" ht="18" x14ac:dyDescent="0.25">
      <c r="A70" s="149">
        <v>45744</v>
      </c>
      <c r="B70" s="5" t="s">
        <v>9</v>
      </c>
      <c r="C70" s="6">
        <v>733.79</v>
      </c>
      <c r="D70" s="7" t="s">
        <v>11</v>
      </c>
      <c r="E70" s="115">
        <v>748.37</v>
      </c>
      <c r="F70" s="115"/>
      <c r="G70" s="169"/>
      <c r="H70" s="170" t="s">
        <v>39</v>
      </c>
    </row>
    <row r="71" spans="1:8" ht="18" x14ac:dyDescent="0.25">
      <c r="A71" s="150"/>
      <c r="B71" s="8" t="s">
        <v>10</v>
      </c>
      <c r="C71" s="9">
        <v>96.74</v>
      </c>
      <c r="D71" s="10" t="s">
        <v>10</v>
      </c>
      <c r="E71" s="106">
        <v>103.35</v>
      </c>
      <c r="F71" s="106"/>
      <c r="G71" s="173"/>
      <c r="H71" s="171"/>
    </row>
    <row r="72" spans="1:8" ht="18.600000000000001" thickBot="1" x14ac:dyDescent="0.4">
      <c r="A72" s="154" t="s">
        <v>13</v>
      </c>
      <c r="B72" s="155"/>
      <c r="C72" s="155"/>
      <c r="D72" s="155"/>
      <c r="E72" s="156">
        <f>SUM(E70:G71)</f>
        <v>851.72</v>
      </c>
      <c r="F72" s="157"/>
      <c r="G72" s="157"/>
      <c r="H72" s="172"/>
    </row>
    <row r="73" spans="1:8" ht="18" x14ac:dyDescent="0.25">
      <c r="A73" s="149">
        <v>45745</v>
      </c>
      <c r="B73" s="5" t="s">
        <v>9</v>
      </c>
      <c r="C73" s="6">
        <v>748.37</v>
      </c>
      <c r="D73" s="7" t="s">
        <v>11</v>
      </c>
      <c r="E73" s="115">
        <v>748.37</v>
      </c>
      <c r="F73" s="115"/>
      <c r="G73" s="169"/>
      <c r="H73" s="170"/>
    </row>
    <row r="74" spans="1:8" ht="18" x14ac:dyDescent="0.25">
      <c r="A74" s="150"/>
      <c r="B74" s="8" t="s">
        <v>10</v>
      </c>
      <c r="C74" s="9">
        <v>103.35</v>
      </c>
      <c r="D74" s="10" t="s">
        <v>10</v>
      </c>
      <c r="E74" s="106">
        <v>35.72</v>
      </c>
      <c r="F74" s="106"/>
      <c r="G74" s="173"/>
      <c r="H74" s="171"/>
    </row>
    <row r="75" spans="1:8" ht="18.600000000000001" thickBot="1" x14ac:dyDescent="0.4">
      <c r="A75" s="154" t="s">
        <v>13</v>
      </c>
      <c r="B75" s="155"/>
      <c r="C75" s="155"/>
      <c r="D75" s="155"/>
      <c r="E75" s="156">
        <f>SUM(E73:G74)</f>
        <v>784.09</v>
      </c>
      <c r="F75" s="157"/>
      <c r="G75" s="157"/>
      <c r="H75" s="172"/>
    </row>
    <row r="76" spans="1:8" ht="18" x14ac:dyDescent="0.25">
      <c r="A76" s="149">
        <v>45747</v>
      </c>
      <c r="B76" s="5" t="s">
        <v>9</v>
      </c>
      <c r="C76" s="6">
        <v>748.37</v>
      </c>
      <c r="D76" s="7" t="s">
        <v>11</v>
      </c>
      <c r="E76" s="115">
        <v>772.94</v>
      </c>
      <c r="F76" s="115"/>
      <c r="G76" s="169"/>
      <c r="H76" s="170"/>
    </row>
    <row r="77" spans="1:8" ht="18" x14ac:dyDescent="0.25">
      <c r="A77" s="150"/>
      <c r="B77" s="8" t="s">
        <v>10</v>
      </c>
      <c r="C77" s="9">
        <v>35.72</v>
      </c>
      <c r="D77" s="10" t="s">
        <v>10</v>
      </c>
      <c r="E77" s="106">
        <v>72.760000000000005</v>
      </c>
      <c r="F77" s="106"/>
      <c r="G77" s="173"/>
      <c r="H77" s="171"/>
    </row>
    <row r="78" spans="1:8" ht="18.600000000000001" thickBot="1" x14ac:dyDescent="0.4">
      <c r="A78" s="154" t="s">
        <v>13</v>
      </c>
      <c r="B78" s="155"/>
      <c r="C78" s="155"/>
      <c r="D78" s="155"/>
      <c r="E78" s="156">
        <f>SUM(E76:G77)</f>
        <v>845.7</v>
      </c>
      <c r="F78" s="157"/>
      <c r="G78" s="157"/>
      <c r="H78" s="172"/>
    </row>
  </sheetData>
  <mergeCells count="149">
    <mergeCell ref="A76:A77"/>
    <mergeCell ref="E76:G76"/>
    <mergeCell ref="H76:H78"/>
    <mergeCell ref="E77:G77"/>
    <mergeCell ref="A78:D78"/>
    <mergeCell ref="E78:G78"/>
    <mergeCell ref="A70:A71"/>
    <mergeCell ref="E70:G70"/>
    <mergeCell ref="H70:H72"/>
    <mergeCell ref="E71:G71"/>
    <mergeCell ref="A72:D72"/>
    <mergeCell ref="E72:G72"/>
    <mergeCell ref="A73:A74"/>
    <mergeCell ref="E73:G73"/>
    <mergeCell ref="H73:H75"/>
    <mergeCell ref="E74:G74"/>
    <mergeCell ref="A75:D75"/>
    <mergeCell ref="E75:G75"/>
    <mergeCell ref="A64:A65"/>
    <mergeCell ref="E64:G64"/>
    <mergeCell ref="H64:H66"/>
    <mergeCell ref="E65:G65"/>
    <mergeCell ref="A66:D66"/>
    <mergeCell ref="E66:G66"/>
    <mergeCell ref="A67:A68"/>
    <mergeCell ref="E67:G67"/>
    <mergeCell ref="H67:H69"/>
    <mergeCell ref="E68:G68"/>
    <mergeCell ref="A69:D69"/>
    <mergeCell ref="E69:G69"/>
    <mergeCell ref="A61:A62"/>
    <mergeCell ref="E61:G61"/>
    <mergeCell ref="H61:H63"/>
    <mergeCell ref="E62:G62"/>
    <mergeCell ref="A63:D63"/>
    <mergeCell ref="E63:G63"/>
    <mergeCell ref="A58:A59"/>
    <mergeCell ref="E58:G58"/>
    <mergeCell ref="H58:H60"/>
    <mergeCell ref="E59:G59"/>
    <mergeCell ref="A60:D60"/>
    <mergeCell ref="E60:G60"/>
    <mergeCell ref="A55:A56"/>
    <mergeCell ref="E55:G55"/>
    <mergeCell ref="H55:H57"/>
    <mergeCell ref="E56:G56"/>
    <mergeCell ref="A57:D57"/>
    <mergeCell ref="E57:G57"/>
    <mergeCell ref="A52:A53"/>
    <mergeCell ref="E52:G52"/>
    <mergeCell ref="H52:H54"/>
    <mergeCell ref="E53:G53"/>
    <mergeCell ref="A54:D54"/>
    <mergeCell ref="E54:G54"/>
    <mergeCell ref="A49:A50"/>
    <mergeCell ref="E49:G49"/>
    <mergeCell ref="H49:H51"/>
    <mergeCell ref="E50:G50"/>
    <mergeCell ref="A51:D51"/>
    <mergeCell ref="E51:G51"/>
    <mergeCell ref="A46:A47"/>
    <mergeCell ref="E46:G46"/>
    <mergeCell ref="H46:H48"/>
    <mergeCell ref="E47:G47"/>
    <mergeCell ref="A48:D48"/>
    <mergeCell ref="E48:G48"/>
    <mergeCell ref="A28:A29"/>
    <mergeCell ref="E28:G28"/>
    <mergeCell ref="H28:H30"/>
    <mergeCell ref="E29:G29"/>
    <mergeCell ref="A30:D30"/>
    <mergeCell ref="E30:G30"/>
    <mergeCell ref="A31:A32"/>
    <mergeCell ref="E31:G31"/>
    <mergeCell ref="H31:H33"/>
    <mergeCell ref="E32:G32"/>
    <mergeCell ref="A33:D33"/>
    <mergeCell ref="E33:G33"/>
    <mergeCell ref="A34:A35"/>
    <mergeCell ref="E34:G34"/>
    <mergeCell ref="H34:H36"/>
    <mergeCell ref="E35:G35"/>
    <mergeCell ref="A36:D36"/>
    <mergeCell ref="E36:G36"/>
    <mergeCell ref="A12:A13"/>
    <mergeCell ref="E12:G12"/>
    <mergeCell ref="H12:H14"/>
    <mergeCell ref="E13:G13"/>
    <mergeCell ref="A14:D14"/>
    <mergeCell ref="E14:G14"/>
    <mergeCell ref="H15:H18"/>
    <mergeCell ref="A15:A16"/>
    <mergeCell ref="E15:G15"/>
    <mergeCell ref="E16:G16"/>
    <mergeCell ref="A17:D17"/>
    <mergeCell ref="E17:G17"/>
    <mergeCell ref="A25:A26"/>
    <mergeCell ref="E25:G25"/>
    <mergeCell ref="H25:H27"/>
    <mergeCell ref="E26:G26"/>
    <mergeCell ref="A27:D27"/>
    <mergeCell ref="E27:G27"/>
    <mergeCell ref="A9:A10"/>
    <mergeCell ref="E9:G9"/>
    <mergeCell ref="H9:H11"/>
    <mergeCell ref="E10:G10"/>
    <mergeCell ref="A11:D11"/>
    <mergeCell ref="E11:G11"/>
    <mergeCell ref="C1:G1"/>
    <mergeCell ref="C2:G2"/>
    <mergeCell ref="C3:F3"/>
    <mergeCell ref="G3:H3"/>
    <mergeCell ref="A4:H4"/>
    <mergeCell ref="A6:A7"/>
    <mergeCell ref="E6:G6"/>
    <mergeCell ref="H6:H8"/>
    <mergeCell ref="E7:G7"/>
    <mergeCell ref="A8:D8"/>
    <mergeCell ref="E8:G8"/>
    <mergeCell ref="H19:H21"/>
    <mergeCell ref="A22:A23"/>
    <mergeCell ref="E22:G22"/>
    <mergeCell ref="H22:H24"/>
    <mergeCell ref="E23:G23"/>
    <mergeCell ref="A24:D24"/>
    <mergeCell ref="E24:G24"/>
    <mergeCell ref="A19:A20"/>
    <mergeCell ref="E19:G19"/>
    <mergeCell ref="E20:G20"/>
    <mergeCell ref="A21:D21"/>
    <mergeCell ref="E21:G21"/>
    <mergeCell ref="A43:A44"/>
    <mergeCell ref="E43:G43"/>
    <mergeCell ref="H43:H45"/>
    <mergeCell ref="E44:G44"/>
    <mergeCell ref="A45:D45"/>
    <mergeCell ref="E45:G45"/>
    <mergeCell ref="A37:A38"/>
    <mergeCell ref="E37:G37"/>
    <mergeCell ref="H37:H39"/>
    <mergeCell ref="E38:G38"/>
    <mergeCell ref="A39:D39"/>
    <mergeCell ref="E39:G39"/>
    <mergeCell ref="A40:A41"/>
    <mergeCell ref="E40:G40"/>
    <mergeCell ref="H40:H42"/>
    <mergeCell ref="E41:G41"/>
    <mergeCell ref="A42:D42"/>
    <mergeCell ref="E42:G42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4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5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AA90-4456-4FE4-964A-6641E3BAF5A4}">
  <sheetPr>
    <tabColor rgb="FF00B050"/>
  </sheetPr>
  <dimension ref="A1:L85"/>
  <sheetViews>
    <sheetView showGridLines="0" zoomScale="90" zoomScaleNormal="90" workbookViewId="0">
      <pane ySplit="5" topLeftCell="A6" activePane="bottomLeft" state="frozen"/>
      <selection pane="bottomLeft" activeCell="A9" sqref="A9"/>
    </sheetView>
  </sheetViews>
  <sheetFormatPr defaultColWidth="9.109375" defaultRowHeight="13.8" x14ac:dyDescent="0.3"/>
  <cols>
    <col min="1" max="1" width="16.5546875" style="43" bestFit="1" customWidth="1"/>
    <col min="2" max="2" width="15.109375" style="32" customWidth="1"/>
    <col min="3" max="3" width="15.33203125" style="32" customWidth="1"/>
    <col min="4" max="4" width="16.6640625" style="32" customWidth="1"/>
    <col min="5" max="5" width="9.109375" style="32"/>
    <col min="6" max="6" width="8.5546875" style="32" customWidth="1"/>
    <col min="7" max="7" width="1.109375" style="32" hidden="1" customWidth="1"/>
    <col min="8" max="8" width="14.44140625" style="32" bestFit="1" customWidth="1"/>
    <col min="9" max="9" width="33.109375" style="32" customWidth="1"/>
    <col min="10" max="10" width="74.5546875" style="32" customWidth="1"/>
    <col min="11" max="11" width="9.109375" style="32"/>
    <col min="12" max="12" width="12.33203125" style="32" bestFit="1" customWidth="1"/>
    <col min="13" max="16384" width="9.109375" style="32"/>
  </cols>
  <sheetData>
    <row r="1" spans="1:12" ht="37.5" customHeight="1" x14ac:dyDescent="0.3">
      <c r="A1" s="191"/>
      <c r="B1" s="192"/>
      <c r="C1" s="197" t="s">
        <v>6</v>
      </c>
      <c r="D1" s="198"/>
      <c r="E1" s="198"/>
      <c r="F1" s="198"/>
      <c r="G1" s="198"/>
      <c r="H1" s="198"/>
      <c r="I1" s="199"/>
      <c r="J1" s="31" t="s">
        <v>1</v>
      </c>
    </row>
    <row r="2" spans="1:12" ht="25.95" customHeight="1" x14ac:dyDescent="0.3">
      <c r="A2" s="193"/>
      <c r="B2" s="194"/>
      <c r="C2" s="190" t="s">
        <v>3</v>
      </c>
      <c r="D2" s="190"/>
      <c r="E2" s="190"/>
      <c r="F2" s="190"/>
      <c r="G2" s="190"/>
      <c r="H2" s="190"/>
      <c r="I2" s="190"/>
      <c r="J2" s="33" t="s">
        <v>0</v>
      </c>
    </row>
    <row r="3" spans="1:12" ht="25.95" customHeight="1" x14ac:dyDescent="0.3">
      <c r="A3" s="195"/>
      <c r="B3" s="196"/>
      <c r="C3" s="190" t="s">
        <v>2</v>
      </c>
      <c r="D3" s="190"/>
      <c r="E3" s="190"/>
      <c r="F3" s="190"/>
      <c r="G3" s="190" t="s">
        <v>88</v>
      </c>
      <c r="H3" s="190"/>
      <c r="I3" s="190"/>
      <c r="J3" s="190"/>
    </row>
    <row r="4" spans="1:12" ht="25.95" customHeight="1" x14ac:dyDescent="0.3">
      <c r="A4" s="209"/>
      <c r="B4" s="210"/>
      <c r="C4" s="210"/>
      <c r="D4" s="210"/>
      <c r="E4" s="210"/>
      <c r="F4" s="210"/>
      <c r="G4" s="210"/>
      <c r="H4" s="210"/>
      <c r="I4" s="210"/>
      <c r="J4" s="211"/>
    </row>
    <row r="5" spans="1:12" ht="25.8" x14ac:dyDescent="0.3">
      <c r="A5" s="203" t="s">
        <v>47</v>
      </c>
      <c r="B5" s="203"/>
      <c r="C5" s="203"/>
      <c r="D5" s="203"/>
      <c r="E5" s="203"/>
      <c r="F5" s="203"/>
      <c r="G5" s="203"/>
      <c r="H5" s="203"/>
      <c r="I5" s="203"/>
      <c r="J5" s="203"/>
    </row>
    <row r="6" spans="1:12" ht="25.8" x14ac:dyDescent="0.3">
      <c r="A6" s="206"/>
      <c r="B6" s="207"/>
      <c r="C6" s="207"/>
      <c r="D6" s="207"/>
      <c r="E6" s="207"/>
      <c r="F6" s="207"/>
      <c r="G6" s="207"/>
      <c r="H6" s="207"/>
      <c r="I6" s="207"/>
      <c r="J6" s="208"/>
    </row>
    <row r="7" spans="1:12" ht="31.2" x14ac:dyDescent="0.3">
      <c r="A7" s="34" t="s">
        <v>4</v>
      </c>
      <c r="B7" s="34" t="s">
        <v>48</v>
      </c>
      <c r="C7" s="34" t="s">
        <v>52</v>
      </c>
      <c r="D7" s="34" t="s">
        <v>51</v>
      </c>
      <c r="E7" s="204" t="s">
        <v>49</v>
      </c>
      <c r="F7" s="204"/>
      <c r="G7" s="204"/>
      <c r="H7" s="34" t="s">
        <v>50</v>
      </c>
      <c r="I7" s="34" t="s">
        <v>53</v>
      </c>
      <c r="J7" s="35" t="s">
        <v>5</v>
      </c>
    </row>
    <row r="8" spans="1:12" ht="35.4" customHeight="1" x14ac:dyDescent="0.3">
      <c r="A8" s="200"/>
      <c r="B8" s="201"/>
      <c r="C8" s="201"/>
      <c r="D8" s="201"/>
      <c r="E8" s="201"/>
      <c r="F8" s="201"/>
      <c r="G8" s="201"/>
      <c r="H8" s="201"/>
      <c r="I8" s="201"/>
      <c r="J8" s="202"/>
    </row>
    <row r="9" spans="1:12" ht="18" x14ac:dyDescent="0.3">
      <c r="A9" s="36">
        <v>45748</v>
      </c>
      <c r="B9" s="37" t="s">
        <v>9</v>
      </c>
      <c r="C9" s="38">
        <v>772.94</v>
      </c>
      <c r="D9" s="39">
        <v>53.02</v>
      </c>
      <c r="E9" s="186">
        <f>C9+D9</f>
        <v>825.96</v>
      </c>
      <c r="F9" s="186"/>
      <c r="G9" s="186"/>
      <c r="H9" s="40">
        <v>5.91</v>
      </c>
      <c r="I9" s="40">
        <f>E9-H9</f>
        <v>820.05000000000007</v>
      </c>
      <c r="J9" s="178" t="s">
        <v>61</v>
      </c>
      <c r="L9" s="41"/>
    </row>
    <row r="10" spans="1:12" ht="18" customHeight="1" x14ac:dyDescent="0.35">
      <c r="A10" s="180" t="s">
        <v>13</v>
      </c>
      <c r="B10" s="181"/>
      <c r="C10" s="181"/>
      <c r="D10" s="181"/>
      <c r="E10" s="181"/>
      <c r="F10" s="181"/>
      <c r="G10" s="181"/>
      <c r="H10" s="182"/>
      <c r="I10" s="42">
        <f>E9-H9</f>
        <v>820.05000000000007</v>
      </c>
      <c r="J10" s="179"/>
      <c r="L10" s="41"/>
    </row>
    <row r="11" spans="1:12" ht="15.6" x14ac:dyDescent="0.3">
      <c r="A11" s="200"/>
      <c r="B11" s="201"/>
      <c r="C11" s="201"/>
      <c r="D11" s="201"/>
      <c r="E11" s="201"/>
      <c r="F11" s="201"/>
      <c r="G11" s="201"/>
      <c r="H11" s="201"/>
      <c r="I11" s="201"/>
      <c r="J11" s="202"/>
      <c r="L11" s="41"/>
    </row>
    <row r="12" spans="1:12" ht="18" x14ac:dyDescent="0.3">
      <c r="A12" s="36">
        <v>45749</v>
      </c>
      <c r="B12" s="37" t="s">
        <v>9</v>
      </c>
      <c r="C12" s="38">
        <v>820.05</v>
      </c>
      <c r="D12" s="39">
        <v>39.74</v>
      </c>
      <c r="E12" s="186">
        <f>C12+D12</f>
        <v>859.79</v>
      </c>
      <c r="F12" s="186"/>
      <c r="G12" s="186"/>
      <c r="H12" s="40">
        <v>0</v>
      </c>
      <c r="I12" s="40">
        <f>E12-H12</f>
        <v>859.79</v>
      </c>
      <c r="J12" s="188"/>
      <c r="L12" s="41"/>
    </row>
    <row r="13" spans="1:12" s="43" customFormat="1" ht="18" x14ac:dyDescent="0.35">
      <c r="A13" s="180" t="s">
        <v>13</v>
      </c>
      <c r="B13" s="181"/>
      <c r="C13" s="181"/>
      <c r="D13" s="181"/>
      <c r="E13" s="181"/>
      <c r="F13" s="181"/>
      <c r="G13" s="181"/>
      <c r="H13" s="182"/>
      <c r="I13" s="42">
        <f>E12-H12</f>
        <v>859.79</v>
      </c>
      <c r="J13" s="189"/>
      <c r="L13" s="44"/>
    </row>
    <row r="14" spans="1:12" x14ac:dyDescent="0.3">
      <c r="L14" s="41"/>
    </row>
    <row r="15" spans="1:12" ht="18" x14ac:dyDescent="0.3">
      <c r="A15" s="36">
        <v>45750</v>
      </c>
      <c r="B15" s="37" t="s">
        <v>9</v>
      </c>
      <c r="C15" s="38">
        <v>859.79</v>
      </c>
      <c r="D15" s="39">
        <v>32.83</v>
      </c>
      <c r="E15" s="186">
        <f>C15+D15</f>
        <v>892.62</v>
      </c>
      <c r="F15" s="186"/>
      <c r="G15" s="186"/>
      <c r="H15" s="40">
        <v>0</v>
      </c>
      <c r="I15" s="40">
        <f>E15-H15</f>
        <v>892.62</v>
      </c>
      <c r="J15" s="188"/>
      <c r="L15" s="41"/>
    </row>
    <row r="16" spans="1:12" s="43" customFormat="1" ht="18" x14ac:dyDescent="0.35">
      <c r="A16" s="180" t="s">
        <v>13</v>
      </c>
      <c r="B16" s="181"/>
      <c r="C16" s="181"/>
      <c r="D16" s="181"/>
      <c r="E16" s="181"/>
      <c r="F16" s="181"/>
      <c r="G16" s="181"/>
      <c r="H16" s="182"/>
      <c r="I16" s="42">
        <f>E15-H15</f>
        <v>892.62</v>
      </c>
      <c r="J16" s="189"/>
      <c r="L16" s="44"/>
    </row>
    <row r="17" spans="1:12" x14ac:dyDescent="0.3">
      <c r="L17" s="41"/>
    </row>
    <row r="18" spans="1:12" ht="18" x14ac:dyDescent="0.3">
      <c r="A18" s="36">
        <v>45751</v>
      </c>
      <c r="B18" s="37" t="s">
        <v>9</v>
      </c>
      <c r="C18" s="38">
        <v>892.62</v>
      </c>
      <c r="D18" s="39">
        <v>184.72</v>
      </c>
      <c r="E18" s="186">
        <f>C18+D18</f>
        <v>1077.3399999999999</v>
      </c>
      <c r="F18" s="186"/>
      <c r="G18" s="186"/>
      <c r="H18" s="40">
        <v>274.39999999999998</v>
      </c>
      <c r="I18" s="40">
        <f>E18-H18</f>
        <v>802.93999999999994</v>
      </c>
      <c r="J18" s="178" t="s">
        <v>56</v>
      </c>
      <c r="L18" s="41"/>
    </row>
    <row r="19" spans="1:12" s="43" customFormat="1" ht="18" x14ac:dyDescent="0.35">
      <c r="A19" s="180" t="s">
        <v>13</v>
      </c>
      <c r="B19" s="181"/>
      <c r="C19" s="181"/>
      <c r="D19" s="181"/>
      <c r="E19" s="181"/>
      <c r="F19" s="181"/>
      <c r="G19" s="181"/>
      <c r="H19" s="182"/>
      <c r="I19" s="42">
        <f>E18-H18</f>
        <v>802.93999999999994</v>
      </c>
      <c r="J19" s="179"/>
      <c r="L19" s="44"/>
    </row>
    <row r="20" spans="1:12" x14ac:dyDescent="0.3">
      <c r="L20" s="41"/>
    </row>
    <row r="21" spans="1:12" ht="18" x14ac:dyDescent="0.3">
      <c r="A21" s="36">
        <v>45752</v>
      </c>
      <c r="B21" s="37" t="s">
        <v>9</v>
      </c>
      <c r="C21" s="38">
        <v>802.94</v>
      </c>
      <c r="D21" s="39">
        <v>0</v>
      </c>
      <c r="E21" s="186">
        <v>0</v>
      </c>
      <c r="F21" s="186"/>
      <c r="G21" s="186"/>
      <c r="H21" s="40">
        <v>0</v>
      </c>
      <c r="I21" s="40">
        <v>802.94</v>
      </c>
      <c r="J21" s="188"/>
      <c r="L21" s="41"/>
    </row>
    <row r="22" spans="1:12" s="43" customFormat="1" ht="18" x14ac:dyDescent="0.35">
      <c r="A22" s="180" t="s">
        <v>13</v>
      </c>
      <c r="B22" s="181"/>
      <c r="C22" s="181"/>
      <c r="D22" s="181"/>
      <c r="E22" s="181"/>
      <c r="F22" s="181"/>
      <c r="G22" s="181"/>
      <c r="H22" s="182"/>
      <c r="I22" s="42">
        <f>E21-H21</f>
        <v>0</v>
      </c>
      <c r="J22" s="189"/>
      <c r="L22" s="44"/>
    </row>
    <row r="23" spans="1:12" x14ac:dyDescent="0.3">
      <c r="L23" s="41"/>
    </row>
    <row r="24" spans="1:12" ht="18" x14ac:dyDescent="0.3">
      <c r="A24" s="36">
        <v>45754</v>
      </c>
      <c r="B24" s="37" t="s">
        <v>9</v>
      </c>
      <c r="C24" s="38">
        <v>802.94</v>
      </c>
      <c r="D24" s="39">
        <v>51.15</v>
      </c>
      <c r="E24" s="186">
        <v>854.09</v>
      </c>
      <c r="F24" s="186"/>
      <c r="G24" s="186"/>
      <c r="H24" s="40">
        <v>130</v>
      </c>
      <c r="I24" s="40">
        <f>E24-H24</f>
        <v>724.09</v>
      </c>
      <c r="J24" s="178" t="s">
        <v>57</v>
      </c>
      <c r="L24" s="41"/>
    </row>
    <row r="25" spans="1:12" s="43" customFormat="1" ht="18" x14ac:dyDescent="0.35">
      <c r="A25" s="180" t="s">
        <v>13</v>
      </c>
      <c r="B25" s="181"/>
      <c r="C25" s="181"/>
      <c r="D25" s="181"/>
      <c r="E25" s="181"/>
      <c r="F25" s="181"/>
      <c r="G25" s="181"/>
      <c r="H25" s="182"/>
      <c r="I25" s="42">
        <f>E24-H24</f>
        <v>724.09</v>
      </c>
      <c r="J25" s="179"/>
      <c r="L25" s="44"/>
    </row>
    <row r="26" spans="1:12" x14ac:dyDescent="0.3">
      <c r="L26" s="41"/>
    </row>
    <row r="27" spans="1:12" ht="18" x14ac:dyDescent="0.3">
      <c r="A27" s="36">
        <v>45755</v>
      </c>
      <c r="B27" s="37" t="s">
        <v>9</v>
      </c>
      <c r="C27" s="38">
        <v>724.09</v>
      </c>
      <c r="D27" s="39">
        <v>20.170000000000002</v>
      </c>
      <c r="E27" s="186">
        <f>C27+D27</f>
        <v>744.26</v>
      </c>
      <c r="F27" s="186"/>
      <c r="G27" s="186"/>
      <c r="H27" s="40">
        <v>182.68</v>
      </c>
      <c r="I27" s="40">
        <v>561.6</v>
      </c>
      <c r="J27" s="221" t="s">
        <v>58</v>
      </c>
      <c r="L27" s="41"/>
    </row>
    <row r="28" spans="1:12" s="43" customFormat="1" ht="18" x14ac:dyDescent="0.35">
      <c r="A28" s="180" t="s">
        <v>13</v>
      </c>
      <c r="B28" s="181"/>
      <c r="C28" s="181"/>
      <c r="D28" s="181"/>
      <c r="E28" s="181"/>
      <c r="F28" s="181"/>
      <c r="G28" s="181"/>
      <c r="H28" s="182"/>
      <c r="I28" s="42">
        <v>561.6</v>
      </c>
      <c r="J28" s="179"/>
      <c r="L28" s="44"/>
    </row>
    <row r="29" spans="1:12" x14ac:dyDescent="0.3">
      <c r="L29" s="41"/>
    </row>
    <row r="30" spans="1:12" ht="18" x14ac:dyDescent="0.3">
      <c r="A30" s="36">
        <v>45756</v>
      </c>
      <c r="B30" s="37" t="s">
        <v>9</v>
      </c>
      <c r="C30" s="38">
        <v>561.6</v>
      </c>
      <c r="D30" s="39">
        <v>79.11</v>
      </c>
      <c r="E30" s="186">
        <f>C30+D30</f>
        <v>640.71</v>
      </c>
      <c r="F30" s="186"/>
      <c r="G30" s="186"/>
      <c r="H30" s="40">
        <v>203.55</v>
      </c>
      <c r="I30" s="40">
        <f>E30-H30</f>
        <v>437.16</v>
      </c>
      <c r="J30" s="178" t="s">
        <v>59</v>
      </c>
      <c r="L30" s="41"/>
    </row>
    <row r="31" spans="1:12" s="43" customFormat="1" ht="18" x14ac:dyDescent="0.35">
      <c r="A31" s="180" t="s">
        <v>13</v>
      </c>
      <c r="B31" s="181"/>
      <c r="C31" s="181"/>
      <c r="D31" s="181"/>
      <c r="E31" s="181"/>
      <c r="F31" s="181"/>
      <c r="G31" s="181"/>
      <c r="H31" s="182"/>
      <c r="I31" s="42">
        <f>E30-H30</f>
        <v>437.16</v>
      </c>
      <c r="J31" s="179"/>
      <c r="L31" s="44"/>
    </row>
    <row r="32" spans="1:12" x14ac:dyDescent="0.3">
      <c r="L32" s="41"/>
    </row>
    <row r="33" spans="1:12" ht="18" x14ac:dyDescent="0.3">
      <c r="A33" s="36">
        <v>45757</v>
      </c>
      <c r="B33" s="37" t="s">
        <v>9</v>
      </c>
      <c r="C33" s="38">
        <v>437.16</v>
      </c>
      <c r="D33" s="39">
        <v>81.61</v>
      </c>
      <c r="E33" s="186">
        <v>518.77</v>
      </c>
      <c r="F33" s="186"/>
      <c r="G33" s="186"/>
      <c r="H33" s="40">
        <v>19.5</v>
      </c>
      <c r="I33" s="40">
        <v>499.27</v>
      </c>
      <c r="J33" s="178" t="s">
        <v>60</v>
      </c>
      <c r="L33" s="45"/>
    </row>
    <row r="34" spans="1:12" s="43" customFormat="1" ht="18" x14ac:dyDescent="0.35">
      <c r="A34" s="180" t="s">
        <v>13</v>
      </c>
      <c r="B34" s="181"/>
      <c r="C34" s="181"/>
      <c r="D34" s="181"/>
      <c r="E34" s="181"/>
      <c r="F34" s="181"/>
      <c r="G34" s="181"/>
      <c r="H34" s="182"/>
      <c r="I34" s="42">
        <f>E33-H33</f>
        <v>499.27</v>
      </c>
      <c r="J34" s="179"/>
    </row>
    <row r="36" spans="1:12" ht="18" x14ac:dyDescent="0.3">
      <c r="A36" s="36">
        <v>45758</v>
      </c>
      <c r="B36" s="37" t="s">
        <v>9</v>
      </c>
      <c r="C36" s="38">
        <v>499.27</v>
      </c>
      <c r="D36" s="39">
        <v>87.09</v>
      </c>
      <c r="E36" s="186">
        <f>C36+D36</f>
        <v>586.36</v>
      </c>
      <c r="F36" s="186"/>
      <c r="G36" s="186"/>
      <c r="H36" s="40">
        <v>27</v>
      </c>
      <c r="I36" s="40">
        <f>E36-H36</f>
        <v>559.36</v>
      </c>
      <c r="J36" s="178" t="s">
        <v>62</v>
      </c>
    </row>
    <row r="37" spans="1:12" s="43" customFormat="1" ht="18" x14ac:dyDescent="0.35">
      <c r="A37" s="180" t="s">
        <v>13</v>
      </c>
      <c r="B37" s="181"/>
      <c r="C37" s="181"/>
      <c r="D37" s="181"/>
      <c r="E37" s="181"/>
      <c r="F37" s="181"/>
      <c r="G37" s="181"/>
      <c r="H37" s="182"/>
      <c r="I37" s="42">
        <f>E36-H36</f>
        <v>559.36</v>
      </c>
      <c r="J37" s="179"/>
    </row>
    <row r="39" spans="1:12" ht="18" x14ac:dyDescent="0.3">
      <c r="A39" s="36">
        <v>45759</v>
      </c>
      <c r="B39" s="37" t="s">
        <v>9</v>
      </c>
      <c r="C39" s="38">
        <v>559.36</v>
      </c>
      <c r="D39" s="39">
        <v>24.03</v>
      </c>
      <c r="E39" s="186">
        <v>583.39</v>
      </c>
      <c r="F39" s="186"/>
      <c r="G39" s="186"/>
      <c r="H39" s="40">
        <v>0</v>
      </c>
      <c r="I39" s="40">
        <f>E39-H39</f>
        <v>583.39</v>
      </c>
      <c r="J39" s="212"/>
    </row>
    <row r="40" spans="1:12" s="43" customFormat="1" ht="18" x14ac:dyDescent="0.35">
      <c r="A40" s="180" t="s">
        <v>13</v>
      </c>
      <c r="B40" s="181"/>
      <c r="C40" s="181"/>
      <c r="D40" s="181"/>
      <c r="E40" s="181"/>
      <c r="F40" s="181"/>
      <c r="G40" s="181"/>
      <c r="H40" s="182"/>
      <c r="I40" s="42">
        <f>E39-H39</f>
        <v>583.39</v>
      </c>
      <c r="J40" s="213"/>
    </row>
    <row r="42" spans="1:12" ht="34.5" customHeight="1" x14ac:dyDescent="0.3">
      <c r="A42" s="36">
        <v>45761</v>
      </c>
      <c r="B42" s="37" t="s">
        <v>9</v>
      </c>
      <c r="C42" s="38">
        <v>583.39</v>
      </c>
      <c r="D42" s="39">
        <v>34.68</v>
      </c>
      <c r="E42" s="186">
        <v>618.07000000000005</v>
      </c>
      <c r="F42" s="186"/>
      <c r="G42" s="186"/>
      <c r="H42" s="40">
        <v>170.9</v>
      </c>
      <c r="I42" s="40">
        <f>E42-H42</f>
        <v>447.17000000000007</v>
      </c>
      <c r="J42" s="212" t="s">
        <v>63</v>
      </c>
    </row>
    <row r="43" spans="1:12" ht="31.5" customHeight="1" x14ac:dyDescent="0.35">
      <c r="A43" s="218" t="s">
        <v>13</v>
      </c>
      <c r="B43" s="219"/>
      <c r="C43" s="219"/>
      <c r="D43" s="219"/>
      <c r="E43" s="219"/>
      <c r="F43" s="219"/>
      <c r="G43" s="219"/>
      <c r="H43" s="220"/>
      <c r="I43" s="46">
        <f>E42-H42</f>
        <v>447.17000000000007</v>
      </c>
      <c r="J43" s="214"/>
    </row>
    <row r="45" spans="1:12" ht="18" x14ac:dyDescent="0.3">
      <c r="A45" s="36">
        <v>45762</v>
      </c>
      <c r="B45" s="37" t="s">
        <v>9</v>
      </c>
      <c r="C45" s="38">
        <v>447.17</v>
      </c>
      <c r="D45" s="39">
        <v>15.72</v>
      </c>
      <c r="E45" s="186">
        <f>C45+D45</f>
        <v>462.89000000000004</v>
      </c>
      <c r="F45" s="186"/>
      <c r="G45" s="186"/>
      <c r="H45" s="40">
        <v>29.7</v>
      </c>
      <c r="I45" s="40">
        <f>E45-H45</f>
        <v>433.19000000000005</v>
      </c>
      <c r="J45" s="178" t="s">
        <v>64</v>
      </c>
    </row>
    <row r="46" spans="1:12" s="43" customFormat="1" ht="18" x14ac:dyDescent="0.35">
      <c r="A46" s="180" t="s">
        <v>13</v>
      </c>
      <c r="B46" s="181"/>
      <c r="C46" s="181"/>
      <c r="D46" s="181"/>
      <c r="E46" s="181"/>
      <c r="F46" s="181"/>
      <c r="G46" s="181"/>
      <c r="H46" s="182"/>
      <c r="I46" s="42">
        <f>E45-H45</f>
        <v>433.19000000000005</v>
      </c>
      <c r="J46" s="179"/>
    </row>
    <row r="48" spans="1:12" ht="18" x14ac:dyDescent="0.3">
      <c r="A48" s="36">
        <v>45763</v>
      </c>
      <c r="B48" s="37" t="s">
        <v>9</v>
      </c>
      <c r="C48" s="38">
        <v>433.19</v>
      </c>
      <c r="D48" s="39">
        <v>216.24</v>
      </c>
      <c r="E48" s="186">
        <f>C48+D48</f>
        <v>649.43000000000006</v>
      </c>
      <c r="F48" s="186"/>
      <c r="G48" s="186"/>
      <c r="H48" s="40">
        <v>0</v>
      </c>
      <c r="I48" s="40">
        <f>E48-H48</f>
        <v>649.43000000000006</v>
      </c>
      <c r="J48" s="188"/>
    </row>
    <row r="49" spans="1:10" s="43" customFormat="1" ht="18" x14ac:dyDescent="0.35">
      <c r="A49" s="180" t="s">
        <v>13</v>
      </c>
      <c r="B49" s="181"/>
      <c r="C49" s="181"/>
      <c r="D49" s="181"/>
      <c r="E49" s="181"/>
      <c r="F49" s="181"/>
      <c r="G49" s="181"/>
      <c r="H49" s="182"/>
      <c r="I49" s="42">
        <f>E48-H48</f>
        <v>649.43000000000006</v>
      </c>
      <c r="J49" s="189"/>
    </row>
    <row r="51" spans="1:10" ht="18" x14ac:dyDescent="0.3">
      <c r="A51" s="36">
        <v>45764</v>
      </c>
      <c r="B51" s="37" t="s">
        <v>9</v>
      </c>
      <c r="C51" s="38">
        <v>649.42999999999995</v>
      </c>
      <c r="D51" s="39">
        <v>64.97</v>
      </c>
      <c r="E51" s="186">
        <f>C51+D51</f>
        <v>714.4</v>
      </c>
      <c r="F51" s="186"/>
      <c r="G51" s="186"/>
      <c r="H51" s="40">
        <v>0</v>
      </c>
      <c r="I51" s="40">
        <f>E51-H51</f>
        <v>714.4</v>
      </c>
      <c r="J51" s="188"/>
    </row>
    <row r="52" spans="1:10" s="43" customFormat="1" ht="18" x14ac:dyDescent="0.35">
      <c r="A52" s="180" t="s">
        <v>13</v>
      </c>
      <c r="B52" s="181"/>
      <c r="C52" s="181"/>
      <c r="D52" s="181"/>
      <c r="E52" s="181"/>
      <c r="F52" s="181"/>
      <c r="G52" s="181"/>
      <c r="H52" s="182"/>
      <c r="I52" s="42">
        <f>E51-H51</f>
        <v>714.4</v>
      </c>
      <c r="J52" s="189"/>
    </row>
    <row r="54" spans="1:10" ht="18" x14ac:dyDescent="0.3">
      <c r="A54" s="36">
        <v>45765</v>
      </c>
      <c r="B54" s="37" t="s">
        <v>9</v>
      </c>
      <c r="C54" s="38">
        <v>0</v>
      </c>
      <c r="D54" s="39">
        <v>0</v>
      </c>
      <c r="E54" s="186">
        <f>C54+D54</f>
        <v>0</v>
      </c>
      <c r="F54" s="186"/>
      <c r="G54" s="186"/>
      <c r="H54" s="40">
        <v>0</v>
      </c>
      <c r="I54" s="40">
        <f>E54-H54</f>
        <v>0</v>
      </c>
      <c r="J54" s="215" t="s">
        <v>55</v>
      </c>
    </row>
    <row r="55" spans="1:10" s="43" customFormat="1" ht="18" x14ac:dyDescent="0.35">
      <c r="A55" s="180" t="s">
        <v>13</v>
      </c>
      <c r="B55" s="181"/>
      <c r="C55" s="181"/>
      <c r="D55" s="181"/>
      <c r="E55" s="181"/>
      <c r="F55" s="181"/>
      <c r="G55" s="181"/>
      <c r="H55" s="182"/>
      <c r="I55" s="42">
        <f>E54-H54</f>
        <v>0</v>
      </c>
      <c r="J55" s="216"/>
    </row>
    <row r="56" spans="1:10" ht="18" x14ac:dyDescent="0.35">
      <c r="J56" s="47"/>
    </row>
    <row r="57" spans="1:10" ht="18" x14ac:dyDescent="0.3">
      <c r="A57" s="36">
        <v>45766</v>
      </c>
      <c r="B57" s="37" t="s">
        <v>9</v>
      </c>
      <c r="C57" s="38">
        <v>0</v>
      </c>
      <c r="D57" s="39">
        <v>0</v>
      </c>
      <c r="E57" s="186">
        <f>C57+D57</f>
        <v>0</v>
      </c>
      <c r="F57" s="186"/>
      <c r="G57" s="186"/>
      <c r="H57" s="40">
        <v>0</v>
      </c>
      <c r="I57" s="40">
        <f>E57-H57</f>
        <v>0</v>
      </c>
      <c r="J57" s="215" t="s">
        <v>55</v>
      </c>
    </row>
    <row r="58" spans="1:10" s="43" customFormat="1" ht="18" x14ac:dyDescent="0.35">
      <c r="A58" s="180" t="s">
        <v>13</v>
      </c>
      <c r="B58" s="181"/>
      <c r="C58" s="181"/>
      <c r="D58" s="181"/>
      <c r="E58" s="181"/>
      <c r="F58" s="181"/>
      <c r="G58" s="181"/>
      <c r="H58" s="182"/>
      <c r="I58" s="42">
        <f>E57-H57</f>
        <v>0</v>
      </c>
      <c r="J58" s="216"/>
    </row>
    <row r="59" spans="1:10" ht="18" x14ac:dyDescent="0.35">
      <c r="J59" s="47"/>
    </row>
    <row r="60" spans="1:10" ht="18" x14ac:dyDescent="0.3">
      <c r="A60" s="36">
        <v>45768</v>
      </c>
      <c r="B60" s="37" t="s">
        <v>9</v>
      </c>
      <c r="C60" s="38">
        <v>0</v>
      </c>
      <c r="D60" s="39">
        <v>0</v>
      </c>
      <c r="E60" s="186">
        <f>C60+D60</f>
        <v>0</v>
      </c>
      <c r="F60" s="186"/>
      <c r="G60" s="186"/>
      <c r="H60" s="40">
        <v>0</v>
      </c>
      <c r="I60" s="40">
        <f>E60-H60</f>
        <v>0</v>
      </c>
      <c r="J60" s="215" t="s">
        <v>55</v>
      </c>
    </row>
    <row r="61" spans="1:10" s="43" customFormat="1" ht="18" x14ac:dyDescent="0.35">
      <c r="A61" s="180" t="s">
        <v>13</v>
      </c>
      <c r="B61" s="181"/>
      <c r="C61" s="181"/>
      <c r="D61" s="181"/>
      <c r="E61" s="181"/>
      <c r="F61" s="181"/>
      <c r="G61" s="181"/>
      <c r="H61" s="182"/>
      <c r="I61" s="42">
        <f>E60-H60</f>
        <v>0</v>
      </c>
      <c r="J61" s="216"/>
    </row>
    <row r="63" spans="1:10" ht="18" x14ac:dyDescent="0.3">
      <c r="A63" s="36">
        <v>45769</v>
      </c>
      <c r="B63" s="37" t="s">
        <v>9</v>
      </c>
      <c r="C63" s="38">
        <v>714.4</v>
      </c>
      <c r="D63" s="39">
        <v>162.15</v>
      </c>
      <c r="E63" s="186">
        <f>C63+D63</f>
        <v>876.55</v>
      </c>
      <c r="F63" s="186"/>
      <c r="G63" s="186"/>
      <c r="H63" s="40">
        <v>0</v>
      </c>
      <c r="I63" s="40">
        <f>E63-H63</f>
        <v>876.55</v>
      </c>
      <c r="J63" s="217"/>
    </row>
    <row r="64" spans="1:10" s="43" customFormat="1" ht="18" x14ac:dyDescent="0.35">
      <c r="A64" s="180" t="s">
        <v>13</v>
      </c>
      <c r="B64" s="181"/>
      <c r="C64" s="181"/>
      <c r="D64" s="181"/>
      <c r="E64" s="181"/>
      <c r="F64" s="181"/>
      <c r="G64" s="181"/>
      <c r="H64" s="182"/>
      <c r="I64" s="42">
        <f>E63-H63</f>
        <v>876.55</v>
      </c>
      <c r="J64" s="205"/>
    </row>
    <row r="66" spans="1:10" ht="18" x14ac:dyDescent="0.3">
      <c r="A66" s="36">
        <v>45770</v>
      </c>
      <c r="B66" s="37" t="s">
        <v>9</v>
      </c>
      <c r="C66" s="38">
        <v>876.55</v>
      </c>
      <c r="D66" s="39">
        <v>66.760000000000005</v>
      </c>
      <c r="E66" s="186">
        <f>C66+D66</f>
        <v>943.31</v>
      </c>
      <c r="F66" s="186"/>
      <c r="G66" s="186"/>
      <c r="H66" s="40">
        <v>194</v>
      </c>
      <c r="I66" s="40">
        <f>E66-H66</f>
        <v>749.31</v>
      </c>
      <c r="J66" s="178" t="s">
        <v>65</v>
      </c>
    </row>
    <row r="67" spans="1:10" s="43" customFormat="1" ht="18" x14ac:dyDescent="0.35">
      <c r="A67" s="180" t="s">
        <v>13</v>
      </c>
      <c r="B67" s="181"/>
      <c r="C67" s="181"/>
      <c r="D67" s="181"/>
      <c r="E67" s="181"/>
      <c r="F67" s="181"/>
      <c r="G67" s="181"/>
      <c r="H67" s="182"/>
      <c r="I67" s="42">
        <f>E66-H66</f>
        <v>749.31</v>
      </c>
      <c r="J67" s="205"/>
    </row>
    <row r="69" spans="1:10" ht="18" x14ac:dyDescent="0.3">
      <c r="A69" s="36">
        <v>45771</v>
      </c>
      <c r="B69" s="37" t="s">
        <v>9</v>
      </c>
      <c r="C69" s="38">
        <v>749.31</v>
      </c>
      <c r="D69" s="39">
        <v>52</v>
      </c>
      <c r="E69" s="186">
        <f>C69+D69</f>
        <v>801.31</v>
      </c>
      <c r="F69" s="186"/>
      <c r="G69" s="186"/>
      <c r="H69" s="40">
        <v>45.1</v>
      </c>
      <c r="I69" s="40">
        <f>E69-H69</f>
        <v>756.20999999999992</v>
      </c>
      <c r="J69" s="178" t="s">
        <v>66</v>
      </c>
    </row>
    <row r="70" spans="1:10" s="43" customFormat="1" ht="18" x14ac:dyDescent="0.35">
      <c r="A70" s="180" t="s">
        <v>13</v>
      </c>
      <c r="B70" s="181"/>
      <c r="C70" s="181"/>
      <c r="D70" s="181"/>
      <c r="E70" s="181"/>
      <c r="F70" s="181"/>
      <c r="G70" s="181"/>
      <c r="H70" s="182"/>
      <c r="I70" s="42">
        <f>E69-H69</f>
        <v>756.20999999999992</v>
      </c>
      <c r="J70" s="179"/>
    </row>
    <row r="72" spans="1:10" ht="18" x14ac:dyDescent="0.3">
      <c r="A72" s="36">
        <v>45772</v>
      </c>
      <c r="B72" s="37" t="s">
        <v>9</v>
      </c>
      <c r="C72" s="38">
        <v>756.21</v>
      </c>
      <c r="D72" s="39">
        <v>3.02</v>
      </c>
      <c r="E72" s="186">
        <f>C72+D72</f>
        <v>759.23</v>
      </c>
      <c r="F72" s="186"/>
      <c r="G72" s="186"/>
      <c r="H72" s="40">
        <v>16.53</v>
      </c>
      <c r="I72" s="40">
        <f>E72-H72</f>
        <v>742.7</v>
      </c>
      <c r="J72" s="178" t="s">
        <v>67</v>
      </c>
    </row>
    <row r="73" spans="1:10" s="43" customFormat="1" ht="18" x14ac:dyDescent="0.35">
      <c r="A73" s="180" t="s">
        <v>13</v>
      </c>
      <c r="B73" s="181"/>
      <c r="C73" s="181"/>
      <c r="D73" s="181"/>
      <c r="E73" s="181"/>
      <c r="F73" s="181"/>
      <c r="G73" s="181"/>
      <c r="H73" s="182"/>
      <c r="I73" s="42">
        <f>E72-H72</f>
        <v>742.7</v>
      </c>
      <c r="J73" s="179"/>
    </row>
    <row r="75" spans="1:10" ht="18" x14ac:dyDescent="0.3">
      <c r="A75" s="36">
        <v>45773</v>
      </c>
      <c r="B75" s="37" t="s">
        <v>9</v>
      </c>
      <c r="C75" s="38">
        <v>742.7</v>
      </c>
      <c r="D75" s="39">
        <v>22.04</v>
      </c>
      <c r="E75" s="186">
        <f>C75+D75</f>
        <v>764.74</v>
      </c>
      <c r="F75" s="186"/>
      <c r="G75" s="186"/>
      <c r="H75" s="40">
        <v>0</v>
      </c>
      <c r="I75" s="40">
        <f>E75-H75</f>
        <v>764.74</v>
      </c>
      <c r="J75" s="188"/>
    </row>
    <row r="76" spans="1:10" s="43" customFormat="1" ht="18" x14ac:dyDescent="0.35">
      <c r="A76" s="180"/>
      <c r="B76" s="181"/>
      <c r="C76" s="181"/>
      <c r="D76" s="181"/>
      <c r="E76" s="181"/>
      <c r="F76" s="181"/>
      <c r="G76" s="181"/>
      <c r="H76" s="182"/>
      <c r="I76" s="42">
        <f>E75-H75</f>
        <v>764.74</v>
      </c>
      <c r="J76" s="189"/>
    </row>
    <row r="78" spans="1:10" ht="18" x14ac:dyDescent="0.3">
      <c r="A78" s="36">
        <v>45775</v>
      </c>
      <c r="B78" s="37" t="s">
        <v>9</v>
      </c>
      <c r="C78" s="38">
        <v>764.74</v>
      </c>
      <c r="D78" s="39">
        <v>15.68</v>
      </c>
      <c r="E78" s="186">
        <f>C78+D78</f>
        <v>780.42</v>
      </c>
      <c r="F78" s="186"/>
      <c r="G78" s="186"/>
      <c r="H78" s="40">
        <v>2.5</v>
      </c>
      <c r="I78" s="40">
        <f>E78-H78</f>
        <v>777.92</v>
      </c>
      <c r="J78" s="178" t="s">
        <v>68</v>
      </c>
    </row>
    <row r="79" spans="1:10" s="43" customFormat="1" ht="18" x14ac:dyDescent="0.35">
      <c r="A79" s="180" t="s">
        <v>13</v>
      </c>
      <c r="B79" s="181"/>
      <c r="C79" s="181"/>
      <c r="D79" s="181"/>
      <c r="E79" s="181"/>
      <c r="F79" s="181"/>
      <c r="G79" s="181"/>
      <c r="H79" s="182"/>
      <c r="I79" s="42">
        <f>E78-H78</f>
        <v>777.92</v>
      </c>
      <c r="J79" s="179"/>
    </row>
    <row r="80" spans="1:10" x14ac:dyDescent="0.3">
      <c r="J80" s="48"/>
    </row>
    <row r="81" spans="1:10" ht="18" x14ac:dyDescent="0.3">
      <c r="A81" s="36">
        <v>45776</v>
      </c>
      <c r="B81" s="37" t="s">
        <v>9</v>
      </c>
      <c r="C81" s="38">
        <v>777.92</v>
      </c>
      <c r="D81" s="39">
        <v>15.12</v>
      </c>
      <c r="E81" s="186">
        <f>C81+D81</f>
        <v>793.04</v>
      </c>
      <c r="F81" s="186"/>
      <c r="G81" s="186"/>
      <c r="H81" s="40">
        <v>20</v>
      </c>
      <c r="I81" s="40">
        <f>E81-H81</f>
        <v>773.04</v>
      </c>
      <c r="J81" s="178" t="s">
        <v>69</v>
      </c>
    </row>
    <row r="82" spans="1:10" s="43" customFormat="1" ht="18" x14ac:dyDescent="0.35">
      <c r="A82" s="180" t="s">
        <v>13</v>
      </c>
      <c r="B82" s="181"/>
      <c r="C82" s="181"/>
      <c r="D82" s="181"/>
      <c r="E82" s="181"/>
      <c r="F82" s="181"/>
      <c r="G82" s="181"/>
      <c r="H82" s="182"/>
      <c r="I82" s="42">
        <f>E81-H81</f>
        <v>773.04</v>
      </c>
      <c r="J82" s="187"/>
    </row>
    <row r="83" spans="1:10" ht="18" x14ac:dyDescent="0.3">
      <c r="A83" s="183"/>
      <c r="B83" s="184"/>
      <c r="C83" s="184"/>
      <c r="D83" s="184"/>
      <c r="E83" s="184"/>
      <c r="F83" s="184"/>
      <c r="G83" s="184"/>
      <c r="H83" s="184"/>
      <c r="I83" s="184"/>
      <c r="J83" s="185"/>
    </row>
    <row r="84" spans="1:10" ht="18" x14ac:dyDescent="0.3">
      <c r="A84" s="36">
        <v>45777</v>
      </c>
      <c r="B84" s="37" t="s">
        <v>9</v>
      </c>
      <c r="C84" s="38">
        <v>773.04</v>
      </c>
      <c r="D84" s="39">
        <v>0</v>
      </c>
      <c r="E84" s="186">
        <v>0</v>
      </c>
      <c r="F84" s="186"/>
      <c r="G84" s="186"/>
      <c r="H84" s="40">
        <v>107</v>
      </c>
      <c r="I84" s="40">
        <f>C84-H84</f>
        <v>666.04</v>
      </c>
      <c r="J84" s="178" t="s">
        <v>96</v>
      </c>
    </row>
    <row r="85" spans="1:10" s="43" customFormat="1" ht="18" x14ac:dyDescent="0.35">
      <c r="A85" s="180" t="s">
        <v>13</v>
      </c>
      <c r="B85" s="181"/>
      <c r="C85" s="181"/>
      <c r="D85" s="181"/>
      <c r="E85" s="181"/>
      <c r="F85" s="181"/>
      <c r="G85" s="181"/>
      <c r="H85" s="182"/>
      <c r="I85" s="42">
        <f>E84-H84</f>
        <v>-107</v>
      </c>
      <c r="J85" s="179"/>
    </row>
  </sheetData>
  <mergeCells count="90">
    <mergeCell ref="A10:H10"/>
    <mergeCell ref="J9:J10"/>
    <mergeCell ref="A13:H13"/>
    <mergeCell ref="J15:J16"/>
    <mergeCell ref="A16:H16"/>
    <mergeCell ref="J24:J25"/>
    <mergeCell ref="A25:H25"/>
    <mergeCell ref="J27:J28"/>
    <mergeCell ref="A28:H28"/>
    <mergeCell ref="E30:G30"/>
    <mergeCell ref="J30:J31"/>
    <mergeCell ref="A31:H31"/>
    <mergeCell ref="J33:J34"/>
    <mergeCell ref="A34:H34"/>
    <mergeCell ref="J36:J37"/>
    <mergeCell ref="A37:H37"/>
    <mergeCell ref="J54:J55"/>
    <mergeCell ref="A55:H55"/>
    <mergeCell ref="A43:H43"/>
    <mergeCell ref="E45:G45"/>
    <mergeCell ref="E48:G48"/>
    <mergeCell ref="J45:J46"/>
    <mergeCell ref="A46:H46"/>
    <mergeCell ref="J48:J49"/>
    <mergeCell ref="A49:H49"/>
    <mergeCell ref="E51:G51"/>
    <mergeCell ref="J51:J52"/>
    <mergeCell ref="A52:H52"/>
    <mergeCell ref="J57:J58"/>
    <mergeCell ref="A58:H58"/>
    <mergeCell ref="J60:J61"/>
    <mergeCell ref="A61:H61"/>
    <mergeCell ref="E63:G63"/>
    <mergeCell ref="J63:J64"/>
    <mergeCell ref="A64:H64"/>
    <mergeCell ref="J66:J67"/>
    <mergeCell ref="A67:H67"/>
    <mergeCell ref="A8:J8"/>
    <mergeCell ref="A6:J6"/>
    <mergeCell ref="A4:J4"/>
    <mergeCell ref="E12:G12"/>
    <mergeCell ref="J12:J13"/>
    <mergeCell ref="E27:G27"/>
    <mergeCell ref="E24:G24"/>
    <mergeCell ref="E33:G33"/>
    <mergeCell ref="E36:G36"/>
    <mergeCell ref="E39:G39"/>
    <mergeCell ref="J39:J40"/>
    <mergeCell ref="A40:H40"/>
    <mergeCell ref="E42:G42"/>
    <mergeCell ref="J42:J43"/>
    <mergeCell ref="C2:I2"/>
    <mergeCell ref="A1:B3"/>
    <mergeCell ref="C1:I1"/>
    <mergeCell ref="A11:J11"/>
    <mergeCell ref="E21:G21"/>
    <mergeCell ref="E15:G15"/>
    <mergeCell ref="C3:F3"/>
    <mergeCell ref="G3:J3"/>
    <mergeCell ref="A5:J5"/>
    <mergeCell ref="E9:G9"/>
    <mergeCell ref="E7:G7"/>
    <mergeCell ref="E18:G18"/>
    <mergeCell ref="J18:J19"/>
    <mergeCell ref="A19:H19"/>
    <mergeCell ref="J21:J22"/>
    <mergeCell ref="A22:H22"/>
    <mergeCell ref="E54:G54"/>
    <mergeCell ref="E57:G57"/>
    <mergeCell ref="E60:G60"/>
    <mergeCell ref="E66:G66"/>
    <mergeCell ref="E69:G69"/>
    <mergeCell ref="J69:J70"/>
    <mergeCell ref="A70:H70"/>
    <mergeCell ref="E72:G72"/>
    <mergeCell ref="J72:J73"/>
    <mergeCell ref="A73:H73"/>
    <mergeCell ref="E75:G75"/>
    <mergeCell ref="J75:J76"/>
    <mergeCell ref="A76:H76"/>
    <mergeCell ref="E78:G78"/>
    <mergeCell ref="J78:J79"/>
    <mergeCell ref="A79:H79"/>
    <mergeCell ref="J84:J85"/>
    <mergeCell ref="A85:H85"/>
    <mergeCell ref="A83:J83"/>
    <mergeCell ref="E84:G84"/>
    <mergeCell ref="E81:G81"/>
    <mergeCell ref="J81:J82"/>
    <mergeCell ref="A82:H82"/>
  </mergeCells>
  <pageMargins left="0.511811024" right="0.511811024" top="0.78740157499999996" bottom="0.78740157499999996" header="0.31496062000000002" footer="0.31496062000000002"/>
  <pageSetup paperSize="124" orientation="portrait" horizontalDpi="203" verticalDpi="20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3E89-1F86-41C4-B93D-5AB3FE5EC0D1}">
  <sheetPr>
    <tabColor theme="9" tint="-0.249977111117893"/>
  </sheetPr>
  <dimension ref="A1:M88"/>
  <sheetViews>
    <sheetView showGridLines="0" zoomScale="91" zoomScaleNormal="91" workbookViewId="0">
      <pane ySplit="5" topLeftCell="A6" activePane="bottomLeft" state="frozen"/>
      <selection pane="bottomLeft" activeCell="A9" sqref="A9"/>
    </sheetView>
  </sheetViews>
  <sheetFormatPr defaultRowHeight="13.2" x14ac:dyDescent="0.25"/>
  <cols>
    <col min="1" max="1" width="15.109375" style="30" customWidth="1"/>
    <col min="2" max="2" width="15.109375" customWidth="1"/>
    <col min="3" max="3" width="17.88671875" customWidth="1"/>
    <col min="4" max="4" width="16.6640625" style="54" customWidth="1"/>
    <col min="6" max="6" width="8.5546875" customWidth="1"/>
    <col min="7" max="7" width="1.109375" hidden="1" customWidth="1"/>
    <col min="8" max="8" width="14.5546875" style="56" bestFit="1" customWidth="1"/>
    <col min="9" max="9" width="33.109375" style="30" customWidth="1"/>
    <col min="10" max="10" width="72.6640625" customWidth="1"/>
    <col min="12" max="12" width="10.5546875" bestFit="1" customWidth="1"/>
    <col min="13" max="13" width="11.33203125" bestFit="1" customWidth="1"/>
  </cols>
  <sheetData>
    <row r="1" spans="1:12" ht="37.5" customHeight="1" x14ac:dyDescent="0.25">
      <c r="A1" s="225"/>
      <c r="B1" s="226"/>
      <c r="C1" s="231" t="s">
        <v>6</v>
      </c>
      <c r="D1" s="232"/>
      <c r="E1" s="232"/>
      <c r="F1" s="232"/>
      <c r="G1" s="232"/>
      <c r="H1" s="232"/>
      <c r="I1" s="233"/>
      <c r="J1" s="25" t="s">
        <v>1</v>
      </c>
    </row>
    <row r="2" spans="1:12" ht="25.95" customHeight="1" x14ac:dyDescent="0.25">
      <c r="A2" s="227"/>
      <c r="B2" s="228"/>
      <c r="C2" s="130" t="s">
        <v>3</v>
      </c>
      <c r="D2" s="130"/>
      <c r="E2" s="130"/>
      <c r="F2" s="130"/>
      <c r="G2" s="130"/>
      <c r="H2" s="130"/>
      <c r="I2" s="130"/>
      <c r="J2" s="24" t="s">
        <v>0</v>
      </c>
    </row>
    <row r="3" spans="1:12" ht="25.95" customHeight="1" x14ac:dyDescent="0.25">
      <c r="A3" s="229"/>
      <c r="B3" s="230"/>
      <c r="C3" s="130" t="s">
        <v>2</v>
      </c>
      <c r="D3" s="130"/>
      <c r="E3" s="130"/>
      <c r="F3" s="130"/>
      <c r="G3" s="130" t="s">
        <v>88</v>
      </c>
      <c r="H3" s="130"/>
      <c r="I3" s="130"/>
      <c r="J3" s="130"/>
    </row>
    <row r="4" spans="1:12" ht="25.95" customHeight="1" x14ac:dyDescent="0.25">
      <c r="A4" s="222"/>
      <c r="B4" s="223"/>
      <c r="C4" s="223"/>
      <c r="D4" s="223"/>
      <c r="E4" s="223"/>
      <c r="F4" s="223"/>
      <c r="G4" s="223"/>
      <c r="H4" s="223"/>
      <c r="I4" s="223"/>
      <c r="J4" s="224"/>
    </row>
    <row r="5" spans="1:12" ht="25.8" x14ac:dyDescent="0.25">
      <c r="A5" s="234" t="s">
        <v>54</v>
      </c>
      <c r="B5" s="234"/>
      <c r="C5" s="234"/>
      <c r="D5" s="234"/>
      <c r="E5" s="234"/>
      <c r="F5" s="234"/>
      <c r="G5" s="234"/>
      <c r="H5" s="234"/>
      <c r="I5" s="234"/>
      <c r="J5" s="234"/>
    </row>
    <row r="6" spans="1:12" ht="25.8" x14ac:dyDescent="0.25">
      <c r="A6" s="235"/>
      <c r="B6" s="236"/>
      <c r="C6" s="236"/>
      <c r="D6" s="236"/>
      <c r="E6" s="236"/>
      <c r="F6" s="236"/>
      <c r="G6" s="236"/>
      <c r="H6" s="236"/>
      <c r="I6" s="236"/>
      <c r="J6" s="237"/>
    </row>
    <row r="7" spans="1:12" ht="31.2" x14ac:dyDescent="0.25">
      <c r="A7" s="26" t="s">
        <v>4</v>
      </c>
      <c r="B7" s="26" t="s">
        <v>48</v>
      </c>
      <c r="C7" s="26" t="s">
        <v>52</v>
      </c>
      <c r="D7" s="52" t="s">
        <v>51</v>
      </c>
      <c r="E7" s="238" t="s">
        <v>49</v>
      </c>
      <c r="F7" s="238"/>
      <c r="G7" s="238"/>
      <c r="H7" s="51" t="s">
        <v>50</v>
      </c>
      <c r="I7" s="27" t="s">
        <v>53</v>
      </c>
      <c r="J7" s="27" t="s">
        <v>5</v>
      </c>
    </row>
    <row r="8" spans="1:12" ht="35.4" customHeight="1" x14ac:dyDescent="0.25">
      <c r="A8" s="239"/>
      <c r="B8" s="240"/>
      <c r="C8" s="240"/>
      <c r="D8" s="240"/>
      <c r="E8" s="240"/>
      <c r="F8" s="240"/>
      <c r="G8" s="240"/>
      <c r="H8" s="240"/>
      <c r="I8" s="240"/>
      <c r="J8" s="241"/>
    </row>
    <row r="9" spans="1:12" ht="18" x14ac:dyDescent="0.25">
      <c r="A9" s="22">
        <v>45778</v>
      </c>
      <c r="B9" s="28" t="s">
        <v>9</v>
      </c>
      <c r="C9" s="29">
        <v>666.04</v>
      </c>
      <c r="D9" s="53">
        <v>0</v>
      </c>
      <c r="E9" s="242">
        <v>0</v>
      </c>
      <c r="F9" s="242"/>
      <c r="G9" s="242"/>
      <c r="H9" s="55">
        <v>0</v>
      </c>
      <c r="I9" s="50">
        <v>666.04</v>
      </c>
      <c r="J9" s="243" t="s">
        <v>55</v>
      </c>
      <c r="L9" s="23"/>
    </row>
    <row r="10" spans="1:12" ht="18" customHeight="1" x14ac:dyDescent="0.35">
      <c r="A10" s="245" t="s">
        <v>13</v>
      </c>
      <c r="B10" s="246"/>
      <c r="C10" s="246"/>
      <c r="D10" s="246"/>
      <c r="E10" s="246"/>
      <c r="F10" s="246"/>
      <c r="G10" s="246"/>
      <c r="H10" s="247"/>
      <c r="I10" s="57">
        <f>E9-H9</f>
        <v>0</v>
      </c>
      <c r="J10" s="244"/>
      <c r="L10" s="23"/>
    </row>
    <row r="11" spans="1:12" ht="15.6" x14ac:dyDescent="0.25">
      <c r="A11" s="239"/>
      <c r="B11" s="240"/>
      <c r="C11" s="240"/>
      <c r="D11" s="240"/>
      <c r="E11" s="240"/>
      <c r="F11" s="240"/>
      <c r="G11" s="240"/>
      <c r="H11" s="240"/>
      <c r="I11" s="240"/>
      <c r="J11" s="241"/>
    </row>
    <row r="12" spans="1:12" ht="18" x14ac:dyDescent="0.25">
      <c r="A12" s="22">
        <v>45779</v>
      </c>
      <c r="B12" s="28" t="s">
        <v>9</v>
      </c>
      <c r="C12" s="29">
        <v>666.04</v>
      </c>
      <c r="D12" s="53">
        <v>72.19</v>
      </c>
      <c r="E12" s="242">
        <f>C12+D12</f>
        <v>738.23</v>
      </c>
      <c r="F12" s="242"/>
      <c r="G12" s="242"/>
      <c r="H12" s="55">
        <v>300</v>
      </c>
      <c r="I12" s="50">
        <f>E12-H12</f>
        <v>438.23</v>
      </c>
      <c r="J12" s="248" t="s">
        <v>70</v>
      </c>
    </row>
    <row r="13" spans="1:12" ht="18" x14ac:dyDescent="0.35">
      <c r="A13" s="245" t="s">
        <v>13</v>
      </c>
      <c r="B13" s="246"/>
      <c r="C13" s="246"/>
      <c r="D13" s="246"/>
      <c r="E13" s="246"/>
      <c r="F13" s="246"/>
      <c r="G13" s="246"/>
      <c r="H13" s="247"/>
      <c r="I13" s="57">
        <f>E12-H12</f>
        <v>438.23</v>
      </c>
      <c r="J13" s="249"/>
    </row>
    <row r="15" spans="1:12" ht="18" x14ac:dyDescent="0.25">
      <c r="A15" s="22">
        <v>45780</v>
      </c>
      <c r="B15" s="28" t="s">
        <v>9</v>
      </c>
      <c r="C15" s="29">
        <v>438.23</v>
      </c>
      <c r="D15" s="53">
        <v>15.39</v>
      </c>
      <c r="E15" s="242">
        <f>C15+D15</f>
        <v>453.62</v>
      </c>
      <c r="F15" s="242"/>
      <c r="G15" s="242"/>
      <c r="H15" s="55">
        <v>0</v>
      </c>
      <c r="I15" s="50">
        <v>453.62</v>
      </c>
      <c r="J15" s="250"/>
    </row>
    <row r="16" spans="1:12" ht="18" x14ac:dyDescent="0.35">
      <c r="A16" s="245" t="s">
        <v>13</v>
      </c>
      <c r="B16" s="246"/>
      <c r="C16" s="246"/>
      <c r="D16" s="246"/>
      <c r="E16" s="246"/>
      <c r="F16" s="246"/>
      <c r="G16" s="246"/>
      <c r="H16" s="247"/>
      <c r="I16" s="57">
        <f>E15-H15</f>
        <v>453.62</v>
      </c>
      <c r="J16" s="251"/>
    </row>
    <row r="18" spans="1:13" ht="18" x14ac:dyDescent="0.25">
      <c r="A18" s="22">
        <v>45782</v>
      </c>
      <c r="B18" s="28" t="s">
        <v>9</v>
      </c>
      <c r="C18" s="29">
        <v>453.62</v>
      </c>
      <c r="D18" s="53">
        <v>105.76</v>
      </c>
      <c r="E18" s="242">
        <f>C18+D18</f>
        <v>559.38</v>
      </c>
      <c r="F18" s="242"/>
      <c r="G18" s="242"/>
      <c r="H18" s="55">
        <v>4</v>
      </c>
      <c r="I18" s="50">
        <f>E18-H18</f>
        <v>555.38</v>
      </c>
      <c r="J18" s="248" t="s">
        <v>71</v>
      </c>
      <c r="L18" s="49"/>
    </row>
    <row r="19" spans="1:13" ht="30" customHeight="1" x14ac:dyDescent="0.35">
      <c r="A19" s="245" t="s">
        <v>13</v>
      </c>
      <c r="B19" s="246"/>
      <c r="C19" s="246"/>
      <c r="D19" s="246"/>
      <c r="E19" s="246"/>
      <c r="F19" s="246"/>
      <c r="G19" s="246"/>
      <c r="H19" s="247"/>
      <c r="I19" s="57">
        <f>E18-H18</f>
        <v>555.38</v>
      </c>
      <c r="J19" s="249"/>
    </row>
    <row r="21" spans="1:13" ht="18" x14ac:dyDescent="0.25">
      <c r="A21" s="22">
        <v>45783</v>
      </c>
      <c r="B21" s="28" t="s">
        <v>9</v>
      </c>
      <c r="C21" s="29">
        <v>555.38</v>
      </c>
      <c r="D21" s="53">
        <v>176.29</v>
      </c>
      <c r="E21" s="242">
        <f>C21+D21</f>
        <v>731.67</v>
      </c>
      <c r="F21" s="242"/>
      <c r="G21" s="242"/>
      <c r="H21" s="55">
        <v>46.73</v>
      </c>
      <c r="I21" s="50">
        <f>E21-H21</f>
        <v>684.93999999999994</v>
      </c>
      <c r="J21" s="250"/>
    </row>
    <row r="22" spans="1:13" ht="18" x14ac:dyDescent="0.35">
      <c r="A22" s="245" t="s">
        <v>13</v>
      </c>
      <c r="B22" s="246"/>
      <c r="C22" s="246"/>
      <c r="D22" s="246"/>
      <c r="E22" s="246"/>
      <c r="F22" s="246"/>
      <c r="G22" s="246"/>
      <c r="H22" s="247"/>
      <c r="I22" s="57">
        <f>E21-H21</f>
        <v>684.93999999999994</v>
      </c>
      <c r="J22" s="251"/>
      <c r="M22" s="23"/>
    </row>
    <row r="23" spans="1:13" x14ac:dyDescent="0.25">
      <c r="M23" s="23"/>
    </row>
    <row r="24" spans="1:13" ht="18" x14ac:dyDescent="0.25">
      <c r="A24" s="22">
        <v>45784</v>
      </c>
      <c r="B24" s="28" t="s">
        <v>9</v>
      </c>
      <c r="C24" s="29">
        <v>648.94000000000005</v>
      </c>
      <c r="D24" s="53">
        <v>40.9</v>
      </c>
      <c r="E24" s="242">
        <f>C24+D24</f>
        <v>689.84</v>
      </c>
      <c r="F24" s="242"/>
      <c r="G24" s="242"/>
      <c r="H24" s="55">
        <v>72.78</v>
      </c>
      <c r="I24" s="50">
        <f>E24-H24</f>
        <v>617.06000000000006</v>
      </c>
      <c r="J24" s="248" t="s">
        <v>74</v>
      </c>
      <c r="M24" s="23"/>
    </row>
    <row r="25" spans="1:13" ht="18" x14ac:dyDescent="0.35">
      <c r="A25" s="245" t="s">
        <v>13</v>
      </c>
      <c r="B25" s="246"/>
      <c r="C25" s="246"/>
      <c r="D25" s="246"/>
      <c r="E25" s="246"/>
      <c r="F25" s="246"/>
      <c r="G25" s="246"/>
      <c r="H25" s="247"/>
      <c r="I25" s="57">
        <f>E24-H24</f>
        <v>617.06000000000006</v>
      </c>
      <c r="J25" s="249"/>
      <c r="M25" s="23"/>
    </row>
    <row r="26" spans="1:13" x14ac:dyDescent="0.25">
      <c r="M26" s="23"/>
    </row>
    <row r="27" spans="1:13" ht="18" x14ac:dyDescent="0.25">
      <c r="A27" s="22">
        <v>45785</v>
      </c>
      <c r="B27" s="28" t="s">
        <v>9</v>
      </c>
      <c r="C27" s="29">
        <v>617.05999999999995</v>
      </c>
      <c r="D27" s="53">
        <v>61.88</v>
      </c>
      <c r="E27" s="242">
        <f>C27+D27</f>
        <v>678.93999999999994</v>
      </c>
      <c r="F27" s="242"/>
      <c r="G27" s="242"/>
      <c r="H27" s="55">
        <v>0</v>
      </c>
      <c r="I27" s="50">
        <f>E27-H27</f>
        <v>678.93999999999994</v>
      </c>
      <c r="J27" s="250"/>
      <c r="M27" s="23"/>
    </row>
    <row r="28" spans="1:13" ht="18" x14ac:dyDescent="0.35">
      <c r="A28" s="245" t="s">
        <v>13</v>
      </c>
      <c r="B28" s="246"/>
      <c r="C28" s="246"/>
      <c r="D28" s="246"/>
      <c r="E28" s="246"/>
      <c r="F28" s="246"/>
      <c r="G28" s="246"/>
      <c r="H28" s="247"/>
      <c r="I28" s="57">
        <f>E27-H27</f>
        <v>678.93999999999994</v>
      </c>
      <c r="J28" s="251"/>
      <c r="M28" s="23"/>
    </row>
    <row r="29" spans="1:13" x14ac:dyDescent="0.25">
      <c r="M29" s="23"/>
    </row>
    <row r="30" spans="1:13" ht="18" x14ac:dyDescent="0.25">
      <c r="A30" s="22">
        <v>45786</v>
      </c>
      <c r="B30" s="28" t="s">
        <v>9</v>
      </c>
      <c r="C30" s="29">
        <v>678.94</v>
      </c>
      <c r="D30" s="53">
        <v>229.98</v>
      </c>
      <c r="E30" s="242">
        <f>C30+D30</f>
        <v>908.92000000000007</v>
      </c>
      <c r="F30" s="242"/>
      <c r="G30" s="242"/>
      <c r="H30" s="55">
        <v>420</v>
      </c>
      <c r="I30" s="50">
        <f>E30-H30</f>
        <v>488.92000000000007</v>
      </c>
      <c r="J30" s="248" t="s">
        <v>79</v>
      </c>
      <c r="M30" s="23"/>
    </row>
    <row r="31" spans="1:13" ht="18" x14ac:dyDescent="0.35">
      <c r="A31" s="245" t="s">
        <v>13</v>
      </c>
      <c r="B31" s="246"/>
      <c r="C31" s="246"/>
      <c r="D31" s="246"/>
      <c r="E31" s="246"/>
      <c r="F31" s="246"/>
      <c r="G31" s="246"/>
      <c r="H31" s="247"/>
      <c r="I31" s="57">
        <f>E30-H30</f>
        <v>488.92000000000007</v>
      </c>
      <c r="J31" s="249"/>
      <c r="M31" s="49"/>
    </row>
    <row r="33" spans="1:10" ht="18" x14ac:dyDescent="0.25">
      <c r="A33" s="22">
        <v>45787</v>
      </c>
      <c r="B33" s="28" t="s">
        <v>9</v>
      </c>
      <c r="C33" s="29">
        <v>488.92</v>
      </c>
      <c r="D33" s="53">
        <v>122.55</v>
      </c>
      <c r="E33" s="242">
        <f>C33+D33</f>
        <v>611.47</v>
      </c>
      <c r="F33" s="242"/>
      <c r="G33" s="242"/>
      <c r="H33" s="55">
        <v>0</v>
      </c>
      <c r="I33" s="50">
        <f>E33-H33</f>
        <v>611.47</v>
      </c>
      <c r="J33" s="250"/>
    </row>
    <row r="34" spans="1:10" ht="18" x14ac:dyDescent="0.35">
      <c r="A34" s="245" t="s">
        <v>13</v>
      </c>
      <c r="B34" s="246"/>
      <c r="C34" s="246"/>
      <c r="D34" s="246"/>
      <c r="E34" s="246"/>
      <c r="F34" s="246"/>
      <c r="G34" s="246"/>
      <c r="H34" s="247"/>
      <c r="I34" s="57">
        <f>E33-H33</f>
        <v>611.47</v>
      </c>
      <c r="J34" s="251"/>
    </row>
    <row r="36" spans="1:10" ht="18" x14ac:dyDescent="0.25">
      <c r="A36" s="22">
        <v>45789</v>
      </c>
      <c r="B36" s="28" t="s">
        <v>9</v>
      </c>
      <c r="C36" s="29">
        <v>611.47</v>
      </c>
      <c r="D36" s="53">
        <v>31.7</v>
      </c>
      <c r="E36" s="242">
        <f>C36+D36</f>
        <v>643.17000000000007</v>
      </c>
      <c r="F36" s="242"/>
      <c r="G36" s="242"/>
      <c r="H36" s="55">
        <v>0</v>
      </c>
      <c r="I36" s="50">
        <f>E36-H36</f>
        <v>643.17000000000007</v>
      </c>
      <c r="J36" s="250"/>
    </row>
    <row r="37" spans="1:10" ht="18" x14ac:dyDescent="0.35">
      <c r="A37" s="245" t="s">
        <v>13</v>
      </c>
      <c r="B37" s="246"/>
      <c r="C37" s="246"/>
      <c r="D37" s="246"/>
      <c r="E37" s="246"/>
      <c r="F37" s="246"/>
      <c r="G37" s="246"/>
      <c r="H37" s="247"/>
      <c r="I37" s="57">
        <f>E36-H36</f>
        <v>643.17000000000007</v>
      </c>
      <c r="J37" s="251"/>
    </row>
    <row r="39" spans="1:10" ht="18" x14ac:dyDescent="0.25">
      <c r="A39" s="22">
        <v>45790</v>
      </c>
      <c r="B39" s="28" t="s">
        <v>9</v>
      </c>
      <c r="C39" s="29">
        <v>643.16999999999996</v>
      </c>
      <c r="D39" s="53">
        <v>39.5</v>
      </c>
      <c r="E39" s="242">
        <f>C39+D39</f>
        <v>682.67</v>
      </c>
      <c r="F39" s="242"/>
      <c r="G39" s="242"/>
      <c r="H39" s="55">
        <v>0</v>
      </c>
      <c r="I39" s="50">
        <f>E39-H39</f>
        <v>682.67</v>
      </c>
      <c r="J39" s="248" t="s">
        <v>75</v>
      </c>
    </row>
    <row r="40" spans="1:10" ht="18" x14ac:dyDescent="0.35">
      <c r="A40" s="245" t="s">
        <v>13</v>
      </c>
      <c r="B40" s="246"/>
      <c r="C40" s="246"/>
      <c r="D40" s="246"/>
      <c r="E40" s="246"/>
      <c r="F40" s="246"/>
      <c r="G40" s="246"/>
      <c r="H40" s="247"/>
      <c r="I40" s="57">
        <f>E39-H39</f>
        <v>682.67</v>
      </c>
      <c r="J40" s="249"/>
    </row>
    <row r="42" spans="1:10" ht="18" x14ac:dyDescent="0.25">
      <c r="A42" s="22">
        <v>45791</v>
      </c>
      <c r="B42" s="28" t="s">
        <v>9</v>
      </c>
      <c r="C42" s="29">
        <v>682.67</v>
      </c>
      <c r="D42" s="53">
        <v>97.58</v>
      </c>
      <c r="E42" s="242">
        <f>C42+D42</f>
        <v>780.25</v>
      </c>
      <c r="F42" s="242"/>
      <c r="G42" s="242"/>
      <c r="H42" s="55">
        <v>0</v>
      </c>
      <c r="I42" s="50">
        <f>E42-H42</f>
        <v>780.25</v>
      </c>
      <c r="J42" s="250"/>
    </row>
    <row r="43" spans="1:10" ht="18" x14ac:dyDescent="0.35">
      <c r="A43" s="245" t="s">
        <v>13</v>
      </c>
      <c r="B43" s="246"/>
      <c r="C43" s="246"/>
      <c r="D43" s="246"/>
      <c r="E43" s="246"/>
      <c r="F43" s="246"/>
      <c r="G43" s="246"/>
      <c r="H43" s="247"/>
      <c r="I43" s="57">
        <f>E42-H42</f>
        <v>780.25</v>
      </c>
      <c r="J43" s="251"/>
    </row>
    <row r="45" spans="1:10" ht="18" x14ac:dyDescent="0.25">
      <c r="A45" s="22">
        <v>45792</v>
      </c>
      <c r="B45" s="28" t="s">
        <v>9</v>
      </c>
      <c r="C45" s="29">
        <v>780.25</v>
      </c>
      <c r="D45" s="53">
        <v>53.69</v>
      </c>
      <c r="E45" s="242">
        <f>C45+D45</f>
        <v>833.94</v>
      </c>
      <c r="F45" s="242"/>
      <c r="G45" s="242"/>
      <c r="H45" s="55">
        <v>0</v>
      </c>
      <c r="I45" s="50">
        <f>E45-H45</f>
        <v>833.94</v>
      </c>
      <c r="J45" s="248" t="s">
        <v>72</v>
      </c>
    </row>
    <row r="46" spans="1:10" ht="18" x14ac:dyDescent="0.35">
      <c r="A46" s="245" t="s">
        <v>13</v>
      </c>
      <c r="B46" s="246"/>
      <c r="C46" s="246"/>
      <c r="D46" s="246"/>
      <c r="E46" s="246"/>
      <c r="F46" s="246"/>
      <c r="G46" s="246"/>
      <c r="H46" s="247"/>
      <c r="I46" s="57">
        <f>E45-H45</f>
        <v>833.94</v>
      </c>
      <c r="J46" s="249"/>
    </row>
    <row r="47" spans="1:10" ht="4.5" customHeight="1" x14ac:dyDescent="0.25"/>
    <row r="48" spans="1:10" ht="27" customHeight="1" x14ac:dyDescent="0.25">
      <c r="A48" s="22">
        <v>45793</v>
      </c>
      <c r="B48" s="28" t="s">
        <v>9</v>
      </c>
      <c r="C48" s="29">
        <v>859.85</v>
      </c>
      <c r="D48" s="53">
        <v>330.86</v>
      </c>
      <c r="E48" s="242">
        <f>C48+D48</f>
        <v>1190.71</v>
      </c>
      <c r="F48" s="242"/>
      <c r="G48" s="242"/>
      <c r="H48" s="55">
        <v>377.96</v>
      </c>
      <c r="I48" s="50">
        <v>910.95</v>
      </c>
      <c r="J48" s="248" t="s">
        <v>73</v>
      </c>
    </row>
    <row r="49" spans="1:10" ht="24.75" customHeight="1" x14ac:dyDescent="0.35">
      <c r="A49" s="245" t="s">
        <v>13</v>
      </c>
      <c r="B49" s="246"/>
      <c r="C49" s="246"/>
      <c r="D49" s="246"/>
      <c r="E49" s="246"/>
      <c r="F49" s="246"/>
      <c r="G49" s="246"/>
      <c r="H49" s="247"/>
      <c r="I49" s="57">
        <v>910.95</v>
      </c>
      <c r="J49" s="249"/>
    </row>
    <row r="51" spans="1:10" ht="18" x14ac:dyDescent="0.25">
      <c r="A51" s="22">
        <v>45794</v>
      </c>
      <c r="B51" s="28" t="s">
        <v>9</v>
      </c>
      <c r="C51" s="29">
        <v>910.95</v>
      </c>
      <c r="D51" s="53">
        <v>0</v>
      </c>
      <c r="E51" s="242">
        <f>C51+D51</f>
        <v>910.95</v>
      </c>
      <c r="F51" s="242"/>
      <c r="G51" s="242"/>
      <c r="H51" s="55">
        <v>0</v>
      </c>
      <c r="I51" s="50">
        <f>E51-H51</f>
        <v>910.95</v>
      </c>
      <c r="J51" s="250"/>
    </row>
    <row r="52" spans="1:10" ht="18" x14ac:dyDescent="0.35">
      <c r="A52" s="245" t="s">
        <v>13</v>
      </c>
      <c r="B52" s="246"/>
      <c r="C52" s="246"/>
      <c r="D52" s="246"/>
      <c r="E52" s="246"/>
      <c r="F52" s="246"/>
      <c r="G52" s="246"/>
      <c r="H52" s="247"/>
      <c r="I52" s="57">
        <f>E51-H51</f>
        <v>910.95</v>
      </c>
      <c r="J52" s="251"/>
    </row>
    <row r="54" spans="1:10" ht="18" x14ac:dyDescent="0.25">
      <c r="A54" s="22">
        <v>45796</v>
      </c>
      <c r="B54" s="28" t="s">
        <v>9</v>
      </c>
      <c r="C54" s="29">
        <v>910.95</v>
      </c>
      <c r="D54" s="53">
        <v>11.68</v>
      </c>
      <c r="E54" s="242">
        <f>C54+D54</f>
        <v>922.63</v>
      </c>
      <c r="F54" s="242"/>
      <c r="G54" s="242"/>
      <c r="H54" s="55">
        <v>0</v>
      </c>
      <c r="I54" s="50">
        <f>E54-H54</f>
        <v>922.63</v>
      </c>
      <c r="J54" s="250"/>
    </row>
    <row r="55" spans="1:10" ht="18" x14ac:dyDescent="0.35">
      <c r="A55" s="245" t="s">
        <v>13</v>
      </c>
      <c r="B55" s="246"/>
      <c r="C55" s="246"/>
      <c r="D55" s="246"/>
      <c r="E55" s="246"/>
      <c r="F55" s="246"/>
      <c r="G55" s="246"/>
      <c r="H55" s="247"/>
      <c r="I55" s="57">
        <f>E54-H54</f>
        <v>922.63</v>
      </c>
      <c r="J55" s="251"/>
    </row>
    <row r="57" spans="1:10" ht="18" x14ac:dyDescent="0.25">
      <c r="A57" s="22">
        <v>45797</v>
      </c>
      <c r="B57" s="28" t="s">
        <v>9</v>
      </c>
      <c r="C57" s="29">
        <v>922.63</v>
      </c>
      <c r="D57" s="53">
        <v>15</v>
      </c>
      <c r="E57" s="242">
        <f>C57+D57</f>
        <v>937.63</v>
      </c>
      <c r="F57" s="242"/>
      <c r="G57" s="242"/>
      <c r="H57" s="55">
        <v>0</v>
      </c>
      <c r="I57" s="50">
        <f>E57-H57</f>
        <v>937.63</v>
      </c>
      <c r="J57" s="250"/>
    </row>
    <row r="58" spans="1:10" ht="18" x14ac:dyDescent="0.35">
      <c r="A58" s="245" t="s">
        <v>13</v>
      </c>
      <c r="B58" s="246"/>
      <c r="C58" s="246"/>
      <c r="D58" s="246"/>
      <c r="E58" s="246"/>
      <c r="F58" s="246"/>
      <c r="G58" s="246"/>
      <c r="H58" s="247"/>
      <c r="I58" s="57">
        <f>E57-H57</f>
        <v>937.63</v>
      </c>
      <c r="J58" s="251"/>
    </row>
    <row r="60" spans="1:10" ht="18" x14ac:dyDescent="0.25">
      <c r="A60" s="22">
        <v>45798</v>
      </c>
      <c r="B60" s="28" t="s">
        <v>9</v>
      </c>
      <c r="C60" s="29">
        <v>937.63</v>
      </c>
      <c r="D60" s="53">
        <v>91.9</v>
      </c>
      <c r="E60" s="242">
        <f>C60+D60</f>
        <v>1029.53</v>
      </c>
      <c r="F60" s="242"/>
      <c r="G60" s="242"/>
      <c r="H60" s="55">
        <v>0</v>
      </c>
      <c r="I60" s="50">
        <f>E60-H60</f>
        <v>1029.53</v>
      </c>
      <c r="J60" s="250"/>
    </row>
    <row r="61" spans="1:10" ht="18" x14ac:dyDescent="0.35">
      <c r="A61" s="245" t="s">
        <v>13</v>
      </c>
      <c r="B61" s="246"/>
      <c r="C61" s="246"/>
      <c r="D61" s="246"/>
      <c r="E61" s="246"/>
      <c r="F61" s="246"/>
      <c r="G61" s="246"/>
      <c r="H61" s="247"/>
      <c r="I61" s="57">
        <f>E60-H60</f>
        <v>1029.53</v>
      </c>
      <c r="J61" s="251"/>
    </row>
    <row r="63" spans="1:10" ht="18" x14ac:dyDescent="0.25">
      <c r="A63" s="22">
        <v>45799</v>
      </c>
      <c r="B63" s="28" t="s">
        <v>9</v>
      </c>
      <c r="C63" s="29">
        <v>1029.53</v>
      </c>
      <c r="D63" s="53">
        <v>24.36</v>
      </c>
      <c r="E63" s="242">
        <f>C63+D63</f>
        <v>1053.8899999999999</v>
      </c>
      <c r="F63" s="242"/>
      <c r="G63" s="242"/>
      <c r="H63" s="55">
        <v>0</v>
      </c>
      <c r="I63" s="50">
        <f>E63-H63</f>
        <v>1053.8899999999999</v>
      </c>
      <c r="J63" s="250"/>
    </row>
    <row r="64" spans="1:10" ht="18" x14ac:dyDescent="0.35">
      <c r="A64" s="245" t="s">
        <v>13</v>
      </c>
      <c r="B64" s="246"/>
      <c r="C64" s="246"/>
      <c r="D64" s="246"/>
      <c r="E64" s="246"/>
      <c r="F64" s="246"/>
      <c r="G64" s="246"/>
      <c r="H64" s="247"/>
      <c r="I64" s="57">
        <f>E63-H63</f>
        <v>1053.8899999999999</v>
      </c>
      <c r="J64" s="251"/>
    </row>
    <row r="66" spans="1:10" ht="18" x14ac:dyDescent="0.25">
      <c r="A66" s="22">
        <v>45800</v>
      </c>
      <c r="B66" s="28" t="s">
        <v>9</v>
      </c>
      <c r="C66" s="29">
        <v>1053.8900000000001</v>
      </c>
      <c r="D66" s="53">
        <v>35.67</v>
      </c>
      <c r="E66" s="242">
        <f>C66+D66</f>
        <v>1089.5600000000002</v>
      </c>
      <c r="F66" s="242"/>
      <c r="G66" s="242"/>
      <c r="H66" s="55">
        <v>60</v>
      </c>
      <c r="I66" s="50">
        <f>E66-H66</f>
        <v>1029.5600000000002</v>
      </c>
      <c r="J66" s="248" t="s">
        <v>76</v>
      </c>
    </row>
    <row r="67" spans="1:10" ht="18" x14ac:dyDescent="0.35">
      <c r="A67" s="245" t="s">
        <v>13</v>
      </c>
      <c r="B67" s="246"/>
      <c r="C67" s="246"/>
      <c r="D67" s="246"/>
      <c r="E67" s="246"/>
      <c r="F67" s="246"/>
      <c r="G67" s="246"/>
      <c r="H67" s="247"/>
      <c r="I67" s="57">
        <f>E66-H66</f>
        <v>1029.5600000000002</v>
      </c>
      <c r="J67" s="249"/>
    </row>
    <row r="69" spans="1:10" ht="18" x14ac:dyDescent="0.25">
      <c r="A69" s="22">
        <v>45801</v>
      </c>
      <c r="B69" s="28" t="s">
        <v>9</v>
      </c>
      <c r="C69" s="29">
        <v>1029.56</v>
      </c>
      <c r="D69" s="53">
        <v>0</v>
      </c>
      <c r="E69" s="242">
        <f>C69+D69</f>
        <v>1029.56</v>
      </c>
      <c r="F69" s="242"/>
      <c r="G69" s="242"/>
      <c r="H69" s="55">
        <v>0</v>
      </c>
      <c r="I69" s="50">
        <f>E69-H69</f>
        <v>1029.56</v>
      </c>
      <c r="J69" s="252"/>
    </row>
    <row r="70" spans="1:10" ht="18" x14ac:dyDescent="0.35">
      <c r="A70" s="245" t="s">
        <v>13</v>
      </c>
      <c r="B70" s="246"/>
      <c r="C70" s="246"/>
      <c r="D70" s="246"/>
      <c r="E70" s="246"/>
      <c r="F70" s="246"/>
      <c r="G70" s="246"/>
      <c r="H70" s="247"/>
      <c r="I70" s="57">
        <f>E69-H69</f>
        <v>1029.56</v>
      </c>
      <c r="J70" s="253"/>
    </row>
    <row r="71" spans="1:10" ht="13.5" customHeight="1" x14ac:dyDescent="0.25"/>
    <row r="72" spans="1:10" ht="29.25" customHeight="1" x14ac:dyDescent="0.25">
      <c r="A72" s="22">
        <v>45803</v>
      </c>
      <c r="B72" s="28" t="s">
        <v>9</v>
      </c>
      <c r="C72" s="29">
        <v>1029.56</v>
      </c>
      <c r="D72" s="53">
        <v>15.02</v>
      </c>
      <c r="E72" s="242">
        <f>C72+D72</f>
        <v>1044.58</v>
      </c>
      <c r="F72" s="242"/>
      <c r="G72" s="242"/>
      <c r="H72" s="55">
        <v>146.91</v>
      </c>
      <c r="I72" s="50">
        <f>E72-H72</f>
        <v>897.67</v>
      </c>
      <c r="J72" s="248" t="s">
        <v>77</v>
      </c>
    </row>
    <row r="73" spans="1:10" ht="58.5" customHeight="1" x14ac:dyDescent="0.35">
      <c r="A73" s="245" t="s">
        <v>13</v>
      </c>
      <c r="B73" s="246"/>
      <c r="C73" s="246"/>
      <c r="D73" s="246"/>
      <c r="E73" s="246"/>
      <c r="F73" s="246"/>
      <c r="G73" s="246"/>
      <c r="H73" s="247"/>
      <c r="I73" s="57">
        <f>E72-H72</f>
        <v>897.67</v>
      </c>
      <c r="J73" s="249"/>
    </row>
    <row r="75" spans="1:10" ht="18" x14ac:dyDescent="0.25">
      <c r="A75" s="22">
        <v>45804</v>
      </c>
      <c r="B75" s="28" t="s">
        <v>9</v>
      </c>
      <c r="C75" s="29">
        <v>897.67</v>
      </c>
      <c r="D75" s="53">
        <v>66.78</v>
      </c>
      <c r="E75" s="242">
        <f>C75+D75</f>
        <v>964.44999999999993</v>
      </c>
      <c r="F75" s="242"/>
      <c r="G75" s="242"/>
      <c r="H75" s="55">
        <v>0</v>
      </c>
      <c r="I75" s="50">
        <f>E75-H75</f>
        <v>964.44999999999993</v>
      </c>
      <c r="J75" s="254" t="s">
        <v>78</v>
      </c>
    </row>
    <row r="76" spans="1:10" ht="18" x14ac:dyDescent="0.35">
      <c r="A76" s="245" t="s">
        <v>13</v>
      </c>
      <c r="B76" s="246"/>
      <c r="C76" s="246"/>
      <c r="D76" s="246"/>
      <c r="E76" s="246"/>
      <c r="F76" s="246"/>
      <c r="G76" s="246"/>
      <c r="H76" s="247"/>
      <c r="I76" s="57">
        <f>E75-H75</f>
        <v>964.44999999999993</v>
      </c>
      <c r="J76" s="255"/>
    </row>
    <row r="78" spans="1:10" ht="18" x14ac:dyDescent="0.25">
      <c r="A78" s="22">
        <v>45805</v>
      </c>
      <c r="B78" s="28" t="s">
        <v>9</v>
      </c>
      <c r="C78" s="29">
        <v>967.45</v>
      </c>
      <c r="D78" s="53">
        <v>61.78</v>
      </c>
      <c r="E78" s="242">
        <f>C78+D78</f>
        <v>1029.23</v>
      </c>
      <c r="F78" s="242"/>
      <c r="G78" s="242"/>
      <c r="H78" s="55">
        <v>0</v>
      </c>
      <c r="I78" s="50">
        <f>E78-H78</f>
        <v>1029.23</v>
      </c>
      <c r="J78" s="250"/>
    </row>
    <row r="79" spans="1:10" ht="18" x14ac:dyDescent="0.35">
      <c r="A79" s="245" t="s">
        <v>13</v>
      </c>
      <c r="B79" s="246"/>
      <c r="C79" s="246"/>
      <c r="D79" s="246"/>
      <c r="E79" s="246"/>
      <c r="F79" s="246"/>
      <c r="G79" s="246"/>
      <c r="H79" s="247"/>
      <c r="I79" s="57">
        <f>E78-H78</f>
        <v>1029.23</v>
      </c>
      <c r="J79" s="251"/>
    </row>
    <row r="81" spans="1:10" ht="18" x14ac:dyDescent="0.25">
      <c r="A81" s="22">
        <v>45806</v>
      </c>
      <c r="B81" s="28" t="s">
        <v>9</v>
      </c>
      <c r="C81" s="29">
        <v>1029.23</v>
      </c>
      <c r="D81" s="53">
        <v>29.7</v>
      </c>
      <c r="E81" s="242">
        <f>C81+D81</f>
        <v>1058.93</v>
      </c>
      <c r="F81" s="242"/>
      <c r="G81" s="242"/>
      <c r="H81" s="55">
        <v>4.87</v>
      </c>
      <c r="I81" s="50">
        <v>1054.26</v>
      </c>
      <c r="J81" s="256" t="s">
        <v>80</v>
      </c>
    </row>
    <row r="82" spans="1:10" ht="18" x14ac:dyDescent="0.35">
      <c r="A82" s="245" t="s">
        <v>13</v>
      </c>
      <c r="B82" s="246"/>
      <c r="C82" s="246"/>
      <c r="D82" s="246"/>
      <c r="E82" s="246"/>
      <c r="F82" s="246"/>
      <c r="G82" s="246"/>
      <c r="H82" s="247"/>
      <c r="I82" s="57">
        <f>E81-H81</f>
        <v>1054.0600000000002</v>
      </c>
      <c r="J82" s="257"/>
    </row>
    <row r="83" spans="1:10" ht="18" x14ac:dyDescent="0.25">
      <c r="A83" s="258"/>
      <c r="B83" s="259"/>
      <c r="C83" s="259"/>
      <c r="D83" s="259"/>
      <c r="E83" s="259"/>
      <c r="F83" s="259"/>
      <c r="G83" s="259"/>
      <c r="H83" s="259"/>
      <c r="I83" s="259"/>
      <c r="J83" s="260"/>
    </row>
    <row r="84" spans="1:10" ht="18" x14ac:dyDescent="0.25">
      <c r="A84" s="22">
        <v>45807</v>
      </c>
      <c r="B84" s="28" t="s">
        <v>9</v>
      </c>
      <c r="C84" s="29">
        <v>1054.26</v>
      </c>
      <c r="D84" s="53">
        <v>88.41</v>
      </c>
      <c r="E84" s="242">
        <v>0</v>
      </c>
      <c r="F84" s="242"/>
      <c r="G84" s="242"/>
      <c r="H84" s="55">
        <v>0</v>
      </c>
      <c r="I84" s="50">
        <f>C84+D84-H84</f>
        <v>1142.67</v>
      </c>
      <c r="J84" s="250"/>
    </row>
    <row r="85" spans="1:10" ht="18" x14ac:dyDescent="0.35">
      <c r="A85" s="245" t="s">
        <v>13</v>
      </c>
      <c r="B85" s="246"/>
      <c r="C85" s="246"/>
      <c r="D85" s="246"/>
      <c r="E85" s="246"/>
      <c r="F85" s="246"/>
      <c r="G85" s="246"/>
      <c r="H85" s="247"/>
      <c r="I85" s="57">
        <f>E84-H84</f>
        <v>0</v>
      </c>
      <c r="J85" s="251"/>
    </row>
    <row r="87" spans="1:10" ht="18" x14ac:dyDescent="0.25">
      <c r="A87" s="22">
        <v>45808</v>
      </c>
      <c r="B87" s="28" t="s">
        <v>9</v>
      </c>
      <c r="C87" s="29">
        <v>1142.6199999999999</v>
      </c>
      <c r="D87" s="53">
        <v>0</v>
      </c>
      <c r="E87" s="242">
        <v>0</v>
      </c>
      <c r="F87" s="242"/>
      <c r="G87" s="242"/>
      <c r="H87" s="55">
        <v>0</v>
      </c>
      <c r="I87" s="50">
        <v>1142.67</v>
      </c>
      <c r="J87" s="250"/>
    </row>
    <row r="88" spans="1:10" ht="18" x14ac:dyDescent="0.35">
      <c r="A88" s="245" t="s">
        <v>13</v>
      </c>
      <c r="B88" s="246"/>
      <c r="C88" s="246"/>
      <c r="D88" s="246"/>
      <c r="E88" s="246"/>
      <c r="F88" s="246"/>
      <c r="G88" s="246"/>
      <c r="H88" s="247"/>
      <c r="I88" s="57">
        <f>E87-H87</f>
        <v>0</v>
      </c>
      <c r="J88" s="251"/>
    </row>
  </sheetData>
  <mergeCells count="93">
    <mergeCell ref="A83:J83"/>
    <mergeCell ref="E84:G84"/>
    <mergeCell ref="J84:J85"/>
    <mergeCell ref="A85:H85"/>
    <mergeCell ref="E87:G87"/>
    <mergeCell ref="J87:J88"/>
    <mergeCell ref="A88:H88"/>
    <mergeCell ref="E78:G78"/>
    <mergeCell ref="J78:J79"/>
    <mergeCell ref="A79:H79"/>
    <mergeCell ref="E81:G81"/>
    <mergeCell ref="J81:J82"/>
    <mergeCell ref="A82:H82"/>
    <mergeCell ref="E72:G72"/>
    <mergeCell ref="J72:J73"/>
    <mergeCell ref="A73:H73"/>
    <mergeCell ref="E75:G75"/>
    <mergeCell ref="J75:J76"/>
    <mergeCell ref="A76:H76"/>
    <mergeCell ref="E66:G66"/>
    <mergeCell ref="J66:J67"/>
    <mergeCell ref="A67:H67"/>
    <mergeCell ref="E69:G69"/>
    <mergeCell ref="J69:J70"/>
    <mergeCell ref="A70:H70"/>
    <mergeCell ref="E60:G60"/>
    <mergeCell ref="J60:J61"/>
    <mergeCell ref="A61:H61"/>
    <mergeCell ref="E63:G63"/>
    <mergeCell ref="J63:J64"/>
    <mergeCell ref="A64:H64"/>
    <mergeCell ref="E54:G54"/>
    <mergeCell ref="J54:J55"/>
    <mergeCell ref="A55:H55"/>
    <mergeCell ref="E57:G57"/>
    <mergeCell ref="J57:J58"/>
    <mergeCell ref="A58:H58"/>
    <mergeCell ref="E48:G48"/>
    <mergeCell ref="J48:J49"/>
    <mergeCell ref="A49:H49"/>
    <mergeCell ref="E51:G51"/>
    <mergeCell ref="J51:J52"/>
    <mergeCell ref="A52:H52"/>
    <mergeCell ref="E42:G42"/>
    <mergeCell ref="J42:J43"/>
    <mergeCell ref="A43:H43"/>
    <mergeCell ref="E45:G45"/>
    <mergeCell ref="J45:J46"/>
    <mergeCell ref="A46:H46"/>
    <mergeCell ref="E36:G36"/>
    <mergeCell ref="J36:J37"/>
    <mergeCell ref="A37:H37"/>
    <mergeCell ref="E39:G39"/>
    <mergeCell ref="J39:J40"/>
    <mergeCell ref="A40:H40"/>
    <mergeCell ref="E30:G30"/>
    <mergeCell ref="J30:J31"/>
    <mergeCell ref="A31:H31"/>
    <mergeCell ref="E33:G33"/>
    <mergeCell ref="J33:J34"/>
    <mergeCell ref="A34:H34"/>
    <mergeCell ref="E24:G24"/>
    <mergeCell ref="J24:J25"/>
    <mergeCell ref="A25:H25"/>
    <mergeCell ref="E27:G27"/>
    <mergeCell ref="J27:J28"/>
    <mergeCell ref="A28:H28"/>
    <mergeCell ref="E18:G18"/>
    <mergeCell ref="J18:J19"/>
    <mergeCell ref="A19:H19"/>
    <mergeCell ref="E21:G21"/>
    <mergeCell ref="J21:J22"/>
    <mergeCell ref="A22:H22"/>
    <mergeCell ref="A11:J11"/>
    <mergeCell ref="E12:G12"/>
    <mergeCell ref="J12:J13"/>
    <mergeCell ref="A13:H13"/>
    <mergeCell ref="E15:G15"/>
    <mergeCell ref="J15:J16"/>
    <mergeCell ref="A16:H16"/>
    <mergeCell ref="A5:J5"/>
    <mergeCell ref="A6:J6"/>
    <mergeCell ref="E7:G7"/>
    <mergeCell ref="A8:J8"/>
    <mergeCell ref="E9:G9"/>
    <mergeCell ref="J9:J10"/>
    <mergeCell ref="A10:H10"/>
    <mergeCell ref="A4:J4"/>
    <mergeCell ref="A1:B3"/>
    <mergeCell ref="C1:I1"/>
    <mergeCell ref="C2:I2"/>
    <mergeCell ref="C3:F3"/>
    <mergeCell ref="G3:J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3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4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5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9891-7326-461B-94C9-BC5F662A5DCC}">
  <sheetPr>
    <tabColor theme="8" tint="-0.249977111117893"/>
  </sheetPr>
  <dimension ref="A1:M83"/>
  <sheetViews>
    <sheetView showGridLines="0" zoomScale="90" zoomScaleNormal="90" workbookViewId="0">
      <selection activeCell="A9" sqref="A9"/>
    </sheetView>
  </sheetViews>
  <sheetFormatPr defaultRowHeight="13.2" x14ac:dyDescent="0.25"/>
  <cols>
    <col min="1" max="1" width="15.109375" style="30" customWidth="1"/>
    <col min="2" max="2" width="15.109375" customWidth="1"/>
    <col min="3" max="3" width="17.88671875" customWidth="1"/>
    <col min="4" max="4" width="16.6640625" style="54" customWidth="1"/>
    <col min="6" max="6" width="8.5546875" customWidth="1"/>
    <col min="7" max="7" width="1.109375" hidden="1" customWidth="1"/>
    <col min="8" max="8" width="14.5546875" style="56" bestFit="1" customWidth="1"/>
    <col min="9" max="9" width="33.109375" style="30" customWidth="1"/>
    <col min="10" max="10" width="72.6640625" customWidth="1"/>
    <col min="12" max="12" width="10.5546875" bestFit="1" customWidth="1"/>
    <col min="13" max="13" width="11.33203125" bestFit="1" customWidth="1"/>
  </cols>
  <sheetData>
    <row r="1" spans="1:12" ht="37.5" customHeight="1" x14ac:dyDescent="0.25">
      <c r="A1" s="225"/>
      <c r="B1" s="226"/>
      <c r="C1" s="231" t="s">
        <v>6</v>
      </c>
      <c r="D1" s="232"/>
      <c r="E1" s="232"/>
      <c r="F1" s="232"/>
      <c r="G1" s="232"/>
      <c r="H1" s="232"/>
      <c r="I1" s="233"/>
      <c r="J1" s="25" t="s">
        <v>1</v>
      </c>
    </row>
    <row r="2" spans="1:12" ht="25.95" customHeight="1" x14ac:dyDescent="0.25">
      <c r="A2" s="227"/>
      <c r="B2" s="228"/>
      <c r="C2" s="130" t="s">
        <v>3</v>
      </c>
      <c r="D2" s="130"/>
      <c r="E2" s="130"/>
      <c r="F2" s="130"/>
      <c r="G2" s="130"/>
      <c r="H2" s="130"/>
      <c r="I2" s="130"/>
      <c r="J2" s="24" t="s">
        <v>0</v>
      </c>
    </row>
    <row r="3" spans="1:12" ht="25.95" customHeight="1" x14ac:dyDescent="0.25">
      <c r="A3" s="229"/>
      <c r="B3" s="230"/>
      <c r="C3" s="130" t="s">
        <v>2</v>
      </c>
      <c r="D3" s="130"/>
      <c r="E3" s="130"/>
      <c r="F3" s="130"/>
      <c r="G3" s="130" t="s">
        <v>88</v>
      </c>
      <c r="H3" s="130"/>
      <c r="I3" s="130"/>
      <c r="J3" s="130"/>
    </row>
    <row r="4" spans="1:12" ht="25.95" customHeight="1" x14ac:dyDescent="0.25">
      <c r="A4" s="222"/>
      <c r="B4" s="223"/>
      <c r="C4" s="223"/>
      <c r="D4" s="223"/>
      <c r="E4" s="223"/>
      <c r="F4" s="223"/>
      <c r="G4" s="223"/>
      <c r="H4" s="223"/>
      <c r="I4" s="223"/>
      <c r="J4" s="224"/>
    </row>
    <row r="5" spans="1:12" ht="25.8" x14ac:dyDescent="0.25">
      <c r="A5" s="263" t="s">
        <v>81</v>
      </c>
      <c r="B5" s="264"/>
      <c r="C5" s="264"/>
      <c r="D5" s="264"/>
      <c r="E5" s="264"/>
      <c r="F5" s="264"/>
      <c r="G5" s="264"/>
      <c r="H5" s="264"/>
      <c r="I5" s="264"/>
      <c r="J5" s="264"/>
    </row>
    <row r="6" spans="1:12" ht="25.8" x14ac:dyDescent="0.25">
      <c r="A6" s="235"/>
      <c r="B6" s="236"/>
      <c r="C6" s="236"/>
      <c r="D6" s="236"/>
      <c r="E6" s="236"/>
      <c r="F6" s="236"/>
      <c r="G6" s="236"/>
      <c r="H6" s="236"/>
      <c r="I6" s="236"/>
      <c r="J6" s="237"/>
    </row>
    <row r="7" spans="1:12" ht="31.2" x14ac:dyDescent="0.25">
      <c r="A7" s="26" t="s">
        <v>4</v>
      </c>
      <c r="B7" s="26" t="s">
        <v>48</v>
      </c>
      <c r="C7" s="26" t="s">
        <v>52</v>
      </c>
      <c r="D7" s="52" t="s">
        <v>51</v>
      </c>
      <c r="E7" s="238" t="s">
        <v>49</v>
      </c>
      <c r="F7" s="238"/>
      <c r="G7" s="238"/>
      <c r="H7" s="51" t="s">
        <v>50</v>
      </c>
      <c r="I7" s="27" t="s">
        <v>53</v>
      </c>
      <c r="J7" s="27" t="s">
        <v>5</v>
      </c>
    </row>
    <row r="8" spans="1:12" ht="35.4" customHeight="1" x14ac:dyDescent="0.25">
      <c r="A8" s="239"/>
      <c r="B8" s="240"/>
      <c r="C8" s="240"/>
      <c r="D8" s="240"/>
      <c r="E8" s="240"/>
      <c r="F8" s="240"/>
      <c r="G8" s="240"/>
      <c r="H8" s="240"/>
      <c r="I8" s="240"/>
      <c r="J8" s="241"/>
    </row>
    <row r="9" spans="1:12" ht="18" x14ac:dyDescent="0.25">
      <c r="A9" s="22">
        <v>45810</v>
      </c>
      <c r="B9" s="28" t="s">
        <v>9</v>
      </c>
      <c r="C9" s="29">
        <v>1142.67</v>
      </c>
      <c r="D9" s="53">
        <v>12.22</v>
      </c>
      <c r="E9" s="242">
        <f>C9+D9</f>
        <v>1154.8900000000001</v>
      </c>
      <c r="F9" s="242"/>
      <c r="G9" s="242"/>
      <c r="H9" s="55">
        <v>20</v>
      </c>
      <c r="I9" s="50">
        <f>E9-H9</f>
        <v>1134.8900000000001</v>
      </c>
      <c r="J9" s="256" t="s">
        <v>82</v>
      </c>
      <c r="L9" s="23"/>
    </row>
    <row r="10" spans="1:12" ht="18" customHeight="1" x14ac:dyDescent="0.35">
      <c r="A10" s="245" t="s">
        <v>13</v>
      </c>
      <c r="B10" s="246"/>
      <c r="C10" s="246"/>
      <c r="D10" s="246"/>
      <c r="E10" s="246"/>
      <c r="F10" s="246"/>
      <c r="G10" s="246"/>
      <c r="H10" s="247"/>
      <c r="I10" s="57">
        <f>E9-H9</f>
        <v>1134.8900000000001</v>
      </c>
      <c r="J10" s="257"/>
      <c r="L10" s="23"/>
    </row>
    <row r="11" spans="1:12" ht="15.6" x14ac:dyDescent="0.25">
      <c r="A11" s="239"/>
      <c r="B11" s="240"/>
      <c r="C11" s="240"/>
      <c r="D11" s="240"/>
      <c r="E11" s="240"/>
      <c r="F11" s="240"/>
      <c r="G11" s="240"/>
      <c r="H11" s="240"/>
      <c r="I11" s="240"/>
      <c r="J11" s="241"/>
    </row>
    <row r="12" spans="1:12" ht="18" x14ac:dyDescent="0.25">
      <c r="A12" s="22">
        <v>45811</v>
      </c>
      <c r="B12" s="28" t="s">
        <v>9</v>
      </c>
      <c r="C12" s="29">
        <v>1134.8900000000001</v>
      </c>
      <c r="D12" s="53">
        <v>19.36</v>
      </c>
      <c r="E12" s="242">
        <f>C12+D12</f>
        <v>1154.25</v>
      </c>
      <c r="F12" s="242"/>
      <c r="G12" s="242"/>
      <c r="H12" s="55">
        <v>100</v>
      </c>
      <c r="I12" s="50">
        <f>E12-H12</f>
        <v>1054.25</v>
      </c>
      <c r="J12" s="256" t="s">
        <v>83</v>
      </c>
    </row>
    <row r="13" spans="1:12" ht="18" x14ac:dyDescent="0.35">
      <c r="A13" s="245" t="s">
        <v>13</v>
      </c>
      <c r="B13" s="246"/>
      <c r="C13" s="246"/>
      <c r="D13" s="246"/>
      <c r="E13" s="246"/>
      <c r="F13" s="246"/>
      <c r="G13" s="246"/>
      <c r="H13" s="247"/>
      <c r="I13" s="57">
        <f>E12-H12</f>
        <v>1054.25</v>
      </c>
      <c r="J13" s="257"/>
    </row>
    <row r="15" spans="1:12" ht="18" x14ac:dyDescent="0.25">
      <c r="A15" s="22">
        <v>45812</v>
      </c>
      <c r="B15" s="28" t="s">
        <v>9</v>
      </c>
      <c r="C15" s="29">
        <v>1054.25</v>
      </c>
      <c r="D15" s="53">
        <v>49.82</v>
      </c>
      <c r="E15" s="242">
        <f>C15+D15</f>
        <v>1104.07</v>
      </c>
      <c r="F15" s="242"/>
      <c r="G15" s="242"/>
      <c r="H15" s="55">
        <v>0</v>
      </c>
      <c r="I15" s="50">
        <f>E15-H15</f>
        <v>1104.07</v>
      </c>
      <c r="J15" s="250"/>
    </row>
    <row r="16" spans="1:12" ht="18" x14ac:dyDescent="0.35">
      <c r="A16" s="245" t="s">
        <v>13</v>
      </c>
      <c r="B16" s="246"/>
      <c r="C16" s="246"/>
      <c r="D16" s="246"/>
      <c r="E16" s="246"/>
      <c r="F16" s="246"/>
      <c r="G16" s="246"/>
      <c r="H16" s="247"/>
      <c r="I16" s="57">
        <f>E15-H15</f>
        <v>1104.07</v>
      </c>
      <c r="J16" s="251"/>
    </row>
    <row r="18" spans="1:13" ht="18" x14ac:dyDescent="0.25">
      <c r="A18" s="22">
        <v>45813</v>
      </c>
      <c r="B18" s="28" t="s">
        <v>9</v>
      </c>
      <c r="C18" s="29">
        <v>1104.07</v>
      </c>
      <c r="D18" s="53">
        <v>22.18</v>
      </c>
      <c r="E18" s="242">
        <f>C18+D18</f>
        <v>1126.25</v>
      </c>
      <c r="F18" s="242"/>
      <c r="G18" s="242"/>
      <c r="H18" s="55">
        <v>0</v>
      </c>
      <c r="I18" s="50">
        <f>E18-H18</f>
        <v>1126.25</v>
      </c>
      <c r="J18" s="248"/>
      <c r="L18" s="49"/>
    </row>
    <row r="19" spans="1:13" ht="18" x14ac:dyDescent="0.35">
      <c r="A19" s="245" t="s">
        <v>13</v>
      </c>
      <c r="B19" s="246"/>
      <c r="C19" s="246"/>
      <c r="D19" s="246"/>
      <c r="E19" s="246"/>
      <c r="F19" s="246"/>
      <c r="G19" s="246"/>
      <c r="H19" s="247"/>
      <c r="I19" s="57">
        <f>E18-H18</f>
        <v>1126.25</v>
      </c>
      <c r="J19" s="249"/>
    </row>
    <row r="21" spans="1:13" ht="18" x14ac:dyDescent="0.25">
      <c r="A21" s="22">
        <v>45814</v>
      </c>
      <c r="B21" s="28" t="s">
        <v>9</v>
      </c>
      <c r="C21" s="29">
        <v>1126.25</v>
      </c>
      <c r="D21" s="53">
        <v>101.62</v>
      </c>
      <c r="E21" s="242">
        <f>C21+D21</f>
        <v>1227.8699999999999</v>
      </c>
      <c r="F21" s="242"/>
      <c r="G21" s="242"/>
      <c r="H21" s="55">
        <v>0</v>
      </c>
      <c r="I21" s="50">
        <f>E21-H21</f>
        <v>1227.8699999999999</v>
      </c>
      <c r="J21" s="250"/>
    </row>
    <row r="22" spans="1:13" ht="18" x14ac:dyDescent="0.35">
      <c r="A22" s="245" t="s">
        <v>13</v>
      </c>
      <c r="B22" s="246"/>
      <c r="C22" s="246"/>
      <c r="D22" s="246"/>
      <c r="E22" s="246"/>
      <c r="F22" s="246"/>
      <c r="G22" s="246"/>
      <c r="H22" s="247"/>
      <c r="I22" s="57">
        <f>E21-H21</f>
        <v>1227.8699999999999</v>
      </c>
      <c r="J22" s="251"/>
      <c r="M22" s="23"/>
    </row>
    <row r="23" spans="1:13" x14ac:dyDescent="0.25">
      <c r="M23" s="23"/>
    </row>
    <row r="24" spans="1:13" ht="18" x14ac:dyDescent="0.25">
      <c r="A24" s="22">
        <v>45815</v>
      </c>
      <c r="B24" s="28" t="s">
        <v>9</v>
      </c>
      <c r="C24" s="29">
        <v>1227.8699999999999</v>
      </c>
      <c r="D24" s="53">
        <v>52.35</v>
      </c>
      <c r="E24" s="242">
        <f>C24+D24</f>
        <v>1280.2199999999998</v>
      </c>
      <c r="F24" s="242"/>
      <c r="G24" s="242"/>
      <c r="H24" s="55">
        <v>0</v>
      </c>
      <c r="I24" s="50">
        <f>E24-H24</f>
        <v>1280.2199999999998</v>
      </c>
      <c r="J24" s="248"/>
      <c r="M24" s="23"/>
    </row>
    <row r="25" spans="1:13" ht="18" x14ac:dyDescent="0.35">
      <c r="A25" s="245" t="s">
        <v>13</v>
      </c>
      <c r="B25" s="246"/>
      <c r="C25" s="246"/>
      <c r="D25" s="246"/>
      <c r="E25" s="246"/>
      <c r="F25" s="246"/>
      <c r="G25" s="246"/>
      <c r="H25" s="247"/>
      <c r="I25" s="57">
        <f>E24-H24</f>
        <v>1280.2199999999998</v>
      </c>
      <c r="J25" s="249"/>
      <c r="M25" s="23"/>
    </row>
    <row r="26" spans="1:13" x14ac:dyDescent="0.25">
      <c r="M26" s="23"/>
    </row>
    <row r="27" spans="1:13" ht="18" x14ac:dyDescent="0.25">
      <c r="A27" s="22">
        <v>45817</v>
      </c>
      <c r="B27" s="28" t="s">
        <v>9</v>
      </c>
      <c r="C27" s="29">
        <v>1280.22</v>
      </c>
      <c r="D27" s="53">
        <v>34.619999999999997</v>
      </c>
      <c r="E27" s="242">
        <f>C27+D27</f>
        <v>1314.84</v>
      </c>
      <c r="F27" s="242"/>
      <c r="G27" s="242"/>
      <c r="H27" s="66">
        <v>0</v>
      </c>
      <c r="I27" s="50">
        <f>E27-H27</f>
        <v>1314.84</v>
      </c>
      <c r="J27" s="265"/>
      <c r="M27" s="23"/>
    </row>
    <row r="28" spans="1:13" ht="45" customHeight="1" x14ac:dyDescent="0.25">
      <c r="A28" s="245" t="s">
        <v>13</v>
      </c>
      <c r="B28" s="246"/>
      <c r="C28" s="246"/>
      <c r="D28" s="246"/>
      <c r="E28" s="246"/>
      <c r="F28" s="246"/>
      <c r="G28" s="246"/>
      <c r="H28" s="247"/>
      <c r="I28" s="58">
        <f>E27-H27</f>
        <v>1314.84</v>
      </c>
      <c r="J28" s="266"/>
      <c r="M28" s="23"/>
    </row>
    <row r="29" spans="1:13" x14ac:dyDescent="0.25">
      <c r="M29" s="23"/>
    </row>
    <row r="30" spans="1:13" ht="18" x14ac:dyDescent="0.25">
      <c r="A30" s="22">
        <v>45818</v>
      </c>
      <c r="B30" s="28" t="s">
        <v>9</v>
      </c>
      <c r="C30" s="29">
        <v>1314.84</v>
      </c>
      <c r="D30" s="53">
        <v>60.91</v>
      </c>
      <c r="E30" s="242">
        <f>C30+D30</f>
        <v>1375.75</v>
      </c>
      <c r="F30" s="242"/>
      <c r="G30" s="242"/>
      <c r="H30" s="55">
        <v>0</v>
      </c>
      <c r="I30" s="50">
        <f>E30-H30</f>
        <v>1375.75</v>
      </c>
      <c r="J30" s="248"/>
      <c r="M30" s="23"/>
    </row>
    <row r="31" spans="1:13" ht="18" x14ac:dyDescent="0.35">
      <c r="A31" s="245" t="s">
        <v>13</v>
      </c>
      <c r="B31" s="246"/>
      <c r="C31" s="246"/>
      <c r="D31" s="246"/>
      <c r="E31" s="246"/>
      <c r="F31" s="246"/>
      <c r="G31" s="246"/>
      <c r="H31" s="247"/>
      <c r="I31" s="57">
        <f>E30-H30</f>
        <v>1375.75</v>
      </c>
      <c r="J31" s="249"/>
      <c r="M31" s="49"/>
    </row>
    <row r="33" spans="1:10" ht="18" x14ac:dyDescent="0.25">
      <c r="A33" s="22">
        <v>45819</v>
      </c>
      <c r="B33" s="28" t="s">
        <v>9</v>
      </c>
      <c r="C33" s="29">
        <v>1375.75</v>
      </c>
      <c r="D33" s="53">
        <v>6.53</v>
      </c>
      <c r="E33" s="242">
        <f>C33+D33</f>
        <v>1382.28</v>
      </c>
      <c r="F33" s="242"/>
      <c r="G33" s="242"/>
      <c r="H33" s="55">
        <v>55</v>
      </c>
      <c r="I33" s="50">
        <f>E33-H33</f>
        <v>1327.28</v>
      </c>
      <c r="J33" s="256" t="s">
        <v>84</v>
      </c>
    </row>
    <row r="34" spans="1:10" ht="46.5" customHeight="1" x14ac:dyDescent="0.35">
      <c r="A34" s="245" t="s">
        <v>13</v>
      </c>
      <c r="B34" s="246"/>
      <c r="C34" s="246"/>
      <c r="D34" s="246"/>
      <c r="E34" s="246"/>
      <c r="F34" s="246"/>
      <c r="G34" s="246"/>
      <c r="H34" s="247"/>
      <c r="I34" s="57">
        <f>E33-H33</f>
        <v>1327.28</v>
      </c>
      <c r="J34" s="257"/>
    </row>
    <row r="36" spans="1:10" ht="18" x14ac:dyDescent="0.25">
      <c r="A36" s="22">
        <v>45820</v>
      </c>
      <c r="B36" s="28" t="s">
        <v>9</v>
      </c>
      <c r="C36" s="29">
        <v>1327.28</v>
      </c>
      <c r="D36" s="53">
        <v>21.14</v>
      </c>
      <c r="E36" s="242">
        <f>C36+D36</f>
        <v>1348.42</v>
      </c>
      <c r="F36" s="242"/>
      <c r="G36" s="242"/>
      <c r="H36" s="55">
        <v>50</v>
      </c>
      <c r="I36" s="50">
        <f>E36-H36</f>
        <v>1298.42</v>
      </c>
      <c r="J36" s="256" t="s">
        <v>85</v>
      </c>
    </row>
    <row r="37" spans="1:10" ht="18" x14ac:dyDescent="0.35">
      <c r="A37" s="245" t="s">
        <v>13</v>
      </c>
      <c r="B37" s="246"/>
      <c r="C37" s="246"/>
      <c r="D37" s="246"/>
      <c r="E37" s="246"/>
      <c r="F37" s="246"/>
      <c r="G37" s="246"/>
      <c r="H37" s="247"/>
      <c r="I37" s="57">
        <f>E36-H36</f>
        <v>1298.42</v>
      </c>
      <c r="J37" s="257"/>
    </row>
    <row r="39" spans="1:10" ht="18" x14ac:dyDescent="0.25">
      <c r="A39" s="22">
        <v>45821</v>
      </c>
      <c r="B39" s="28" t="s">
        <v>9</v>
      </c>
      <c r="C39" s="29">
        <v>1298.42</v>
      </c>
      <c r="D39" s="53">
        <v>115.52</v>
      </c>
      <c r="E39" s="242">
        <f>C39+D39</f>
        <v>1413.94</v>
      </c>
      <c r="F39" s="242"/>
      <c r="G39" s="242"/>
      <c r="H39" s="55">
        <v>0</v>
      </c>
      <c r="I39" s="50">
        <f>E39-H39</f>
        <v>1413.94</v>
      </c>
      <c r="J39" s="248"/>
    </row>
    <row r="40" spans="1:10" ht="18" x14ac:dyDescent="0.35">
      <c r="A40" s="245" t="s">
        <v>13</v>
      </c>
      <c r="B40" s="246"/>
      <c r="C40" s="246"/>
      <c r="D40" s="246"/>
      <c r="E40" s="246"/>
      <c r="F40" s="246"/>
      <c r="G40" s="246"/>
      <c r="H40" s="247"/>
      <c r="I40" s="57">
        <f>E39-H39</f>
        <v>1413.94</v>
      </c>
      <c r="J40" s="249"/>
    </row>
    <row r="42" spans="1:10" ht="18" x14ac:dyDescent="0.25">
      <c r="A42" s="22">
        <v>45822</v>
      </c>
      <c r="B42" s="28" t="s">
        <v>9</v>
      </c>
      <c r="C42" s="29">
        <v>1413.94</v>
      </c>
      <c r="D42" s="53">
        <v>28.84</v>
      </c>
      <c r="E42" s="242">
        <f>C42+D42</f>
        <v>1442.78</v>
      </c>
      <c r="F42" s="242"/>
      <c r="G42" s="242"/>
      <c r="H42" s="55">
        <v>0</v>
      </c>
      <c r="I42" s="50">
        <f>E42-H42</f>
        <v>1442.78</v>
      </c>
      <c r="J42" s="250"/>
    </row>
    <row r="43" spans="1:10" ht="18" x14ac:dyDescent="0.35">
      <c r="A43" s="245" t="s">
        <v>13</v>
      </c>
      <c r="B43" s="246"/>
      <c r="C43" s="246"/>
      <c r="D43" s="246"/>
      <c r="E43" s="246"/>
      <c r="F43" s="246"/>
      <c r="G43" s="246"/>
      <c r="H43" s="247"/>
      <c r="I43" s="57">
        <f>E42-H42</f>
        <v>1442.78</v>
      </c>
      <c r="J43" s="251"/>
    </row>
    <row r="45" spans="1:10" ht="18" x14ac:dyDescent="0.25">
      <c r="A45" s="22">
        <v>45824</v>
      </c>
      <c r="B45" s="28" t="s">
        <v>9</v>
      </c>
      <c r="C45" s="29">
        <v>1442.78</v>
      </c>
      <c r="D45" s="53">
        <v>0</v>
      </c>
      <c r="E45" s="242">
        <f>C45+D45</f>
        <v>1442.78</v>
      </c>
      <c r="F45" s="242"/>
      <c r="G45" s="242"/>
      <c r="H45" s="55">
        <v>0</v>
      </c>
      <c r="I45" s="50">
        <f>E45-H45</f>
        <v>1442.78</v>
      </c>
      <c r="J45" s="256" t="s">
        <v>97</v>
      </c>
    </row>
    <row r="46" spans="1:10" ht="18" x14ac:dyDescent="0.35">
      <c r="A46" s="245" t="s">
        <v>13</v>
      </c>
      <c r="B46" s="246"/>
      <c r="C46" s="246"/>
      <c r="D46" s="246"/>
      <c r="E46" s="246"/>
      <c r="F46" s="246"/>
      <c r="G46" s="246"/>
      <c r="H46" s="247"/>
      <c r="I46" s="57">
        <f>E45-H45</f>
        <v>1442.78</v>
      </c>
      <c r="J46" s="257"/>
    </row>
    <row r="47" spans="1:10" ht="4.5" customHeight="1" x14ac:dyDescent="0.25"/>
    <row r="48" spans="1:10" ht="27" customHeight="1" x14ac:dyDescent="0.25">
      <c r="A48" s="22">
        <v>45825</v>
      </c>
      <c r="B48" s="28" t="s">
        <v>9</v>
      </c>
      <c r="C48" s="29">
        <v>1462.78</v>
      </c>
      <c r="D48" s="53">
        <v>149.71</v>
      </c>
      <c r="E48" s="242">
        <f>C48+D48</f>
        <v>1612.49</v>
      </c>
      <c r="F48" s="242"/>
      <c r="G48" s="242"/>
      <c r="H48" s="55">
        <v>0</v>
      </c>
      <c r="I48" s="50">
        <f>E48-H48</f>
        <v>1612.49</v>
      </c>
      <c r="J48" s="248"/>
    </row>
    <row r="49" spans="1:10" ht="24.75" customHeight="1" x14ac:dyDescent="0.35">
      <c r="A49" s="245" t="s">
        <v>13</v>
      </c>
      <c r="B49" s="246"/>
      <c r="C49" s="246"/>
      <c r="D49" s="246"/>
      <c r="E49" s="246"/>
      <c r="F49" s="246"/>
      <c r="G49" s="246"/>
      <c r="H49" s="247"/>
      <c r="I49" s="57">
        <v>0</v>
      </c>
      <c r="J49" s="249"/>
    </row>
    <row r="51" spans="1:10" ht="18" x14ac:dyDescent="0.25">
      <c r="A51" s="22">
        <v>45826</v>
      </c>
      <c r="B51" s="28" t="s">
        <v>9</v>
      </c>
      <c r="C51" s="29">
        <v>1612.49</v>
      </c>
      <c r="D51" s="53">
        <v>33.200000000000003</v>
      </c>
      <c r="E51" s="242">
        <f>C51+D51</f>
        <v>1645.69</v>
      </c>
      <c r="F51" s="242"/>
      <c r="G51" s="242"/>
      <c r="H51" s="55">
        <v>0</v>
      </c>
      <c r="I51" s="50">
        <f>E51-H51</f>
        <v>1645.69</v>
      </c>
      <c r="J51" s="250"/>
    </row>
    <row r="52" spans="1:10" ht="18" x14ac:dyDescent="0.35">
      <c r="A52" s="245" t="s">
        <v>13</v>
      </c>
      <c r="B52" s="246"/>
      <c r="C52" s="246"/>
      <c r="D52" s="246"/>
      <c r="E52" s="246"/>
      <c r="F52" s="246"/>
      <c r="G52" s="246"/>
      <c r="H52" s="247"/>
      <c r="I52" s="57">
        <f>E51-H51</f>
        <v>1645.69</v>
      </c>
      <c r="J52" s="251"/>
    </row>
    <row r="54" spans="1:10" ht="18" x14ac:dyDescent="0.25">
      <c r="A54" s="22">
        <v>45827</v>
      </c>
      <c r="B54" s="28" t="s">
        <v>9</v>
      </c>
      <c r="C54" s="29">
        <v>0</v>
      </c>
      <c r="D54" s="53">
        <v>0</v>
      </c>
      <c r="E54" s="242">
        <v>0</v>
      </c>
      <c r="F54" s="242"/>
      <c r="G54" s="242"/>
      <c r="H54" s="55">
        <v>0</v>
      </c>
      <c r="I54" s="50">
        <f>E54-H54</f>
        <v>0</v>
      </c>
      <c r="J54" s="267" t="s">
        <v>55</v>
      </c>
    </row>
    <row r="55" spans="1:10" ht="18" x14ac:dyDescent="0.35">
      <c r="A55" s="245" t="s">
        <v>13</v>
      </c>
      <c r="B55" s="246"/>
      <c r="C55" s="246"/>
      <c r="D55" s="246"/>
      <c r="E55" s="246"/>
      <c r="F55" s="246"/>
      <c r="G55" s="246"/>
      <c r="H55" s="247"/>
      <c r="I55" s="57">
        <f>E54-H54</f>
        <v>0</v>
      </c>
      <c r="J55" s="268"/>
    </row>
    <row r="57" spans="1:10" ht="18" x14ac:dyDescent="0.25">
      <c r="A57" s="22">
        <v>45828</v>
      </c>
      <c r="B57" s="28" t="s">
        <v>9</v>
      </c>
      <c r="C57" s="29">
        <v>1645.69</v>
      </c>
      <c r="D57" s="53">
        <v>189.8</v>
      </c>
      <c r="E57" s="242">
        <f>C57+D57</f>
        <v>1835.49</v>
      </c>
      <c r="F57" s="242"/>
      <c r="G57" s="242"/>
      <c r="H57" s="55">
        <v>0</v>
      </c>
      <c r="I57" s="50">
        <f>E57-H57</f>
        <v>1835.49</v>
      </c>
      <c r="J57" s="250"/>
    </row>
    <row r="58" spans="1:10" ht="18" x14ac:dyDescent="0.35">
      <c r="A58" s="245" t="s">
        <v>13</v>
      </c>
      <c r="B58" s="246"/>
      <c r="C58" s="246"/>
      <c r="D58" s="246"/>
      <c r="E58" s="246"/>
      <c r="F58" s="246"/>
      <c r="G58" s="246"/>
      <c r="H58" s="247"/>
      <c r="I58" s="57">
        <f>E57-H57</f>
        <v>1835.49</v>
      </c>
      <c r="J58" s="251"/>
    </row>
    <row r="60" spans="1:10" ht="18" x14ac:dyDescent="0.25">
      <c r="A60" s="22">
        <v>45829</v>
      </c>
      <c r="B60" s="28" t="s">
        <v>9</v>
      </c>
      <c r="C60" s="29">
        <v>1835.49</v>
      </c>
      <c r="D60" s="53">
        <v>8.32</v>
      </c>
      <c r="E60" s="242">
        <f>C60+D60</f>
        <v>1843.81</v>
      </c>
      <c r="F60" s="242"/>
      <c r="G60" s="242"/>
      <c r="H60" s="55">
        <v>0</v>
      </c>
      <c r="I60" s="50">
        <f>E60-H60</f>
        <v>1843.81</v>
      </c>
      <c r="J60" s="250"/>
    </row>
    <row r="61" spans="1:10" ht="18" x14ac:dyDescent="0.35">
      <c r="A61" s="245" t="s">
        <v>13</v>
      </c>
      <c r="B61" s="246"/>
      <c r="C61" s="246"/>
      <c r="D61" s="246"/>
      <c r="E61" s="246"/>
      <c r="F61" s="246"/>
      <c r="G61" s="246"/>
      <c r="H61" s="247"/>
      <c r="I61" s="57">
        <f>E60-H60</f>
        <v>1843.81</v>
      </c>
      <c r="J61" s="251"/>
    </row>
    <row r="63" spans="1:10" ht="1.8" customHeight="1" x14ac:dyDescent="0.25"/>
    <row r="64" spans="1:10" ht="18" x14ac:dyDescent="0.25">
      <c r="A64" s="22">
        <v>45831</v>
      </c>
      <c r="B64" s="28" t="s">
        <v>9</v>
      </c>
      <c r="C64" s="29">
        <v>1843.81</v>
      </c>
      <c r="D64" s="53">
        <v>0</v>
      </c>
      <c r="E64" s="242">
        <f>C64+D64</f>
        <v>1843.81</v>
      </c>
      <c r="F64" s="242"/>
      <c r="G64" s="242"/>
      <c r="H64" s="55">
        <v>0</v>
      </c>
      <c r="I64" s="50">
        <f>E64-H64</f>
        <v>1843.81</v>
      </c>
      <c r="J64" s="261" t="s">
        <v>100</v>
      </c>
    </row>
    <row r="65" spans="1:10" ht="18" x14ac:dyDescent="0.35">
      <c r="A65" s="245" t="s">
        <v>13</v>
      </c>
      <c r="B65" s="246"/>
      <c r="C65" s="246"/>
      <c r="D65" s="246"/>
      <c r="E65" s="246"/>
      <c r="F65" s="246"/>
      <c r="G65" s="246"/>
      <c r="H65" s="247"/>
      <c r="I65" s="57">
        <f>E64-H64</f>
        <v>1843.81</v>
      </c>
      <c r="J65" s="262"/>
    </row>
    <row r="67" spans="1:10" ht="18" x14ac:dyDescent="0.25">
      <c r="A67" s="22">
        <v>45832</v>
      </c>
      <c r="B67" s="28" t="s">
        <v>9</v>
      </c>
      <c r="C67" s="29">
        <v>1855.95</v>
      </c>
      <c r="D67" s="53">
        <v>14.55</v>
      </c>
      <c r="E67" s="242">
        <f>C67+D67</f>
        <v>1870.5</v>
      </c>
      <c r="F67" s="242"/>
      <c r="G67" s="242"/>
      <c r="H67" s="55">
        <v>171.5</v>
      </c>
      <c r="I67" s="50">
        <f>E67-H67</f>
        <v>1699</v>
      </c>
      <c r="J67" s="256" t="s">
        <v>99</v>
      </c>
    </row>
    <row r="68" spans="1:10" ht="58.2" customHeight="1" x14ac:dyDescent="0.25">
      <c r="A68" s="245" t="s">
        <v>13</v>
      </c>
      <c r="B68" s="246"/>
      <c r="C68" s="246"/>
      <c r="D68" s="246"/>
      <c r="E68" s="246"/>
      <c r="F68" s="246"/>
      <c r="G68" s="246"/>
      <c r="H68" s="247"/>
      <c r="I68" s="58">
        <f>E67-H67</f>
        <v>1699</v>
      </c>
      <c r="J68" s="257"/>
    </row>
    <row r="69" spans="1:10" ht="18" x14ac:dyDescent="0.25">
      <c r="A69" s="258"/>
      <c r="B69" s="259"/>
      <c r="C69" s="259"/>
      <c r="D69" s="259"/>
      <c r="E69" s="259"/>
      <c r="F69" s="259"/>
      <c r="G69" s="259"/>
      <c r="H69" s="259"/>
      <c r="I69" s="259"/>
      <c r="J69" s="260"/>
    </row>
    <row r="70" spans="1:10" ht="18" x14ac:dyDescent="0.25">
      <c r="A70" s="22">
        <v>45833</v>
      </c>
      <c r="B70" s="28" t="s">
        <v>9</v>
      </c>
      <c r="C70" s="29">
        <v>1699</v>
      </c>
      <c r="D70" s="53">
        <v>58.47</v>
      </c>
      <c r="E70" s="242">
        <f>C70+D70</f>
        <v>1757.47</v>
      </c>
      <c r="F70" s="242"/>
      <c r="G70" s="242"/>
      <c r="H70" s="55">
        <v>49.9</v>
      </c>
      <c r="I70" s="50">
        <f>E70-H70</f>
        <v>1707.57</v>
      </c>
      <c r="J70" s="261" t="s">
        <v>101</v>
      </c>
    </row>
    <row r="71" spans="1:10" ht="18" x14ac:dyDescent="0.35">
      <c r="A71" s="245" t="s">
        <v>13</v>
      </c>
      <c r="B71" s="246"/>
      <c r="C71" s="246"/>
      <c r="D71" s="246"/>
      <c r="E71" s="246"/>
      <c r="F71" s="246"/>
      <c r="G71" s="246"/>
      <c r="H71" s="247"/>
      <c r="I71" s="57">
        <f>E70-H70</f>
        <v>1707.57</v>
      </c>
      <c r="J71" s="262"/>
    </row>
    <row r="73" spans="1:10" ht="18" x14ac:dyDescent="0.25">
      <c r="A73" s="22">
        <v>45834</v>
      </c>
      <c r="B73" s="28" t="s">
        <v>9</v>
      </c>
      <c r="C73" s="29">
        <v>1707.57</v>
      </c>
      <c r="D73" s="53">
        <v>131.18</v>
      </c>
      <c r="E73" s="242">
        <f>C73+D73</f>
        <v>1838.75</v>
      </c>
      <c r="F73" s="242"/>
      <c r="G73" s="242"/>
      <c r="H73" s="55">
        <v>0</v>
      </c>
      <c r="I73" s="50">
        <f>E73-H73</f>
        <v>1838.75</v>
      </c>
      <c r="J73" s="250"/>
    </row>
    <row r="74" spans="1:10" ht="18" x14ac:dyDescent="0.35">
      <c r="A74" s="245" t="s">
        <v>13</v>
      </c>
      <c r="B74" s="246"/>
      <c r="C74" s="246"/>
      <c r="D74" s="246"/>
      <c r="E74" s="246"/>
      <c r="F74" s="246"/>
      <c r="G74" s="246"/>
      <c r="H74" s="247"/>
      <c r="I74" s="57">
        <f>E73-H73</f>
        <v>1838.75</v>
      </c>
      <c r="J74" s="251"/>
    </row>
    <row r="76" spans="1:10" ht="18" x14ac:dyDescent="0.25">
      <c r="A76" s="22">
        <v>45835</v>
      </c>
      <c r="B76" s="28" t="s">
        <v>9</v>
      </c>
      <c r="C76" s="29">
        <v>1838.75</v>
      </c>
      <c r="D76" s="53">
        <v>15.52</v>
      </c>
      <c r="E76" s="242">
        <f>C76+D76</f>
        <v>1854.27</v>
      </c>
      <c r="F76" s="242"/>
      <c r="G76" s="242"/>
      <c r="H76" s="55">
        <v>0</v>
      </c>
      <c r="I76" s="50">
        <f>E76-H76</f>
        <v>1854.27</v>
      </c>
      <c r="J76" s="250"/>
    </row>
    <row r="77" spans="1:10" ht="18" x14ac:dyDescent="0.35">
      <c r="A77" s="245" t="s">
        <v>13</v>
      </c>
      <c r="B77" s="246"/>
      <c r="C77" s="246"/>
      <c r="D77" s="246"/>
      <c r="E77" s="246"/>
      <c r="F77" s="246"/>
      <c r="G77" s="246"/>
      <c r="H77" s="247"/>
      <c r="I77" s="57">
        <f>E76-H76</f>
        <v>1854.27</v>
      </c>
      <c r="J77" s="251"/>
    </row>
    <row r="79" spans="1:10" ht="18" x14ac:dyDescent="0.25">
      <c r="A79" s="22">
        <v>45836</v>
      </c>
      <c r="B79" s="28" t="s">
        <v>9</v>
      </c>
      <c r="C79" s="29">
        <v>1854.27</v>
      </c>
      <c r="D79" s="53">
        <v>22.56</v>
      </c>
      <c r="E79" s="242">
        <f>C79+D79</f>
        <v>1876.83</v>
      </c>
      <c r="F79" s="242"/>
      <c r="G79" s="242"/>
      <c r="H79" s="55">
        <v>0</v>
      </c>
      <c r="I79" s="50">
        <f>E79-H79</f>
        <v>1876.83</v>
      </c>
      <c r="J79" s="248"/>
    </row>
    <row r="80" spans="1:10" ht="18" x14ac:dyDescent="0.35">
      <c r="A80" s="245" t="s">
        <v>13</v>
      </c>
      <c r="B80" s="246"/>
      <c r="C80" s="246"/>
      <c r="D80" s="246"/>
      <c r="E80" s="246"/>
      <c r="F80" s="246"/>
      <c r="G80" s="246"/>
      <c r="H80" s="247"/>
      <c r="I80" s="57">
        <f>E79-H79</f>
        <v>1876.83</v>
      </c>
      <c r="J80" s="249"/>
    </row>
    <row r="82" spans="1:10" ht="18" x14ac:dyDescent="0.25">
      <c r="A82" s="22">
        <v>45838</v>
      </c>
      <c r="B82" s="28" t="s">
        <v>9</v>
      </c>
      <c r="C82" s="29">
        <f>I79</f>
        <v>1876.83</v>
      </c>
      <c r="D82" s="53">
        <v>16.89</v>
      </c>
      <c r="E82" s="242">
        <f>C82+D82</f>
        <v>1893.72</v>
      </c>
      <c r="F82" s="242"/>
      <c r="G82" s="242"/>
      <c r="H82" s="55">
        <v>15.99</v>
      </c>
      <c r="I82" s="50">
        <v>1877.72</v>
      </c>
      <c r="J82" s="248" t="s">
        <v>102</v>
      </c>
    </row>
    <row r="83" spans="1:10" ht="18" x14ac:dyDescent="0.35">
      <c r="A83" s="245" t="s">
        <v>13</v>
      </c>
      <c r="B83" s="246"/>
      <c r="C83" s="246"/>
      <c r="D83" s="246"/>
      <c r="E83" s="246"/>
      <c r="F83" s="246"/>
      <c r="G83" s="246"/>
      <c r="H83" s="247"/>
      <c r="I83" s="57">
        <f>E82-H82</f>
        <v>1877.73</v>
      </c>
      <c r="J83" s="249"/>
    </row>
  </sheetData>
  <mergeCells count="87">
    <mergeCell ref="E64:G64"/>
    <mergeCell ref="J64:J65"/>
    <mergeCell ref="A65:H65"/>
    <mergeCell ref="E67:G67"/>
    <mergeCell ref="J67:J68"/>
    <mergeCell ref="A68:H68"/>
    <mergeCell ref="E60:G60"/>
    <mergeCell ref="J60:J61"/>
    <mergeCell ref="A61:H61"/>
    <mergeCell ref="E54:G54"/>
    <mergeCell ref="J54:J55"/>
    <mergeCell ref="A55:H55"/>
    <mergeCell ref="E57:G57"/>
    <mergeCell ref="J57:J58"/>
    <mergeCell ref="A58:H58"/>
    <mergeCell ref="E48:G48"/>
    <mergeCell ref="J48:J49"/>
    <mergeCell ref="A49:H49"/>
    <mergeCell ref="E51:G51"/>
    <mergeCell ref="J51:J52"/>
    <mergeCell ref="A52:H52"/>
    <mergeCell ref="E42:G42"/>
    <mergeCell ref="J42:J43"/>
    <mergeCell ref="A43:H43"/>
    <mergeCell ref="E45:G45"/>
    <mergeCell ref="J45:J46"/>
    <mergeCell ref="A46:H46"/>
    <mergeCell ref="E36:G36"/>
    <mergeCell ref="J36:J37"/>
    <mergeCell ref="A37:H37"/>
    <mergeCell ref="E39:G39"/>
    <mergeCell ref="J39:J40"/>
    <mergeCell ref="A40:H40"/>
    <mergeCell ref="E30:G30"/>
    <mergeCell ref="J30:J31"/>
    <mergeCell ref="A31:H31"/>
    <mergeCell ref="E33:G33"/>
    <mergeCell ref="J33:J34"/>
    <mergeCell ref="A34:H34"/>
    <mergeCell ref="E24:G24"/>
    <mergeCell ref="J24:J25"/>
    <mergeCell ref="A25:H25"/>
    <mergeCell ref="E27:G27"/>
    <mergeCell ref="J27:J28"/>
    <mergeCell ref="A28:H28"/>
    <mergeCell ref="E18:G18"/>
    <mergeCell ref="J18:J19"/>
    <mergeCell ref="A19:H19"/>
    <mergeCell ref="E21:G21"/>
    <mergeCell ref="J21:J22"/>
    <mergeCell ref="A22:H22"/>
    <mergeCell ref="A11:J11"/>
    <mergeCell ref="E12:G12"/>
    <mergeCell ref="J12:J13"/>
    <mergeCell ref="A13:H13"/>
    <mergeCell ref="E15:G15"/>
    <mergeCell ref="J15:J16"/>
    <mergeCell ref="A16:H16"/>
    <mergeCell ref="A5:J5"/>
    <mergeCell ref="A6:J6"/>
    <mergeCell ref="E7:G7"/>
    <mergeCell ref="A8:J8"/>
    <mergeCell ref="E9:G9"/>
    <mergeCell ref="J9:J10"/>
    <mergeCell ref="A10:H10"/>
    <mergeCell ref="A4:J4"/>
    <mergeCell ref="A1:B3"/>
    <mergeCell ref="C1:I1"/>
    <mergeCell ref="C2:I2"/>
    <mergeCell ref="C3:F3"/>
    <mergeCell ref="G3:J3"/>
    <mergeCell ref="A69:J69"/>
    <mergeCell ref="E82:G82"/>
    <mergeCell ref="J82:J83"/>
    <mergeCell ref="A83:H83"/>
    <mergeCell ref="E76:G76"/>
    <mergeCell ref="J76:J77"/>
    <mergeCell ref="A77:H77"/>
    <mergeCell ref="E79:G79"/>
    <mergeCell ref="J79:J80"/>
    <mergeCell ref="A80:H80"/>
    <mergeCell ref="E70:G70"/>
    <mergeCell ref="J70:J71"/>
    <mergeCell ref="A71:H71"/>
    <mergeCell ref="E73:G73"/>
    <mergeCell ref="J73:J74"/>
    <mergeCell ref="A74:H74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4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5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F692-7BA3-4B9B-AE68-57809DF0C3BE}">
  <sheetPr>
    <tabColor rgb="FF7030A0"/>
  </sheetPr>
  <dimension ref="A1:M90"/>
  <sheetViews>
    <sheetView showGridLines="0" zoomScale="90" zoomScaleNormal="90" workbookViewId="0">
      <pane ySplit="5" topLeftCell="A6" activePane="bottomLeft" state="frozen"/>
      <selection pane="bottomLeft" activeCell="A9" sqref="A9"/>
    </sheetView>
  </sheetViews>
  <sheetFormatPr defaultRowHeight="13.2" x14ac:dyDescent="0.25"/>
  <cols>
    <col min="1" max="1" width="15.109375" style="30" customWidth="1"/>
    <col min="2" max="2" width="15.109375" customWidth="1"/>
    <col min="3" max="3" width="17.88671875" customWidth="1"/>
    <col min="4" max="4" width="16.6640625" style="54" customWidth="1"/>
    <col min="6" max="6" width="8.5546875" customWidth="1"/>
    <col min="7" max="7" width="1.109375" hidden="1" customWidth="1"/>
    <col min="8" max="8" width="14.5546875" style="56" bestFit="1" customWidth="1"/>
    <col min="9" max="9" width="33.109375" style="30" customWidth="1"/>
    <col min="10" max="10" width="72.6640625" customWidth="1"/>
    <col min="12" max="12" width="10.5546875" bestFit="1" customWidth="1"/>
    <col min="13" max="13" width="11.33203125" bestFit="1" customWidth="1"/>
  </cols>
  <sheetData>
    <row r="1" spans="1:12" ht="37.5" customHeight="1" x14ac:dyDescent="0.25">
      <c r="A1" s="225"/>
      <c r="B1" s="226"/>
      <c r="C1" s="231" t="s">
        <v>6</v>
      </c>
      <c r="D1" s="232"/>
      <c r="E1" s="232"/>
      <c r="F1" s="232"/>
      <c r="G1" s="232"/>
      <c r="H1" s="232"/>
      <c r="I1" s="233"/>
      <c r="J1" s="25" t="s">
        <v>1</v>
      </c>
    </row>
    <row r="2" spans="1:12" ht="25.95" customHeight="1" x14ac:dyDescent="0.25">
      <c r="A2" s="227"/>
      <c r="B2" s="228"/>
      <c r="C2" s="130" t="s">
        <v>3</v>
      </c>
      <c r="D2" s="130"/>
      <c r="E2" s="130"/>
      <c r="F2" s="130"/>
      <c r="G2" s="130"/>
      <c r="H2" s="130"/>
      <c r="I2" s="130"/>
      <c r="J2" s="24" t="s">
        <v>0</v>
      </c>
    </row>
    <row r="3" spans="1:12" ht="25.95" customHeight="1" x14ac:dyDescent="0.25">
      <c r="A3" s="229"/>
      <c r="B3" s="230"/>
      <c r="C3" s="130" t="s">
        <v>2</v>
      </c>
      <c r="D3" s="130"/>
      <c r="E3" s="130"/>
      <c r="F3" s="130"/>
      <c r="G3" s="130" t="s">
        <v>88</v>
      </c>
      <c r="H3" s="130"/>
      <c r="I3" s="130"/>
      <c r="J3" s="130"/>
    </row>
    <row r="4" spans="1:12" ht="25.95" customHeight="1" x14ac:dyDescent="0.25">
      <c r="A4" s="222"/>
      <c r="B4" s="223"/>
      <c r="C4" s="223"/>
      <c r="D4" s="223"/>
      <c r="E4" s="223"/>
      <c r="F4" s="223"/>
      <c r="G4" s="223"/>
      <c r="H4" s="223"/>
      <c r="I4" s="223"/>
      <c r="J4" s="224"/>
    </row>
    <row r="5" spans="1:12" ht="25.8" x14ac:dyDescent="0.25">
      <c r="A5" s="272" t="s">
        <v>98</v>
      </c>
      <c r="B5" s="272"/>
      <c r="C5" s="272"/>
      <c r="D5" s="272"/>
      <c r="E5" s="272"/>
      <c r="F5" s="272"/>
      <c r="G5" s="272"/>
      <c r="H5" s="272"/>
      <c r="I5" s="272"/>
      <c r="J5" s="272"/>
    </row>
    <row r="6" spans="1:12" ht="25.8" x14ac:dyDescent="0.25">
      <c r="A6" s="235"/>
      <c r="B6" s="236"/>
      <c r="C6" s="236"/>
      <c r="D6" s="236"/>
      <c r="E6" s="236"/>
      <c r="F6" s="236"/>
      <c r="G6" s="236"/>
      <c r="H6" s="236"/>
      <c r="I6" s="236"/>
      <c r="J6" s="237"/>
    </row>
    <row r="7" spans="1:12" ht="31.2" x14ac:dyDescent="0.25">
      <c r="A7" s="26" t="s">
        <v>4</v>
      </c>
      <c r="B7" s="26" t="s">
        <v>48</v>
      </c>
      <c r="C7" s="26" t="s">
        <v>52</v>
      </c>
      <c r="D7" s="52" t="s">
        <v>51</v>
      </c>
      <c r="E7" s="238" t="s">
        <v>49</v>
      </c>
      <c r="F7" s="238"/>
      <c r="G7" s="238"/>
      <c r="H7" s="51" t="s">
        <v>50</v>
      </c>
      <c r="I7" s="27" t="s">
        <v>53</v>
      </c>
      <c r="J7" s="27" t="s">
        <v>5</v>
      </c>
    </row>
    <row r="8" spans="1:12" ht="35.4" customHeight="1" x14ac:dyDescent="0.25">
      <c r="A8" s="239"/>
      <c r="B8" s="240"/>
      <c r="C8" s="240"/>
      <c r="D8" s="240"/>
      <c r="E8" s="240"/>
      <c r="F8" s="240"/>
      <c r="G8" s="240"/>
      <c r="H8" s="240"/>
      <c r="I8" s="240"/>
      <c r="J8" s="241"/>
    </row>
    <row r="9" spans="1:12" ht="18" x14ac:dyDescent="0.25">
      <c r="A9" s="22">
        <v>45839</v>
      </c>
      <c r="B9" s="28" t="s">
        <v>9</v>
      </c>
      <c r="C9" s="29">
        <v>1877.73</v>
      </c>
      <c r="D9" s="53">
        <v>0</v>
      </c>
      <c r="E9" s="242">
        <v>1877.73</v>
      </c>
      <c r="F9" s="242"/>
      <c r="G9" s="242"/>
      <c r="H9" s="55">
        <v>0</v>
      </c>
      <c r="I9" s="50">
        <f>E9-H9</f>
        <v>1877.73</v>
      </c>
      <c r="J9" s="256"/>
      <c r="L9" s="23"/>
    </row>
    <row r="10" spans="1:12" ht="18" customHeight="1" x14ac:dyDescent="0.35">
      <c r="A10" s="245" t="s">
        <v>13</v>
      </c>
      <c r="B10" s="246"/>
      <c r="C10" s="246"/>
      <c r="D10" s="246"/>
      <c r="E10" s="246"/>
      <c r="F10" s="246"/>
      <c r="G10" s="246"/>
      <c r="H10" s="247"/>
      <c r="I10" s="57">
        <f>E9-H9</f>
        <v>1877.73</v>
      </c>
      <c r="J10" s="257"/>
      <c r="L10" s="23"/>
    </row>
    <row r="11" spans="1:12" ht="18" customHeight="1" x14ac:dyDescent="0.25">
      <c r="A11" s="258"/>
      <c r="B11" s="259"/>
      <c r="C11" s="259"/>
      <c r="D11" s="259"/>
      <c r="E11" s="259"/>
      <c r="F11" s="259"/>
      <c r="G11" s="259"/>
      <c r="H11" s="259"/>
      <c r="I11" s="259"/>
      <c r="J11" s="260"/>
      <c r="L11" s="23"/>
    </row>
    <row r="12" spans="1:12" ht="18" x14ac:dyDescent="0.25">
      <c r="A12" s="22">
        <v>45840</v>
      </c>
      <c r="B12" s="28" t="s">
        <v>9</v>
      </c>
      <c r="C12" s="29">
        <v>1877.73</v>
      </c>
      <c r="D12" s="53">
        <v>30</v>
      </c>
      <c r="E12" s="242">
        <f>C12+D12</f>
        <v>1907.73</v>
      </c>
      <c r="F12" s="242"/>
      <c r="G12" s="242"/>
      <c r="H12" s="55">
        <v>0</v>
      </c>
      <c r="I12" s="50">
        <f>E12-H12</f>
        <v>1907.73</v>
      </c>
      <c r="J12" s="256"/>
      <c r="L12" s="23"/>
    </row>
    <row r="13" spans="1:12" ht="18" customHeight="1" x14ac:dyDescent="0.35">
      <c r="A13" s="245" t="s">
        <v>13</v>
      </c>
      <c r="B13" s="246"/>
      <c r="C13" s="246"/>
      <c r="D13" s="246"/>
      <c r="E13" s="246"/>
      <c r="F13" s="246"/>
      <c r="G13" s="246"/>
      <c r="H13" s="247"/>
      <c r="I13" s="57">
        <f>E12-H12</f>
        <v>1907.73</v>
      </c>
      <c r="J13" s="257"/>
      <c r="L13" s="23"/>
    </row>
    <row r="14" spans="1:12" ht="15.6" x14ac:dyDescent="0.25">
      <c r="A14" s="239"/>
      <c r="B14" s="240"/>
      <c r="C14" s="240"/>
      <c r="D14" s="240"/>
      <c r="E14" s="240"/>
      <c r="F14" s="240"/>
      <c r="G14" s="240"/>
      <c r="H14" s="240"/>
      <c r="I14" s="240"/>
      <c r="J14" s="241"/>
    </row>
    <row r="15" spans="1:12" ht="18" x14ac:dyDescent="0.25">
      <c r="A15" s="22">
        <v>45841</v>
      </c>
      <c r="B15" s="28" t="s">
        <v>9</v>
      </c>
      <c r="C15" s="29">
        <v>1907.73</v>
      </c>
      <c r="D15" s="53">
        <v>55.09</v>
      </c>
      <c r="E15" s="242">
        <f>C15+D15</f>
        <v>1962.82</v>
      </c>
      <c r="F15" s="242"/>
      <c r="G15" s="242"/>
      <c r="H15" s="55">
        <v>0</v>
      </c>
      <c r="I15" s="50">
        <f>E15-H15</f>
        <v>1962.82</v>
      </c>
      <c r="J15" s="256"/>
    </row>
    <row r="16" spans="1:12" ht="18" x14ac:dyDescent="0.35">
      <c r="A16" s="245" t="s">
        <v>13</v>
      </c>
      <c r="B16" s="246"/>
      <c r="C16" s="246"/>
      <c r="D16" s="246"/>
      <c r="E16" s="246"/>
      <c r="F16" s="246"/>
      <c r="G16" s="246"/>
      <c r="H16" s="247"/>
      <c r="I16" s="57">
        <f>E15-H15</f>
        <v>1962.82</v>
      </c>
      <c r="J16" s="257"/>
    </row>
    <row r="18" spans="1:13" ht="18" x14ac:dyDescent="0.25">
      <c r="A18" s="22">
        <v>45842</v>
      </c>
      <c r="B18" s="28" t="s">
        <v>9</v>
      </c>
      <c r="C18" s="29">
        <v>1962.82</v>
      </c>
      <c r="D18" s="53">
        <v>67.180000000000007</v>
      </c>
      <c r="E18" s="242">
        <f>C18+D18</f>
        <v>2030</v>
      </c>
      <c r="F18" s="242"/>
      <c r="G18" s="242"/>
      <c r="H18" s="55">
        <v>30</v>
      </c>
      <c r="I18" s="50">
        <f>E18-H18</f>
        <v>2000</v>
      </c>
      <c r="J18" s="256" t="s">
        <v>105</v>
      </c>
    </row>
    <row r="19" spans="1:13" ht="18" x14ac:dyDescent="0.35">
      <c r="A19" s="245" t="s">
        <v>13</v>
      </c>
      <c r="B19" s="246"/>
      <c r="C19" s="246"/>
      <c r="D19" s="246"/>
      <c r="E19" s="246"/>
      <c r="F19" s="246"/>
      <c r="G19" s="246"/>
      <c r="H19" s="247"/>
      <c r="I19" s="57">
        <f>E18-H18</f>
        <v>2000</v>
      </c>
      <c r="J19" s="257"/>
    </row>
    <row r="21" spans="1:13" ht="18" x14ac:dyDescent="0.25">
      <c r="A21" s="22">
        <v>45843</v>
      </c>
      <c r="B21" s="28" t="s">
        <v>9</v>
      </c>
      <c r="C21" s="29">
        <v>2000</v>
      </c>
      <c r="D21" s="53">
        <v>29.77</v>
      </c>
      <c r="E21" s="242">
        <f>C21+D21</f>
        <v>2029.77</v>
      </c>
      <c r="F21" s="242"/>
      <c r="G21" s="242"/>
      <c r="H21" s="55">
        <v>0</v>
      </c>
      <c r="I21" s="50">
        <f>E21-H21</f>
        <v>2029.77</v>
      </c>
      <c r="J21" s="256"/>
      <c r="L21" s="49"/>
    </row>
    <row r="22" spans="1:13" ht="18" x14ac:dyDescent="0.35">
      <c r="A22" s="245" t="s">
        <v>13</v>
      </c>
      <c r="B22" s="246"/>
      <c r="C22" s="246"/>
      <c r="D22" s="246"/>
      <c r="E22" s="246"/>
      <c r="F22" s="246"/>
      <c r="G22" s="246"/>
      <c r="H22" s="247"/>
      <c r="I22" s="57">
        <f>E21-H21</f>
        <v>2029.77</v>
      </c>
      <c r="J22" s="257"/>
    </row>
    <row r="24" spans="1:13" ht="18" x14ac:dyDescent="0.25">
      <c r="A24" s="22">
        <v>45845</v>
      </c>
      <c r="B24" s="28" t="s">
        <v>9</v>
      </c>
      <c r="C24" s="29">
        <v>2029.77</v>
      </c>
      <c r="D24" s="53">
        <v>55.92</v>
      </c>
      <c r="E24" s="242">
        <f>C24+D24</f>
        <v>2085.69</v>
      </c>
      <c r="F24" s="242"/>
      <c r="G24" s="242"/>
      <c r="H24" s="55">
        <v>30</v>
      </c>
      <c r="I24" s="50">
        <f>E24-H24</f>
        <v>2055.69</v>
      </c>
      <c r="J24" s="256" t="s">
        <v>104</v>
      </c>
    </row>
    <row r="25" spans="1:13" ht="18" x14ac:dyDescent="0.35">
      <c r="A25" s="245" t="s">
        <v>13</v>
      </c>
      <c r="B25" s="246"/>
      <c r="C25" s="246"/>
      <c r="D25" s="246"/>
      <c r="E25" s="246"/>
      <c r="F25" s="246"/>
      <c r="G25" s="246"/>
      <c r="H25" s="247"/>
      <c r="I25" s="57">
        <f>E24-H24</f>
        <v>2055.69</v>
      </c>
      <c r="J25" s="257"/>
      <c r="M25" s="23"/>
    </row>
    <row r="26" spans="1:13" x14ac:dyDescent="0.25">
      <c r="M26" s="23"/>
    </row>
    <row r="27" spans="1:13" ht="18" x14ac:dyDescent="0.25">
      <c r="A27" s="22">
        <v>45846</v>
      </c>
      <c r="B27" s="28" t="s">
        <v>9</v>
      </c>
      <c r="C27" s="29">
        <v>2055.69</v>
      </c>
      <c r="D27" s="53">
        <v>72.959999999999994</v>
      </c>
      <c r="E27" s="242">
        <f>C27+D27</f>
        <v>2128.65</v>
      </c>
      <c r="F27" s="242"/>
      <c r="G27" s="242"/>
      <c r="H27" s="55">
        <v>0</v>
      </c>
      <c r="I27" s="62">
        <f>E27-H27</f>
        <v>2128.65</v>
      </c>
      <c r="J27" s="248"/>
      <c r="M27" s="23"/>
    </row>
    <row r="28" spans="1:13" ht="18" x14ac:dyDescent="0.35">
      <c r="A28" s="245" t="s">
        <v>13</v>
      </c>
      <c r="B28" s="246"/>
      <c r="C28" s="246"/>
      <c r="D28" s="246"/>
      <c r="E28" s="246"/>
      <c r="F28" s="246"/>
      <c r="G28" s="246"/>
      <c r="H28" s="247"/>
      <c r="I28" s="63">
        <f>E27-H27</f>
        <v>2128.65</v>
      </c>
      <c r="J28" s="249"/>
      <c r="M28" s="23"/>
    </row>
    <row r="29" spans="1:13" x14ac:dyDescent="0.25">
      <c r="M29" s="23"/>
    </row>
    <row r="30" spans="1:13" ht="18" x14ac:dyDescent="0.25">
      <c r="A30" s="22">
        <v>45847</v>
      </c>
      <c r="B30" s="28" t="s">
        <v>9</v>
      </c>
      <c r="C30" s="29">
        <v>2128.65</v>
      </c>
      <c r="D30" s="65">
        <v>0</v>
      </c>
      <c r="E30" s="242">
        <f>C30+D30</f>
        <v>2128.65</v>
      </c>
      <c r="F30" s="242"/>
      <c r="G30" s="242"/>
      <c r="H30" s="64">
        <v>0</v>
      </c>
      <c r="I30" s="50">
        <f>E30-H30</f>
        <v>2128.65</v>
      </c>
      <c r="J30" s="265" t="s">
        <v>55</v>
      </c>
      <c r="M30" s="23"/>
    </row>
    <row r="31" spans="1:13" ht="18" x14ac:dyDescent="0.25">
      <c r="A31" s="245" t="s">
        <v>13</v>
      </c>
      <c r="B31" s="246"/>
      <c r="C31" s="246"/>
      <c r="D31" s="246"/>
      <c r="E31" s="246"/>
      <c r="F31" s="246"/>
      <c r="G31" s="246"/>
      <c r="H31" s="247"/>
      <c r="I31" s="58">
        <f>E30-H30</f>
        <v>2128.65</v>
      </c>
      <c r="J31" s="266"/>
      <c r="M31" s="23"/>
    </row>
    <row r="32" spans="1:13" x14ac:dyDescent="0.25">
      <c r="M32" s="23"/>
    </row>
    <row r="33" spans="1:13" ht="18" x14ac:dyDescent="0.25">
      <c r="A33" s="22">
        <v>45848</v>
      </c>
      <c r="B33" s="28" t="s">
        <v>9</v>
      </c>
      <c r="C33" s="29">
        <v>2128.65</v>
      </c>
      <c r="D33" s="53">
        <v>77.09</v>
      </c>
      <c r="E33" s="242">
        <f>C33+D33</f>
        <v>2205.7400000000002</v>
      </c>
      <c r="F33" s="242"/>
      <c r="G33" s="242"/>
      <c r="H33" s="55">
        <v>126.2</v>
      </c>
      <c r="I33" s="50">
        <f>E33-H33</f>
        <v>2079.5400000000004</v>
      </c>
      <c r="J33" s="248" t="s">
        <v>106</v>
      </c>
      <c r="M33" s="23"/>
    </row>
    <row r="34" spans="1:13" ht="18" x14ac:dyDescent="0.35">
      <c r="A34" s="245" t="s">
        <v>13</v>
      </c>
      <c r="B34" s="246"/>
      <c r="C34" s="246"/>
      <c r="D34" s="246"/>
      <c r="E34" s="246"/>
      <c r="F34" s="246"/>
      <c r="G34" s="246"/>
      <c r="H34" s="247"/>
      <c r="I34" s="57">
        <f>E33-H33</f>
        <v>2079.5400000000004</v>
      </c>
      <c r="J34" s="249"/>
      <c r="M34" s="49"/>
    </row>
    <row r="36" spans="1:13" ht="18" x14ac:dyDescent="0.25">
      <c r="A36" s="22">
        <v>45849</v>
      </c>
      <c r="B36" s="28" t="s">
        <v>9</v>
      </c>
      <c r="C36" s="29">
        <v>2079.54</v>
      </c>
      <c r="D36" s="53">
        <v>127.8</v>
      </c>
      <c r="E36" s="242">
        <f>C36+D36</f>
        <v>2207.34</v>
      </c>
      <c r="F36" s="242"/>
      <c r="G36" s="242"/>
      <c r="H36" s="55">
        <v>91.3</v>
      </c>
      <c r="I36" s="50">
        <f>E36-H36</f>
        <v>2116.04</v>
      </c>
      <c r="J36" s="256" t="s">
        <v>107</v>
      </c>
    </row>
    <row r="37" spans="1:13" ht="18" x14ac:dyDescent="0.35">
      <c r="A37" s="245" t="s">
        <v>13</v>
      </c>
      <c r="B37" s="246"/>
      <c r="C37" s="246"/>
      <c r="D37" s="246"/>
      <c r="E37" s="246"/>
      <c r="F37" s="246"/>
      <c r="G37" s="246"/>
      <c r="H37" s="247"/>
      <c r="I37" s="57">
        <f>E36-H36</f>
        <v>2116.04</v>
      </c>
      <c r="J37" s="257"/>
    </row>
    <row r="39" spans="1:13" ht="18" x14ac:dyDescent="0.25">
      <c r="A39" s="22">
        <v>45850</v>
      </c>
      <c r="B39" s="28" t="s">
        <v>9</v>
      </c>
      <c r="C39" s="29">
        <v>2116.04</v>
      </c>
      <c r="D39" s="53">
        <v>31.05</v>
      </c>
      <c r="E39" s="242">
        <f>C39+D39</f>
        <v>2147.09</v>
      </c>
      <c r="F39" s="242"/>
      <c r="G39" s="242"/>
      <c r="H39" s="55">
        <v>0</v>
      </c>
      <c r="I39" s="50">
        <f>E39-H39</f>
        <v>2147.09</v>
      </c>
      <c r="J39" s="256"/>
    </row>
    <row r="40" spans="1:13" ht="18" x14ac:dyDescent="0.35">
      <c r="A40" s="245" t="s">
        <v>13</v>
      </c>
      <c r="B40" s="246"/>
      <c r="C40" s="246"/>
      <c r="D40" s="246"/>
      <c r="E40" s="246"/>
      <c r="F40" s="246"/>
      <c r="G40" s="246"/>
      <c r="H40" s="247"/>
      <c r="I40" s="57">
        <f>E39-H39</f>
        <v>2147.09</v>
      </c>
      <c r="J40" s="257"/>
    </row>
    <row r="42" spans="1:13" ht="18" x14ac:dyDescent="0.25">
      <c r="A42" s="22">
        <v>45852</v>
      </c>
      <c r="B42" s="28" t="s">
        <v>9</v>
      </c>
      <c r="C42" s="29">
        <v>2147.09</v>
      </c>
      <c r="D42" s="53">
        <v>196.22</v>
      </c>
      <c r="E42" s="242">
        <f>C42+D42</f>
        <v>2343.31</v>
      </c>
      <c r="F42" s="242"/>
      <c r="G42" s="242"/>
      <c r="H42" s="55">
        <v>0</v>
      </c>
      <c r="I42" s="50">
        <f>E42-H42</f>
        <v>2343.31</v>
      </c>
      <c r="J42" s="248"/>
    </row>
    <row r="43" spans="1:13" ht="18" x14ac:dyDescent="0.35">
      <c r="A43" s="245" t="s">
        <v>13</v>
      </c>
      <c r="B43" s="246"/>
      <c r="C43" s="246"/>
      <c r="D43" s="246"/>
      <c r="E43" s="246"/>
      <c r="F43" s="246"/>
      <c r="G43" s="246"/>
      <c r="H43" s="247"/>
      <c r="I43" s="57">
        <f>E42-H42</f>
        <v>2343.31</v>
      </c>
      <c r="J43" s="249"/>
    </row>
    <row r="45" spans="1:13" ht="18" x14ac:dyDescent="0.25">
      <c r="A45" s="22">
        <v>45853</v>
      </c>
      <c r="B45" s="28" t="s">
        <v>9</v>
      </c>
      <c r="C45" s="29">
        <v>2343.31</v>
      </c>
      <c r="D45" s="53">
        <v>71.67</v>
      </c>
      <c r="E45" s="242">
        <f>C45+D45</f>
        <v>2414.98</v>
      </c>
      <c r="F45" s="242"/>
      <c r="G45" s="242"/>
      <c r="H45" s="55">
        <v>25</v>
      </c>
      <c r="I45" s="50">
        <f>E45-H45</f>
        <v>2389.98</v>
      </c>
      <c r="J45" s="256" t="s">
        <v>108</v>
      </c>
    </row>
    <row r="46" spans="1:13" ht="18" x14ac:dyDescent="0.35">
      <c r="A46" s="245" t="s">
        <v>13</v>
      </c>
      <c r="B46" s="246"/>
      <c r="C46" s="246"/>
      <c r="D46" s="246"/>
      <c r="E46" s="246"/>
      <c r="F46" s="246"/>
      <c r="G46" s="246"/>
      <c r="H46" s="247"/>
      <c r="I46" s="57">
        <f>E45-H45</f>
        <v>2389.98</v>
      </c>
      <c r="J46" s="257"/>
    </row>
    <row r="48" spans="1:13" ht="18" x14ac:dyDescent="0.25">
      <c r="A48" s="22">
        <v>45854</v>
      </c>
      <c r="B48" s="28" t="s">
        <v>9</v>
      </c>
      <c r="C48" s="29">
        <v>2389.9499999999998</v>
      </c>
      <c r="D48" s="53">
        <v>66.52</v>
      </c>
      <c r="E48" s="242">
        <f>C48+D48</f>
        <v>2456.4699999999998</v>
      </c>
      <c r="F48" s="242"/>
      <c r="G48" s="242"/>
      <c r="H48" s="55">
        <v>26</v>
      </c>
      <c r="I48" s="50">
        <f>E48-H48</f>
        <v>2430.4699999999998</v>
      </c>
      <c r="J48" s="256" t="s">
        <v>109</v>
      </c>
    </row>
    <row r="49" spans="1:10" ht="18" x14ac:dyDescent="0.35">
      <c r="A49" s="245" t="s">
        <v>13</v>
      </c>
      <c r="B49" s="246"/>
      <c r="C49" s="246"/>
      <c r="D49" s="246"/>
      <c r="E49" s="246"/>
      <c r="F49" s="246"/>
      <c r="G49" s="246"/>
      <c r="H49" s="247"/>
      <c r="I49" s="57">
        <f>E48-H48</f>
        <v>2430.4699999999998</v>
      </c>
      <c r="J49" s="257"/>
    </row>
    <row r="50" spans="1:10" ht="4.5" customHeight="1" x14ac:dyDescent="0.25"/>
    <row r="51" spans="1:10" ht="27" customHeight="1" x14ac:dyDescent="0.25">
      <c r="A51" s="22">
        <v>45855</v>
      </c>
      <c r="B51" s="28" t="s">
        <v>9</v>
      </c>
      <c r="C51" s="29">
        <v>2432.1999999999998</v>
      </c>
      <c r="D51" s="53">
        <v>55.98</v>
      </c>
      <c r="E51" s="242">
        <f>C51+D51</f>
        <v>2488.1799999999998</v>
      </c>
      <c r="F51" s="242"/>
      <c r="G51" s="242"/>
      <c r="H51" s="55">
        <v>0</v>
      </c>
      <c r="I51" s="50">
        <f>E51-H51</f>
        <v>2488.1799999999998</v>
      </c>
      <c r="J51" s="248"/>
    </row>
    <row r="52" spans="1:10" ht="18" x14ac:dyDescent="0.35">
      <c r="A52" s="245" t="s">
        <v>13</v>
      </c>
      <c r="B52" s="246"/>
      <c r="C52" s="246"/>
      <c r="D52" s="246"/>
      <c r="E52" s="246"/>
      <c r="F52" s="246"/>
      <c r="G52" s="246"/>
      <c r="H52" s="247"/>
      <c r="I52" s="57">
        <v>0</v>
      </c>
      <c r="J52" s="249"/>
    </row>
    <row r="54" spans="1:10" ht="18" x14ac:dyDescent="0.25">
      <c r="A54" s="22">
        <v>45856</v>
      </c>
      <c r="B54" s="28" t="s">
        <v>9</v>
      </c>
      <c r="C54" s="29">
        <v>2488.1799999999998</v>
      </c>
      <c r="D54" s="53">
        <v>183.96</v>
      </c>
      <c r="E54" s="242">
        <f>C54+D54</f>
        <v>2672.14</v>
      </c>
      <c r="F54" s="242"/>
      <c r="G54" s="242"/>
      <c r="H54" s="55">
        <v>0</v>
      </c>
      <c r="I54" s="50">
        <f>E54-H54</f>
        <v>2672.14</v>
      </c>
      <c r="J54" s="250"/>
    </row>
    <row r="55" spans="1:10" ht="18" x14ac:dyDescent="0.35">
      <c r="A55" s="245" t="s">
        <v>13</v>
      </c>
      <c r="B55" s="246"/>
      <c r="C55" s="246"/>
      <c r="D55" s="246"/>
      <c r="E55" s="246"/>
      <c r="F55" s="246"/>
      <c r="G55" s="246"/>
      <c r="H55" s="247"/>
      <c r="I55" s="57">
        <f>E54-H54</f>
        <v>2672.14</v>
      </c>
      <c r="J55" s="251"/>
    </row>
    <row r="57" spans="1:10" ht="18" x14ac:dyDescent="0.25">
      <c r="A57" s="22">
        <v>45857</v>
      </c>
      <c r="B57" s="28" t="s">
        <v>9</v>
      </c>
      <c r="C57" s="29">
        <v>2672.14</v>
      </c>
      <c r="D57" s="53">
        <v>0</v>
      </c>
      <c r="E57" s="242">
        <f>C57+D57</f>
        <v>2672.14</v>
      </c>
      <c r="F57" s="242"/>
      <c r="G57" s="242"/>
      <c r="H57" s="55">
        <v>0</v>
      </c>
      <c r="I57" s="50">
        <f>E57-H57</f>
        <v>2672.14</v>
      </c>
      <c r="J57" s="256"/>
    </row>
    <row r="58" spans="1:10" ht="18" x14ac:dyDescent="0.35">
      <c r="A58" s="245" t="s">
        <v>13</v>
      </c>
      <c r="B58" s="246"/>
      <c r="C58" s="246"/>
      <c r="D58" s="246"/>
      <c r="E58" s="246"/>
      <c r="F58" s="246"/>
      <c r="G58" s="246"/>
      <c r="H58" s="247"/>
      <c r="I58" s="57">
        <f>E57-H57</f>
        <v>2672.14</v>
      </c>
      <c r="J58" s="257"/>
    </row>
    <row r="60" spans="1:10" ht="18" x14ac:dyDescent="0.25">
      <c r="A60" s="22">
        <v>45859</v>
      </c>
      <c r="B60" s="28" t="s">
        <v>9</v>
      </c>
      <c r="C60" s="29">
        <v>2672.14</v>
      </c>
      <c r="D60" s="53">
        <v>45.07</v>
      </c>
      <c r="E60" s="242">
        <f>C60+D60</f>
        <v>2717.21</v>
      </c>
      <c r="F60" s="242"/>
      <c r="G60" s="242"/>
      <c r="H60" s="55">
        <v>28</v>
      </c>
      <c r="I60" s="50">
        <f>E60-H60</f>
        <v>2689.21</v>
      </c>
      <c r="J60" s="256" t="s">
        <v>110</v>
      </c>
    </row>
    <row r="61" spans="1:10" ht="18" x14ac:dyDescent="0.35">
      <c r="A61" s="245" t="s">
        <v>13</v>
      </c>
      <c r="B61" s="246"/>
      <c r="C61" s="246"/>
      <c r="D61" s="246"/>
      <c r="E61" s="246"/>
      <c r="F61" s="246"/>
      <c r="G61" s="246"/>
      <c r="H61" s="247"/>
      <c r="I61" s="57">
        <f>E60-H60</f>
        <v>2689.21</v>
      </c>
      <c r="J61" s="257"/>
    </row>
    <row r="63" spans="1:10" ht="18" x14ac:dyDescent="0.25">
      <c r="A63" s="22">
        <v>45860</v>
      </c>
      <c r="B63" s="28" t="s">
        <v>9</v>
      </c>
      <c r="C63" s="29">
        <v>2690.65</v>
      </c>
      <c r="D63" s="53">
        <v>9</v>
      </c>
      <c r="E63" s="242">
        <f>C63+D63</f>
        <v>2699.65</v>
      </c>
      <c r="F63" s="242"/>
      <c r="G63" s="242"/>
      <c r="H63" s="55">
        <v>36.5</v>
      </c>
      <c r="I63" s="50">
        <f>E63-H63</f>
        <v>2663.15</v>
      </c>
      <c r="J63" s="256" t="s">
        <v>111</v>
      </c>
    </row>
    <row r="64" spans="1:10" ht="18" x14ac:dyDescent="0.35">
      <c r="A64" s="245" t="s">
        <v>13</v>
      </c>
      <c r="B64" s="246"/>
      <c r="C64" s="246"/>
      <c r="D64" s="246"/>
      <c r="E64" s="246"/>
      <c r="F64" s="246"/>
      <c r="G64" s="246"/>
      <c r="H64" s="247"/>
      <c r="I64" s="57">
        <f>E63-H63</f>
        <v>2663.15</v>
      </c>
      <c r="J64" s="257"/>
    </row>
    <row r="66" spans="1:10" ht="1.8" customHeight="1" x14ac:dyDescent="0.25">
      <c r="C66">
        <v>0</v>
      </c>
      <c r="D66" s="54">
        <v>0</v>
      </c>
    </row>
    <row r="67" spans="1:10" ht="18" x14ac:dyDescent="0.25">
      <c r="A67" s="22">
        <v>45861</v>
      </c>
      <c r="B67" s="28" t="s">
        <v>9</v>
      </c>
      <c r="C67" s="29">
        <v>2663.15</v>
      </c>
      <c r="D67" s="53">
        <v>70.06</v>
      </c>
      <c r="E67" s="242">
        <f>C67+D67</f>
        <v>2733.21</v>
      </c>
      <c r="F67" s="242"/>
      <c r="G67" s="242"/>
      <c r="H67" s="55">
        <v>31.95</v>
      </c>
      <c r="I67" s="50">
        <f>E67-H67</f>
        <v>2701.26</v>
      </c>
      <c r="J67" s="256" t="s">
        <v>112</v>
      </c>
    </row>
    <row r="68" spans="1:10" ht="18" x14ac:dyDescent="0.35">
      <c r="A68" s="245" t="s">
        <v>13</v>
      </c>
      <c r="B68" s="246"/>
      <c r="C68" s="246"/>
      <c r="D68" s="246"/>
      <c r="E68" s="246"/>
      <c r="F68" s="246"/>
      <c r="G68" s="246"/>
      <c r="H68" s="247"/>
      <c r="I68" s="57">
        <f>E67-H67</f>
        <v>2701.26</v>
      </c>
      <c r="J68" s="257"/>
    </row>
    <row r="70" spans="1:10" ht="18" x14ac:dyDescent="0.25">
      <c r="A70" s="22">
        <v>45862</v>
      </c>
      <c r="B70" s="28" t="s">
        <v>9</v>
      </c>
      <c r="C70" s="29">
        <v>2701.26</v>
      </c>
      <c r="D70" s="53">
        <v>141.08000000000001</v>
      </c>
      <c r="E70" s="242">
        <f>C70+D70</f>
        <v>2842.34</v>
      </c>
      <c r="F70" s="242"/>
      <c r="G70" s="242"/>
      <c r="H70" s="55">
        <v>84</v>
      </c>
      <c r="I70" s="50">
        <f>E70-H70</f>
        <v>2758.34</v>
      </c>
      <c r="J70" s="256" t="s">
        <v>113</v>
      </c>
    </row>
    <row r="71" spans="1:10" ht="18" x14ac:dyDescent="0.35">
      <c r="A71" s="245" t="s">
        <v>13</v>
      </c>
      <c r="B71" s="246"/>
      <c r="C71" s="246"/>
      <c r="D71" s="246"/>
      <c r="E71" s="246"/>
      <c r="F71" s="246"/>
      <c r="G71" s="246"/>
      <c r="H71" s="247"/>
      <c r="I71" s="57">
        <f>E70-H70</f>
        <v>2758.34</v>
      </c>
      <c r="J71" s="257"/>
    </row>
    <row r="73" spans="1:10" ht="18" x14ac:dyDescent="0.25">
      <c r="A73" s="22">
        <v>45863</v>
      </c>
      <c r="B73" s="28" t="s">
        <v>9</v>
      </c>
      <c r="C73" s="29">
        <v>2758.34</v>
      </c>
      <c r="D73" s="53">
        <v>63.85</v>
      </c>
      <c r="E73" s="242">
        <f>C73+D73</f>
        <v>2822.19</v>
      </c>
      <c r="F73" s="242"/>
      <c r="G73" s="242"/>
      <c r="H73" s="55">
        <v>0</v>
      </c>
      <c r="I73" s="50">
        <f>E73-H73</f>
        <v>2822.19</v>
      </c>
      <c r="J73" s="250"/>
    </row>
    <row r="74" spans="1:10" ht="10.199999999999999" customHeight="1" x14ac:dyDescent="0.25">
      <c r="A74" s="67"/>
      <c r="B74" s="68"/>
      <c r="C74" s="69"/>
      <c r="D74" s="70"/>
      <c r="E74" s="71"/>
      <c r="F74" s="71"/>
      <c r="G74" s="71"/>
      <c r="H74" s="72"/>
      <c r="I74" s="50"/>
      <c r="J74" s="271"/>
    </row>
    <row r="75" spans="1:10" ht="18" x14ac:dyDescent="0.35">
      <c r="A75" s="245" t="s">
        <v>13</v>
      </c>
      <c r="B75" s="246"/>
      <c r="C75" s="246"/>
      <c r="D75" s="246"/>
      <c r="E75" s="246"/>
      <c r="F75" s="246"/>
      <c r="G75" s="246"/>
      <c r="H75" s="247"/>
      <c r="I75" s="57">
        <f>E73-H73</f>
        <v>2822.19</v>
      </c>
      <c r="J75" s="251"/>
    </row>
    <row r="77" spans="1:10" ht="18" x14ac:dyDescent="0.25">
      <c r="A77" s="22">
        <v>45864</v>
      </c>
      <c r="B77" s="28" t="s">
        <v>9</v>
      </c>
      <c r="C77" s="29">
        <v>2822.19</v>
      </c>
      <c r="D77" s="53">
        <v>0</v>
      </c>
      <c r="E77" s="242">
        <f>C77+D77</f>
        <v>2822.19</v>
      </c>
      <c r="F77" s="242"/>
      <c r="G77" s="242"/>
      <c r="H77" s="55">
        <v>0</v>
      </c>
      <c r="I77" s="50">
        <f>E77-H77</f>
        <v>2822.19</v>
      </c>
      <c r="J77" s="250"/>
    </row>
    <row r="78" spans="1:10" ht="18" x14ac:dyDescent="0.35">
      <c r="A78" s="245" t="s">
        <v>13</v>
      </c>
      <c r="B78" s="246"/>
      <c r="C78" s="246"/>
      <c r="D78" s="246"/>
      <c r="E78" s="246"/>
      <c r="F78" s="246"/>
      <c r="G78" s="246"/>
      <c r="H78" s="247"/>
      <c r="I78" s="57">
        <f>E77-H77</f>
        <v>2822.19</v>
      </c>
      <c r="J78" s="251"/>
    </row>
    <row r="80" spans="1:10" ht="18" x14ac:dyDescent="0.25">
      <c r="A80" s="22">
        <v>45866</v>
      </c>
      <c r="B80" s="28" t="s">
        <v>9</v>
      </c>
      <c r="C80" s="29">
        <v>2822.19</v>
      </c>
      <c r="D80" s="53">
        <v>76.459999999999994</v>
      </c>
      <c r="E80" s="242">
        <f>C80+D80</f>
        <v>2898.65</v>
      </c>
      <c r="F80" s="242"/>
      <c r="G80" s="242"/>
      <c r="H80" s="55">
        <v>0</v>
      </c>
      <c r="I80" s="50">
        <f>E80-H80</f>
        <v>2898.65</v>
      </c>
      <c r="J80" s="250"/>
    </row>
    <row r="81" spans="1:10" ht="18" x14ac:dyDescent="0.35">
      <c r="A81" s="245" t="s">
        <v>13</v>
      </c>
      <c r="B81" s="246"/>
      <c r="C81" s="246"/>
      <c r="D81" s="246"/>
      <c r="E81" s="246"/>
      <c r="F81" s="246"/>
      <c r="G81" s="246"/>
      <c r="H81" s="247"/>
      <c r="I81" s="57">
        <f>E80-H80</f>
        <v>2898.65</v>
      </c>
      <c r="J81" s="251"/>
    </row>
    <row r="83" spans="1:10" ht="18" x14ac:dyDescent="0.25">
      <c r="A83" s="22">
        <v>45867</v>
      </c>
      <c r="B83" s="28" t="s">
        <v>9</v>
      </c>
      <c r="C83" s="29">
        <v>2898.65</v>
      </c>
      <c r="D83" s="53">
        <v>8.08</v>
      </c>
      <c r="E83" s="242">
        <f>C83+D83</f>
        <v>2906.73</v>
      </c>
      <c r="F83" s="242"/>
      <c r="G83" s="242"/>
      <c r="H83" s="55">
        <v>300</v>
      </c>
      <c r="I83" s="50">
        <f>E83-H83</f>
        <v>2606.73</v>
      </c>
      <c r="J83" s="248"/>
    </row>
    <row r="84" spans="1:10" ht="18" x14ac:dyDescent="0.35">
      <c r="A84" s="245" t="s">
        <v>13</v>
      </c>
      <c r="B84" s="246"/>
      <c r="C84" s="246"/>
      <c r="D84" s="246"/>
      <c r="E84" s="246"/>
      <c r="F84" s="246"/>
      <c r="G84" s="246"/>
      <c r="H84" s="247"/>
      <c r="I84" s="57">
        <f>E83-H83</f>
        <v>2606.73</v>
      </c>
      <c r="J84" s="249"/>
    </row>
    <row r="86" spans="1:10" ht="18" x14ac:dyDescent="0.25">
      <c r="A86" s="22">
        <v>45868</v>
      </c>
      <c r="B86" s="28" t="s">
        <v>9</v>
      </c>
      <c r="C86" s="29">
        <v>2606.73</v>
      </c>
      <c r="D86" s="53">
        <v>35.72</v>
      </c>
      <c r="E86" s="242">
        <f>C86+D86</f>
        <v>2642.45</v>
      </c>
      <c r="F86" s="242"/>
      <c r="G86" s="242"/>
      <c r="H86" s="55">
        <v>0</v>
      </c>
      <c r="I86" s="50">
        <f>E86-H86</f>
        <v>2642.45</v>
      </c>
      <c r="J86" s="269"/>
    </row>
    <row r="87" spans="1:10" ht="18" x14ac:dyDescent="0.35">
      <c r="A87" s="245" t="s">
        <v>13</v>
      </c>
      <c r="B87" s="246"/>
      <c r="C87" s="246"/>
      <c r="D87" s="246"/>
      <c r="E87" s="246"/>
      <c r="F87" s="246"/>
      <c r="G87" s="246"/>
      <c r="H87" s="247"/>
      <c r="I87" s="57">
        <f>E86-H86</f>
        <v>2642.45</v>
      </c>
      <c r="J87" s="270"/>
    </row>
    <row r="89" spans="1:10" ht="18" x14ac:dyDescent="0.25">
      <c r="A89" s="22">
        <v>45869</v>
      </c>
      <c r="B89" s="28" t="s">
        <v>9</v>
      </c>
      <c r="C89" s="29">
        <v>2642.45</v>
      </c>
      <c r="D89" s="53">
        <v>6.52</v>
      </c>
      <c r="E89" s="242">
        <f>C89+D89</f>
        <v>2648.97</v>
      </c>
      <c r="F89" s="242"/>
      <c r="G89" s="242"/>
      <c r="H89" s="55">
        <v>0</v>
      </c>
      <c r="I89" s="50">
        <f>E89-H89</f>
        <v>2648.97</v>
      </c>
      <c r="J89" s="252"/>
    </row>
    <row r="90" spans="1:10" ht="18" x14ac:dyDescent="0.35">
      <c r="A90" s="245" t="s">
        <v>13</v>
      </c>
      <c r="B90" s="246"/>
      <c r="C90" s="246"/>
      <c r="D90" s="246"/>
      <c r="E90" s="246"/>
      <c r="F90" s="246"/>
      <c r="G90" s="246"/>
      <c r="H90" s="247"/>
      <c r="I90" s="57">
        <f>E89-H89</f>
        <v>2648.97</v>
      </c>
      <c r="J90" s="253"/>
    </row>
  </sheetData>
  <mergeCells count="93">
    <mergeCell ref="A4:J4"/>
    <mergeCell ref="A1:B3"/>
    <mergeCell ref="C1:I1"/>
    <mergeCell ref="C2:I2"/>
    <mergeCell ref="C3:F3"/>
    <mergeCell ref="G3:J3"/>
    <mergeCell ref="A5:J5"/>
    <mergeCell ref="A6:J6"/>
    <mergeCell ref="E7:G7"/>
    <mergeCell ref="A8:J8"/>
    <mergeCell ref="E12:G12"/>
    <mergeCell ref="J12:J13"/>
    <mergeCell ref="A13:H13"/>
    <mergeCell ref="E9:G9"/>
    <mergeCell ref="J9:J10"/>
    <mergeCell ref="A10:H10"/>
    <mergeCell ref="A11:J11"/>
    <mergeCell ref="A14:J14"/>
    <mergeCell ref="E15:G15"/>
    <mergeCell ref="J15:J16"/>
    <mergeCell ref="A16:H16"/>
    <mergeCell ref="E18:G18"/>
    <mergeCell ref="J18:J19"/>
    <mergeCell ref="A19:H19"/>
    <mergeCell ref="E21:G21"/>
    <mergeCell ref="J21:J22"/>
    <mergeCell ref="A22:H22"/>
    <mergeCell ref="E24:G24"/>
    <mergeCell ref="J24:J25"/>
    <mergeCell ref="A25:H25"/>
    <mergeCell ref="E27:G27"/>
    <mergeCell ref="J27:J28"/>
    <mergeCell ref="A28:H28"/>
    <mergeCell ref="E30:G30"/>
    <mergeCell ref="J30:J31"/>
    <mergeCell ref="A31:H31"/>
    <mergeCell ref="E33:G33"/>
    <mergeCell ref="J33:J34"/>
    <mergeCell ref="A34:H34"/>
    <mergeCell ref="E36:G36"/>
    <mergeCell ref="J36:J37"/>
    <mergeCell ref="A37:H37"/>
    <mergeCell ref="E39:G39"/>
    <mergeCell ref="J39:J40"/>
    <mergeCell ref="A40:H40"/>
    <mergeCell ref="E42:G42"/>
    <mergeCell ref="J42:J43"/>
    <mergeCell ref="A43:H43"/>
    <mergeCell ref="E45:G45"/>
    <mergeCell ref="J45:J46"/>
    <mergeCell ref="A46:H46"/>
    <mergeCell ref="E48:G48"/>
    <mergeCell ref="J48:J49"/>
    <mergeCell ref="A49:H49"/>
    <mergeCell ref="E51:G51"/>
    <mergeCell ref="J51:J52"/>
    <mergeCell ref="A52:H52"/>
    <mergeCell ref="E54:G54"/>
    <mergeCell ref="J54:J55"/>
    <mergeCell ref="A55:H55"/>
    <mergeCell ref="E57:G57"/>
    <mergeCell ref="J57:J58"/>
    <mergeCell ref="A58:H58"/>
    <mergeCell ref="E60:G60"/>
    <mergeCell ref="J60:J61"/>
    <mergeCell ref="A61:H61"/>
    <mergeCell ref="E63:G63"/>
    <mergeCell ref="J63:J64"/>
    <mergeCell ref="A64:H64"/>
    <mergeCell ref="E67:G67"/>
    <mergeCell ref="J67:J68"/>
    <mergeCell ref="A68:H68"/>
    <mergeCell ref="E70:G70"/>
    <mergeCell ref="J70:J71"/>
    <mergeCell ref="A71:H71"/>
    <mergeCell ref="E73:G73"/>
    <mergeCell ref="J73:J75"/>
    <mergeCell ref="A75:H75"/>
    <mergeCell ref="E89:G89"/>
    <mergeCell ref="J89:J90"/>
    <mergeCell ref="A90:H90"/>
    <mergeCell ref="E83:G83"/>
    <mergeCell ref="J83:J84"/>
    <mergeCell ref="A84:H84"/>
    <mergeCell ref="E86:G86"/>
    <mergeCell ref="J86:J87"/>
    <mergeCell ref="A87:H87"/>
    <mergeCell ref="E77:G77"/>
    <mergeCell ref="J77:J78"/>
    <mergeCell ref="A78:H78"/>
    <mergeCell ref="E80:G80"/>
    <mergeCell ref="J80:J81"/>
    <mergeCell ref="A81:H8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I71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9807-B23A-4059-83C5-C69EC0AA0806}">
  <sheetPr>
    <tabColor rgb="FFCCFF33"/>
  </sheetPr>
  <dimension ref="A1:M86"/>
  <sheetViews>
    <sheetView showGridLines="0" zoomScale="90" zoomScaleNormal="90" workbookViewId="0">
      <pane ySplit="5" topLeftCell="A6" activePane="bottomLeft" state="frozen"/>
      <selection pane="bottomLeft" activeCell="A9" sqref="A9"/>
    </sheetView>
  </sheetViews>
  <sheetFormatPr defaultRowHeight="13.2" x14ac:dyDescent="0.25"/>
  <cols>
    <col min="1" max="1" width="15.109375" style="30" customWidth="1"/>
    <col min="2" max="2" width="15.109375" customWidth="1"/>
    <col min="3" max="3" width="17.88671875" customWidth="1"/>
    <col min="4" max="4" width="16.6640625" style="54" customWidth="1"/>
    <col min="6" max="6" width="8.5546875" customWidth="1"/>
    <col min="7" max="7" width="1.109375" hidden="1" customWidth="1"/>
    <col min="8" max="8" width="15.6640625" style="56" bestFit="1" customWidth="1"/>
    <col min="9" max="9" width="33.109375" style="30" customWidth="1"/>
    <col min="10" max="10" width="72.6640625" customWidth="1"/>
    <col min="12" max="12" width="10.5546875" bestFit="1" customWidth="1"/>
    <col min="13" max="13" width="11.33203125" bestFit="1" customWidth="1"/>
  </cols>
  <sheetData>
    <row r="1" spans="1:12" ht="37.5" customHeight="1" x14ac:dyDescent="0.25">
      <c r="A1" s="225"/>
      <c r="B1" s="226"/>
      <c r="C1" s="231" t="s">
        <v>6</v>
      </c>
      <c r="D1" s="232"/>
      <c r="E1" s="232"/>
      <c r="F1" s="232"/>
      <c r="G1" s="232"/>
      <c r="H1" s="232"/>
      <c r="I1" s="233"/>
      <c r="J1" s="25" t="s">
        <v>1</v>
      </c>
    </row>
    <row r="2" spans="1:12" ht="25.95" customHeight="1" x14ac:dyDescent="0.25">
      <c r="A2" s="227"/>
      <c r="B2" s="228"/>
      <c r="C2" s="130" t="s">
        <v>3</v>
      </c>
      <c r="D2" s="130"/>
      <c r="E2" s="130"/>
      <c r="F2" s="130"/>
      <c r="G2" s="130"/>
      <c r="H2" s="130"/>
      <c r="I2" s="130"/>
      <c r="J2" s="24" t="s">
        <v>0</v>
      </c>
    </row>
    <row r="3" spans="1:12" ht="25.95" customHeight="1" x14ac:dyDescent="0.25">
      <c r="A3" s="229"/>
      <c r="B3" s="230"/>
      <c r="C3" s="130" t="s">
        <v>2</v>
      </c>
      <c r="D3" s="130"/>
      <c r="E3" s="130"/>
      <c r="F3" s="130"/>
      <c r="G3" s="130" t="s">
        <v>88</v>
      </c>
      <c r="H3" s="130"/>
      <c r="I3" s="130"/>
      <c r="J3" s="130"/>
    </row>
    <row r="4" spans="1:12" ht="25.95" customHeight="1" x14ac:dyDescent="0.25">
      <c r="A4" s="222"/>
      <c r="B4" s="223"/>
      <c r="C4" s="223"/>
      <c r="D4" s="223"/>
      <c r="E4" s="223"/>
      <c r="F4" s="223"/>
      <c r="G4" s="223"/>
      <c r="H4" s="223"/>
      <c r="I4" s="223"/>
      <c r="J4" s="224"/>
    </row>
    <row r="5" spans="1:12" ht="25.8" x14ac:dyDescent="0.25">
      <c r="A5" s="275" t="s">
        <v>103</v>
      </c>
      <c r="B5" s="275"/>
      <c r="C5" s="275"/>
      <c r="D5" s="275"/>
      <c r="E5" s="275"/>
      <c r="F5" s="275"/>
      <c r="G5" s="275"/>
      <c r="H5" s="275"/>
      <c r="I5" s="275"/>
      <c r="J5" s="275"/>
    </row>
    <row r="6" spans="1:12" ht="25.8" x14ac:dyDescent="0.25">
      <c r="A6" s="235"/>
      <c r="B6" s="236"/>
      <c r="C6" s="236"/>
      <c r="D6" s="236"/>
      <c r="E6" s="236"/>
      <c r="F6" s="236"/>
      <c r="G6" s="236"/>
      <c r="H6" s="236"/>
      <c r="I6" s="236"/>
      <c r="J6" s="237"/>
    </row>
    <row r="7" spans="1:12" ht="31.2" x14ac:dyDescent="0.25">
      <c r="A7" s="26" t="s">
        <v>4</v>
      </c>
      <c r="B7" s="26" t="s">
        <v>48</v>
      </c>
      <c r="C7" s="26" t="s">
        <v>52</v>
      </c>
      <c r="D7" s="52" t="s">
        <v>51</v>
      </c>
      <c r="E7" s="238" t="s">
        <v>49</v>
      </c>
      <c r="F7" s="238"/>
      <c r="G7" s="238"/>
      <c r="H7" s="51" t="s">
        <v>50</v>
      </c>
      <c r="I7" s="27" t="s">
        <v>53</v>
      </c>
      <c r="J7" s="27" t="s">
        <v>5</v>
      </c>
    </row>
    <row r="8" spans="1:12" ht="35.4" customHeight="1" x14ac:dyDescent="0.25">
      <c r="A8" s="239"/>
      <c r="B8" s="240"/>
      <c r="C8" s="240"/>
      <c r="D8" s="240"/>
      <c r="E8" s="240"/>
      <c r="F8" s="240"/>
      <c r="G8" s="240"/>
      <c r="H8" s="240"/>
      <c r="I8" s="240"/>
      <c r="J8" s="241"/>
    </row>
    <row r="9" spans="1:12" ht="18" x14ac:dyDescent="0.25">
      <c r="A9" s="22">
        <v>45870</v>
      </c>
      <c r="B9" s="28" t="s">
        <v>9</v>
      </c>
      <c r="C9" s="29">
        <v>2648.97</v>
      </c>
      <c r="D9" s="53">
        <v>0</v>
      </c>
      <c r="E9" s="242">
        <f>C9+D9</f>
        <v>2648.97</v>
      </c>
      <c r="F9" s="242"/>
      <c r="G9" s="242"/>
      <c r="H9" s="55">
        <v>103.05</v>
      </c>
      <c r="I9" s="50">
        <f>E9-H9</f>
        <v>2545.9199999999996</v>
      </c>
      <c r="J9" s="256" t="s">
        <v>115</v>
      </c>
      <c r="L9" s="23"/>
    </row>
    <row r="10" spans="1:12" ht="18" customHeight="1" x14ac:dyDescent="0.35">
      <c r="A10" s="245" t="s">
        <v>13</v>
      </c>
      <c r="B10" s="246"/>
      <c r="C10" s="246"/>
      <c r="D10" s="246"/>
      <c r="E10" s="246"/>
      <c r="F10" s="246"/>
      <c r="G10" s="246"/>
      <c r="H10" s="247"/>
      <c r="I10" s="75">
        <f>E9-H9</f>
        <v>2545.9199999999996</v>
      </c>
      <c r="J10" s="257"/>
      <c r="L10" s="23"/>
    </row>
    <row r="11" spans="1:12" ht="18" customHeight="1" x14ac:dyDescent="0.25">
      <c r="A11" s="258"/>
      <c r="B11" s="259"/>
      <c r="C11" s="259"/>
      <c r="D11" s="259"/>
      <c r="E11" s="259"/>
      <c r="F11" s="259"/>
      <c r="G11" s="259"/>
      <c r="H11" s="259"/>
      <c r="I11" s="259"/>
      <c r="J11" s="260"/>
      <c r="L11" s="23"/>
    </row>
    <row r="12" spans="1:12" ht="18" x14ac:dyDescent="0.25">
      <c r="A12" s="22">
        <v>45871</v>
      </c>
      <c r="B12" s="28" t="s">
        <v>9</v>
      </c>
      <c r="C12" s="29">
        <v>2545.92</v>
      </c>
      <c r="D12" s="53">
        <v>0</v>
      </c>
      <c r="E12" s="242">
        <f>C12+D12</f>
        <v>2545.92</v>
      </c>
      <c r="F12" s="242"/>
      <c r="G12" s="242"/>
      <c r="H12" s="55">
        <v>0</v>
      </c>
      <c r="I12" s="50">
        <f>E12-H12</f>
        <v>2545.92</v>
      </c>
      <c r="J12" s="256"/>
      <c r="L12" s="23"/>
    </row>
    <row r="13" spans="1:12" ht="18" customHeight="1" x14ac:dyDescent="0.35">
      <c r="A13" s="245" t="s">
        <v>13</v>
      </c>
      <c r="B13" s="246"/>
      <c r="C13" s="246"/>
      <c r="D13" s="246"/>
      <c r="E13" s="246"/>
      <c r="F13" s="246"/>
      <c r="G13" s="246"/>
      <c r="H13" s="247"/>
      <c r="I13" s="75">
        <f>E12-H12</f>
        <v>2545.92</v>
      </c>
      <c r="J13" s="257"/>
      <c r="L13" s="23"/>
    </row>
    <row r="14" spans="1:12" ht="15.6" x14ac:dyDescent="0.25">
      <c r="A14" s="239"/>
      <c r="B14" s="240"/>
      <c r="C14" s="240"/>
      <c r="D14" s="240"/>
      <c r="E14" s="240"/>
      <c r="F14" s="240"/>
      <c r="G14" s="240"/>
      <c r="H14" s="240"/>
      <c r="I14" s="240"/>
      <c r="J14" s="241"/>
    </row>
    <row r="15" spans="1:12" ht="18" x14ac:dyDescent="0.25">
      <c r="A15" s="22">
        <v>45873</v>
      </c>
      <c r="B15" s="28" t="s">
        <v>9</v>
      </c>
      <c r="C15" s="29">
        <v>2545.92</v>
      </c>
      <c r="D15" s="53">
        <v>47.76</v>
      </c>
      <c r="E15" s="242">
        <f>C15+D15</f>
        <v>2593.6800000000003</v>
      </c>
      <c r="F15" s="242"/>
      <c r="G15" s="242"/>
      <c r="H15" s="55">
        <v>142.15</v>
      </c>
      <c r="I15" s="50">
        <f>E15-H15</f>
        <v>2451.5300000000002</v>
      </c>
      <c r="J15" s="256" t="s">
        <v>116</v>
      </c>
    </row>
    <row r="16" spans="1:12" ht="18" x14ac:dyDescent="0.35">
      <c r="A16" s="245" t="s">
        <v>13</v>
      </c>
      <c r="B16" s="246"/>
      <c r="C16" s="246"/>
      <c r="D16" s="246"/>
      <c r="E16" s="246"/>
      <c r="F16" s="246"/>
      <c r="G16" s="246"/>
      <c r="H16" s="247"/>
      <c r="I16" s="75">
        <f>E15-H15</f>
        <v>2451.5300000000002</v>
      </c>
      <c r="J16" s="257"/>
    </row>
    <row r="18" spans="1:13" ht="18" x14ac:dyDescent="0.25">
      <c r="A18" s="22">
        <v>45874</v>
      </c>
      <c r="B18" s="28" t="s">
        <v>9</v>
      </c>
      <c r="C18" s="29">
        <v>2451.5300000000002</v>
      </c>
      <c r="D18" s="53">
        <v>218.96</v>
      </c>
      <c r="E18" s="242">
        <f>C18+D18</f>
        <v>2670.4900000000002</v>
      </c>
      <c r="F18" s="242"/>
      <c r="G18" s="242"/>
      <c r="H18" s="55">
        <v>0</v>
      </c>
      <c r="I18" s="50">
        <f>E18-H18</f>
        <v>2670.4900000000002</v>
      </c>
      <c r="J18" s="250"/>
    </row>
    <row r="19" spans="1:13" ht="18" x14ac:dyDescent="0.35">
      <c r="A19" s="245" t="s">
        <v>13</v>
      </c>
      <c r="B19" s="246"/>
      <c r="C19" s="246"/>
      <c r="D19" s="246"/>
      <c r="E19" s="246"/>
      <c r="F19" s="246"/>
      <c r="G19" s="246"/>
      <c r="H19" s="247"/>
      <c r="I19" s="75">
        <f>E18-H18</f>
        <v>2670.4900000000002</v>
      </c>
      <c r="J19" s="251"/>
    </row>
    <row r="21" spans="1:13" ht="18" x14ac:dyDescent="0.25">
      <c r="A21" s="22">
        <v>45875</v>
      </c>
      <c r="B21" s="28" t="s">
        <v>9</v>
      </c>
      <c r="C21" s="29">
        <v>2670.49</v>
      </c>
      <c r="D21" s="53">
        <v>81.99</v>
      </c>
      <c r="E21" s="242">
        <f>C21+D21</f>
        <v>2752.4799999999996</v>
      </c>
      <c r="F21" s="242"/>
      <c r="G21" s="242"/>
      <c r="H21" s="55">
        <v>0</v>
      </c>
      <c r="I21" s="50">
        <f>E21-H21</f>
        <v>2752.4799999999996</v>
      </c>
      <c r="J21" s="248"/>
      <c r="L21" s="49"/>
    </row>
    <row r="22" spans="1:13" ht="18" x14ac:dyDescent="0.35">
      <c r="A22" s="245" t="s">
        <v>13</v>
      </c>
      <c r="B22" s="246"/>
      <c r="C22" s="246"/>
      <c r="D22" s="246"/>
      <c r="E22" s="246"/>
      <c r="F22" s="246"/>
      <c r="G22" s="246"/>
      <c r="H22" s="247"/>
      <c r="I22" s="75">
        <f>E21-H21</f>
        <v>2752.4799999999996</v>
      </c>
      <c r="J22" s="249"/>
    </row>
    <row r="24" spans="1:13" ht="18" x14ac:dyDescent="0.25">
      <c r="A24" s="22">
        <v>45876</v>
      </c>
      <c r="B24" s="28" t="s">
        <v>9</v>
      </c>
      <c r="C24" s="29">
        <v>2752.48</v>
      </c>
      <c r="D24" s="53">
        <v>93.76</v>
      </c>
      <c r="E24" s="242">
        <f>C24+D24</f>
        <v>2846.2400000000002</v>
      </c>
      <c r="F24" s="242"/>
      <c r="G24" s="242"/>
      <c r="H24" s="55">
        <v>0</v>
      </c>
      <c r="I24" s="50">
        <f>E24-H24</f>
        <v>2846.2400000000002</v>
      </c>
      <c r="J24" s="250"/>
    </row>
    <row r="25" spans="1:13" ht="18" x14ac:dyDescent="0.35">
      <c r="A25" s="245" t="s">
        <v>13</v>
      </c>
      <c r="B25" s="246"/>
      <c r="C25" s="246"/>
      <c r="D25" s="246"/>
      <c r="E25" s="246"/>
      <c r="F25" s="246"/>
      <c r="G25" s="246"/>
      <c r="H25" s="247"/>
      <c r="I25" s="75">
        <f>E24-H24</f>
        <v>2846.2400000000002</v>
      </c>
      <c r="J25" s="251"/>
      <c r="M25" s="23"/>
    </row>
    <row r="26" spans="1:13" x14ac:dyDescent="0.25">
      <c r="M26" s="23"/>
    </row>
    <row r="27" spans="1:13" ht="18" x14ac:dyDescent="0.25">
      <c r="A27" s="22">
        <v>45877</v>
      </c>
      <c r="B27" s="28" t="s">
        <v>9</v>
      </c>
      <c r="C27" s="29">
        <v>2846.24</v>
      </c>
      <c r="D27" s="53">
        <v>190.35</v>
      </c>
      <c r="E27" s="242">
        <f>C27+D27</f>
        <v>3036.5899999999997</v>
      </c>
      <c r="F27" s="242"/>
      <c r="G27" s="242"/>
      <c r="H27" s="55">
        <v>152.69999999999999</v>
      </c>
      <c r="I27" s="62">
        <f>E27-H27</f>
        <v>2883.89</v>
      </c>
      <c r="J27" s="256" t="s">
        <v>118</v>
      </c>
      <c r="M27" s="23"/>
    </row>
    <row r="28" spans="1:13" ht="18" x14ac:dyDescent="0.35">
      <c r="A28" s="245" t="s">
        <v>13</v>
      </c>
      <c r="B28" s="246"/>
      <c r="C28" s="246"/>
      <c r="D28" s="246"/>
      <c r="E28" s="246"/>
      <c r="F28" s="246"/>
      <c r="G28" s="246"/>
      <c r="H28" s="247"/>
      <c r="I28" s="75">
        <f>E27-H27</f>
        <v>2883.89</v>
      </c>
      <c r="J28" s="257"/>
      <c r="M28" s="23"/>
    </row>
    <row r="29" spans="1:13" x14ac:dyDescent="0.25">
      <c r="M29" s="23"/>
    </row>
    <row r="30" spans="1:13" ht="18" x14ac:dyDescent="0.25">
      <c r="A30" s="22">
        <v>45878</v>
      </c>
      <c r="B30" s="28" t="s">
        <v>9</v>
      </c>
      <c r="C30" s="29">
        <v>2883.89</v>
      </c>
      <c r="D30" s="65">
        <v>88.06</v>
      </c>
      <c r="E30" s="242">
        <f>C30+D30</f>
        <v>2971.95</v>
      </c>
      <c r="F30" s="242"/>
      <c r="G30" s="242"/>
      <c r="H30" s="64">
        <v>0</v>
      </c>
      <c r="I30" s="50">
        <f>E30-H30</f>
        <v>2971.95</v>
      </c>
      <c r="J30" s="265"/>
      <c r="M30" s="23"/>
    </row>
    <row r="31" spans="1:13" ht="18" x14ac:dyDescent="0.25">
      <c r="A31" s="245" t="s">
        <v>13</v>
      </c>
      <c r="B31" s="246"/>
      <c r="C31" s="246"/>
      <c r="D31" s="246"/>
      <c r="E31" s="246"/>
      <c r="F31" s="246"/>
      <c r="G31" s="246"/>
      <c r="H31" s="247"/>
      <c r="I31" s="76">
        <f>E30-H30</f>
        <v>2971.95</v>
      </c>
      <c r="J31" s="266"/>
      <c r="M31" s="23"/>
    </row>
    <row r="32" spans="1:13" x14ac:dyDescent="0.25">
      <c r="M32" s="23"/>
    </row>
    <row r="33" spans="1:13" ht="18" x14ac:dyDescent="0.25">
      <c r="A33" s="22">
        <v>45880</v>
      </c>
      <c r="B33" s="28" t="s">
        <v>9</v>
      </c>
      <c r="C33" s="29">
        <v>2971.95</v>
      </c>
      <c r="D33" s="53">
        <v>18.97</v>
      </c>
      <c r="E33" s="242">
        <f>C33+D33</f>
        <v>2990.9199999999996</v>
      </c>
      <c r="F33" s="242"/>
      <c r="G33" s="242"/>
      <c r="H33" s="55">
        <v>8.9</v>
      </c>
      <c r="I33" s="50">
        <f>E33-H33</f>
        <v>2982.0199999999995</v>
      </c>
      <c r="J33" s="256" t="s">
        <v>119</v>
      </c>
      <c r="M33" s="23"/>
    </row>
    <row r="34" spans="1:13" ht="18" x14ac:dyDescent="0.35">
      <c r="A34" s="245" t="s">
        <v>13</v>
      </c>
      <c r="B34" s="246"/>
      <c r="C34" s="246"/>
      <c r="D34" s="246"/>
      <c r="E34" s="246"/>
      <c r="F34" s="246"/>
      <c r="G34" s="246"/>
      <c r="H34" s="247"/>
      <c r="I34" s="75">
        <v>2982.02</v>
      </c>
      <c r="J34" s="257"/>
      <c r="M34" s="49"/>
    </row>
    <row r="36" spans="1:13" ht="18" x14ac:dyDescent="0.25">
      <c r="A36" s="22">
        <v>45881</v>
      </c>
      <c r="B36" s="28" t="s">
        <v>9</v>
      </c>
      <c r="C36" s="29">
        <v>2982.02</v>
      </c>
      <c r="D36" s="53">
        <v>40.880000000000003</v>
      </c>
      <c r="E36" s="242">
        <f>C36+D36</f>
        <v>3022.9</v>
      </c>
      <c r="F36" s="242"/>
      <c r="G36" s="242"/>
      <c r="H36" s="55">
        <v>0</v>
      </c>
      <c r="I36" s="50">
        <f>E36-H36</f>
        <v>3022.9</v>
      </c>
      <c r="J36" s="256"/>
    </row>
    <row r="37" spans="1:13" ht="18" x14ac:dyDescent="0.35">
      <c r="A37" s="245" t="s">
        <v>13</v>
      </c>
      <c r="B37" s="246"/>
      <c r="C37" s="246"/>
      <c r="D37" s="246"/>
      <c r="E37" s="246"/>
      <c r="F37" s="246"/>
      <c r="G37" s="246"/>
      <c r="H37" s="247"/>
      <c r="I37" s="75">
        <f>E36-H36</f>
        <v>3022.9</v>
      </c>
      <c r="J37" s="257"/>
    </row>
    <row r="39" spans="1:13" ht="18" x14ac:dyDescent="0.25">
      <c r="A39" s="22">
        <v>45882</v>
      </c>
      <c r="B39" s="28" t="s">
        <v>9</v>
      </c>
      <c r="C39" s="29">
        <v>3022.9</v>
      </c>
      <c r="D39" s="53">
        <v>3.02</v>
      </c>
      <c r="E39" s="242">
        <f>C39+D39</f>
        <v>3025.92</v>
      </c>
      <c r="F39" s="242"/>
      <c r="G39" s="242"/>
      <c r="H39" s="55">
        <v>0</v>
      </c>
      <c r="I39" s="50">
        <f>E39-H39</f>
        <v>3025.92</v>
      </c>
      <c r="J39" s="256"/>
    </row>
    <row r="40" spans="1:13" ht="18" x14ac:dyDescent="0.35">
      <c r="A40" s="245" t="s">
        <v>13</v>
      </c>
      <c r="B40" s="246"/>
      <c r="C40" s="246"/>
      <c r="D40" s="246"/>
      <c r="E40" s="246"/>
      <c r="F40" s="246"/>
      <c r="G40" s="246"/>
      <c r="H40" s="247"/>
      <c r="I40" s="75">
        <f>I39</f>
        <v>3025.92</v>
      </c>
      <c r="J40" s="257"/>
    </row>
    <row r="42" spans="1:13" ht="18" x14ac:dyDescent="0.25">
      <c r="A42" s="22">
        <v>45883</v>
      </c>
      <c r="B42" s="28" t="s">
        <v>9</v>
      </c>
      <c r="C42" s="29">
        <v>3025.92</v>
      </c>
      <c r="D42" s="53">
        <v>116.88</v>
      </c>
      <c r="E42" s="242">
        <f>C42+D42</f>
        <v>3142.8</v>
      </c>
      <c r="F42" s="242"/>
      <c r="G42" s="242"/>
      <c r="H42" s="55">
        <v>0</v>
      </c>
      <c r="I42" s="50">
        <f>E42-H42</f>
        <v>3142.8</v>
      </c>
      <c r="J42" s="248"/>
    </row>
    <row r="43" spans="1:13" ht="18" x14ac:dyDescent="0.35">
      <c r="A43" s="245" t="s">
        <v>13</v>
      </c>
      <c r="B43" s="246"/>
      <c r="C43" s="246"/>
      <c r="D43" s="246"/>
      <c r="E43" s="246"/>
      <c r="F43" s="246"/>
      <c r="G43" s="246"/>
      <c r="H43" s="247"/>
      <c r="I43" s="75">
        <f>E42-H42</f>
        <v>3142.8</v>
      </c>
      <c r="J43" s="249"/>
    </row>
    <row r="45" spans="1:13" ht="18" x14ac:dyDescent="0.25">
      <c r="A45" s="22">
        <v>45884</v>
      </c>
      <c r="B45" s="28" t="s">
        <v>9</v>
      </c>
      <c r="C45" s="29">
        <v>3142.8</v>
      </c>
      <c r="D45" s="53">
        <v>339.23</v>
      </c>
      <c r="E45" s="242">
        <f>C45+D45</f>
        <v>3482.03</v>
      </c>
      <c r="F45" s="242"/>
      <c r="G45" s="242"/>
      <c r="H45" s="55">
        <v>0</v>
      </c>
      <c r="I45" s="50">
        <f>E45-H45</f>
        <v>3482.03</v>
      </c>
      <c r="J45" s="250"/>
    </row>
    <row r="46" spans="1:13" ht="18" x14ac:dyDescent="0.35">
      <c r="A46" s="245" t="s">
        <v>13</v>
      </c>
      <c r="B46" s="246"/>
      <c r="C46" s="246"/>
      <c r="D46" s="246"/>
      <c r="E46" s="246"/>
      <c r="F46" s="246"/>
      <c r="G46" s="246"/>
      <c r="H46" s="247"/>
      <c r="I46" s="75">
        <f>E45-H45</f>
        <v>3482.03</v>
      </c>
      <c r="J46" s="251"/>
    </row>
    <row r="48" spans="1:13" ht="18" x14ac:dyDescent="0.25">
      <c r="A48" s="22">
        <v>45885</v>
      </c>
      <c r="B48" s="28" t="s">
        <v>9</v>
      </c>
      <c r="C48" s="29">
        <v>3484.3</v>
      </c>
      <c r="D48" s="53">
        <v>0</v>
      </c>
      <c r="E48" s="242">
        <f>C48+D48</f>
        <v>3484.3</v>
      </c>
      <c r="F48" s="242"/>
      <c r="G48" s="242"/>
      <c r="H48" s="55">
        <v>0</v>
      </c>
      <c r="I48" s="50">
        <f>E48-H48</f>
        <v>3484.3</v>
      </c>
      <c r="J48" s="256"/>
    </row>
    <row r="49" spans="1:10" ht="18" x14ac:dyDescent="0.35">
      <c r="A49" s="245" t="s">
        <v>13</v>
      </c>
      <c r="B49" s="246"/>
      <c r="C49" s="246"/>
      <c r="D49" s="246"/>
      <c r="E49" s="246"/>
      <c r="F49" s="246"/>
      <c r="G49" s="246"/>
      <c r="H49" s="247"/>
      <c r="I49" s="75">
        <f>E48-H48</f>
        <v>3484.3</v>
      </c>
      <c r="J49" s="257"/>
    </row>
    <row r="50" spans="1:10" ht="18.600000000000001" customHeight="1" x14ac:dyDescent="0.25"/>
    <row r="51" spans="1:10" ht="27" customHeight="1" x14ac:dyDescent="0.25">
      <c r="A51" s="22">
        <v>45887</v>
      </c>
      <c r="B51" s="28" t="s">
        <v>9</v>
      </c>
      <c r="C51" s="29">
        <v>3484.3</v>
      </c>
      <c r="D51" s="53">
        <v>32.880000000000003</v>
      </c>
      <c r="E51" s="242">
        <f>C51+D51</f>
        <v>3517.1800000000003</v>
      </c>
      <c r="F51" s="242"/>
      <c r="G51" s="242"/>
      <c r="H51" s="55">
        <v>31</v>
      </c>
      <c r="I51" s="50">
        <f>E51-H51</f>
        <v>3486.1800000000003</v>
      </c>
      <c r="J51" s="248"/>
    </row>
    <row r="52" spans="1:10" ht="18" x14ac:dyDescent="0.35">
      <c r="A52" s="245" t="s">
        <v>13</v>
      </c>
      <c r="B52" s="246"/>
      <c r="C52" s="246"/>
      <c r="D52" s="246"/>
      <c r="E52" s="246"/>
      <c r="F52" s="246"/>
      <c r="G52" s="246"/>
      <c r="H52" s="247"/>
      <c r="I52" s="75">
        <v>0</v>
      </c>
      <c r="J52" s="249"/>
    </row>
    <row r="54" spans="1:10" ht="18" x14ac:dyDescent="0.25">
      <c r="A54" s="22">
        <v>45888</v>
      </c>
      <c r="B54" s="28" t="s">
        <v>9</v>
      </c>
      <c r="C54" s="29">
        <v>3486.3</v>
      </c>
      <c r="D54" s="53">
        <v>41.04</v>
      </c>
      <c r="E54" s="242">
        <f>C54+D54</f>
        <v>3527.34</v>
      </c>
      <c r="F54" s="242"/>
      <c r="G54" s="242"/>
      <c r="H54" s="55">
        <v>50</v>
      </c>
      <c r="I54" s="50">
        <f>E54-H54</f>
        <v>3477.34</v>
      </c>
      <c r="J54" s="256" t="s">
        <v>120</v>
      </c>
    </row>
    <row r="55" spans="1:10" ht="18" x14ac:dyDescent="0.35">
      <c r="A55" s="245" t="s">
        <v>13</v>
      </c>
      <c r="B55" s="246"/>
      <c r="C55" s="246"/>
      <c r="D55" s="246"/>
      <c r="E55" s="246"/>
      <c r="F55" s="246"/>
      <c r="G55" s="246"/>
      <c r="H55" s="247"/>
      <c r="I55" s="75">
        <f>E54-H54</f>
        <v>3477.34</v>
      </c>
      <c r="J55" s="257"/>
    </row>
    <row r="57" spans="1:10" ht="18" x14ac:dyDescent="0.25">
      <c r="A57" s="22">
        <v>45889</v>
      </c>
      <c r="B57" s="28" t="s">
        <v>9</v>
      </c>
      <c r="C57" s="29">
        <v>3477.34</v>
      </c>
      <c r="D57" s="53">
        <v>18.100000000000001</v>
      </c>
      <c r="E57" s="242">
        <f>C57+D57</f>
        <v>3495.44</v>
      </c>
      <c r="F57" s="242"/>
      <c r="G57" s="242"/>
      <c r="H57" s="55">
        <v>0</v>
      </c>
      <c r="I57" s="50">
        <f>E57-H57</f>
        <v>3495.44</v>
      </c>
      <c r="J57" s="267"/>
    </row>
    <row r="58" spans="1:10" ht="18" x14ac:dyDescent="0.35">
      <c r="A58" s="245" t="s">
        <v>13</v>
      </c>
      <c r="B58" s="246"/>
      <c r="C58" s="246"/>
      <c r="D58" s="246"/>
      <c r="E58" s="246"/>
      <c r="F58" s="246"/>
      <c r="G58" s="246"/>
      <c r="H58" s="247"/>
      <c r="I58" s="75">
        <f>E57-H57</f>
        <v>3495.44</v>
      </c>
      <c r="J58" s="268"/>
    </row>
    <row r="60" spans="1:10" ht="18" x14ac:dyDescent="0.25">
      <c r="A60" s="22">
        <v>45890</v>
      </c>
      <c r="B60" s="28" t="s">
        <v>9</v>
      </c>
      <c r="C60" s="29">
        <v>3495.44</v>
      </c>
      <c r="D60" s="53">
        <v>58.21</v>
      </c>
      <c r="E60" s="242">
        <f>C60+D60</f>
        <v>3553.65</v>
      </c>
      <c r="F60" s="242"/>
      <c r="G60" s="242"/>
      <c r="H60" s="55">
        <v>1402</v>
      </c>
      <c r="I60" s="50">
        <f>E60-H60</f>
        <v>2151.65</v>
      </c>
      <c r="J60" s="273" t="s">
        <v>121</v>
      </c>
    </row>
    <row r="61" spans="1:10" ht="55.2" customHeight="1" x14ac:dyDescent="0.25">
      <c r="A61" s="245" t="s">
        <v>13</v>
      </c>
      <c r="B61" s="246"/>
      <c r="C61" s="246"/>
      <c r="D61" s="246"/>
      <c r="E61" s="246"/>
      <c r="F61" s="246"/>
      <c r="G61" s="246"/>
      <c r="H61" s="247"/>
      <c r="I61" s="76">
        <f>E60-H60</f>
        <v>2151.65</v>
      </c>
      <c r="J61" s="274"/>
    </row>
    <row r="63" spans="1:10" ht="18" x14ac:dyDescent="0.25">
      <c r="A63" s="22">
        <v>45891</v>
      </c>
      <c r="B63" s="28" t="s">
        <v>9</v>
      </c>
      <c r="C63" s="29">
        <v>2151.65</v>
      </c>
      <c r="D63" s="53">
        <v>50.74</v>
      </c>
      <c r="E63" s="242">
        <f>C63+D63</f>
        <v>2202.39</v>
      </c>
      <c r="F63" s="242"/>
      <c r="G63" s="242"/>
      <c r="H63" s="55">
        <v>0</v>
      </c>
      <c r="I63" s="50">
        <f>E63-H63</f>
        <v>2202.39</v>
      </c>
      <c r="J63" s="250"/>
    </row>
    <row r="64" spans="1:10" ht="18" x14ac:dyDescent="0.35">
      <c r="A64" s="245" t="s">
        <v>13</v>
      </c>
      <c r="B64" s="246"/>
      <c r="C64" s="246"/>
      <c r="D64" s="246"/>
      <c r="E64" s="246"/>
      <c r="F64" s="246"/>
      <c r="G64" s="246"/>
      <c r="H64" s="247"/>
      <c r="I64" s="75">
        <f>E63-H63</f>
        <v>2202.39</v>
      </c>
      <c r="J64" s="251"/>
    </row>
    <row r="66" spans="1:10" ht="1.8" customHeight="1" x14ac:dyDescent="0.25">
      <c r="C66">
        <v>0</v>
      </c>
      <c r="D66" s="54">
        <v>0</v>
      </c>
    </row>
    <row r="67" spans="1:10" ht="18" x14ac:dyDescent="0.25">
      <c r="A67" s="22">
        <v>45892</v>
      </c>
      <c r="B67" s="28" t="s">
        <v>9</v>
      </c>
      <c r="C67" s="29">
        <v>2202.39</v>
      </c>
      <c r="D67" s="53">
        <v>0</v>
      </c>
      <c r="E67" s="242">
        <f>C67+D67</f>
        <v>2202.39</v>
      </c>
      <c r="F67" s="242"/>
      <c r="G67" s="242"/>
      <c r="H67" s="55">
        <v>0</v>
      </c>
      <c r="I67" s="50">
        <f>E67-H67</f>
        <v>2202.39</v>
      </c>
      <c r="J67" s="256"/>
    </row>
    <row r="68" spans="1:10" ht="18" x14ac:dyDescent="0.35">
      <c r="A68" s="245" t="s">
        <v>13</v>
      </c>
      <c r="B68" s="246"/>
      <c r="C68" s="246"/>
      <c r="D68" s="246"/>
      <c r="E68" s="246"/>
      <c r="F68" s="246"/>
      <c r="G68" s="246"/>
      <c r="H68" s="247"/>
      <c r="I68" s="75">
        <f>E67-H67</f>
        <v>2202.39</v>
      </c>
      <c r="J68" s="257"/>
    </row>
    <row r="70" spans="1:10" ht="18" x14ac:dyDescent="0.25">
      <c r="A70" s="22">
        <v>45894</v>
      </c>
      <c r="B70" s="28" t="s">
        <v>9</v>
      </c>
      <c r="C70" s="29">
        <v>2202.39</v>
      </c>
      <c r="D70" s="53">
        <v>176.8</v>
      </c>
      <c r="E70" s="242">
        <f>C70+D70</f>
        <v>2379.19</v>
      </c>
      <c r="F70" s="242"/>
      <c r="G70" s="242"/>
      <c r="H70" s="55">
        <v>0</v>
      </c>
      <c r="I70" s="50">
        <f>E70-H70</f>
        <v>2379.19</v>
      </c>
      <c r="J70" s="252"/>
    </row>
    <row r="71" spans="1:10" ht="18" x14ac:dyDescent="0.35">
      <c r="A71" s="245" t="s">
        <v>13</v>
      </c>
      <c r="B71" s="246"/>
      <c r="C71" s="246"/>
      <c r="D71" s="246"/>
      <c r="E71" s="246"/>
      <c r="F71" s="246"/>
      <c r="G71" s="246"/>
      <c r="H71" s="247"/>
      <c r="I71" s="75">
        <f>E70-H70</f>
        <v>2379.19</v>
      </c>
      <c r="J71" s="253"/>
    </row>
    <row r="73" spans="1:10" ht="18" x14ac:dyDescent="0.25">
      <c r="A73" s="22">
        <v>45895</v>
      </c>
      <c r="B73" s="28" t="s">
        <v>9</v>
      </c>
      <c r="C73" s="29">
        <v>2379.19</v>
      </c>
      <c r="D73" s="53">
        <v>65.92</v>
      </c>
      <c r="E73" s="242">
        <f>C73+D73</f>
        <v>2445.11</v>
      </c>
      <c r="F73" s="242"/>
      <c r="G73" s="242"/>
      <c r="H73" s="55">
        <v>32.75</v>
      </c>
      <c r="I73" s="50">
        <f>E73-H73</f>
        <v>2412.36</v>
      </c>
      <c r="J73" s="273" t="s">
        <v>122</v>
      </c>
    </row>
    <row r="74" spans="1:10" ht="43.8" customHeight="1" x14ac:dyDescent="0.25">
      <c r="A74" s="245"/>
      <c r="B74" s="246"/>
      <c r="C74" s="246"/>
      <c r="D74" s="246"/>
      <c r="E74" s="246"/>
      <c r="F74" s="246"/>
      <c r="G74" s="246"/>
      <c r="H74" s="247"/>
      <c r="I74" s="76">
        <f>E73-H73</f>
        <v>2412.36</v>
      </c>
      <c r="J74" s="274"/>
    </row>
    <row r="76" spans="1:10" ht="18" x14ac:dyDescent="0.25">
      <c r="A76" s="22">
        <v>45896</v>
      </c>
      <c r="B76" s="28" t="s">
        <v>9</v>
      </c>
      <c r="C76" s="29">
        <v>2412.36</v>
      </c>
      <c r="D76" s="53">
        <v>0</v>
      </c>
      <c r="E76" s="242">
        <f>C76+D76</f>
        <v>2412.36</v>
      </c>
      <c r="F76" s="242"/>
      <c r="G76" s="242"/>
      <c r="H76" s="55">
        <v>76</v>
      </c>
      <c r="I76" s="50">
        <f>E76-H76</f>
        <v>2336.36</v>
      </c>
      <c r="J76" s="273" t="s">
        <v>123</v>
      </c>
    </row>
    <row r="77" spans="1:10" ht="31.2" customHeight="1" x14ac:dyDescent="0.35">
      <c r="A77" s="245" t="s">
        <v>13</v>
      </c>
      <c r="B77" s="246"/>
      <c r="C77" s="246"/>
      <c r="D77" s="246"/>
      <c r="E77" s="246"/>
      <c r="F77" s="246"/>
      <c r="G77" s="246"/>
      <c r="H77" s="247"/>
      <c r="I77" s="75">
        <f>E76-H76</f>
        <v>2336.36</v>
      </c>
      <c r="J77" s="274"/>
    </row>
    <row r="79" spans="1:10" ht="18" x14ac:dyDescent="0.25">
      <c r="A79" s="22">
        <v>45897</v>
      </c>
      <c r="B79" s="28" t="s">
        <v>9</v>
      </c>
      <c r="C79" s="29">
        <v>2336.36</v>
      </c>
      <c r="D79" s="53">
        <v>204.01</v>
      </c>
      <c r="E79" s="242">
        <f>C79+D79</f>
        <v>2540.37</v>
      </c>
      <c r="F79" s="242"/>
      <c r="G79" s="242"/>
      <c r="H79" s="55">
        <v>0</v>
      </c>
      <c r="I79" s="50">
        <f>E79-H79</f>
        <v>2540.37</v>
      </c>
      <c r="J79" s="250"/>
    </row>
    <row r="80" spans="1:10" ht="18" x14ac:dyDescent="0.35">
      <c r="A80" s="245" t="s">
        <v>13</v>
      </c>
      <c r="B80" s="246"/>
      <c r="C80" s="246"/>
      <c r="D80" s="246"/>
      <c r="E80" s="246"/>
      <c r="F80" s="246"/>
      <c r="G80" s="246"/>
      <c r="H80" s="247"/>
      <c r="I80" s="75">
        <f>E79-H79</f>
        <v>2540.37</v>
      </c>
      <c r="J80" s="251"/>
    </row>
    <row r="82" spans="1:10" ht="18" x14ac:dyDescent="0.25">
      <c r="A82" s="22">
        <v>45898</v>
      </c>
      <c r="B82" s="28" t="s">
        <v>9</v>
      </c>
      <c r="C82" s="29">
        <v>2540.37</v>
      </c>
      <c r="D82" s="53">
        <v>19.21</v>
      </c>
      <c r="E82" s="242">
        <f>C82+D82</f>
        <v>2559.58</v>
      </c>
      <c r="F82" s="242"/>
      <c r="G82" s="242"/>
      <c r="H82" s="55">
        <v>0</v>
      </c>
      <c r="I82" s="50">
        <f>E82-H82</f>
        <v>2559.58</v>
      </c>
      <c r="J82" s="248"/>
    </row>
    <row r="83" spans="1:10" ht="18" x14ac:dyDescent="0.35">
      <c r="A83" s="245" t="s">
        <v>13</v>
      </c>
      <c r="B83" s="246"/>
      <c r="C83" s="246"/>
      <c r="D83" s="246"/>
      <c r="E83" s="246"/>
      <c r="F83" s="246"/>
      <c r="G83" s="246"/>
      <c r="H83" s="247"/>
      <c r="I83" s="75">
        <f>E82-H82</f>
        <v>2559.58</v>
      </c>
      <c r="J83" s="249"/>
    </row>
    <row r="85" spans="1:10" ht="18" x14ac:dyDescent="0.25">
      <c r="A85" s="22">
        <v>45899</v>
      </c>
      <c r="B85" s="28" t="s">
        <v>9</v>
      </c>
      <c r="C85" s="29">
        <v>2559.58</v>
      </c>
      <c r="D85" s="53">
        <v>0</v>
      </c>
      <c r="E85" s="242">
        <f>C85+D85</f>
        <v>2559.58</v>
      </c>
      <c r="F85" s="242"/>
      <c r="G85" s="242"/>
      <c r="H85" s="55">
        <v>0</v>
      </c>
      <c r="I85" s="50">
        <f>E85-H85</f>
        <v>2559.58</v>
      </c>
      <c r="J85" s="252"/>
    </row>
    <row r="86" spans="1:10" ht="18" x14ac:dyDescent="0.35">
      <c r="A86" s="245" t="s">
        <v>13</v>
      </c>
      <c r="B86" s="246"/>
      <c r="C86" s="246"/>
      <c r="D86" s="246"/>
      <c r="E86" s="246"/>
      <c r="F86" s="246"/>
      <c r="G86" s="246"/>
      <c r="H86" s="247"/>
      <c r="I86" s="75">
        <f>E85-H85</f>
        <v>2559.58</v>
      </c>
      <c r="J86" s="253"/>
    </row>
  </sheetData>
  <mergeCells count="90">
    <mergeCell ref="A4:J4"/>
    <mergeCell ref="A1:B3"/>
    <mergeCell ref="C1:I1"/>
    <mergeCell ref="C2:I2"/>
    <mergeCell ref="C3:F3"/>
    <mergeCell ref="G3:J3"/>
    <mergeCell ref="E15:G15"/>
    <mergeCell ref="J15:J16"/>
    <mergeCell ref="A16:H16"/>
    <mergeCell ref="A5:J5"/>
    <mergeCell ref="A6:J6"/>
    <mergeCell ref="E7:G7"/>
    <mergeCell ref="A8:J8"/>
    <mergeCell ref="E9:G9"/>
    <mergeCell ref="J9:J10"/>
    <mergeCell ref="A10:H10"/>
    <mergeCell ref="A11:J11"/>
    <mergeCell ref="E12:G12"/>
    <mergeCell ref="J12:J13"/>
    <mergeCell ref="A13:H13"/>
    <mergeCell ref="A14:J14"/>
    <mergeCell ref="E18:G18"/>
    <mergeCell ref="J18:J19"/>
    <mergeCell ref="A19:H19"/>
    <mergeCell ref="E21:G21"/>
    <mergeCell ref="J21:J22"/>
    <mergeCell ref="A22:H22"/>
    <mergeCell ref="E24:G24"/>
    <mergeCell ref="J24:J25"/>
    <mergeCell ref="A25:H25"/>
    <mergeCell ref="E27:G27"/>
    <mergeCell ref="J27:J28"/>
    <mergeCell ref="A28:H28"/>
    <mergeCell ref="E30:G30"/>
    <mergeCell ref="J30:J31"/>
    <mergeCell ref="A31:H31"/>
    <mergeCell ref="E33:G33"/>
    <mergeCell ref="J33:J34"/>
    <mergeCell ref="A34:H34"/>
    <mergeCell ref="E36:G36"/>
    <mergeCell ref="J36:J37"/>
    <mergeCell ref="A37:H37"/>
    <mergeCell ref="E39:G39"/>
    <mergeCell ref="J39:J40"/>
    <mergeCell ref="A40:H40"/>
    <mergeCell ref="E42:G42"/>
    <mergeCell ref="J42:J43"/>
    <mergeCell ref="A43:H43"/>
    <mergeCell ref="E45:G45"/>
    <mergeCell ref="J45:J46"/>
    <mergeCell ref="A46:H46"/>
    <mergeCell ref="E48:G48"/>
    <mergeCell ref="J48:J49"/>
    <mergeCell ref="A49:H49"/>
    <mergeCell ref="E51:G51"/>
    <mergeCell ref="J51:J52"/>
    <mergeCell ref="A52:H52"/>
    <mergeCell ref="E54:G54"/>
    <mergeCell ref="J54:J55"/>
    <mergeCell ref="A55:H55"/>
    <mergeCell ref="E57:G57"/>
    <mergeCell ref="J57:J58"/>
    <mergeCell ref="A58:H58"/>
    <mergeCell ref="E60:G60"/>
    <mergeCell ref="J60:J61"/>
    <mergeCell ref="A61:H61"/>
    <mergeCell ref="E63:G63"/>
    <mergeCell ref="J63:J64"/>
    <mergeCell ref="A64:H64"/>
    <mergeCell ref="E67:G67"/>
    <mergeCell ref="J67:J68"/>
    <mergeCell ref="A68:H68"/>
    <mergeCell ref="E70:G70"/>
    <mergeCell ref="J70:J71"/>
    <mergeCell ref="A71:H71"/>
    <mergeCell ref="E73:G73"/>
    <mergeCell ref="J73:J74"/>
    <mergeCell ref="A74:H74"/>
    <mergeCell ref="E76:G76"/>
    <mergeCell ref="J76:J77"/>
    <mergeCell ref="A77:H77"/>
    <mergeCell ref="E85:G85"/>
    <mergeCell ref="J85:J86"/>
    <mergeCell ref="A86:H86"/>
    <mergeCell ref="E79:G79"/>
    <mergeCell ref="J79:J80"/>
    <mergeCell ref="A80:H80"/>
    <mergeCell ref="E82:G82"/>
    <mergeCell ref="J82:J83"/>
    <mergeCell ref="A83:H8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6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D91A-767D-4708-B493-2F2FBF47CF5D}">
  <sheetPr>
    <tabColor rgb="FFFF9933"/>
  </sheetPr>
  <dimension ref="A1:M86"/>
  <sheetViews>
    <sheetView showGridLines="0" zoomScale="90" zoomScaleNormal="90" workbookViewId="0">
      <pane ySplit="6" topLeftCell="A7" activePane="bottomLeft" state="frozen"/>
      <selection pane="bottomLeft" activeCell="I12" sqref="I12"/>
    </sheetView>
  </sheetViews>
  <sheetFormatPr defaultRowHeight="13.2" x14ac:dyDescent="0.25"/>
  <cols>
    <col min="1" max="1" width="15.109375" style="95" customWidth="1"/>
    <col min="2" max="2" width="15.109375" style="86" customWidth="1"/>
    <col min="3" max="3" width="17.88671875" style="86" customWidth="1"/>
    <col min="4" max="4" width="16.6640625" style="95" customWidth="1"/>
    <col min="5" max="5" width="8.88671875" style="86"/>
    <col min="6" max="6" width="8.5546875" style="86" customWidth="1"/>
    <col min="7" max="7" width="1.109375" style="86" hidden="1" customWidth="1"/>
    <col min="8" max="8" width="14.5546875" style="84" bestFit="1" customWidth="1"/>
    <col min="9" max="9" width="33.109375" style="101" customWidth="1"/>
    <col min="10" max="10" width="72.6640625" style="86" customWidth="1"/>
    <col min="11" max="11" width="8.88671875" style="86"/>
    <col min="12" max="12" width="10.5546875" style="86" bestFit="1" customWidth="1"/>
    <col min="13" max="13" width="11.33203125" style="86" bestFit="1" customWidth="1"/>
    <col min="14" max="16384" width="8.88671875" style="86"/>
  </cols>
  <sheetData>
    <row r="1" spans="1:12" ht="37.5" customHeight="1" x14ac:dyDescent="0.25">
      <c r="A1" s="293"/>
      <c r="B1" s="294"/>
      <c r="C1" s="299" t="s">
        <v>6</v>
      </c>
      <c r="D1" s="300"/>
      <c r="E1" s="300"/>
      <c r="F1" s="300"/>
      <c r="G1" s="300"/>
      <c r="H1" s="300"/>
      <c r="I1" s="301"/>
      <c r="J1" s="85" t="s">
        <v>1</v>
      </c>
    </row>
    <row r="2" spans="1:12" ht="25.95" customHeight="1" x14ac:dyDescent="0.25">
      <c r="A2" s="295"/>
      <c r="B2" s="296"/>
      <c r="C2" s="302" t="s">
        <v>3</v>
      </c>
      <c r="D2" s="302"/>
      <c r="E2" s="302"/>
      <c r="F2" s="302"/>
      <c r="G2" s="302"/>
      <c r="H2" s="302"/>
      <c r="I2" s="302"/>
      <c r="J2" s="87" t="s">
        <v>0</v>
      </c>
    </row>
    <row r="3" spans="1:12" ht="25.95" customHeight="1" x14ac:dyDescent="0.25">
      <c r="A3" s="297"/>
      <c r="B3" s="298"/>
      <c r="C3" s="302" t="s">
        <v>2</v>
      </c>
      <c r="D3" s="302"/>
      <c r="E3" s="302"/>
      <c r="F3" s="302"/>
      <c r="G3" s="302" t="s">
        <v>88</v>
      </c>
      <c r="H3" s="302"/>
      <c r="I3" s="302"/>
      <c r="J3" s="302"/>
    </row>
    <row r="4" spans="1:12" ht="25.95" customHeight="1" x14ac:dyDescent="0.25">
      <c r="A4" s="290"/>
      <c r="B4" s="291"/>
      <c r="C4" s="291"/>
      <c r="D4" s="291"/>
      <c r="E4" s="291"/>
      <c r="F4" s="291"/>
      <c r="G4" s="291"/>
      <c r="H4" s="291"/>
      <c r="I4" s="291"/>
      <c r="J4" s="292"/>
    </row>
    <row r="5" spans="1:12" ht="33.6" x14ac:dyDescent="0.25">
      <c r="A5" s="303" t="s">
        <v>114</v>
      </c>
      <c r="B5" s="303"/>
      <c r="C5" s="303"/>
      <c r="D5" s="303"/>
      <c r="E5" s="303"/>
      <c r="F5" s="303"/>
      <c r="G5" s="303"/>
      <c r="H5" s="303"/>
      <c r="I5" s="303"/>
      <c r="J5" s="303"/>
    </row>
    <row r="6" spans="1:12" ht="12.6" customHeight="1" x14ac:dyDescent="0.25">
      <c r="A6" s="304"/>
      <c r="B6" s="305"/>
      <c r="C6" s="305"/>
      <c r="D6" s="305"/>
      <c r="E6" s="305"/>
      <c r="F6" s="305"/>
      <c r="G6" s="305"/>
      <c r="H6" s="305"/>
      <c r="I6" s="305"/>
      <c r="J6" s="306"/>
    </row>
    <row r="7" spans="1:12" ht="31.2" x14ac:dyDescent="0.25">
      <c r="A7" s="98" t="s">
        <v>4</v>
      </c>
      <c r="B7" s="98" t="s">
        <v>48</v>
      </c>
      <c r="C7" s="98" t="s">
        <v>52</v>
      </c>
      <c r="D7" s="98" t="s">
        <v>51</v>
      </c>
      <c r="E7" s="307" t="s">
        <v>49</v>
      </c>
      <c r="F7" s="307"/>
      <c r="G7" s="307"/>
      <c r="H7" s="99" t="s">
        <v>50</v>
      </c>
      <c r="I7" s="100" t="s">
        <v>53</v>
      </c>
      <c r="J7" s="98" t="s">
        <v>5</v>
      </c>
    </row>
    <row r="8" spans="1:12" ht="13.2" customHeight="1" x14ac:dyDescent="0.25">
      <c r="A8" s="308"/>
      <c r="B8" s="309"/>
      <c r="C8" s="309"/>
      <c r="D8" s="309"/>
      <c r="E8" s="309"/>
      <c r="F8" s="309"/>
      <c r="G8" s="309"/>
      <c r="H8" s="309"/>
      <c r="I8" s="309"/>
      <c r="J8" s="310"/>
    </row>
    <row r="9" spans="1:12" ht="18" x14ac:dyDescent="0.25">
      <c r="A9" s="88">
        <v>45901</v>
      </c>
      <c r="B9" s="89" t="s">
        <v>9</v>
      </c>
      <c r="C9" s="90">
        <v>2559.58</v>
      </c>
      <c r="D9" s="91">
        <v>20.27</v>
      </c>
      <c r="E9" s="279">
        <f>C9+D9</f>
        <v>2579.85</v>
      </c>
      <c r="F9" s="279"/>
      <c r="G9" s="279"/>
      <c r="H9" s="83">
        <v>117.69</v>
      </c>
      <c r="I9" s="92">
        <f>E9-H9</f>
        <v>2462.16</v>
      </c>
      <c r="J9" s="285" t="s">
        <v>127</v>
      </c>
      <c r="L9" s="93"/>
    </row>
    <row r="10" spans="1:12" ht="18" x14ac:dyDescent="0.25">
      <c r="A10" s="282" t="s">
        <v>13</v>
      </c>
      <c r="B10" s="283"/>
      <c r="C10" s="283"/>
      <c r="D10" s="283"/>
      <c r="E10" s="283"/>
      <c r="F10" s="283"/>
      <c r="G10" s="283"/>
      <c r="H10" s="284"/>
      <c r="I10" s="96">
        <f>E9-H9</f>
        <v>2462.16</v>
      </c>
      <c r="J10" s="286"/>
      <c r="L10" s="93"/>
    </row>
    <row r="11" spans="1:12" ht="18" customHeight="1" x14ac:dyDescent="0.25">
      <c r="A11" s="276"/>
      <c r="B11" s="277"/>
      <c r="C11" s="277"/>
      <c r="D11" s="277"/>
      <c r="E11" s="277"/>
      <c r="F11" s="277"/>
      <c r="G11" s="277"/>
      <c r="H11" s="277"/>
      <c r="I11" s="277"/>
      <c r="J11" s="278"/>
      <c r="L11" s="93"/>
    </row>
    <row r="12" spans="1:12" ht="18" x14ac:dyDescent="0.25">
      <c r="A12" s="88">
        <v>45902</v>
      </c>
      <c r="B12" s="89" t="s">
        <v>9</v>
      </c>
      <c r="C12" s="90">
        <v>2462.16</v>
      </c>
      <c r="D12" s="91">
        <v>63.63</v>
      </c>
      <c r="E12" s="279">
        <f>C12+D12</f>
        <v>2525.79</v>
      </c>
      <c r="F12" s="279"/>
      <c r="G12" s="279"/>
      <c r="H12" s="83">
        <v>0</v>
      </c>
      <c r="I12" s="92">
        <f>E12-H12</f>
        <v>2525.79</v>
      </c>
      <c r="J12" s="261"/>
      <c r="L12" s="93"/>
    </row>
    <row r="13" spans="1:12" ht="18" customHeight="1" x14ac:dyDescent="0.35">
      <c r="A13" s="282" t="s">
        <v>13</v>
      </c>
      <c r="B13" s="283"/>
      <c r="C13" s="283"/>
      <c r="D13" s="283"/>
      <c r="E13" s="283"/>
      <c r="F13" s="283"/>
      <c r="G13" s="283"/>
      <c r="H13" s="284"/>
      <c r="I13" s="97">
        <f>E12-H12</f>
        <v>2525.79</v>
      </c>
      <c r="J13" s="262"/>
      <c r="L13" s="93"/>
    </row>
    <row r="14" spans="1:12" ht="18" x14ac:dyDescent="0.25">
      <c r="A14" s="276"/>
      <c r="B14" s="277"/>
      <c r="C14" s="277"/>
      <c r="D14" s="277"/>
      <c r="E14" s="277"/>
      <c r="F14" s="277"/>
      <c r="G14" s="277"/>
      <c r="H14" s="277"/>
      <c r="I14" s="277"/>
      <c r="J14" s="278"/>
    </row>
    <row r="15" spans="1:12" ht="18" x14ac:dyDescent="0.25">
      <c r="A15" s="88">
        <v>45903</v>
      </c>
      <c r="B15" s="89" t="s">
        <v>9</v>
      </c>
      <c r="C15" s="90">
        <v>2525.79</v>
      </c>
      <c r="D15" s="91">
        <v>26.57</v>
      </c>
      <c r="E15" s="279">
        <f>C15+D15</f>
        <v>2552.36</v>
      </c>
      <c r="F15" s="279"/>
      <c r="G15" s="279"/>
      <c r="H15" s="83">
        <v>4.25</v>
      </c>
      <c r="I15" s="92">
        <f>E15-H15</f>
        <v>2548.11</v>
      </c>
      <c r="J15" s="285" t="s">
        <v>126</v>
      </c>
    </row>
    <row r="16" spans="1:12" ht="18" x14ac:dyDescent="0.35">
      <c r="A16" s="282" t="s">
        <v>13</v>
      </c>
      <c r="B16" s="283"/>
      <c r="C16" s="283"/>
      <c r="D16" s="283"/>
      <c r="E16" s="283"/>
      <c r="F16" s="283"/>
      <c r="G16" s="283"/>
      <c r="H16" s="284"/>
      <c r="I16" s="97">
        <f>E15-H15</f>
        <v>2548.11</v>
      </c>
      <c r="J16" s="286"/>
    </row>
    <row r="17" spans="1:13" ht="18" x14ac:dyDescent="0.25">
      <c r="A17" s="276"/>
      <c r="B17" s="277"/>
      <c r="C17" s="277"/>
      <c r="D17" s="277"/>
      <c r="E17" s="277"/>
      <c r="F17" s="277"/>
      <c r="G17" s="277"/>
      <c r="H17" s="277"/>
      <c r="I17" s="277"/>
      <c r="J17" s="278"/>
    </row>
    <row r="18" spans="1:13" ht="18" x14ac:dyDescent="0.25">
      <c r="A18" s="88">
        <v>45904</v>
      </c>
      <c r="B18" s="89" t="s">
        <v>9</v>
      </c>
      <c r="C18" s="90">
        <v>2548.11</v>
      </c>
      <c r="D18" s="91">
        <v>21.76</v>
      </c>
      <c r="E18" s="279">
        <f>C18+D18</f>
        <v>2569.8700000000003</v>
      </c>
      <c r="F18" s="279"/>
      <c r="G18" s="279"/>
      <c r="H18" s="83">
        <v>0</v>
      </c>
      <c r="I18" s="92">
        <f>E18-H18</f>
        <v>2569.8700000000003</v>
      </c>
      <c r="J18" s="280"/>
    </row>
    <row r="19" spans="1:13" ht="18" x14ac:dyDescent="0.35">
      <c r="A19" s="282" t="s">
        <v>13</v>
      </c>
      <c r="B19" s="283"/>
      <c r="C19" s="283"/>
      <c r="D19" s="283"/>
      <c r="E19" s="283"/>
      <c r="F19" s="283"/>
      <c r="G19" s="283"/>
      <c r="H19" s="284"/>
      <c r="I19" s="97">
        <f>E18-H18</f>
        <v>2569.8700000000003</v>
      </c>
      <c r="J19" s="281"/>
    </row>
    <row r="20" spans="1:13" ht="18" x14ac:dyDescent="0.25">
      <c r="A20" s="276"/>
      <c r="B20" s="277"/>
      <c r="C20" s="277"/>
      <c r="D20" s="277"/>
      <c r="E20" s="277"/>
      <c r="F20" s="277"/>
      <c r="G20" s="277"/>
      <c r="H20" s="277"/>
      <c r="I20" s="277"/>
      <c r="J20" s="278"/>
    </row>
    <row r="21" spans="1:13" ht="18" x14ac:dyDescent="0.25">
      <c r="A21" s="88">
        <v>45905</v>
      </c>
      <c r="B21" s="89" t="s">
        <v>9</v>
      </c>
      <c r="C21" s="90">
        <v>2569.87</v>
      </c>
      <c r="D21" s="91">
        <v>66.67</v>
      </c>
      <c r="E21" s="279">
        <f>C21+D21</f>
        <v>2636.54</v>
      </c>
      <c r="F21" s="279"/>
      <c r="G21" s="279"/>
      <c r="H21" s="83">
        <v>100</v>
      </c>
      <c r="I21" s="92">
        <f>E21-H21</f>
        <v>2536.54</v>
      </c>
      <c r="J21" s="285" t="s">
        <v>124</v>
      </c>
      <c r="L21" s="94"/>
    </row>
    <row r="22" spans="1:13" ht="31.8" customHeight="1" x14ac:dyDescent="0.25">
      <c r="A22" s="282" t="s">
        <v>13</v>
      </c>
      <c r="B22" s="283"/>
      <c r="C22" s="283"/>
      <c r="D22" s="283"/>
      <c r="E22" s="283"/>
      <c r="F22" s="283"/>
      <c r="G22" s="283"/>
      <c r="H22" s="284"/>
      <c r="I22" s="96">
        <f>E21-H21</f>
        <v>2536.54</v>
      </c>
      <c r="J22" s="286"/>
    </row>
    <row r="23" spans="1:13" ht="18" x14ac:dyDescent="0.25">
      <c r="A23" s="276"/>
      <c r="B23" s="277"/>
      <c r="C23" s="277"/>
      <c r="D23" s="277"/>
      <c r="E23" s="277"/>
      <c r="F23" s="277"/>
      <c r="G23" s="277"/>
      <c r="H23" s="277"/>
      <c r="I23" s="277"/>
      <c r="J23" s="278"/>
    </row>
    <row r="24" spans="1:13" ht="18" x14ac:dyDescent="0.25">
      <c r="A24" s="88">
        <v>45906</v>
      </c>
      <c r="B24" s="89" t="s">
        <v>9</v>
      </c>
      <c r="C24" s="90">
        <v>2536.54</v>
      </c>
      <c r="D24" s="91">
        <v>0</v>
      </c>
      <c r="E24" s="279">
        <f>C24+D24</f>
        <v>2536.54</v>
      </c>
      <c r="F24" s="279"/>
      <c r="G24" s="279"/>
      <c r="H24" s="83">
        <v>0</v>
      </c>
      <c r="I24" s="92">
        <f>E24-H24</f>
        <v>2536.54</v>
      </c>
      <c r="J24" s="280"/>
    </row>
    <row r="25" spans="1:13" ht="18" x14ac:dyDescent="0.35">
      <c r="A25" s="282" t="s">
        <v>13</v>
      </c>
      <c r="B25" s="283"/>
      <c r="C25" s="283"/>
      <c r="D25" s="283"/>
      <c r="E25" s="283"/>
      <c r="F25" s="283"/>
      <c r="G25" s="283"/>
      <c r="H25" s="284"/>
      <c r="I25" s="97">
        <f>E24-H24</f>
        <v>2536.54</v>
      </c>
      <c r="J25" s="281"/>
      <c r="M25" s="93"/>
    </row>
    <row r="26" spans="1:13" ht="18" x14ac:dyDescent="0.25">
      <c r="A26" s="276"/>
      <c r="B26" s="277"/>
      <c r="C26" s="277"/>
      <c r="D26" s="277"/>
      <c r="E26" s="277"/>
      <c r="F26" s="277"/>
      <c r="G26" s="277"/>
      <c r="H26" s="277"/>
      <c r="I26" s="277"/>
      <c r="J26" s="278"/>
      <c r="M26" s="93"/>
    </row>
    <row r="27" spans="1:13" ht="18" x14ac:dyDescent="0.25">
      <c r="A27" s="88">
        <v>45908</v>
      </c>
      <c r="B27" s="89" t="s">
        <v>9</v>
      </c>
      <c r="C27" s="90">
        <v>2536.54</v>
      </c>
      <c r="D27" s="91">
        <v>86.32</v>
      </c>
      <c r="E27" s="279">
        <f>C27+D27</f>
        <v>2622.86</v>
      </c>
      <c r="F27" s="279"/>
      <c r="G27" s="279"/>
      <c r="H27" s="83">
        <v>0</v>
      </c>
      <c r="I27" s="92">
        <f>E27-H27</f>
        <v>2622.86</v>
      </c>
      <c r="J27" s="285"/>
      <c r="M27" s="93"/>
    </row>
    <row r="28" spans="1:13" ht="18" x14ac:dyDescent="0.35">
      <c r="A28" s="282" t="s">
        <v>13</v>
      </c>
      <c r="B28" s="283"/>
      <c r="C28" s="283"/>
      <c r="D28" s="283"/>
      <c r="E28" s="283"/>
      <c r="F28" s="283"/>
      <c r="G28" s="283"/>
      <c r="H28" s="284"/>
      <c r="I28" s="97">
        <f>E27-H27</f>
        <v>2622.86</v>
      </c>
      <c r="J28" s="286"/>
      <c r="M28" s="93"/>
    </row>
    <row r="29" spans="1:13" ht="18" x14ac:dyDescent="0.25">
      <c r="A29" s="276"/>
      <c r="B29" s="277"/>
      <c r="C29" s="277"/>
      <c r="D29" s="277"/>
      <c r="E29" s="277"/>
      <c r="F29" s="277"/>
      <c r="G29" s="277"/>
      <c r="H29" s="277"/>
      <c r="I29" s="277"/>
      <c r="J29" s="278"/>
      <c r="M29" s="93"/>
    </row>
    <row r="30" spans="1:13" ht="18" x14ac:dyDescent="0.25">
      <c r="A30" s="88">
        <v>45909</v>
      </c>
      <c r="B30" s="89" t="s">
        <v>9</v>
      </c>
      <c r="C30" s="90">
        <v>2622.86</v>
      </c>
      <c r="D30" s="91">
        <v>181.2</v>
      </c>
      <c r="E30" s="279">
        <f>C30+D30</f>
        <v>2804.06</v>
      </c>
      <c r="F30" s="279"/>
      <c r="G30" s="279"/>
      <c r="H30" s="83">
        <v>0</v>
      </c>
      <c r="I30" s="92">
        <f>E30-H30</f>
        <v>2804.06</v>
      </c>
      <c r="J30" s="261"/>
      <c r="M30" s="93"/>
    </row>
    <row r="31" spans="1:13" ht="18" x14ac:dyDescent="0.25">
      <c r="A31" s="282" t="s">
        <v>13</v>
      </c>
      <c r="B31" s="283"/>
      <c r="C31" s="283"/>
      <c r="D31" s="283"/>
      <c r="E31" s="283"/>
      <c r="F31" s="283"/>
      <c r="G31" s="283"/>
      <c r="H31" s="284"/>
      <c r="I31" s="96">
        <f>E30-H30</f>
        <v>2804.06</v>
      </c>
      <c r="J31" s="262"/>
      <c r="M31" s="93"/>
    </row>
    <row r="32" spans="1:13" ht="18" x14ac:dyDescent="0.25">
      <c r="A32" s="276"/>
      <c r="B32" s="277"/>
      <c r="C32" s="277"/>
      <c r="D32" s="277"/>
      <c r="E32" s="277"/>
      <c r="F32" s="277"/>
      <c r="G32" s="277"/>
      <c r="H32" s="277"/>
      <c r="I32" s="277"/>
      <c r="J32" s="278"/>
      <c r="M32" s="93"/>
    </row>
    <row r="33" spans="1:13" ht="18" x14ac:dyDescent="0.25">
      <c r="A33" s="88">
        <v>45910</v>
      </c>
      <c r="B33" s="89" t="s">
        <v>9</v>
      </c>
      <c r="C33" s="90">
        <v>2804.06</v>
      </c>
      <c r="D33" s="91">
        <v>2.16</v>
      </c>
      <c r="E33" s="279">
        <f>C33+D33</f>
        <v>2806.22</v>
      </c>
      <c r="F33" s="279"/>
      <c r="G33" s="279"/>
      <c r="H33" s="83">
        <v>0</v>
      </c>
      <c r="I33" s="92">
        <f>E33-H33</f>
        <v>2806.22</v>
      </c>
      <c r="J33" s="285"/>
      <c r="M33" s="93"/>
    </row>
    <row r="34" spans="1:13" ht="18" x14ac:dyDescent="0.35">
      <c r="A34" s="282" t="s">
        <v>13</v>
      </c>
      <c r="B34" s="283"/>
      <c r="C34" s="283"/>
      <c r="D34" s="283"/>
      <c r="E34" s="283"/>
      <c r="F34" s="283"/>
      <c r="G34" s="283"/>
      <c r="H34" s="284"/>
      <c r="I34" s="97">
        <f>E33-H33</f>
        <v>2806.22</v>
      </c>
      <c r="J34" s="286"/>
      <c r="M34" s="94"/>
    </row>
    <row r="35" spans="1:13" ht="18" x14ac:dyDescent="0.25">
      <c r="A35" s="276"/>
      <c r="B35" s="277"/>
      <c r="C35" s="277"/>
      <c r="D35" s="277"/>
      <c r="E35" s="277"/>
      <c r="F35" s="277"/>
      <c r="G35" s="277"/>
      <c r="H35" s="277"/>
      <c r="I35" s="277"/>
      <c r="J35" s="278"/>
    </row>
    <row r="36" spans="1:13" ht="18" x14ac:dyDescent="0.25">
      <c r="A36" s="88">
        <v>45911</v>
      </c>
      <c r="B36" s="89" t="s">
        <v>9</v>
      </c>
      <c r="C36" s="90">
        <v>2806.22</v>
      </c>
      <c r="D36" s="91">
        <v>94.77</v>
      </c>
      <c r="E36" s="279">
        <f>C36+D36</f>
        <v>2900.99</v>
      </c>
      <c r="F36" s="279"/>
      <c r="G36" s="279"/>
      <c r="H36" s="83">
        <v>0</v>
      </c>
      <c r="I36" s="92">
        <f>E36-H36</f>
        <v>2900.99</v>
      </c>
      <c r="J36" s="261"/>
    </row>
    <row r="37" spans="1:13" ht="18" x14ac:dyDescent="0.35">
      <c r="A37" s="282" t="s">
        <v>13</v>
      </c>
      <c r="B37" s="283"/>
      <c r="C37" s="283"/>
      <c r="D37" s="283"/>
      <c r="E37" s="283"/>
      <c r="F37" s="283"/>
      <c r="G37" s="283"/>
      <c r="H37" s="284"/>
      <c r="I37" s="97">
        <f>E36-H36</f>
        <v>2900.99</v>
      </c>
      <c r="J37" s="262"/>
    </row>
    <row r="38" spans="1:13" ht="18" x14ac:dyDescent="0.25">
      <c r="A38" s="276"/>
      <c r="B38" s="277"/>
      <c r="C38" s="277"/>
      <c r="D38" s="277"/>
      <c r="E38" s="277"/>
      <c r="F38" s="277"/>
      <c r="G38" s="277"/>
      <c r="H38" s="277"/>
      <c r="I38" s="277"/>
      <c r="J38" s="278"/>
    </row>
    <row r="39" spans="1:13" ht="18" x14ac:dyDescent="0.25">
      <c r="A39" s="88">
        <v>45912</v>
      </c>
      <c r="B39" s="89" t="s">
        <v>9</v>
      </c>
      <c r="C39" s="90">
        <v>2900.99</v>
      </c>
      <c r="D39" s="91">
        <v>28.27</v>
      </c>
      <c r="E39" s="279">
        <f>C39+D39</f>
        <v>2929.2599999999998</v>
      </c>
      <c r="F39" s="279"/>
      <c r="G39" s="279"/>
      <c r="H39" s="83">
        <v>0</v>
      </c>
      <c r="I39" s="92">
        <f>E39-H39</f>
        <v>2929.2599999999998</v>
      </c>
      <c r="J39" s="261"/>
    </row>
    <row r="40" spans="1:13" ht="18" x14ac:dyDescent="0.35">
      <c r="A40" s="282" t="s">
        <v>13</v>
      </c>
      <c r="B40" s="283"/>
      <c r="C40" s="283"/>
      <c r="D40" s="283"/>
      <c r="E40" s="283"/>
      <c r="F40" s="283"/>
      <c r="G40" s="283"/>
      <c r="H40" s="284"/>
      <c r="I40" s="97">
        <f>E39-H39</f>
        <v>2929.2599999999998</v>
      </c>
      <c r="J40" s="262"/>
    </row>
    <row r="41" spans="1:13" ht="18" x14ac:dyDescent="0.25">
      <c r="A41" s="276"/>
      <c r="B41" s="277"/>
      <c r="C41" s="277"/>
      <c r="D41" s="277"/>
      <c r="E41" s="277"/>
      <c r="F41" s="277"/>
      <c r="G41" s="277"/>
      <c r="H41" s="277"/>
      <c r="I41" s="277"/>
      <c r="J41" s="278"/>
    </row>
    <row r="42" spans="1:13" ht="18" x14ac:dyDescent="0.25">
      <c r="A42" s="88">
        <v>45913</v>
      </c>
      <c r="B42" s="89" t="s">
        <v>9</v>
      </c>
      <c r="C42" s="90">
        <v>2929.26</v>
      </c>
      <c r="D42" s="91">
        <v>10.86</v>
      </c>
      <c r="E42" s="279">
        <f>C42+D42</f>
        <v>2940.1200000000003</v>
      </c>
      <c r="F42" s="279"/>
      <c r="G42" s="279"/>
      <c r="H42" s="83">
        <v>42.65</v>
      </c>
      <c r="I42" s="92">
        <f>E42-H42</f>
        <v>2897.4700000000003</v>
      </c>
      <c r="J42" s="285" t="s">
        <v>125</v>
      </c>
    </row>
    <row r="43" spans="1:13" ht="18" x14ac:dyDescent="0.35">
      <c r="A43" s="282" t="s">
        <v>13</v>
      </c>
      <c r="B43" s="283"/>
      <c r="C43" s="283"/>
      <c r="D43" s="283"/>
      <c r="E43" s="283"/>
      <c r="F43" s="283"/>
      <c r="G43" s="283"/>
      <c r="H43" s="284"/>
      <c r="I43" s="97">
        <f>E42-H42</f>
        <v>2897.4700000000003</v>
      </c>
      <c r="J43" s="286"/>
    </row>
    <row r="44" spans="1:13" ht="18" x14ac:dyDescent="0.25">
      <c r="A44" s="276"/>
      <c r="B44" s="277"/>
      <c r="C44" s="277"/>
      <c r="D44" s="277"/>
      <c r="E44" s="277"/>
      <c r="F44" s="277"/>
      <c r="G44" s="277"/>
      <c r="H44" s="277"/>
      <c r="I44" s="277"/>
      <c r="J44" s="278"/>
    </row>
    <row r="45" spans="1:13" ht="18" x14ac:dyDescent="0.25">
      <c r="A45" s="88">
        <v>45915</v>
      </c>
      <c r="B45" s="89" t="s">
        <v>9</v>
      </c>
      <c r="C45" s="90">
        <v>2897.47</v>
      </c>
      <c r="D45" s="91">
        <v>0</v>
      </c>
      <c r="E45" s="279">
        <f>C45+D45</f>
        <v>2897.47</v>
      </c>
      <c r="F45" s="279"/>
      <c r="G45" s="279"/>
      <c r="H45" s="83">
        <v>0</v>
      </c>
      <c r="I45" s="92">
        <f>E45-H45</f>
        <v>2897.47</v>
      </c>
      <c r="J45" s="280"/>
    </row>
    <row r="46" spans="1:13" ht="18" x14ac:dyDescent="0.35">
      <c r="A46" s="282" t="s">
        <v>13</v>
      </c>
      <c r="B46" s="283"/>
      <c r="C46" s="283"/>
      <c r="D46" s="283"/>
      <c r="E46" s="283"/>
      <c r="F46" s="283"/>
      <c r="G46" s="283"/>
      <c r="H46" s="284"/>
      <c r="I46" s="97">
        <f>E45-H45</f>
        <v>2897.47</v>
      </c>
      <c r="J46" s="281"/>
    </row>
    <row r="47" spans="1:13" ht="18" x14ac:dyDescent="0.25">
      <c r="A47" s="287"/>
      <c r="B47" s="288"/>
      <c r="C47" s="288"/>
      <c r="D47" s="288"/>
      <c r="E47" s="288"/>
      <c r="F47" s="288"/>
      <c r="G47" s="288"/>
      <c r="H47" s="288"/>
      <c r="I47" s="288"/>
      <c r="J47" s="289"/>
    </row>
    <row r="48" spans="1:13" ht="18" x14ac:dyDescent="0.25">
      <c r="A48" s="88">
        <v>45916</v>
      </c>
      <c r="B48" s="89" t="s">
        <v>9</v>
      </c>
      <c r="C48" s="90">
        <v>2897.47</v>
      </c>
      <c r="D48" s="91">
        <v>61.3</v>
      </c>
      <c r="E48" s="279">
        <f>C48+D48</f>
        <v>2958.77</v>
      </c>
      <c r="F48" s="279"/>
      <c r="G48" s="279"/>
      <c r="H48" s="83">
        <v>0</v>
      </c>
      <c r="I48" s="92">
        <f>E48-H48</f>
        <v>2958.77</v>
      </c>
      <c r="J48" s="261"/>
    </row>
    <row r="49" spans="1:10" ht="18" x14ac:dyDescent="0.35">
      <c r="A49" s="282" t="s">
        <v>13</v>
      </c>
      <c r="B49" s="283"/>
      <c r="C49" s="283"/>
      <c r="D49" s="283"/>
      <c r="E49" s="283"/>
      <c r="F49" s="283"/>
      <c r="G49" s="283"/>
      <c r="H49" s="284"/>
      <c r="I49" s="97">
        <f>E48-H48</f>
        <v>2958.77</v>
      </c>
      <c r="J49" s="262"/>
    </row>
    <row r="50" spans="1:10" ht="14.4" customHeight="1" x14ac:dyDescent="0.25">
      <c r="A50" s="276"/>
      <c r="B50" s="277"/>
      <c r="C50" s="277"/>
      <c r="D50" s="277"/>
      <c r="E50" s="277"/>
      <c r="F50" s="277"/>
      <c r="G50" s="277"/>
      <c r="H50" s="277"/>
      <c r="I50" s="277"/>
      <c r="J50" s="278"/>
    </row>
    <row r="51" spans="1:10" ht="27" customHeight="1" x14ac:dyDescent="0.25">
      <c r="A51" s="88">
        <v>45917</v>
      </c>
      <c r="B51" s="89" t="s">
        <v>9</v>
      </c>
      <c r="C51" s="90">
        <v>2958.77</v>
      </c>
      <c r="D51" s="91">
        <v>9.99</v>
      </c>
      <c r="E51" s="279">
        <f>C51+D51</f>
        <v>2968.7599999999998</v>
      </c>
      <c r="F51" s="279"/>
      <c r="G51" s="279"/>
      <c r="H51" s="83">
        <v>0</v>
      </c>
      <c r="I51" s="92">
        <f>E51-H51</f>
        <v>2968.7599999999998</v>
      </c>
      <c r="J51" s="285"/>
    </row>
    <row r="52" spans="1:10" ht="18" x14ac:dyDescent="0.35">
      <c r="A52" s="282" t="s">
        <v>13</v>
      </c>
      <c r="B52" s="283"/>
      <c r="C52" s="283"/>
      <c r="D52" s="283"/>
      <c r="E52" s="283"/>
      <c r="F52" s="283"/>
      <c r="G52" s="283"/>
      <c r="H52" s="284"/>
      <c r="I52" s="97">
        <f>I51</f>
        <v>2968.7599999999998</v>
      </c>
      <c r="J52" s="286"/>
    </row>
    <row r="53" spans="1:10" ht="18" x14ac:dyDescent="0.25">
      <c r="A53" s="276"/>
      <c r="B53" s="277"/>
      <c r="C53" s="277"/>
      <c r="D53" s="277"/>
      <c r="E53" s="277"/>
      <c r="F53" s="277"/>
      <c r="G53" s="277"/>
      <c r="H53" s="277"/>
      <c r="I53" s="277"/>
      <c r="J53" s="278"/>
    </row>
    <row r="54" spans="1:10" ht="18" x14ac:dyDescent="0.25">
      <c r="A54" s="88">
        <v>45918</v>
      </c>
      <c r="B54" s="89" t="s">
        <v>9</v>
      </c>
      <c r="C54" s="90">
        <v>2968.76</v>
      </c>
      <c r="D54" s="91">
        <v>18.11</v>
      </c>
      <c r="E54" s="279">
        <f>C54+D54</f>
        <v>2986.8700000000003</v>
      </c>
      <c r="F54" s="279"/>
      <c r="G54" s="279"/>
      <c r="H54" s="83">
        <v>0</v>
      </c>
      <c r="I54" s="92">
        <f>E54-H54</f>
        <v>2986.8700000000003</v>
      </c>
      <c r="J54" s="280"/>
    </row>
    <row r="55" spans="1:10" ht="18" x14ac:dyDescent="0.35">
      <c r="A55" s="282" t="s">
        <v>13</v>
      </c>
      <c r="B55" s="283"/>
      <c r="C55" s="283"/>
      <c r="D55" s="283"/>
      <c r="E55" s="283"/>
      <c r="F55" s="283"/>
      <c r="G55" s="283"/>
      <c r="H55" s="284"/>
      <c r="I55" s="97">
        <f>E54-H54</f>
        <v>2986.8700000000003</v>
      </c>
      <c r="J55" s="281"/>
    </row>
    <row r="56" spans="1:10" ht="18" x14ac:dyDescent="0.25">
      <c r="A56" s="276"/>
      <c r="B56" s="277"/>
      <c r="C56" s="277"/>
      <c r="D56" s="277"/>
      <c r="E56" s="277"/>
      <c r="F56" s="277"/>
      <c r="G56" s="277"/>
      <c r="H56" s="277"/>
      <c r="I56" s="277"/>
      <c r="J56" s="278"/>
    </row>
    <row r="57" spans="1:10" ht="18" x14ac:dyDescent="0.25">
      <c r="A57" s="88">
        <v>45919</v>
      </c>
      <c r="B57" s="89" t="s">
        <v>9</v>
      </c>
      <c r="C57" s="90">
        <v>2986.87</v>
      </c>
      <c r="D57" s="91">
        <v>0</v>
      </c>
      <c r="E57" s="279">
        <v>0</v>
      </c>
      <c r="F57" s="279"/>
      <c r="G57" s="279"/>
      <c r="H57" s="83">
        <v>0</v>
      </c>
      <c r="I57" s="92">
        <v>2986.87</v>
      </c>
      <c r="J57" s="311"/>
    </row>
    <row r="58" spans="1:10" ht="18" x14ac:dyDescent="0.35">
      <c r="A58" s="282" t="s">
        <v>13</v>
      </c>
      <c r="B58" s="283"/>
      <c r="C58" s="283"/>
      <c r="D58" s="283"/>
      <c r="E58" s="283"/>
      <c r="F58" s="283"/>
      <c r="G58" s="283"/>
      <c r="H58" s="284"/>
      <c r="I58" s="97">
        <f>I57</f>
        <v>2986.87</v>
      </c>
      <c r="J58" s="312"/>
    </row>
    <row r="59" spans="1:10" ht="18" x14ac:dyDescent="0.25">
      <c r="A59" s="276"/>
      <c r="B59" s="277"/>
      <c r="C59" s="277"/>
      <c r="D59" s="277"/>
      <c r="E59" s="277"/>
      <c r="F59" s="277"/>
      <c r="G59" s="277"/>
      <c r="H59" s="277"/>
      <c r="I59" s="277"/>
      <c r="J59" s="278"/>
    </row>
    <row r="60" spans="1:10" ht="18" x14ac:dyDescent="0.25">
      <c r="A60" s="88">
        <v>45920</v>
      </c>
      <c r="B60" s="89" t="s">
        <v>9</v>
      </c>
      <c r="C60" s="90">
        <v>2986.87</v>
      </c>
      <c r="D60" s="91">
        <v>5.39</v>
      </c>
      <c r="E60" s="279">
        <f>C60+D60</f>
        <v>2992.2599999999998</v>
      </c>
      <c r="F60" s="279"/>
      <c r="G60" s="279"/>
      <c r="H60" s="83">
        <v>0</v>
      </c>
      <c r="I60" s="92">
        <f>E60-H60</f>
        <v>2992.2599999999998</v>
      </c>
      <c r="J60" s="280"/>
    </row>
    <row r="61" spans="1:10" ht="18" x14ac:dyDescent="0.35">
      <c r="A61" s="282" t="s">
        <v>13</v>
      </c>
      <c r="B61" s="283"/>
      <c r="C61" s="283"/>
      <c r="D61" s="283"/>
      <c r="E61" s="283"/>
      <c r="F61" s="283"/>
      <c r="G61" s="283"/>
      <c r="H61" s="284"/>
      <c r="I61" s="97">
        <f>E60-H60</f>
        <v>2992.2599999999998</v>
      </c>
      <c r="J61" s="281"/>
    </row>
    <row r="62" spans="1:10" ht="18" x14ac:dyDescent="0.25">
      <c r="A62" s="276"/>
      <c r="B62" s="277"/>
      <c r="C62" s="277"/>
      <c r="D62" s="277"/>
      <c r="E62" s="277"/>
      <c r="F62" s="277"/>
      <c r="G62" s="277"/>
      <c r="H62" s="277"/>
      <c r="I62" s="277"/>
      <c r="J62" s="278"/>
    </row>
    <row r="63" spans="1:10" ht="18" x14ac:dyDescent="0.25">
      <c r="A63" s="88">
        <v>45922</v>
      </c>
      <c r="B63" s="89" t="s">
        <v>9</v>
      </c>
      <c r="C63" s="90">
        <v>2992.26</v>
      </c>
      <c r="D63" s="91">
        <v>0</v>
      </c>
      <c r="E63" s="279">
        <f>C63+D63</f>
        <v>2992.26</v>
      </c>
      <c r="F63" s="279"/>
      <c r="G63" s="279"/>
      <c r="H63" s="83">
        <v>39.65</v>
      </c>
      <c r="I63" s="92">
        <f>E63-H63</f>
        <v>2952.61</v>
      </c>
      <c r="J63" s="285" t="s">
        <v>128</v>
      </c>
    </row>
    <row r="64" spans="1:10" ht="44.4" customHeight="1" x14ac:dyDescent="0.25">
      <c r="A64" s="282" t="s">
        <v>13</v>
      </c>
      <c r="B64" s="283"/>
      <c r="C64" s="283"/>
      <c r="D64" s="283"/>
      <c r="E64" s="283"/>
      <c r="F64" s="283"/>
      <c r="G64" s="283"/>
      <c r="H64" s="284"/>
      <c r="I64" s="96">
        <f>E63-H63</f>
        <v>2952.61</v>
      </c>
      <c r="J64" s="286"/>
    </row>
    <row r="65" spans="1:10" ht="18" x14ac:dyDescent="0.25">
      <c r="A65" s="276"/>
      <c r="B65" s="277"/>
      <c r="C65" s="277"/>
      <c r="D65" s="277"/>
      <c r="E65" s="277"/>
      <c r="F65" s="277"/>
      <c r="G65" s="277"/>
      <c r="H65" s="277"/>
      <c r="I65" s="277"/>
      <c r="J65" s="278"/>
    </row>
    <row r="66" spans="1:10" ht="1.8" customHeight="1" x14ac:dyDescent="0.25">
      <c r="C66" s="86">
        <v>0</v>
      </c>
      <c r="D66" s="95">
        <v>0</v>
      </c>
    </row>
    <row r="67" spans="1:10" ht="18" x14ac:dyDescent="0.25">
      <c r="A67" s="88">
        <v>45923</v>
      </c>
      <c r="B67" s="89" t="s">
        <v>9</v>
      </c>
      <c r="C67" s="90">
        <v>2952.61</v>
      </c>
      <c r="D67" s="91">
        <v>60.93</v>
      </c>
      <c r="E67" s="279">
        <f>C67+D67</f>
        <v>3013.54</v>
      </c>
      <c r="F67" s="279"/>
      <c r="G67" s="279"/>
      <c r="H67" s="83">
        <v>0</v>
      </c>
      <c r="I67" s="92">
        <f>E67-H67</f>
        <v>3013.54</v>
      </c>
      <c r="J67" s="261"/>
    </row>
    <row r="68" spans="1:10" ht="18" x14ac:dyDescent="0.35">
      <c r="A68" s="282" t="s">
        <v>13</v>
      </c>
      <c r="B68" s="283"/>
      <c r="C68" s="283"/>
      <c r="D68" s="283"/>
      <c r="E68" s="283"/>
      <c r="F68" s="283"/>
      <c r="G68" s="283"/>
      <c r="H68" s="284"/>
      <c r="I68" s="97">
        <f>E67-H67</f>
        <v>3013.54</v>
      </c>
      <c r="J68" s="262"/>
    </row>
    <row r="69" spans="1:10" ht="18" x14ac:dyDescent="0.25">
      <c r="A69" s="276"/>
      <c r="B69" s="277"/>
      <c r="C69" s="277"/>
      <c r="D69" s="277"/>
      <c r="E69" s="277"/>
      <c r="F69" s="277"/>
      <c r="G69" s="277"/>
      <c r="H69" s="277"/>
      <c r="I69" s="277"/>
      <c r="J69" s="278"/>
    </row>
    <row r="70" spans="1:10" ht="18" x14ac:dyDescent="0.25">
      <c r="A70" s="88">
        <v>45924</v>
      </c>
      <c r="B70" s="89" t="s">
        <v>9</v>
      </c>
      <c r="C70" s="90">
        <v>3013.54</v>
      </c>
      <c r="D70" s="91">
        <v>0</v>
      </c>
      <c r="E70" s="279">
        <f>C70+D70</f>
        <v>3013.54</v>
      </c>
      <c r="F70" s="279"/>
      <c r="G70" s="279"/>
      <c r="H70" s="83">
        <v>0</v>
      </c>
      <c r="I70" s="92">
        <f>E70-H70</f>
        <v>3013.54</v>
      </c>
      <c r="J70" s="285"/>
    </row>
    <row r="71" spans="1:10" ht="18" x14ac:dyDescent="0.35">
      <c r="A71" s="282" t="s">
        <v>13</v>
      </c>
      <c r="B71" s="283"/>
      <c r="C71" s="283"/>
      <c r="D71" s="283"/>
      <c r="E71" s="283"/>
      <c r="F71" s="283"/>
      <c r="G71" s="283"/>
      <c r="H71" s="284"/>
      <c r="I71" s="97">
        <f>E70-H70</f>
        <v>3013.54</v>
      </c>
      <c r="J71" s="286"/>
    </row>
    <row r="72" spans="1:10" ht="18" x14ac:dyDescent="0.25">
      <c r="A72" s="276"/>
      <c r="B72" s="277"/>
      <c r="C72" s="277"/>
      <c r="D72" s="277"/>
      <c r="E72" s="277"/>
      <c r="F72" s="277"/>
      <c r="G72" s="277"/>
      <c r="H72" s="277"/>
      <c r="I72" s="277"/>
      <c r="J72" s="278"/>
    </row>
    <row r="73" spans="1:10" ht="18" x14ac:dyDescent="0.25">
      <c r="A73" s="88">
        <v>45925</v>
      </c>
      <c r="B73" s="89" t="s">
        <v>9</v>
      </c>
      <c r="C73" s="90">
        <v>3013.54</v>
      </c>
      <c r="D73" s="91">
        <v>132.41999999999999</v>
      </c>
      <c r="E73" s="279">
        <f>C73+D73</f>
        <v>3145.96</v>
      </c>
      <c r="F73" s="279"/>
      <c r="G73" s="279"/>
      <c r="H73" s="83">
        <v>120</v>
      </c>
      <c r="I73" s="92">
        <f>E73-H73</f>
        <v>3025.96</v>
      </c>
      <c r="J73" s="285" t="s">
        <v>129</v>
      </c>
    </row>
    <row r="74" spans="1:10" ht="18" x14ac:dyDescent="0.35">
      <c r="A74" s="282"/>
      <c r="B74" s="283"/>
      <c r="C74" s="283"/>
      <c r="D74" s="283"/>
      <c r="E74" s="283"/>
      <c r="F74" s="283"/>
      <c r="G74" s="283"/>
      <c r="H74" s="284"/>
      <c r="I74" s="97">
        <f>E73-H73</f>
        <v>3025.96</v>
      </c>
      <c r="J74" s="286"/>
    </row>
    <row r="75" spans="1:10" ht="18" x14ac:dyDescent="0.25">
      <c r="A75" s="276"/>
      <c r="B75" s="277"/>
      <c r="C75" s="277"/>
      <c r="D75" s="277"/>
      <c r="E75" s="277"/>
      <c r="F75" s="277"/>
      <c r="G75" s="277"/>
      <c r="H75" s="277"/>
      <c r="I75" s="277"/>
      <c r="J75" s="278"/>
    </row>
    <row r="76" spans="1:10" ht="18" x14ac:dyDescent="0.25">
      <c r="A76" s="88">
        <v>45926</v>
      </c>
      <c r="B76" s="89" t="s">
        <v>9</v>
      </c>
      <c r="C76" s="90">
        <v>3025.96</v>
      </c>
      <c r="D76" s="91">
        <v>25.67</v>
      </c>
      <c r="E76" s="279">
        <f>C76+D76</f>
        <v>3051.63</v>
      </c>
      <c r="F76" s="279"/>
      <c r="G76" s="279"/>
      <c r="H76" s="83">
        <v>0</v>
      </c>
      <c r="I76" s="92">
        <f>E76-H76</f>
        <v>3051.63</v>
      </c>
      <c r="J76" s="280"/>
    </row>
    <row r="77" spans="1:10" ht="18" x14ac:dyDescent="0.35">
      <c r="A77" s="282" t="s">
        <v>13</v>
      </c>
      <c r="B77" s="283"/>
      <c r="C77" s="283"/>
      <c r="D77" s="283"/>
      <c r="E77" s="283"/>
      <c r="F77" s="283"/>
      <c r="G77" s="283"/>
      <c r="H77" s="284"/>
      <c r="I77" s="97">
        <f>E76-H76</f>
        <v>3051.63</v>
      </c>
      <c r="J77" s="281"/>
    </row>
    <row r="78" spans="1:10" ht="18" x14ac:dyDescent="0.25">
      <c r="A78" s="276"/>
      <c r="B78" s="277"/>
      <c r="C78" s="277"/>
      <c r="D78" s="277"/>
      <c r="E78" s="277"/>
      <c r="F78" s="277"/>
      <c r="G78" s="277"/>
      <c r="H78" s="277"/>
      <c r="I78" s="277"/>
      <c r="J78" s="278"/>
    </row>
    <row r="79" spans="1:10" ht="18" x14ac:dyDescent="0.25">
      <c r="A79" s="88">
        <v>45927</v>
      </c>
      <c r="B79" s="89" t="s">
        <v>9</v>
      </c>
      <c r="C79" s="90">
        <v>3051.63</v>
      </c>
      <c r="D79" s="91">
        <v>16.96</v>
      </c>
      <c r="E79" s="279">
        <f>C79+D79</f>
        <v>3068.59</v>
      </c>
      <c r="F79" s="279"/>
      <c r="G79" s="279"/>
      <c r="H79" s="83">
        <v>0</v>
      </c>
      <c r="I79" s="92">
        <f>E79-H79</f>
        <v>3068.59</v>
      </c>
      <c r="J79" s="280"/>
    </row>
    <row r="80" spans="1:10" ht="18" x14ac:dyDescent="0.35">
      <c r="A80" s="282" t="s">
        <v>13</v>
      </c>
      <c r="B80" s="283"/>
      <c r="C80" s="283"/>
      <c r="D80" s="283"/>
      <c r="E80" s="283"/>
      <c r="F80" s="283"/>
      <c r="G80" s="283"/>
      <c r="H80" s="284"/>
      <c r="I80" s="97">
        <f>E79-H79</f>
        <v>3068.59</v>
      </c>
      <c r="J80" s="281"/>
    </row>
    <row r="81" spans="1:10" ht="18" x14ac:dyDescent="0.25">
      <c r="A81" s="276"/>
      <c r="B81" s="277"/>
      <c r="C81" s="277"/>
      <c r="D81" s="277"/>
      <c r="E81" s="277"/>
      <c r="F81" s="277"/>
      <c r="G81" s="277"/>
      <c r="H81" s="277"/>
      <c r="I81" s="277"/>
      <c r="J81" s="278"/>
    </row>
    <row r="82" spans="1:10" ht="18" x14ac:dyDescent="0.25">
      <c r="A82" s="88">
        <v>45929</v>
      </c>
      <c r="B82" s="89" t="s">
        <v>9</v>
      </c>
      <c r="C82" s="90">
        <v>3068.59</v>
      </c>
      <c r="D82" s="91">
        <v>80.77</v>
      </c>
      <c r="E82" s="279">
        <f>C82+D82</f>
        <v>3149.36</v>
      </c>
      <c r="F82" s="279"/>
      <c r="G82" s="279"/>
      <c r="H82" s="83">
        <v>0</v>
      </c>
      <c r="I82" s="92">
        <f>E82-H82</f>
        <v>3149.36</v>
      </c>
      <c r="J82" s="285"/>
    </row>
    <row r="83" spans="1:10" ht="18" x14ac:dyDescent="0.35">
      <c r="A83" s="282" t="s">
        <v>13</v>
      </c>
      <c r="B83" s="283"/>
      <c r="C83" s="283"/>
      <c r="D83" s="283"/>
      <c r="E83" s="283"/>
      <c r="F83" s="283"/>
      <c r="G83" s="283"/>
      <c r="H83" s="284"/>
      <c r="I83" s="97">
        <f>E82-H82</f>
        <v>3149.36</v>
      </c>
      <c r="J83" s="286"/>
    </row>
    <row r="84" spans="1:10" ht="18" x14ac:dyDescent="0.25">
      <c r="A84" s="276"/>
      <c r="B84" s="277"/>
      <c r="C84" s="277"/>
      <c r="D84" s="277"/>
      <c r="E84" s="277"/>
      <c r="F84" s="277"/>
      <c r="G84" s="277"/>
      <c r="H84" s="277"/>
      <c r="I84" s="277"/>
      <c r="J84" s="278"/>
    </row>
    <row r="85" spans="1:10" ht="18" x14ac:dyDescent="0.25">
      <c r="A85" s="88">
        <v>45930</v>
      </c>
      <c r="B85" s="89" t="s">
        <v>9</v>
      </c>
      <c r="C85" s="90">
        <v>3149.36</v>
      </c>
      <c r="D85" s="91">
        <v>0</v>
      </c>
      <c r="E85" s="279">
        <f>C85+D85</f>
        <v>3149.36</v>
      </c>
      <c r="F85" s="279"/>
      <c r="G85" s="279"/>
      <c r="H85" s="83">
        <v>0</v>
      </c>
      <c r="I85" s="92">
        <f>E85-H85</f>
        <v>3149.36</v>
      </c>
      <c r="J85" s="285"/>
    </row>
    <row r="86" spans="1:10" ht="18" x14ac:dyDescent="0.35">
      <c r="A86" s="282" t="s">
        <v>13</v>
      </c>
      <c r="B86" s="283"/>
      <c r="C86" s="283"/>
      <c r="D86" s="283"/>
      <c r="E86" s="283"/>
      <c r="F86" s="283"/>
      <c r="G86" s="283"/>
      <c r="H86" s="284"/>
      <c r="I86" s="97">
        <f>E85-H85</f>
        <v>3149.36</v>
      </c>
      <c r="J86" s="286"/>
    </row>
  </sheetData>
  <sheetProtection selectLockedCells="1" selectUnlockedCells="1"/>
  <mergeCells count="113">
    <mergeCell ref="J73:J74"/>
    <mergeCell ref="A74:H74"/>
    <mergeCell ref="E76:G76"/>
    <mergeCell ref="J76:J77"/>
    <mergeCell ref="A77:H77"/>
    <mergeCell ref="E85:G85"/>
    <mergeCell ref="J85:J86"/>
    <mergeCell ref="A86:H86"/>
    <mergeCell ref="E79:G79"/>
    <mergeCell ref="J79:J80"/>
    <mergeCell ref="A80:H80"/>
    <mergeCell ref="E82:G82"/>
    <mergeCell ref="J82:J83"/>
    <mergeCell ref="A83:H83"/>
    <mergeCell ref="E51:G51"/>
    <mergeCell ref="J51:J52"/>
    <mergeCell ref="A52:H52"/>
    <mergeCell ref="A50:J50"/>
    <mergeCell ref="E54:G54"/>
    <mergeCell ref="J54:J55"/>
    <mergeCell ref="A55:H55"/>
    <mergeCell ref="E57:G57"/>
    <mergeCell ref="J57:J58"/>
    <mergeCell ref="A58:H58"/>
    <mergeCell ref="E42:G42"/>
    <mergeCell ref="J42:J43"/>
    <mergeCell ref="A43:H43"/>
    <mergeCell ref="E45:G45"/>
    <mergeCell ref="J45:J46"/>
    <mergeCell ref="A46:H46"/>
    <mergeCell ref="E48:G48"/>
    <mergeCell ref="J48:J49"/>
    <mergeCell ref="A49:H49"/>
    <mergeCell ref="J33:J34"/>
    <mergeCell ref="A34:H34"/>
    <mergeCell ref="A32:J32"/>
    <mergeCell ref="E36:G36"/>
    <mergeCell ref="J36:J37"/>
    <mergeCell ref="A37:H37"/>
    <mergeCell ref="E39:G39"/>
    <mergeCell ref="J39:J40"/>
    <mergeCell ref="A40:H40"/>
    <mergeCell ref="A35:J35"/>
    <mergeCell ref="A38:J38"/>
    <mergeCell ref="A4:J4"/>
    <mergeCell ref="A1:B3"/>
    <mergeCell ref="C1:I1"/>
    <mergeCell ref="C2:I2"/>
    <mergeCell ref="C3:F3"/>
    <mergeCell ref="G3:J3"/>
    <mergeCell ref="E15:G15"/>
    <mergeCell ref="J15:J16"/>
    <mergeCell ref="A16:H16"/>
    <mergeCell ref="A5:J5"/>
    <mergeCell ref="A6:J6"/>
    <mergeCell ref="E7:G7"/>
    <mergeCell ref="A8:J8"/>
    <mergeCell ref="E9:G9"/>
    <mergeCell ref="J9:J10"/>
    <mergeCell ref="A10:H10"/>
    <mergeCell ref="A11:J11"/>
    <mergeCell ref="E12:G12"/>
    <mergeCell ref="J12:J13"/>
    <mergeCell ref="A13:H13"/>
    <mergeCell ref="A14:J14"/>
    <mergeCell ref="A41:J41"/>
    <mergeCell ref="A44:J44"/>
    <mergeCell ref="A47:J47"/>
    <mergeCell ref="A17:J17"/>
    <mergeCell ref="A20:J20"/>
    <mergeCell ref="A23:J23"/>
    <mergeCell ref="A26:J26"/>
    <mergeCell ref="A29:J29"/>
    <mergeCell ref="E18:G18"/>
    <mergeCell ref="J18:J19"/>
    <mergeCell ref="A19:H19"/>
    <mergeCell ref="E21:G21"/>
    <mergeCell ref="J21:J22"/>
    <mergeCell ref="A22:H22"/>
    <mergeCell ref="E24:G24"/>
    <mergeCell ref="J24:J25"/>
    <mergeCell ref="A25:H25"/>
    <mergeCell ref="E27:G27"/>
    <mergeCell ref="J27:J28"/>
    <mergeCell ref="A28:H28"/>
    <mergeCell ref="E30:G30"/>
    <mergeCell ref="J30:J31"/>
    <mergeCell ref="A31:H31"/>
    <mergeCell ref="E33:G33"/>
    <mergeCell ref="A72:J72"/>
    <mergeCell ref="A75:J75"/>
    <mergeCell ref="A78:J78"/>
    <mergeCell ref="A81:J81"/>
    <mergeCell ref="A84:J84"/>
    <mergeCell ref="A53:J53"/>
    <mergeCell ref="A56:J56"/>
    <mergeCell ref="A59:J59"/>
    <mergeCell ref="A62:J62"/>
    <mergeCell ref="A65:J65"/>
    <mergeCell ref="E60:G60"/>
    <mergeCell ref="J60:J61"/>
    <mergeCell ref="A61:H61"/>
    <mergeCell ref="E63:G63"/>
    <mergeCell ref="J63:J64"/>
    <mergeCell ref="A64:H64"/>
    <mergeCell ref="E67:G67"/>
    <mergeCell ref="J67:J68"/>
    <mergeCell ref="A68:H68"/>
    <mergeCell ref="E70:G70"/>
    <mergeCell ref="J70:J71"/>
    <mergeCell ref="A71:H71"/>
    <mergeCell ref="A69:J69"/>
    <mergeCell ref="E73:G7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3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4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5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0C1-587E-4C6C-B1C8-0BEC73270D90}">
  <sheetPr>
    <tabColor rgb="FFFC80D3"/>
  </sheetPr>
  <dimension ref="A1:M97"/>
  <sheetViews>
    <sheetView showGridLines="0" zoomScale="90" zoomScaleNormal="90" workbookViewId="0">
      <selection activeCell="A5" sqref="A5:J5"/>
    </sheetView>
  </sheetViews>
  <sheetFormatPr defaultRowHeight="13.2" x14ac:dyDescent="0.25"/>
  <cols>
    <col min="1" max="1" width="15.109375" style="30" customWidth="1"/>
    <col min="2" max="2" width="15.109375" customWidth="1"/>
    <col min="3" max="3" width="17.88671875" customWidth="1"/>
    <col min="4" max="4" width="16.6640625" style="54" customWidth="1"/>
    <col min="6" max="6" width="8.5546875" customWidth="1"/>
    <col min="7" max="7" width="1.109375" hidden="1" customWidth="1"/>
    <col min="8" max="8" width="14.5546875" style="56" bestFit="1" customWidth="1"/>
    <col min="9" max="9" width="33.109375" style="30" customWidth="1"/>
    <col min="10" max="10" width="97.88671875" customWidth="1"/>
    <col min="12" max="12" width="10.5546875" bestFit="1" customWidth="1"/>
    <col min="13" max="13" width="11.33203125" bestFit="1" customWidth="1"/>
  </cols>
  <sheetData>
    <row r="1" spans="1:12" ht="37.5" customHeight="1" x14ac:dyDescent="0.25">
      <c r="A1" s="225"/>
      <c r="B1" s="226"/>
      <c r="C1" s="231" t="s">
        <v>6</v>
      </c>
      <c r="D1" s="232"/>
      <c r="E1" s="232"/>
      <c r="F1" s="232"/>
      <c r="G1" s="232"/>
      <c r="H1" s="232"/>
      <c r="I1" s="233"/>
      <c r="J1" s="25" t="s">
        <v>1</v>
      </c>
    </row>
    <row r="2" spans="1:12" ht="25.95" customHeight="1" x14ac:dyDescent="0.25">
      <c r="A2" s="227"/>
      <c r="B2" s="228"/>
      <c r="C2" s="130" t="s">
        <v>3</v>
      </c>
      <c r="D2" s="130"/>
      <c r="E2" s="130"/>
      <c r="F2" s="130"/>
      <c r="G2" s="130"/>
      <c r="H2" s="130"/>
      <c r="I2" s="130"/>
      <c r="J2" s="24" t="s">
        <v>0</v>
      </c>
    </row>
    <row r="3" spans="1:12" ht="25.95" customHeight="1" x14ac:dyDescent="0.25">
      <c r="A3" s="229"/>
      <c r="B3" s="230"/>
      <c r="C3" s="130" t="s">
        <v>2</v>
      </c>
      <c r="D3" s="130"/>
      <c r="E3" s="130"/>
      <c r="F3" s="130"/>
      <c r="G3" s="130" t="s">
        <v>88</v>
      </c>
      <c r="H3" s="130"/>
      <c r="I3" s="130"/>
      <c r="J3" s="130"/>
    </row>
    <row r="4" spans="1:12" ht="25.95" customHeight="1" x14ac:dyDescent="0.25">
      <c r="A4" s="222"/>
      <c r="B4" s="223"/>
      <c r="C4" s="223"/>
      <c r="D4" s="223"/>
      <c r="E4" s="223"/>
      <c r="F4" s="223"/>
      <c r="G4" s="223"/>
      <c r="H4" s="223"/>
      <c r="I4" s="223"/>
      <c r="J4" s="224"/>
    </row>
    <row r="5" spans="1:12" ht="33.6" x14ac:dyDescent="0.25">
      <c r="A5" s="313" t="s">
        <v>117</v>
      </c>
      <c r="B5" s="313"/>
      <c r="C5" s="313"/>
      <c r="D5" s="313"/>
      <c r="E5" s="313"/>
      <c r="F5" s="313"/>
      <c r="G5" s="313"/>
      <c r="H5" s="313"/>
      <c r="I5" s="313"/>
      <c r="J5" s="313"/>
    </row>
    <row r="6" spans="1:12" ht="25.8" x14ac:dyDescent="0.25">
      <c r="A6" s="235"/>
      <c r="B6" s="236"/>
      <c r="C6" s="236"/>
      <c r="D6" s="236"/>
      <c r="E6" s="236"/>
      <c r="F6" s="236"/>
      <c r="G6" s="236"/>
      <c r="H6" s="236"/>
      <c r="I6" s="236"/>
      <c r="J6" s="237"/>
    </row>
    <row r="7" spans="1:12" ht="31.2" x14ac:dyDescent="0.25">
      <c r="A7" s="26" t="s">
        <v>4</v>
      </c>
      <c r="B7" s="26" t="s">
        <v>48</v>
      </c>
      <c r="C7" s="26" t="s">
        <v>52</v>
      </c>
      <c r="D7" s="52" t="s">
        <v>51</v>
      </c>
      <c r="E7" s="238" t="s">
        <v>49</v>
      </c>
      <c r="F7" s="238"/>
      <c r="G7" s="238"/>
      <c r="H7" s="51" t="s">
        <v>50</v>
      </c>
      <c r="I7" s="27" t="s">
        <v>53</v>
      </c>
      <c r="J7" s="27" t="s">
        <v>5</v>
      </c>
    </row>
    <row r="8" spans="1:12" ht="35.4" customHeight="1" x14ac:dyDescent="0.25">
      <c r="A8" s="239"/>
      <c r="B8" s="240"/>
      <c r="C8" s="240"/>
      <c r="D8" s="240"/>
      <c r="E8" s="240"/>
      <c r="F8" s="240"/>
      <c r="G8" s="240"/>
      <c r="H8" s="240"/>
      <c r="I8" s="240"/>
      <c r="J8" s="241"/>
    </row>
    <row r="9" spans="1:12" ht="18" x14ac:dyDescent="0.25">
      <c r="A9" s="22">
        <v>45931</v>
      </c>
      <c r="B9" s="28" t="s">
        <v>9</v>
      </c>
      <c r="C9" s="29">
        <v>3149.36</v>
      </c>
      <c r="D9" s="53">
        <v>224.01</v>
      </c>
      <c r="E9" s="242">
        <f>C9+D9</f>
        <v>3373.37</v>
      </c>
      <c r="F9" s="242"/>
      <c r="G9" s="242"/>
      <c r="H9" s="55">
        <v>0</v>
      </c>
      <c r="I9" s="50">
        <f>E9-H9</f>
        <v>3373.37</v>
      </c>
      <c r="J9" s="256"/>
      <c r="L9" s="23"/>
    </row>
    <row r="10" spans="1:12" ht="18" customHeight="1" x14ac:dyDescent="0.35">
      <c r="A10" s="245" t="s">
        <v>13</v>
      </c>
      <c r="B10" s="246"/>
      <c r="C10" s="246"/>
      <c r="D10" s="246"/>
      <c r="E10" s="246"/>
      <c r="F10" s="246"/>
      <c r="G10" s="246"/>
      <c r="H10" s="247"/>
      <c r="I10" s="73">
        <f>E9-H9</f>
        <v>3373.37</v>
      </c>
      <c r="J10" s="257"/>
      <c r="L10" s="23"/>
    </row>
    <row r="11" spans="1:12" ht="18" customHeight="1" x14ac:dyDescent="0.25">
      <c r="A11" s="258"/>
      <c r="B11" s="259"/>
      <c r="C11" s="259"/>
      <c r="D11" s="259"/>
      <c r="E11" s="259"/>
      <c r="F11" s="259"/>
      <c r="G11" s="259"/>
      <c r="H11" s="259"/>
      <c r="I11" s="259"/>
      <c r="J11" s="260"/>
      <c r="L11" s="23"/>
    </row>
    <row r="12" spans="1:12" ht="18" x14ac:dyDescent="0.25">
      <c r="A12" s="22">
        <v>45932</v>
      </c>
      <c r="B12" s="28" t="s">
        <v>9</v>
      </c>
      <c r="C12" s="29">
        <v>3373.37</v>
      </c>
      <c r="D12" s="53">
        <v>66.28</v>
      </c>
      <c r="E12" s="242">
        <f>C12+D12</f>
        <v>3439.65</v>
      </c>
      <c r="F12" s="242"/>
      <c r="G12" s="242"/>
      <c r="H12" s="55">
        <v>0</v>
      </c>
      <c r="I12" s="50">
        <f>E12-H12</f>
        <v>3439.65</v>
      </c>
      <c r="J12" s="256"/>
      <c r="L12" s="23"/>
    </row>
    <row r="13" spans="1:12" ht="18" customHeight="1" x14ac:dyDescent="0.35">
      <c r="A13" s="245" t="s">
        <v>13</v>
      </c>
      <c r="B13" s="246"/>
      <c r="C13" s="246"/>
      <c r="D13" s="246"/>
      <c r="E13" s="246"/>
      <c r="F13" s="246"/>
      <c r="G13" s="246"/>
      <c r="H13" s="247"/>
      <c r="I13" s="73">
        <f>E12-H12</f>
        <v>3439.65</v>
      </c>
      <c r="J13" s="257"/>
      <c r="L13" s="23"/>
    </row>
    <row r="14" spans="1:12" ht="15.6" x14ac:dyDescent="0.25">
      <c r="A14" s="239"/>
      <c r="B14" s="240"/>
      <c r="C14" s="240"/>
      <c r="D14" s="240"/>
      <c r="E14" s="240"/>
      <c r="F14" s="240"/>
      <c r="G14" s="240"/>
      <c r="H14" s="240"/>
      <c r="I14" s="240"/>
      <c r="J14" s="241"/>
    </row>
    <row r="15" spans="1:12" ht="18" x14ac:dyDescent="0.25">
      <c r="A15" s="22">
        <v>45933</v>
      </c>
      <c r="B15" s="28" t="s">
        <v>9</v>
      </c>
      <c r="C15" s="29">
        <v>3439.65</v>
      </c>
      <c r="D15" s="53">
        <v>32.54</v>
      </c>
      <c r="E15" s="242">
        <f>C15+D15</f>
        <v>3472.19</v>
      </c>
      <c r="F15" s="242"/>
      <c r="G15" s="242"/>
      <c r="H15" s="55">
        <v>47</v>
      </c>
      <c r="I15" s="50">
        <f>E15-H15</f>
        <v>3425.19</v>
      </c>
      <c r="J15" s="248" t="s">
        <v>130</v>
      </c>
    </row>
    <row r="16" spans="1:12" ht="35.4" customHeight="1" x14ac:dyDescent="0.35">
      <c r="A16" s="245" t="s">
        <v>13</v>
      </c>
      <c r="B16" s="246"/>
      <c r="C16" s="246"/>
      <c r="D16" s="246"/>
      <c r="E16" s="246"/>
      <c r="F16" s="246"/>
      <c r="G16" s="246"/>
      <c r="H16" s="247"/>
      <c r="I16" s="73">
        <f>E15-H15</f>
        <v>3425.19</v>
      </c>
      <c r="J16" s="249"/>
    </row>
    <row r="18" spans="1:13" ht="18" x14ac:dyDescent="0.25">
      <c r="A18" s="22">
        <v>45934</v>
      </c>
      <c r="B18" s="28" t="s">
        <v>9</v>
      </c>
      <c r="C18" s="29">
        <v>3425.19</v>
      </c>
      <c r="D18" s="53">
        <v>3.77</v>
      </c>
      <c r="E18" s="242">
        <f>C18+D18</f>
        <v>3428.96</v>
      </c>
      <c r="F18" s="242"/>
      <c r="G18" s="242"/>
      <c r="H18" s="55">
        <v>96.8</v>
      </c>
      <c r="I18" s="50">
        <f>E18-H18</f>
        <v>3332.16</v>
      </c>
      <c r="J18" s="248" t="s">
        <v>131</v>
      </c>
    </row>
    <row r="19" spans="1:13" ht="18" x14ac:dyDescent="0.35">
      <c r="A19" s="245" t="s">
        <v>13</v>
      </c>
      <c r="B19" s="246"/>
      <c r="C19" s="246"/>
      <c r="D19" s="246"/>
      <c r="E19" s="246"/>
      <c r="F19" s="246"/>
      <c r="G19" s="246"/>
      <c r="H19" s="247"/>
      <c r="I19" s="73">
        <f>E18-H18</f>
        <v>3332.16</v>
      </c>
      <c r="J19" s="249"/>
    </row>
    <row r="21" spans="1:13" ht="18" x14ac:dyDescent="0.25">
      <c r="A21" s="22">
        <v>45936</v>
      </c>
      <c r="B21" s="28" t="s">
        <v>9</v>
      </c>
      <c r="C21" s="29">
        <v>3332.16</v>
      </c>
      <c r="D21" s="53">
        <v>106.78</v>
      </c>
      <c r="E21" s="242">
        <f>C21+D21</f>
        <v>3438.94</v>
      </c>
      <c r="F21" s="242"/>
      <c r="G21" s="242"/>
      <c r="H21" s="55">
        <v>115</v>
      </c>
      <c r="I21" s="50">
        <f>E21-H21</f>
        <v>3323.94</v>
      </c>
      <c r="J21" s="248" t="s">
        <v>132</v>
      </c>
      <c r="L21" s="49"/>
    </row>
    <row r="22" spans="1:13" ht="18" x14ac:dyDescent="0.35">
      <c r="A22" s="245" t="s">
        <v>13</v>
      </c>
      <c r="B22" s="246"/>
      <c r="C22" s="246"/>
      <c r="D22" s="246"/>
      <c r="E22" s="246"/>
      <c r="F22" s="246"/>
      <c r="G22" s="246"/>
      <c r="H22" s="247"/>
      <c r="I22" s="73">
        <f>E21-H21</f>
        <v>3323.94</v>
      </c>
      <c r="J22" s="249"/>
    </row>
    <row r="24" spans="1:13" ht="18" x14ac:dyDescent="0.25">
      <c r="A24" s="22">
        <v>45937</v>
      </c>
      <c r="B24" s="28" t="s">
        <v>9</v>
      </c>
      <c r="C24" s="29">
        <v>3323.94</v>
      </c>
      <c r="D24" s="53">
        <v>172.79</v>
      </c>
      <c r="E24" s="242">
        <f>C24+D24</f>
        <v>3496.73</v>
      </c>
      <c r="F24" s="242"/>
      <c r="G24" s="242"/>
      <c r="H24" s="55">
        <v>7</v>
      </c>
      <c r="I24" s="50">
        <f>E24-H24</f>
        <v>3489.73</v>
      </c>
      <c r="J24" s="248" t="s">
        <v>134</v>
      </c>
    </row>
    <row r="25" spans="1:13" ht="18" x14ac:dyDescent="0.35">
      <c r="A25" s="245" t="s">
        <v>13</v>
      </c>
      <c r="B25" s="246"/>
      <c r="C25" s="246"/>
      <c r="D25" s="246"/>
      <c r="E25" s="246"/>
      <c r="F25" s="246"/>
      <c r="G25" s="246"/>
      <c r="H25" s="247"/>
      <c r="I25" s="73">
        <f>E24-H24</f>
        <v>3489.73</v>
      </c>
      <c r="J25" s="249"/>
      <c r="M25" s="23"/>
    </row>
    <row r="26" spans="1:13" x14ac:dyDescent="0.25">
      <c r="M26" s="23"/>
    </row>
    <row r="27" spans="1:13" ht="18" x14ac:dyDescent="0.25">
      <c r="A27" s="22">
        <v>45938</v>
      </c>
      <c r="B27" s="28" t="s">
        <v>9</v>
      </c>
      <c r="C27" s="29">
        <f>I25</f>
        <v>3489.73</v>
      </c>
      <c r="D27" s="53">
        <v>92.13</v>
      </c>
      <c r="E27" s="242">
        <f>C27+D27</f>
        <v>3581.86</v>
      </c>
      <c r="F27" s="242"/>
      <c r="G27" s="242"/>
      <c r="H27" s="55">
        <v>20</v>
      </c>
      <c r="I27" s="62">
        <f>E27-H27</f>
        <v>3561.86</v>
      </c>
      <c r="J27" s="248" t="s">
        <v>133</v>
      </c>
      <c r="M27" s="23"/>
    </row>
    <row r="28" spans="1:13" ht="18" x14ac:dyDescent="0.35">
      <c r="A28" s="245" t="s">
        <v>13</v>
      </c>
      <c r="B28" s="246"/>
      <c r="C28" s="246"/>
      <c r="D28" s="246"/>
      <c r="E28" s="246"/>
      <c r="F28" s="246"/>
      <c r="G28" s="246"/>
      <c r="H28" s="247"/>
      <c r="I28" s="73">
        <f>E27-H27</f>
        <v>3561.86</v>
      </c>
      <c r="J28" s="249"/>
      <c r="M28" s="23"/>
    </row>
    <row r="29" spans="1:13" x14ac:dyDescent="0.25">
      <c r="M29" s="23"/>
    </row>
    <row r="30" spans="1:13" ht="18" x14ac:dyDescent="0.25">
      <c r="A30" s="22">
        <v>45939</v>
      </c>
      <c r="B30" s="28" t="s">
        <v>9</v>
      </c>
      <c r="C30" s="29">
        <v>3561.86</v>
      </c>
      <c r="D30" s="65">
        <v>6.25</v>
      </c>
      <c r="E30" s="242">
        <f>C30+D30</f>
        <v>3568.11</v>
      </c>
      <c r="F30" s="242"/>
      <c r="G30" s="242"/>
      <c r="H30" s="64">
        <v>0</v>
      </c>
      <c r="I30" s="50">
        <f>E30-H30</f>
        <v>3568.11</v>
      </c>
      <c r="J30" s="265"/>
      <c r="M30" s="23"/>
    </row>
    <row r="31" spans="1:13" ht="18" x14ac:dyDescent="0.25">
      <c r="A31" s="245" t="s">
        <v>13</v>
      </c>
      <c r="B31" s="246"/>
      <c r="C31" s="246"/>
      <c r="D31" s="246"/>
      <c r="E31" s="246"/>
      <c r="F31" s="246"/>
      <c r="G31" s="246"/>
      <c r="H31" s="247"/>
      <c r="I31" s="74">
        <f>E30-H30</f>
        <v>3568.11</v>
      </c>
      <c r="J31" s="266"/>
      <c r="M31" s="23"/>
    </row>
    <row r="32" spans="1:13" x14ac:dyDescent="0.25">
      <c r="M32" s="23"/>
    </row>
    <row r="33" spans="1:13" ht="18" x14ac:dyDescent="0.25">
      <c r="A33" s="22">
        <v>45940</v>
      </c>
      <c r="B33" s="28" t="s">
        <v>9</v>
      </c>
      <c r="C33" s="29">
        <v>3561.86</v>
      </c>
      <c r="D33" s="53">
        <v>16.16</v>
      </c>
      <c r="E33" s="242">
        <f>C33+D33</f>
        <v>3578.02</v>
      </c>
      <c r="F33" s="242"/>
      <c r="G33" s="242"/>
      <c r="H33" s="55">
        <v>0</v>
      </c>
      <c r="I33" s="50">
        <f>E33-H33</f>
        <v>3578.02</v>
      </c>
      <c r="J33" s="248"/>
      <c r="M33" s="23"/>
    </row>
    <row r="34" spans="1:13" ht="18" x14ac:dyDescent="0.35">
      <c r="A34" s="245" t="s">
        <v>13</v>
      </c>
      <c r="B34" s="246"/>
      <c r="C34" s="246"/>
      <c r="D34" s="246"/>
      <c r="E34" s="246"/>
      <c r="F34" s="246"/>
      <c r="G34" s="246"/>
      <c r="H34" s="247"/>
      <c r="I34" s="73">
        <f>E33-H33</f>
        <v>3578.02</v>
      </c>
      <c r="J34" s="249"/>
      <c r="M34" s="49"/>
    </row>
    <row r="36" spans="1:13" ht="18" x14ac:dyDescent="0.25">
      <c r="A36" s="22">
        <v>45941</v>
      </c>
      <c r="B36" s="28" t="s">
        <v>9</v>
      </c>
      <c r="C36" s="29">
        <v>3578.02</v>
      </c>
      <c r="D36" s="53">
        <v>11.76</v>
      </c>
      <c r="E36" s="242">
        <f>C36+D36</f>
        <v>3589.78</v>
      </c>
      <c r="F36" s="242"/>
      <c r="G36" s="242"/>
      <c r="H36" s="55">
        <v>0</v>
      </c>
      <c r="I36" s="50">
        <f>E36-H36</f>
        <v>3589.78</v>
      </c>
      <c r="J36" s="256"/>
    </row>
    <row r="37" spans="1:13" ht="18" x14ac:dyDescent="0.35">
      <c r="A37" s="245" t="s">
        <v>13</v>
      </c>
      <c r="B37" s="246"/>
      <c r="C37" s="246"/>
      <c r="D37" s="246"/>
      <c r="E37" s="246"/>
      <c r="F37" s="246"/>
      <c r="G37" s="246"/>
      <c r="H37" s="247"/>
      <c r="I37" s="73">
        <f>E36-H36</f>
        <v>3589.78</v>
      </c>
      <c r="J37" s="257"/>
    </row>
    <row r="39" spans="1:13" ht="18" x14ac:dyDescent="0.25">
      <c r="A39" s="22">
        <v>45943</v>
      </c>
      <c r="B39" s="28" t="s">
        <v>9</v>
      </c>
      <c r="C39" s="29">
        <v>3589.78</v>
      </c>
      <c r="D39" s="53">
        <v>5.39</v>
      </c>
      <c r="E39" s="242">
        <f>C39+D39</f>
        <v>3595.17</v>
      </c>
      <c r="F39" s="242"/>
      <c r="G39" s="242"/>
      <c r="H39" s="55">
        <v>0</v>
      </c>
      <c r="I39" s="50">
        <f>E39-H39</f>
        <v>3595.17</v>
      </c>
      <c r="J39" s="256"/>
    </row>
    <row r="40" spans="1:13" ht="18" x14ac:dyDescent="0.35">
      <c r="A40" s="245" t="s">
        <v>13</v>
      </c>
      <c r="B40" s="246"/>
      <c r="C40" s="246"/>
      <c r="D40" s="246"/>
      <c r="E40" s="246"/>
      <c r="F40" s="246"/>
      <c r="G40" s="246"/>
      <c r="H40" s="247"/>
      <c r="I40" s="73">
        <f>E39-H39</f>
        <v>3595.17</v>
      </c>
      <c r="J40" s="257"/>
    </row>
    <row r="42" spans="1:13" ht="18" x14ac:dyDescent="0.25">
      <c r="A42" s="22">
        <v>45944</v>
      </c>
      <c r="B42" s="28" t="s">
        <v>9</v>
      </c>
      <c r="C42" s="29">
        <v>3595.17</v>
      </c>
      <c r="D42" s="53">
        <v>0</v>
      </c>
      <c r="E42" s="242">
        <f>C42+D42</f>
        <v>3595.17</v>
      </c>
      <c r="F42" s="242"/>
      <c r="G42" s="242"/>
      <c r="H42" s="55">
        <v>0</v>
      </c>
      <c r="I42" s="50">
        <f>E42-H42</f>
        <v>3595.17</v>
      </c>
      <c r="J42" s="248"/>
    </row>
    <row r="43" spans="1:13" ht="18" x14ac:dyDescent="0.35">
      <c r="A43" s="245" t="s">
        <v>13</v>
      </c>
      <c r="B43" s="246"/>
      <c r="C43" s="246"/>
      <c r="D43" s="246"/>
      <c r="E43" s="246"/>
      <c r="F43" s="246"/>
      <c r="G43" s="246"/>
      <c r="H43" s="247"/>
      <c r="I43" s="73">
        <f>E42-H42</f>
        <v>3595.17</v>
      </c>
      <c r="J43" s="249"/>
    </row>
    <row r="45" spans="1:13" ht="18" x14ac:dyDescent="0.25">
      <c r="A45" s="22">
        <v>45945</v>
      </c>
      <c r="B45" s="28" t="s">
        <v>9</v>
      </c>
      <c r="C45" s="29">
        <v>3595.17</v>
      </c>
      <c r="D45" s="53">
        <v>58.45</v>
      </c>
      <c r="E45" s="242">
        <f>C45+D45</f>
        <v>3653.62</v>
      </c>
      <c r="F45" s="242"/>
      <c r="G45" s="242"/>
      <c r="H45" s="55">
        <v>0</v>
      </c>
      <c r="I45" s="50">
        <f>E45-H45</f>
        <v>3653.62</v>
      </c>
      <c r="J45" s="250"/>
    </row>
    <row r="46" spans="1:13" ht="18" x14ac:dyDescent="0.35">
      <c r="A46" s="245" t="s">
        <v>13</v>
      </c>
      <c r="B46" s="246"/>
      <c r="C46" s="246"/>
      <c r="D46" s="246"/>
      <c r="E46" s="246"/>
      <c r="F46" s="246"/>
      <c r="G46" s="246"/>
      <c r="H46" s="247"/>
      <c r="I46" s="73">
        <f>E45-H45</f>
        <v>3653.62</v>
      </c>
      <c r="J46" s="251"/>
    </row>
    <row r="48" spans="1:13" ht="18" x14ac:dyDescent="0.25">
      <c r="A48" s="22">
        <v>45946</v>
      </c>
      <c r="B48" s="28" t="s">
        <v>9</v>
      </c>
      <c r="C48" s="29">
        <v>3595.17</v>
      </c>
      <c r="D48" s="53">
        <v>25.34</v>
      </c>
      <c r="E48" s="242">
        <f>C48+D48</f>
        <v>3620.51</v>
      </c>
      <c r="F48" s="242"/>
      <c r="G48" s="242"/>
      <c r="H48" s="55">
        <v>0</v>
      </c>
      <c r="I48" s="50">
        <f>E48-H48</f>
        <v>3620.51</v>
      </c>
      <c r="J48" s="256"/>
    </row>
    <row r="49" spans="1:10" ht="18" x14ac:dyDescent="0.35">
      <c r="A49" s="245" t="s">
        <v>13</v>
      </c>
      <c r="B49" s="246"/>
      <c r="C49" s="246"/>
      <c r="D49" s="246"/>
      <c r="E49" s="246"/>
      <c r="F49" s="246"/>
      <c r="G49" s="246"/>
      <c r="H49" s="247"/>
      <c r="I49" s="73">
        <f>E48-H48</f>
        <v>3620.51</v>
      </c>
      <c r="J49" s="257"/>
    </row>
    <row r="50" spans="1:10" ht="15" customHeight="1" x14ac:dyDescent="0.25"/>
    <row r="51" spans="1:10" ht="27" customHeight="1" x14ac:dyDescent="0.25">
      <c r="A51" s="22">
        <v>45947</v>
      </c>
      <c r="B51" s="28" t="s">
        <v>9</v>
      </c>
      <c r="C51" s="29">
        <v>3595.17</v>
      </c>
      <c r="D51" s="53">
        <v>77.95</v>
      </c>
      <c r="E51" s="242">
        <f>C51+D51</f>
        <v>3673.12</v>
      </c>
      <c r="F51" s="242"/>
      <c r="G51" s="242"/>
      <c r="H51" s="55">
        <v>71.400000000000006</v>
      </c>
      <c r="I51" s="50">
        <f>E51-H51</f>
        <v>3601.72</v>
      </c>
      <c r="J51" s="248" t="s">
        <v>138</v>
      </c>
    </row>
    <row r="52" spans="1:10" ht="39" customHeight="1" x14ac:dyDescent="0.35">
      <c r="A52" s="245" t="s">
        <v>13</v>
      </c>
      <c r="B52" s="246"/>
      <c r="C52" s="246"/>
      <c r="D52" s="246"/>
      <c r="E52" s="246"/>
      <c r="F52" s="246"/>
      <c r="G52" s="246"/>
      <c r="H52" s="247"/>
      <c r="I52" s="73">
        <v>0</v>
      </c>
      <c r="J52" s="249"/>
    </row>
    <row r="54" spans="1:10" ht="18" x14ac:dyDescent="0.25">
      <c r="A54" s="22">
        <v>45948</v>
      </c>
      <c r="B54" s="28" t="s">
        <v>9</v>
      </c>
      <c r="C54" s="29">
        <v>3523.77</v>
      </c>
      <c r="D54" s="53">
        <v>15.25</v>
      </c>
      <c r="E54" s="242">
        <f>C54+D54</f>
        <v>3539.02</v>
      </c>
      <c r="F54" s="242"/>
      <c r="G54" s="242"/>
      <c r="H54" s="55">
        <v>0</v>
      </c>
      <c r="I54" s="50">
        <f>E54-H54</f>
        <v>3539.02</v>
      </c>
      <c r="J54" s="250"/>
    </row>
    <row r="55" spans="1:10" ht="18" x14ac:dyDescent="0.35">
      <c r="A55" s="245" t="s">
        <v>13</v>
      </c>
      <c r="B55" s="246"/>
      <c r="C55" s="246"/>
      <c r="D55" s="246"/>
      <c r="E55" s="246"/>
      <c r="F55" s="246"/>
      <c r="G55" s="246"/>
      <c r="H55" s="247"/>
      <c r="I55" s="73">
        <f>E54-H54</f>
        <v>3539.02</v>
      </c>
      <c r="J55" s="251"/>
    </row>
    <row r="57" spans="1:10" ht="18" customHeight="1" x14ac:dyDescent="0.25">
      <c r="A57" s="22">
        <v>45950</v>
      </c>
      <c r="B57" s="28" t="s">
        <v>9</v>
      </c>
      <c r="C57" s="29">
        <v>3523.77</v>
      </c>
      <c r="D57" s="53">
        <v>246.08</v>
      </c>
      <c r="E57" s="242">
        <f>C57+D57</f>
        <v>3769.85</v>
      </c>
      <c r="F57" s="242"/>
      <c r="G57" s="242"/>
      <c r="H57" s="55">
        <v>12.65</v>
      </c>
      <c r="I57" s="50">
        <f>E57-H57</f>
        <v>3757.2</v>
      </c>
      <c r="J57" s="248" t="s">
        <v>137</v>
      </c>
    </row>
    <row r="58" spans="1:10" ht="18" customHeight="1" x14ac:dyDescent="0.35">
      <c r="A58" s="245" t="s">
        <v>13</v>
      </c>
      <c r="B58" s="246"/>
      <c r="C58" s="246"/>
      <c r="D58" s="246"/>
      <c r="E58" s="246"/>
      <c r="F58" s="246"/>
      <c r="G58" s="246"/>
      <c r="H58" s="247"/>
      <c r="I58" s="73">
        <f>E57-H57</f>
        <v>3757.2</v>
      </c>
      <c r="J58" s="249"/>
    </row>
    <row r="60" spans="1:10" ht="18" x14ac:dyDescent="0.25">
      <c r="A60" s="22">
        <v>45951</v>
      </c>
      <c r="B60" s="28" t="s">
        <v>9</v>
      </c>
      <c r="C60" s="29">
        <v>3511.12</v>
      </c>
      <c r="D60" s="53">
        <v>35.369999999999997</v>
      </c>
      <c r="E60" s="242">
        <f>C60+D60</f>
        <v>3546.49</v>
      </c>
      <c r="F60" s="242"/>
      <c r="G60" s="242"/>
      <c r="H60" s="55">
        <v>79.5</v>
      </c>
      <c r="I60" s="50">
        <f>E60-H60</f>
        <v>3466.99</v>
      </c>
      <c r="J60" s="248" t="s">
        <v>136</v>
      </c>
    </row>
    <row r="61" spans="1:10" ht="60" customHeight="1" x14ac:dyDescent="0.25">
      <c r="A61" s="245" t="s">
        <v>13</v>
      </c>
      <c r="B61" s="246"/>
      <c r="C61" s="246"/>
      <c r="D61" s="246"/>
      <c r="E61" s="246"/>
      <c r="F61" s="246"/>
      <c r="G61" s="246"/>
      <c r="H61" s="247"/>
      <c r="I61" s="74">
        <f>E60-H60</f>
        <v>3466.99</v>
      </c>
      <c r="J61" s="249"/>
    </row>
    <row r="63" spans="1:10" ht="18" x14ac:dyDescent="0.25">
      <c r="A63" s="22">
        <v>45952</v>
      </c>
      <c r="B63" s="28" t="s">
        <v>9</v>
      </c>
      <c r="C63" s="29">
        <v>3431.62</v>
      </c>
      <c r="D63" s="53">
        <v>64.540000000000006</v>
      </c>
      <c r="E63" s="242">
        <f>C63+D63</f>
        <v>3496.16</v>
      </c>
      <c r="F63" s="242"/>
      <c r="G63" s="242"/>
      <c r="H63" s="55">
        <v>7</v>
      </c>
      <c r="I63" s="50">
        <f>E63-H63</f>
        <v>3489.16</v>
      </c>
      <c r="J63" s="248" t="s">
        <v>135</v>
      </c>
    </row>
    <row r="64" spans="1:10" ht="18" x14ac:dyDescent="0.35">
      <c r="A64" s="245" t="s">
        <v>13</v>
      </c>
      <c r="B64" s="246"/>
      <c r="C64" s="246"/>
      <c r="D64" s="246"/>
      <c r="E64" s="246"/>
      <c r="F64" s="246"/>
      <c r="G64" s="246"/>
      <c r="H64" s="247"/>
      <c r="I64" s="73">
        <f>E63-H63</f>
        <v>3489.16</v>
      </c>
      <c r="J64" s="249"/>
    </row>
    <row r="66" spans="1:10" ht="1.8" customHeight="1" x14ac:dyDescent="0.25">
      <c r="C66">
        <v>0</v>
      </c>
      <c r="D66" s="54">
        <v>0</v>
      </c>
    </row>
    <row r="67" spans="1:10" ht="18" x14ac:dyDescent="0.25">
      <c r="A67" s="22">
        <v>45953</v>
      </c>
      <c r="B67" s="28" t="s">
        <v>9</v>
      </c>
      <c r="C67" s="29">
        <v>3489.16</v>
      </c>
      <c r="D67" s="53">
        <v>241.14</v>
      </c>
      <c r="E67" s="242">
        <f>C67+D67</f>
        <v>3730.2999999999997</v>
      </c>
      <c r="F67" s="242"/>
      <c r="G67" s="242"/>
      <c r="H67" s="55">
        <v>0</v>
      </c>
      <c r="I67" s="50">
        <f>E67-H67</f>
        <v>3730.2999999999997</v>
      </c>
      <c r="J67" s="256"/>
    </row>
    <row r="68" spans="1:10" ht="18" x14ac:dyDescent="0.35">
      <c r="A68" s="245" t="s">
        <v>13</v>
      </c>
      <c r="B68" s="246"/>
      <c r="C68" s="246"/>
      <c r="D68" s="246"/>
      <c r="E68" s="246"/>
      <c r="F68" s="246"/>
      <c r="G68" s="246"/>
      <c r="H68" s="247"/>
      <c r="I68" s="73">
        <f>E67-H67</f>
        <v>3730.2999999999997</v>
      </c>
      <c r="J68" s="257"/>
    </row>
    <row r="70" spans="1:10" ht="18" x14ac:dyDescent="0.25">
      <c r="A70" s="22">
        <v>45954</v>
      </c>
      <c r="B70" s="28" t="s">
        <v>9</v>
      </c>
      <c r="C70" s="29">
        <v>3730.3</v>
      </c>
      <c r="D70" s="53">
        <v>31.92</v>
      </c>
      <c r="E70" s="242">
        <f>C70+D70</f>
        <v>3762.2200000000003</v>
      </c>
      <c r="F70" s="242"/>
      <c r="G70" s="242"/>
      <c r="H70" s="55">
        <v>0</v>
      </c>
      <c r="I70" s="50">
        <f>E70-H70</f>
        <v>3762.2200000000003</v>
      </c>
      <c r="J70" s="252"/>
    </row>
    <row r="71" spans="1:10" ht="18" x14ac:dyDescent="0.35">
      <c r="A71" s="245" t="s">
        <v>13</v>
      </c>
      <c r="B71" s="246"/>
      <c r="C71" s="246"/>
      <c r="D71" s="246"/>
      <c r="E71" s="246"/>
      <c r="F71" s="246"/>
      <c r="G71" s="246"/>
      <c r="H71" s="247"/>
      <c r="I71" s="73">
        <f>E70-H70</f>
        <v>3762.2200000000003</v>
      </c>
      <c r="J71" s="253"/>
    </row>
    <row r="73" spans="1:10" ht="18" x14ac:dyDescent="0.25">
      <c r="A73" s="22">
        <v>45955</v>
      </c>
      <c r="B73" s="28" t="s">
        <v>9</v>
      </c>
      <c r="C73" s="29">
        <v>3762.22</v>
      </c>
      <c r="D73" s="53">
        <v>10</v>
      </c>
      <c r="E73" s="242">
        <f>C73+D73</f>
        <v>3772.22</v>
      </c>
      <c r="F73" s="242"/>
      <c r="G73" s="242"/>
      <c r="H73" s="55">
        <v>0</v>
      </c>
      <c r="I73" s="50">
        <f>E73-H73</f>
        <v>3772.22</v>
      </c>
      <c r="J73" s="250"/>
    </row>
    <row r="74" spans="1:10" ht="18" x14ac:dyDescent="0.35">
      <c r="A74" s="245"/>
      <c r="B74" s="246"/>
      <c r="C74" s="246"/>
      <c r="D74" s="246"/>
      <c r="E74" s="246"/>
      <c r="F74" s="246"/>
      <c r="G74" s="246"/>
      <c r="H74" s="247"/>
      <c r="I74" s="73">
        <f>E73-H73</f>
        <v>3772.22</v>
      </c>
      <c r="J74" s="251"/>
    </row>
    <row r="76" spans="1:10" ht="18" x14ac:dyDescent="0.25">
      <c r="A76" s="22">
        <v>45957</v>
      </c>
      <c r="B76" s="28" t="s">
        <v>9</v>
      </c>
      <c r="C76" s="29">
        <v>3772.22</v>
      </c>
      <c r="D76" s="53">
        <v>0</v>
      </c>
      <c r="E76" s="242">
        <f>C76+D76</f>
        <v>3772.22</v>
      </c>
      <c r="F76" s="242"/>
      <c r="G76" s="242"/>
      <c r="H76" s="55">
        <v>130.87</v>
      </c>
      <c r="I76" s="50">
        <f>E76-H76</f>
        <v>3641.35</v>
      </c>
      <c r="J76" s="248" t="s">
        <v>139</v>
      </c>
    </row>
    <row r="77" spans="1:10" ht="88.2" customHeight="1" x14ac:dyDescent="0.35">
      <c r="A77" s="245" t="s">
        <v>13</v>
      </c>
      <c r="B77" s="246"/>
      <c r="C77" s="246"/>
      <c r="D77" s="246"/>
      <c r="E77" s="246"/>
      <c r="F77" s="246"/>
      <c r="G77" s="246"/>
      <c r="H77" s="247"/>
      <c r="I77" s="73">
        <f>E76-H76</f>
        <v>3641.35</v>
      </c>
      <c r="J77" s="249"/>
    </row>
    <row r="79" spans="1:10" ht="18" x14ac:dyDescent="0.25">
      <c r="A79" s="22">
        <v>45958</v>
      </c>
      <c r="B79" s="28" t="s">
        <v>9</v>
      </c>
      <c r="C79" s="29">
        <v>3641.35</v>
      </c>
      <c r="D79" s="53">
        <v>28</v>
      </c>
      <c r="E79" s="242">
        <f>C79+D79</f>
        <v>3669.35</v>
      </c>
      <c r="F79" s="242"/>
      <c r="G79" s="242"/>
      <c r="H79" s="55">
        <v>8.35</v>
      </c>
      <c r="I79" s="50">
        <f>E79-H79</f>
        <v>3661</v>
      </c>
      <c r="J79" s="248" t="s">
        <v>140</v>
      </c>
    </row>
    <row r="80" spans="1:10" ht="18" x14ac:dyDescent="0.35">
      <c r="A80" s="245" t="s">
        <v>13</v>
      </c>
      <c r="B80" s="246"/>
      <c r="C80" s="246"/>
      <c r="D80" s="246"/>
      <c r="E80" s="246"/>
      <c r="F80" s="246"/>
      <c r="G80" s="246"/>
      <c r="H80" s="247"/>
      <c r="I80" s="73">
        <f>E79-H79</f>
        <v>3661</v>
      </c>
      <c r="J80" s="249"/>
    </row>
    <row r="82" spans="1:10" ht="18" x14ac:dyDescent="0.25">
      <c r="A82" s="22">
        <v>45959</v>
      </c>
      <c r="B82" s="28" t="s">
        <v>9</v>
      </c>
      <c r="C82" s="29">
        <f>I79</f>
        <v>3661</v>
      </c>
      <c r="D82" s="53">
        <v>5.44</v>
      </c>
      <c r="E82" s="242">
        <f>C82+D82</f>
        <v>3666.44</v>
      </c>
      <c r="F82" s="242"/>
      <c r="G82" s="242"/>
      <c r="H82" s="55">
        <v>40</v>
      </c>
      <c r="I82" s="50">
        <f>E82-H82</f>
        <v>3626.44</v>
      </c>
      <c r="J82" s="248" t="s">
        <v>141</v>
      </c>
    </row>
    <row r="83" spans="1:10" ht="18" x14ac:dyDescent="0.35">
      <c r="A83" s="245" t="s">
        <v>13</v>
      </c>
      <c r="B83" s="246"/>
      <c r="C83" s="246"/>
      <c r="D83" s="246"/>
      <c r="E83" s="246"/>
      <c r="F83" s="246"/>
      <c r="G83" s="246"/>
      <c r="H83" s="247"/>
      <c r="I83" s="73">
        <f>E82-H82</f>
        <v>3626.44</v>
      </c>
      <c r="J83" s="249"/>
    </row>
    <row r="85" spans="1:10" ht="18" x14ac:dyDescent="0.25">
      <c r="A85" s="22">
        <v>45960</v>
      </c>
      <c r="B85" s="28" t="s">
        <v>9</v>
      </c>
      <c r="C85" s="29">
        <v>3626.44</v>
      </c>
      <c r="D85" s="53">
        <v>58.77</v>
      </c>
      <c r="E85" s="242">
        <f>C85+D85</f>
        <v>3685.21</v>
      </c>
      <c r="F85" s="242"/>
      <c r="G85" s="242"/>
      <c r="H85" s="55">
        <v>25</v>
      </c>
      <c r="I85" s="50">
        <f>E85-H85</f>
        <v>3660.21</v>
      </c>
      <c r="J85" s="248" t="s">
        <v>142</v>
      </c>
    </row>
    <row r="86" spans="1:10" ht="18" x14ac:dyDescent="0.35">
      <c r="A86" s="245" t="s">
        <v>13</v>
      </c>
      <c r="B86" s="246"/>
      <c r="C86" s="246"/>
      <c r="D86" s="246"/>
      <c r="E86" s="246"/>
      <c r="F86" s="246"/>
      <c r="G86" s="246"/>
      <c r="H86" s="247"/>
      <c r="I86" s="73">
        <f>E85-H85</f>
        <v>3660.21</v>
      </c>
      <c r="J86" s="249"/>
    </row>
    <row r="88" spans="1:10" ht="18" x14ac:dyDescent="0.25">
      <c r="A88" s="22">
        <v>45961</v>
      </c>
      <c r="B88" s="28" t="s">
        <v>9</v>
      </c>
      <c r="C88" s="29">
        <v>3654.77</v>
      </c>
      <c r="D88" s="53">
        <v>33.159999999999997</v>
      </c>
      <c r="E88" s="242">
        <f>C88+D88</f>
        <v>3687.93</v>
      </c>
      <c r="F88" s="242"/>
      <c r="G88" s="242"/>
      <c r="H88" s="55">
        <v>0</v>
      </c>
      <c r="I88" s="50">
        <f>E88-H88</f>
        <v>3687.93</v>
      </c>
      <c r="J88" s="252"/>
    </row>
    <row r="89" spans="1:10" ht="18" x14ac:dyDescent="0.35">
      <c r="A89" s="245" t="s">
        <v>13</v>
      </c>
      <c r="B89" s="246"/>
      <c r="C89" s="246"/>
      <c r="D89" s="246"/>
      <c r="E89" s="246"/>
      <c r="F89" s="246"/>
      <c r="G89" s="246"/>
      <c r="H89" s="247"/>
      <c r="I89" s="73">
        <f>E88-H88</f>
        <v>3687.93</v>
      </c>
      <c r="J89" s="253"/>
    </row>
    <row r="95" spans="1:10" x14ac:dyDescent="0.25">
      <c r="D95" s="103"/>
    </row>
    <row r="97" spans="10:10" x14ac:dyDescent="0.25">
      <c r="J97" s="102"/>
    </row>
  </sheetData>
  <mergeCells count="93">
    <mergeCell ref="E85:G85"/>
    <mergeCell ref="J85:J86"/>
    <mergeCell ref="A86:H86"/>
    <mergeCell ref="E88:G88"/>
    <mergeCell ref="J88:J89"/>
    <mergeCell ref="A89:H89"/>
    <mergeCell ref="E79:G79"/>
    <mergeCell ref="J79:J80"/>
    <mergeCell ref="A80:H80"/>
    <mergeCell ref="E82:G82"/>
    <mergeCell ref="J82:J83"/>
    <mergeCell ref="A83:H83"/>
    <mergeCell ref="E73:G73"/>
    <mergeCell ref="J73:J74"/>
    <mergeCell ref="A74:H74"/>
    <mergeCell ref="E76:G76"/>
    <mergeCell ref="J76:J77"/>
    <mergeCell ref="A77:H77"/>
    <mergeCell ref="E67:G67"/>
    <mergeCell ref="J67:J68"/>
    <mergeCell ref="A68:H68"/>
    <mergeCell ref="E70:G70"/>
    <mergeCell ref="J70:J71"/>
    <mergeCell ref="A71:H71"/>
    <mergeCell ref="E60:G60"/>
    <mergeCell ref="J60:J61"/>
    <mergeCell ref="A61:H61"/>
    <mergeCell ref="E63:G63"/>
    <mergeCell ref="J63:J64"/>
    <mergeCell ref="A64:H64"/>
    <mergeCell ref="E54:G54"/>
    <mergeCell ref="J54:J55"/>
    <mergeCell ref="A55:H55"/>
    <mergeCell ref="E57:G57"/>
    <mergeCell ref="J57:J58"/>
    <mergeCell ref="A58:H58"/>
    <mergeCell ref="E48:G48"/>
    <mergeCell ref="J48:J49"/>
    <mergeCell ref="A49:H49"/>
    <mergeCell ref="E51:G51"/>
    <mergeCell ref="J51:J52"/>
    <mergeCell ref="A52:H52"/>
    <mergeCell ref="E42:G42"/>
    <mergeCell ref="J42:J43"/>
    <mergeCell ref="A43:H43"/>
    <mergeCell ref="E45:G45"/>
    <mergeCell ref="J45:J46"/>
    <mergeCell ref="A46:H46"/>
    <mergeCell ref="E36:G36"/>
    <mergeCell ref="J36:J37"/>
    <mergeCell ref="A37:H37"/>
    <mergeCell ref="E39:G39"/>
    <mergeCell ref="J39:J40"/>
    <mergeCell ref="A40:H40"/>
    <mergeCell ref="E30:G30"/>
    <mergeCell ref="J30:J31"/>
    <mergeCell ref="A31:H31"/>
    <mergeCell ref="E33:G33"/>
    <mergeCell ref="J33:J34"/>
    <mergeCell ref="A34:H34"/>
    <mergeCell ref="E24:G24"/>
    <mergeCell ref="J24:J25"/>
    <mergeCell ref="A25:H25"/>
    <mergeCell ref="E27:G27"/>
    <mergeCell ref="J27:J28"/>
    <mergeCell ref="A28:H28"/>
    <mergeCell ref="E18:G18"/>
    <mergeCell ref="J18:J19"/>
    <mergeCell ref="A19:H19"/>
    <mergeCell ref="E21:G21"/>
    <mergeCell ref="J21:J22"/>
    <mergeCell ref="A22:H22"/>
    <mergeCell ref="E15:G15"/>
    <mergeCell ref="J15:J16"/>
    <mergeCell ref="A16:H16"/>
    <mergeCell ref="A5:J5"/>
    <mergeCell ref="A6:J6"/>
    <mergeCell ref="E7:G7"/>
    <mergeCell ref="A8:J8"/>
    <mergeCell ref="E9:G9"/>
    <mergeCell ref="J9:J10"/>
    <mergeCell ref="A10:H10"/>
    <mergeCell ref="A11:J11"/>
    <mergeCell ref="E12:G12"/>
    <mergeCell ref="J12:J13"/>
    <mergeCell ref="A13:H13"/>
    <mergeCell ref="A14:J14"/>
    <mergeCell ref="A4:J4"/>
    <mergeCell ref="A1:B3"/>
    <mergeCell ref="C1:I1"/>
    <mergeCell ref="C2:I2"/>
    <mergeCell ref="C3:F3"/>
    <mergeCell ref="G3:J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3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4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5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8561-A82A-4A37-A8F7-7AF5D9FE52D9}">
  <sheetPr>
    <tabColor rgb="FF0033CC"/>
  </sheetPr>
  <dimension ref="A1:M94"/>
  <sheetViews>
    <sheetView showGridLines="0" tabSelected="1" zoomScale="90" zoomScaleNormal="90" workbookViewId="0">
      <selection activeCell="A5" sqref="A5:J5"/>
    </sheetView>
  </sheetViews>
  <sheetFormatPr defaultRowHeight="13.2" x14ac:dyDescent="0.25"/>
  <cols>
    <col min="1" max="1" width="15.109375" style="30" customWidth="1"/>
    <col min="2" max="2" width="15.109375" customWidth="1"/>
    <col min="3" max="3" width="17.88671875" customWidth="1"/>
    <col min="4" max="4" width="16.6640625" style="54" customWidth="1"/>
    <col min="6" max="6" width="8.5546875" customWidth="1"/>
    <col min="7" max="7" width="1.109375" hidden="1" customWidth="1"/>
    <col min="8" max="8" width="14.5546875" style="56" bestFit="1" customWidth="1"/>
    <col min="9" max="9" width="33.109375" style="30" customWidth="1"/>
    <col min="10" max="10" width="97.88671875" customWidth="1"/>
    <col min="12" max="12" width="10.5546875" bestFit="1" customWidth="1"/>
    <col min="13" max="13" width="11.33203125" bestFit="1" customWidth="1"/>
  </cols>
  <sheetData>
    <row r="1" spans="1:12" ht="37.5" customHeight="1" x14ac:dyDescent="0.25">
      <c r="A1" s="225"/>
      <c r="B1" s="226"/>
      <c r="C1" s="231" t="s">
        <v>6</v>
      </c>
      <c r="D1" s="232"/>
      <c r="E1" s="232"/>
      <c r="F1" s="232"/>
      <c r="G1" s="232"/>
      <c r="H1" s="232"/>
      <c r="I1" s="233"/>
      <c r="J1" s="25" t="s">
        <v>1</v>
      </c>
    </row>
    <row r="2" spans="1:12" ht="25.95" customHeight="1" x14ac:dyDescent="0.25">
      <c r="A2" s="227"/>
      <c r="B2" s="228"/>
      <c r="C2" s="130" t="s">
        <v>3</v>
      </c>
      <c r="D2" s="130"/>
      <c r="E2" s="130"/>
      <c r="F2" s="130"/>
      <c r="G2" s="130"/>
      <c r="H2" s="130"/>
      <c r="I2" s="130"/>
      <c r="J2" s="24" t="s">
        <v>0</v>
      </c>
    </row>
    <row r="3" spans="1:12" ht="25.95" customHeight="1" x14ac:dyDescent="0.25">
      <c r="A3" s="229"/>
      <c r="B3" s="230"/>
      <c r="C3" s="130" t="s">
        <v>2</v>
      </c>
      <c r="D3" s="130"/>
      <c r="E3" s="130"/>
      <c r="F3" s="130"/>
      <c r="G3" s="130" t="s">
        <v>88</v>
      </c>
      <c r="H3" s="130"/>
      <c r="I3" s="130"/>
      <c r="J3" s="130"/>
    </row>
    <row r="4" spans="1:12" ht="25.95" customHeight="1" x14ac:dyDescent="0.25">
      <c r="A4" s="222"/>
      <c r="B4" s="223"/>
      <c r="C4" s="223"/>
      <c r="D4" s="223"/>
      <c r="E4" s="223"/>
      <c r="F4" s="223"/>
      <c r="G4" s="223"/>
      <c r="H4" s="223"/>
      <c r="I4" s="223"/>
      <c r="J4" s="224"/>
    </row>
    <row r="5" spans="1:12" ht="33.6" x14ac:dyDescent="0.25">
      <c r="A5" s="314" t="s">
        <v>143</v>
      </c>
      <c r="B5" s="314"/>
      <c r="C5" s="314"/>
      <c r="D5" s="314"/>
      <c r="E5" s="314"/>
      <c r="F5" s="314"/>
      <c r="G5" s="314"/>
      <c r="H5" s="314"/>
      <c r="I5" s="314"/>
      <c r="J5" s="314"/>
    </row>
    <row r="6" spans="1:12" ht="25.8" x14ac:dyDescent="0.25">
      <c r="A6" s="235"/>
      <c r="B6" s="236"/>
      <c r="C6" s="236"/>
      <c r="D6" s="236"/>
      <c r="E6" s="236"/>
      <c r="F6" s="236"/>
      <c r="G6" s="236"/>
      <c r="H6" s="236"/>
      <c r="I6" s="236"/>
      <c r="J6" s="237"/>
    </row>
    <row r="7" spans="1:12" ht="31.2" x14ac:dyDescent="0.25">
      <c r="A7" s="26" t="s">
        <v>4</v>
      </c>
      <c r="B7" s="26" t="s">
        <v>48</v>
      </c>
      <c r="C7" s="26" t="s">
        <v>52</v>
      </c>
      <c r="D7" s="52" t="s">
        <v>51</v>
      </c>
      <c r="E7" s="238" t="s">
        <v>49</v>
      </c>
      <c r="F7" s="238"/>
      <c r="G7" s="238"/>
      <c r="H7" s="51" t="s">
        <v>50</v>
      </c>
      <c r="I7" s="27" t="s">
        <v>53</v>
      </c>
      <c r="J7" s="27" t="s">
        <v>5</v>
      </c>
    </row>
    <row r="8" spans="1:12" ht="24.6" customHeight="1" x14ac:dyDescent="0.25">
      <c r="A8" s="239"/>
      <c r="B8" s="240"/>
      <c r="C8" s="240"/>
      <c r="D8" s="240"/>
      <c r="E8" s="240"/>
      <c r="F8" s="240"/>
      <c r="G8" s="240"/>
      <c r="H8" s="240"/>
      <c r="I8" s="240"/>
      <c r="J8" s="241"/>
    </row>
    <row r="9" spans="1:12" ht="18" x14ac:dyDescent="0.25">
      <c r="A9" s="22">
        <v>45962</v>
      </c>
      <c r="B9" s="28" t="s">
        <v>9</v>
      </c>
      <c r="C9" s="29">
        <v>0</v>
      </c>
      <c r="D9" s="53">
        <v>0</v>
      </c>
      <c r="E9" s="242">
        <f>C9+D9</f>
        <v>0</v>
      </c>
      <c r="F9" s="242"/>
      <c r="G9" s="242"/>
      <c r="H9" s="55">
        <v>0</v>
      </c>
      <c r="I9" s="50">
        <f>E9-H9</f>
        <v>0</v>
      </c>
      <c r="J9" s="256"/>
      <c r="L9" s="23"/>
    </row>
    <row r="10" spans="1:12" ht="18" x14ac:dyDescent="0.35">
      <c r="A10" s="245" t="s">
        <v>13</v>
      </c>
      <c r="B10" s="246"/>
      <c r="C10" s="246"/>
      <c r="D10" s="246"/>
      <c r="E10" s="246"/>
      <c r="F10" s="246"/>
      <c r="G10" s="246"/>
      <c r="H10" s="247"/>
      <c r="I10" s="315">
        <f>E9-H9</f>
        <v>0</v>
      </c>
      <c r="J10" s="257"/>
      <c r="L10" s="23"/>
    </row>
    <row r="11" spans="1:12" ht="18" x14ac:dyDescent="0.25">
      <c r="A11" s="258"/>
      <c r="B11" s="259"/>
      <c r="C11" s="259"/>
      <c r="D11" s="259"/>
      <c r="E11" s="259"/>
      <c r="F11" s="259"/>
      <c r="G11" s="259"/>
      <c r="H11" s="259"/>
      <c r="I11" s="259"/>
      <c r="J11" s="260"/>
      <c r="L11" s="23"/>
    </row>
    <row r="12" spans="1:12" ht="18" x14ac:dyDescent="0.25">
      <c r="A12" s="22">
        <v>45964</v>
      </c>
      <c r="B12" s="28" t="s">
        <v>9</v>
      </c>
      <c r="C12" s="29">
        <v>0</v>
      </c>
      <c r="D12" s="53">
        <v>0</v>
      </c>
      <c r="E12" s="242">
        <f>C12+D12</f>
        <v>0</v>
      </c>
      <c r="F12" s="242"/>
      <c r="G12" s="242"/>
      <c r="H12" s="55">
        <v>0</v>
      </c>
      <c r="I12" s="50">
        <f>E12-H12</f>
        <v>0</v>
      </c>
      <c r="J12" s="248"/>
    </row>
    <row r="13" spans="1:12" ht="18" x14ac:dyDescent="0.35">
      <c r="A13" s="245" t="s">
        <v>13</v>
      </c>
      <c r="B13" s="246"/>
      <c r="C13" s="246"/>
      <c r="D13" s="246"/>
      <c r="E13" s="246"/>
      <c r="F13" s="246"/>
      <c r="G13" s="246"/>
      <c r="H13" s="247"/>
      <c r="I13" s="315">
        <f>E12-H12</f>
        <v>0</v>
      </c>
      <c r="J13" s="249"/>
    </row>
    <row r="15" spans="1:12" ht="18" x14ac:dyDescent="0.25">
      <c r="A15" s="22">
        <v>45965</v>
      </c>
      <c r="B15" s="28" t="s">
        <v>9</v>
      </c>
      <c r="C15" s="29">
        <v>0</v>
      </c>
      <c r="D15" s="53">
        <v>0</v>
      </c>
      <c r="E15" s="242">
        <v>0</v>
      </c>
      <c r="F15" s="242"/>
      <c r="G15" s="242"/>
      <c r="H15" s="55">
        <v>0</v>
      </c>
      <c r="I15" s="50">
        <f>E15-H15</f>
        <v>0</v>
      </c>
      <c r="J15" s="248"/>
    </row>
    <row r="16" spans="1:12" ht="18" x14ac:dyDescent="0.35">
      <c r="A16" s="245" t="s">
        <v>13</v>
      </c>
      <c r="B16" s="246"/>
      <c r="C16" s="246"/>
      <c r="D16" s="246"/>
      <c r="E16" s="246"/>
      <c r="F16" s="246"/>
      <c r="G16" s="246"/>
      <c r="H16" s="247"/>
      <c r="I16" s="315">
        <f>E15-H15</f>
        <v>0</v>
      </c>
      <c r="J16" s="249"/>
    </row>
    <row r="18" spans="1:13" ht="18" x14ac:dyDescent="0.25">
      <c r="A18" s="22">
        <v>45966</v>
      </c>
      <c r="B18" s="28" t="s">
        <v>9</v>
      </c>
      <c r="C18" s="29">
        <v>0</v>
      </c>
      <c r="D18" s="53">
        <v>0</v>
      </c>
      <c r="E18" s="242">
        <f>C18+D18</f>
        <v>0</v>
      </c>
      <c r="F18" s="242"/>
      <c r="G18" s="242"/>
      <c r="H18" s="55">
        <v>0</v>
      </c>
      <c r="I18" s="50">
        <f>E18-H18</f>
        <v>0</v>
      </c>
      <c r="J18" s="248"/>
      <c r="L18" s="49"/>
    </row>
    <row r="19" spans="1:13" ht="18" x14ac:dyDescent="0.35">
      <c r="A19" s="245" t="s">
        <v>13</v>
      </c>
      <c r="B19" s="246"/>
      <c r="C19" s="246"/>
      <c r="D19" s="246"/>
      <c r="E19" s="246"/>
      <c r="F19" s="246"/>
      <c r="G19" s="246"/>
      <c r="H19" s="247"/>
      <c r="I19" s="315">
        <f>E18-H18</f>
        <v>0</v>
      </c>
      <c r="J19" s="249"/>
    </row>
    <row r="21" spans="1:13" ht="18" x14ac:dyDescent="0.25">
      <c r="A21" s="22">
        <v>45967</v>
      </c>
      <c r="B21" s="28" t="s">
        <v>9</v>
      </c>
      <c r="C21" s="29">
        <v>0</v>
      </c>
      <c r="D21" s="53">
        <v>0</v>
      </c>
      <c r="E21" s="242">
        <f>C21+D21</f>
        <v>0</v>
      </c>
      <c r="F21" s="242"/>
      <c r="G21" s="242"/>
      <c r="H21" s="55">
        <v>0</v>
      </c>
      <c r="I21" s="50">
        <f>E21-H21</f>
        <v>0</v>
      </c>
      <c r="J21" s="248"/>
    </row>
    <row r="22" spans="1:13" ht="18" x14ac:dyDescent="0.35">
      <c r="A22" s="245" t="s">
        <v>13</v>
      </c>
      <c r="B22" s="246"/>
      <c r="C22" s="246"/>
      <c r="D22" s="246"/>
      <c r="E22" s="246"/>
      <c r="F22" s="246"/>
      <c r="G22" s="246"/>
      <c r="H22" s="247"/>
      <c r="I22" s="315">
        <f>E21-H21</f>
        <v>0</v>
      </c>
      <c r="J22" s="249"/>
      <c r="M22" s="23"/>
    </row>
    <row r="23" spans="1:13" x14ac:dyDescent="0.25">
      <c r="M23" s="23"/>
    </row>
    <row r="24" spans="1:13" ht="18" x14ac:dyDescent="0.25">
      <c r="A24" s="22">
        <v>45968</v>
      </c>
      <c r="B24" s="28" t="s">
        <v>9</v>
      </c>
      <c r="C24" s="29">
        <v>0</v>
      </c>
      <c r="D24" s="53">
        <v>0</v>
      </c>
      <c r="E24" s="242">
        <v>0</v>
      </c>
      <c r="F24" s="242"/>
      <c r="G24" s="242"/>
      <c r="H24" s="55">
        <v>0</v>
      </c>
      <c r="I24" s="62">
        <f>E24-H24</f>
        <v>0</v>
      </c>
      <c r="J24" s="248"/>
      <c r="M24" s="23"/>
    </row>
    <row r="25" spans="1:13" ht="18" x14ac:dyDescent="0.35">
      <c r="A25" s="245" t="s">
        <v>13</v>
      </c>
      <c r="B25" s="246"/>
      <c r="C25" s="246"/>
      <c r="D25" s="246"/>
      <c r="E25" s="246"/>
      <c r="F25" s="246"/>
      <c r="G25" s="246"/>
      <c r="H25" s="247"/>
      <c r="I25" s="315">
        <f>E24-H24</f>
        <v>0</v>
      </c>
      <c r="J25" s="249"/>
      <c r="M25" s="23"/>
    </row>
    <row r="26" spans="1:13" x14ac:dyDescent="0.25">
      <c r="M26" s="23"/>
    </row>
    <row r="27" spans="1:13" ht="18" x14ac:dyDescent="0.25">
      <c r="A27" s="22">
        <v>45969</v>
      </c>
      <c r="B27" s="28" t="s">
        <v>9</v>
      </c>
      <c r="C27" s="29">
        <v>0</v>
      </c>
      <c r="D27" s="53">
        <v>0</v>
      </c>
      <c r="E27" s="242">
        <v>0</v>
      </c>
      <c r="F27" s="242"/>
      <c r="G27" s="242"/>
      <c r="H27" s="55">
        <v>0</v>
      </c>
      <c r="I27" s="50">
        <f>E27-H27</f>
        <v>0</v>
      </c>
      <c r="J27" s="248"/>
      <c r="M27" s="23"/>
    </row>
    <row r="28" spans="1:13" ht="18" x14ac:dyDescent="0.35">
      <c r="A28" s="245" t="s">
        <v>13</v>
      </c>
      <c r="B28" s="246"/>
      <c r="C28" s="246"/>
      <c r="D28" s="246"/>
      <c r="E28" s="246"/>
      <c r="F28" s="246"/>
      <c r="G28" s="246"/>
      <c r="H28" s="247"/>
      <c r="I28" s="315">
        <f>E27-H27</f>
        <v>0</v>
      </c>
      <c r="J28" s="249"/>
      <c r="M28" s="49"/>
    </row>
    <row r="30" spans="1:13" ht="18" x14ac:dyDescent="0.25">
      <c r="A30" s="22">
        <v>45971</v>
      </c>
      <c r="B30" s="28" t="s">
        <v>9</v>
      </c>
      <c r="C30" s="29">
        <v>0</v>
      </c>
      <c r="D30" s="53">
        <v>0</v>
      </c>
      <c r="E30" s="242">
        <v>0</v>
      </c>
      <c r="F30" s="242"/>
      <c r="G30" s="242"/>
      <c r="H30" s="55">
        <v>0</v>
      </c>
      <c r="I30" s="317">
        <f>E30-H30</f>
        <v>0</v>
      </c>
      <c r="J30" s="256"/>
    </row>
    <row r="31" spans="1:13" ht="18" x14ac:dyDescent="0.35">
      <c r="A31" s="245" t="s">
        <v>13</v>
      </c>
      <c r="B31" s="246"/>
      <c r="C31" s="246"/>
      <c r="D31" s="246"/>
      <c r="E31" s="246"/>
      <c r="F31" s="246"/>
      <c r="G31" s="246"/>
      <c r="H31" s="247"/>
      <c r="I31" s="315">
        <f>E30-H30</f>
        <v>0</v>
      </c>
      <c r="J31" s="257"/>
    </row>
    <row r="33" spans="1:10" ht="18" x14ac:dyDescent="0.25">
      <c r="A33" s="22">
        <v>45972</v>
      </c>
      <c r="B33" s="28" t="s">
        <v>9</v>
      </c>
      <c r="C33" s="29">
        <v>0</v>
      </c>
      <c r="D33" s="53">
        <v>0</v>
      </c>
      <c r="E33" s="242">
        <f>C33+D33</f>
        <v>0</v>
      </c>
      <c r="F33" s="242"/>
      <c r="G33" s="242"/>
      <c r="H33" s="55">
        <v>0</v>
      </c>
      <c r="I33" s="50">
        <f>E33-H33</f>
        <v>0</v>
      </c>
      <c r="J33" s="256"/>
    </row>
    <row r="34" spans="1:10" ht="18" x14ac:dyDescent="0.35">
      <c r="A34" s="245" t="s">
        <v>13</v>
      </c>
      <c r="B34" s="246"/>
      <c r="C34" s="246"/>
      <c r="D34" s="246"/>
      <c r="E34" s="246"/>
      <c r="F34" s="246"/>
      <c r="G34" s="246"/>
      <c r="H34" s="247"/>
      <c r="I34" s="315">
        <f>E33-H33</f>
        <v>0</v>
      </c>
      <c r="J34" s="257"/>
    </row>
    <row r="36" spans="1:10" ht="0.6" customHeight="1" x14ac:dyDescent="0.25"/>
    <row r="37" spans="1:10" ht="18" x14ac:dyDescent="0.25">
      <c r="A37" s="22">
        <v>45973</v>
      </c>
      <c r="B37" s="28" t="s">
        <v>9</v>
      </c>
      <c r="C37" s="29">
        <v>0</v>
      </c>
      <c r="D37" s="53">
        <v>0</v>
      </c>
      <c r="E37" s="242">
        <f>C37+D37</f>
        <v>0</v>
      </c>
      <c r="F37" s="242"/>
      <c r="G37" s="242"/>
      <c r="H37" s="55">
        <v>0</v>
      </c>
      <c r="I37" s="50">
        <f>E37-H37</f>
        <v>0</v>
      </c>
      <c r="J37" s="256"/>
    </row>
    <row r="38" spans="1:10" ht="18" x14ac:dyDescent="0.35">
      <c r="A38" s="245" t="s">
        <v>13</v>
      </c>
      <c r="B38" s="246"/>
      <c r="C38" s="246"/>
      <c r="D38" s="246"/>
      <c r="E38" s="246"/>
      <c r="F38" s="246"/>
      <c r="G38" s="246"/>
      <c r="H38" s="247"/>
      <c r="I38" s="315">
        <f>E37-H37</f>
        <v>0</v>
      </c>
      <c r="J38" s="257"/>
    </row>
    <row r="40" spans="1:10" ht="18" x14ac:dyDescent="0.25">
      <c r="A40" s="22">
        <v>45974</v>
      </c>
      <c r="B40" s="28" t="s">
        <v>9</v>
      </c>
      <c r="C40" s="29">
        <v>0</v>
      </c>
      <c r="D40" s="53">
        <v>0</v>
      </c>
      <c r="E40" s="242">
        <f>C40+D40</f>
        <v>0</v>
      </c>
      <c r="F40" s="242"/>
      <c r="G40" s="242"/>
      <c r="H40" s="55">
        <v>0</v>
      </c>
      <c r="I40" s="50">
        <f>E40-H40</f>
        <v>0</v>
      </c>
      <c r="J40" s="248"/>
    </row>
    <row r="41" spans="1:10" ht="18" x14ac:dyDescent="0.35">
      <c r="A41" s="245" t="s">
        <v>13</v>
      </c>
      <c r="B41" s="246"/>
      <c r="C41" s="246"/>
      <c r="D41" s="246"/>
      <c r="E41" s="246"/>
      <c r="F41" s="246"/>
      <c r="G41" s="246"/>
      <c r="H41" s="247"/>
      <c r="I41" s="315">
        <f>E40-H40</f>
        <v>0</v>
      </c>
      <c r="J41" s="249"/>
    </row>
    <row r="43" spans="1:10" ht="18" x14ac:dyDescent="0.25">
      <c r="A43" s="22">
        <v>45975</v>
      </c>
      <c r="B43" s="28" t="s">
        <v>9</v>
      </c>
      <c r="C43" s="29">
        <v>0</v>
      </c>
      <c r="D43" s="53">
        <v>0</v>
      </c>
      <c r="E43" s="242">
        <f>C43+D43</f>
        <v>0</v>
      </c>
      <c r="F43" s="242"/>
      <c r="G43" s="242"/>
      <c r="H43" s="55">
        <v>0</v>
      </c>
      <c r="I43" s="50">
        <f>E43-H43</f>
        <v>0</v>
      </c>
      <c r="J43" s="250"/>
    </row>
    <row r="44" spans="1:10" ht="18" x14ac:dyDescent="0.35">
      <c r="A44" s="245" t="s">
        <v>13</v>
      </c>
      <c r="B44" s="246"/>
      <c r="C44" s="246"/>
      <c r="D44" s="246"/>
      <c r="E44" s="246"/>
      <c r="F44" s="246"/>
      <c r="G44" s="246"/>
      <c r="H44" s="247"/>
      <c r="I44" s="315">
        <f>E43-H43</f>
        <v>0</v>
      </c>
      <c r="J44" s="251"/>
    </row>
    <row r="46" spans="1:10" ht="18" x14ac:dyDescent="0.25">
      <c r="A46" s="22">
        <v>45976</v>
      </c>
      <c r="B46" s="28" t="s">
        <v>9</v>
      </c>
      <c r="C46" s="29">
        <v>0</v>
      </c>
      <c r="D46" s="53">
        <v>0</v>
      </c>
      <c r="E46" s="242">
        <f>C46+D46</f>
        <v>0</v>
      </c>
      <c r="F46" s="242"/>
      <c r="G46" s="242"/>
      <c r="H46" s="55">
        <v>0</v>
      </c>
      <c r="I46" s="50">
        <f>E46-H46</f>
        <v>0</v>
      </c>
      <c r="J46" s="256"/>
    </row>
    <row r="47" spans="1:10" ht="18" x14ac:dyDescent="0.35">
      <c r="A47" s="245" t="s">
        <v>13</v>
      </c>
      <c r="B47" s="246"/>
      <c r="C47" s="246"/>
      <c r="D47" s="246"/>
      <c r="E47" s="246"/>
      <c r="F47" s="246"/>
      <c r="G47" s="246"/>
      <c r="H47" s="247"/>
      <c r="I47" s="315">
        <f>E46-H46</f>
        <v>0</v>
      </c>
      <c r="J47" s="257"/>
    </row>
    <row r="49" spans="1:10" ht="18" x14ac:dyDescent="0.25">
      <c r="A49" s="22">
        <v>45978</v>
      </c>
      <c r="B49" s="28" t="s">
        <v>9</v>
      </c>
      <c r="C49" s="29">
        <v>0</v>
      </c>
      <c r="D49" s="53">
        <v>0</v>
      </c>
      <c r="E49" s="242">
        <v>0</v>
      </c>
      <c r="F49" s="242"/>
      <c r="G49" s="242"/>
      <c r="H49" s="55">
        <v>0</v>
      </c>
      <c r="I49" s="50">
        <f>E49-H49</f>
        <v>0</v>
      </c>
      <c r="J49" s="248"/>
    </row>
    <row r="50" spans="1:10" ht="18" x14ac:dyDescent="0.35">
      <c r="A50" s="245" t="s">
        <v>13</v>
      </c>
      <c r="B50" s="246"/>
      <c r="C50" s="246"/>
      <c r="D50" s="246"/>
      <c r="E50" s="246"/>
      <c r="F50" s="246"/>
      <c r="G50" s="246"/>
      <c r="H50" s="247"/>
      <c r="I50" s="315">
        <v>0</v>
      </c>
      <c r="J50" s="249"/>
    </row>
    <row r="52" spans="1:10" ht="18" x14ac:dyDescent="0.25">
      <c r="A52" s="22">
        <v>45979</v>
      </c>
      <c r="B52" s="28" t="s">
        <v>9</v>
      </c>
      <c r="C52" s="29">
        <v>0</v>
      </c>
      <c r="D52" s="53">
        <v>0</v>
      </c>
      <c r="E52" s="242">
        <v>0</v>
      </c>
      <c r="F52" s="242"/>
      <c r="G52" s="242"/>
      <c r="H52" s="55">
        <v>0</v>
      </c>
      <c r="I52" s="50">
        <f>E52-H52</f>
        <v>0</v>
      </c>
      <c r="J52" s="250"/>
    </row>
    <row r="53" spans="1:10" ht="18" x14ac:dyDescent="0.35">
      <c r="A53" s="245" t="s">
        <v>13</v>
      </c>
      <c r="B53" s="246"/>
      <c r="C53" s="246"/>
      <c r="D53" s="246"/>
      <c r="E53" s="246"/>
      <c r="F53" s="246"/>
      <c r="G53" s="246"/>
      <c r="H53" s="247"/>
      <c r="I53" s="315">
        <f>E52-H52</f>
        <v>0</v>
      </c>
      <c r="J53" s="251"/>
    </row>
    <row r="55" spans="1:10" ht="18" x14ac:dyDescent="0.25">
      <c r="A55" s="22">
        <v>45980</v>
      </c>
      <c r="B55" s="28" t="s">
        <v>9</v>
      </c>
      <c r="C55" s="29">
        <v>0</v>
      </c>
      <c r="D55" s="53">
        <v>0</v>
      </c>
      <c r="E55" s="242">
        <f>C55+D55</f>
        <v>0</v>
      </c>
      <c r="F55" s="242"/>
      <c r="G55" s="242"/>
      <c r="H55" s="55">
        <v>0</v>
      </c>
      <c r="I55" s="50">
        <f>E55-H55</f>
        <v>0</v>
      </c>
      <c r="J55" s="248"/>
    </row>
    <row r="56" spans="1:10" ht="18" x14ac:dyDescent="0.35">
      <c r="A56" s="245" t="s">
        <v>13</v>
      </c>
      <c r="B56" s="246"/>
      <c r="C56" s="246"/>
      <c r="D56" s="246"/>
      <c r="E56" s="246"/>
      <c r="F56" s="246"/>
      <c r="G56" s="246"/>
      <c r="H56" s="247"/>
      <c r="I56" s="315">
        <f>E55-H55</f>
        <v>0</v>
      </c>
      <c r="J56" s="249"/>
    </row>
    <row r="58" spans="1:10" ht="18" x14ac:dyDescent="0.25">
      <c r="A58" s="22">
        <v>45981</v>
      </c>
      <c r="B58" s="28" t="s">
        <v>9</v>
      </c>
      <c r="C58" s="29">
        <v>0</v>
      </c>
      <c r="D58" s="53">
        <v>0</v>
      </c>
      <c r="E58" s="242">
        <f>C58+D58</f>
        <v>0</v>
      </c>
      <c r="F58" s="242"/>
      <c r="G58" s="242"/>
      <c r="H58" s="55">
        <v>0</v>
      </c>
      <c r="I58" s="50">
        <f>E58-H58</f>
        <v>0</v>
      </c>
      <c r="J58" s="248"/>
    </row>
    <row r="59" spans="1:10" ht="18" x14ac:dyDescent="0.25">
      <c r="A59" s="245" t="s">
        <v>13</v>
      </c>
      <c r="B59" s="246"/>
      <c r="C59" s="246"/>
      <c r="D59" s="246"/>
      <c r="E59" s="246"/>
      <c r="F59" s="246"/>
      <c r="G59" s="246"/>
      <c r="H59" s="247"/>
      <c r="I59" s="316">
        <f>E58-H58</f>
        <v>0</v>
      </c>
      <c r="J59" s="249"/>
    </row>
    <row r="61" spans="1:10" ht="18" x14ac:dyDescent="0.25">
      <c r="A61" s="22">
        <v>45982</v>
      </c>
      <c r="B61" s="28" t="s">
        <v>9</v>
      </c>
      <c r="C61" s="29">
        <v>0</v>
      </c>
      <c r="D61" s="53">
        <v>0</v>
      </c>
      <c r="E61" s="242">
        <v>0</v>
      </c>
      <c r="F61" s="242"/>
      <c r="G61" s="242"/>
      <c r="H61" s="55">
        <v>0</v>
      </c>
      <c r="I61" s="50">
        <f>E61-H61</f>
        <v>0</v>
      </c>
      <c r="J61" s="248"/>
    </row>
    <row r="62" spans="1:10" ht="18" x14ac:dyDescent="0.35">
      <c r="A62" s="245" t="s">
        <v>13</v>
      </c>
      <c r="B62" s="246"/>
      <c r="C62" s="246"/>
      <c r="D62" s="246"/>
      <c r="E62" s="246"/>
      <c r="F62" s="246"/>
      <c r="G62" s="246"/>
      <c r="H62" s="247"/>
      <c r="I62" s="315">
        <f>E61-H61</f>
        <v>0</v>
      </c>
      <c r="J62" s="249"/>
    </row>
    <row r="64" spans="1:10" ht="18" x14ac:dyDescent="0.25">
      <c r="A64" s="22">
        <v>45983</v>
      </c>
      <c r="B64" s="28" t="s">
        <v>9</v>
      </c>
      <c r="C64" s="29">
        <v>0</v>
      </c>
      <c r="D64" s="53">
        <v>0</v>
      </c>
      <c r="E64" s="242">
        <v>0</v>
      </c>
      <c r="F64" s="242"/>
      <c r="G64" s="242"/>
      <c r="H64" s="55">
        <v>0</v>
      </c>
      <c r="I64" s="50">
        <f>E64-H64</f>
        <v>0</v>
      </c>
      <c r="J64" s="256"/>
    </row>
    <row r="65" spans="1:10" ht="18" x14ac:dyDescent="0.35">
      <c r="A65" s="245" t="s">
        <v>13</v>
      </c>
      <c r="B65" s="246"/>
      <c r="C65" s="246"/>
      <c r="D65" s="246"/>
      <c r="E65" s="246"/>
      <c r="F65" s="246"/>
      <c r="G65" s="246"/>
      <c r="H65" s="247"/>
      <c r="I65" s="315">
        <f>E64-H64</f>
        <v>0</v>
      </c>
      <c r="J65" s="257"/>
    </row>
    <row r="67" spans="1:10" ht="18" x14ac:dyDescent="0.25">
      <c r="A67" s="22">
        <v>45985</v>
      </c>
      <c r="B67" s="28" t="s">
        <v>9</v>
      </c>
      <c r="C67" s="29">
        <v>0</v>
      </c>
      <c r="D67" s="53">
        <v>0</v>
      </c>
      <c r="E67" s="242">
        <v>0</v>
      </c>
      <c r="F67" s="242"/>
      <c r="G67" s="242"/>
      <c r="H67" s="55">
        <v>0</v>
      </c>
      <c r="I67" s="50">
        <f>E67-H67</f>
        <v>0</v>
      </c>
      <c r="J67" s="252"/>
    </row>
    <row r="68" spans="1:10" ht="18" x14ac:dyDescent="0.35">
      <c r="A68" s="245" t="s">
        <v>13</v>
      </c>
      <c r="B68" s="246"/>
      <c r="C68" s="246"/>
      <c r="D68" s="246"/>
      <c r="E68" s="246"/>
      <c r="F68" s="246"/>
      <c r="G68" s="246"/>
      <c r="H68" s="247"/>
      <c r="I68" s="315">
        <f>E67-H67</f>
        <v>0</v>
      </c>
      <c r="J68" s="253"/>
    </row>
    <row r="70" spans="1:10" ht="18" x14ac:dyDescent="0.25">
      <c r="A70" s="22">
        <v>45986</v>
      </c>
      <c r="B70" s="28" t="s">
        <v>9</v>
      </c>
      <c r="C70" s="29">
        <v>0</v>
      </c>
      <c r="D70" s="53">
        <v>0</v>
      </c>
      <c r="E70" s="242">
        <v>0</v>
      </c>
      <c r="F70" s="242"/>
      <c r="G70" s="242"/>
      <c r="H70" s="55">
        <v>0</v>
      </c>
      <c r="I70" s="50">
        <f>E70-H70</f>
        <v>0</v>
      </c>
      <c r="J70" s="250"/>
    </row>
    <row r="71" spans="1:10" ht="18" x14ac:dyDescent="0.35">
      <c r="A71" s="245"/>
      <c r="B71" s="246"/>
      <c r="C71" s="246"/>
      <c r="D71" s="246"/>
      <c r="E71" s="246"/>
      <c r="F71" s="246"/>
      <c r="G71" s="246"/>
      <c r="H71" s="247"/>
      <c r="I71" s="315">
        <f>E70-H70</f>
        <v>0</v>
      </c>
      <c r="J71" s="251"/>
    </row>
    <row r="73" spans="1:10" ht="18" x14ac:dyDescent="0.25">
      <c r="A73" s="22">
        <v>45987</v>
      </c>
      <c r="B73" s="28" t="s">
        <v>9</v>
      </c>
      <c r="C73" s="29">
        <v>0</v>
      </c>
      <c r="D73" s="53">
        <v>0</v>
      </c>
      <c r="E73" s="242">
        <v>0</v>
      </c>
      <c r="F73" s="242"/>
      <c r="G73" s="242"/>
      <c r="H73" s="55">
        <v>0</v>
      </c>
      <c r="I73" s="50">
        <f>E73-H73</f>
        <v>0</v>
      </c>
      <c r="J73" s="248"/>
    </row>
    <row r="74" spans="1:10" ht="18" x14ac:dyDescent="0.35">
      <c r="A74" s="245" t="s">
        <v>13</v>
      </c>
      <c r="B74" s="246"/>
      <c r="C74" s="246"/>
      <c r="D74" s="246"/>
      <c r="E74" s="246"/>
      <c r="F74" s="246"/>
      <c r="G74" s="246"/>
      <c r="H74" s="247"/>
      <c r="I74" s="315">
        <f>E73-H73</f>
        <v>0</v>
      </c>
      <c r="J74" s="249"/>
    </row>
    <row r="76" spans="1:10" ht="18" x14ac:dyDescent="0.25">
      <c r="A76" s="22">
        <v>45988</v>
      </c>
      <c r="B76" s="28" t="s">
        <v>9</v>
      </c>
      <c r="C76" s="29">
        <v>0</v>
      </c>
      <c r="D76" s="53">
        <v>0</v>
      </c>
      <c r="E76" s="242">
        <v>0</v>
      </c>
      <c r="F76" s="242"/>
      <c r="G76" s="242"/>
      <c r="H76" s="55">
        <v>0</v>
      </c>
      <c r="I76" s="50">
        <f>E76-H76</f>
        <v>0</v>
      </c>
      <c r="J76" s="248"/>
    </row>
    <row r="77" spans="1:10" ht="18" x14ac:dyDescent="0.35">
      <c r="A77" s="245" t="s">
        <v>13</v>
      </c>
      <c r="B77" s="246"/>
      <c r="C77" s="246"/>
      <c r="D77" s="246"/>
      <c r="E77" s="246"/>
      <c r="F77" s="246"/>
      <c r="G77" s="246"/>
      <c r="H77" s="247"/>
      <c r="I77" s="315">
        <f>E76-H76</f>
        <v>0</v>
      </c>
      <c r="J77" s="249"/>
    </row>
    <row r="79" spans="1:10" ht="18" x14ac:dyDescent="0.25">
      <c r="A79" s="22">
        <v>45989</v>
      </c>
      <c r="B79" s="28" t="s">
        <v>9</v>
      </c>
      <c r="C79" s="29">
        <f>I76</f>
        <v>0</v>
      </c>
      <c r="D79" s="53">
        <v>0</v>
      </c>
      <c r="E79" s="242">
        <f>C79+D79</f>
        <v>0</v>
      </c>
      <c r="F79" s="242"/>
      <c r="G79" s="242"/>
      <c r="H79" s="55">
        <v>0</v>
      </c>
      <c r="I79" s="50">
        <f>E79-H79</f>
        <v>0</v>
      </c>
      <c r="J79" s="248"/>
    </row>
    <row r="80" spans="1:10" ht="18" x14ac:dyDescent="0.35">
      <c r="A80" s="245" t="s">
        <v>13</v>
      </c>
      <c r="B80" s="246"/>
      <c r="C80" s="246"/>
      <c r="D80" s="246"/>
      <c r="E80" s="246"/>
      <c r="F80" s="246"/>
      <c r="G80" s="246"/>
      <c r="H80" s="247"/>
      <c r="I80" s="315">
        <f>E79-H79</f>
        <v>0</v>
      </c>
      <c r="J80" s="249"/>
    </row>
    <row r="82" spans="1:10" ht="18" x14ac:dyDescent="0.25">
      <c r="A82" s="22">
        <v>45990</v>
      </c>
      <c r="B82" s="28" t="s">
        <v>9</v>
      </c>
      <c r="C82" s="29">
        <v>0</v>
      </c>
      <c r="D82" s="53">
        <v>0</v>
      </c>
      <c r="E82" s="242">
        <f>C82+D82</f>
        <v>0</v>
      </c>
      <c r="F82" s="242"/>
      <c r="G82" s="242"/>
      <c r="H82" s="55">
        <v>0</v>
      </c>
      <c r="I82" s="50">
        <f>E82-H82</f>
        <v>0</v>
      </c>
      <c r="J82" s="248"/>
    </row>
    <row r="83" spans="1:10" ht="18" x14ac:dyDescent="0.35">
      <c r="A83" s="245" t="s">
        <v>13</v>
      </c>
      <c r="B83" s="246"/>
      <c r="C83" s="246"/>
      <c r="D83" s="246"/>
      <c r="E83" s="246"/>
      <c r="F83" s="246"/>
      <c r="G83" s="246"/>
      <c r="H83" s="247"/>
      <c r="I83" s="315">
        <f>E82-H82</f>
        <v>0</v>
      </c>
      <c r="J83" s="249"/>
    </row>
    <row r="85" spans="1:10" ht="18" x14ac:dyDescent="0.25">
      <c r="A85" s="22">
        <v>45961</v>
      </c>
      <c r="B85" s="28" t="s">
        <v>9</v>
      </c>
      <c r="C85" s="29">
        <v>0</v>
      </c>
      <c r="D85" s="53">
        <v>0</v>
      </c>
      <c r="E85" s="242">
        <f>C85+D85</f>
        <v>0</v>
      </c>
      <c r="F85" s="242"/>
      <c r="G85" s="242"/>
      <c r="H85" s="55">
        <v>0</v>
      </c>
      <c r="I85" s="50">
        <f>E85-H85</f>
        <v>0</v>
      </c>
      <c r="J85" s="252"/>
    </row>
    <row r="86" spans="1:10" ht="18" x14ac:dyDescent="0.35">
      <c r="A86" s="245" t="s">
        <v>13</v>
      </c>
      <c r="B86" s="246"/>
      <c r="C86" s="246"/>
      <c r="D86" s="246"/>
      <c r="E86" s="246"/>
      <c r="F86" s="246"/>
      <c r="G86" s="246"/>
      <c r="H86" s="247"/>
      <c r="I86" s="315">
        <f>E85-H85</f>
        <v>0</v>
      </c>
      <c r="J86" s="253"/>
    </row>
    <row r="92" spans="1:10" x14ac:dyDescent="0.25">
      <c r="D92" s="103"/>
    </row>
    <row r="94" spans="1:10" x14ac:dyDescent="0.25">
      <c r="J94" s="102"/>
    </row>
  </sheetData>
  <mergeCells count="89">
    <mergeCell ref="E82:G82"/>
    <mergeCell ref="J82:J83"/>
    <mergeCell ref="A83:H83"/>
    <mergeCell ref="E85:G85"/>
    <mergeCell ref="J85:J86"/>
    <mergeCell ref="A86:H86"/>
    <mergeCell ref="E76:G76"/>
    <mergeCell ref="J76:J77"/>
    <mergeCell ref="A77:H77"/>
    <mergeCell ref="E79:G79"/>
    <mergeCell ref="J79:J80"/>
    <mergeCell ref="A80:H80"/>
    <mergeCell ref="E70:G70"/>
    <mergeCell ref="J70:J71"/>
    <mergeCell ref="A71:H71"/>
    <mergeCell ref="E73:G73"/>
    <mergeCell ref="J73:J74"/>
    <mergeCell ref="A74:H74"/>
    <mergeCell ref="E64:G64"/>
    <mergeCell ref="J64:J65"/>
    <mergeCell ref="A65:H65"/>
    <mergeCell ref="E67:G67"/>
    <mergeCell ref="J67:J68"/>
    <mergeCell ref="A68:H68"/>
    <mergeCell ref="E58:G58"/>
    <mergeCell ref="J58:J59"/>
    <mergeCell ref="A59:H59"/>
    <mergeCell ref="E61:G61"/>
    <mergeCell ref="J61:J62"/>
    <mergeCell ref="A62:H62"/>
    <mergeCell ref="E52:G52"/>
    <mergeCell ref="J52:J53"/>
    <mergeCell ref="A53:H53"/>
    <mergeCell ref="E55:G55"/>
    <mergeCell ref="J55:J56"/>
    <mergeCell ref="A56:H56"/>
    <mergeCell ref="E46:G46"/>
    <mergeCell ref="J46:J47"/>
    <mergeCell ref="A47:H47"/>
    <mergeCell ref="E49:G49"/>
    <mergeCell ref="J49:J50"/>
    <mergeCell ref="A50:H50"/>
    <mergeCell ref="E40:G40"/>
    <mergeCell ref="J40:J41"/>
    <mergeCell ref="A41:H41"/>
    <mergeCell ref="E43:G43"/>
    <mergeCell ref="J43:J44"/>
    <mergeCell ref="A44:H44"/>
    <mergeCell ref="E30:G30"/>
    <mergeCell ref="J30:J31"/>
    <mergeCell ref="A31:H31"/>
    <mergeCell ref="E37:G37"/>
    <mergeCell ref="J37:J38"/>
    <mergeCell ref="A38:H38"/>
    <mergeCell ref="E33:G33"/>
    <mergeCell ref="J33:J34"/>
    <mergeCell ref="A34:H34"/>
    <mergeCell ref="E27:G27"/>
    <mergeCell ref="J27:J28"/>
    <mergeCell ref="A28:H28"/>
    <mergeCell ref="E21:G21"/>
    <mergeCell ref="J21:J22"/>
    <mergeCell ref="A22:H22"/>
    <mergeCell ref="E24:G24"/>
    <mergeCell ref="J24:J25"/>
    <mergeCell ref="A25:H25"/>
    <mergeCell ref="E15:G15"/>
    <mergeCell ref="J15:J16"/>
    <mergeCell ref="A16:H16"/>
    <mergeCell ref="E18:G18"/>
    <mergeCell ref="J18:J19"/>
    <mergeCell ref="A19:H19"/>
    <mergeCell ref="A11:J11"/>
    <mergeCell ref="E12:G12"/>
    <mergeCell ref="J12:J13"/>
    <mergeCell ref="A13:H13"/>
    <mergeCell ref="A5:J5"/>
    <mergeCell ref="A6:J6"/>
    <mergeCell ref="E7:G7"/>
    <mergeCell ref="A8:J8"/>
    <mergeCell ref="E9:G9"/>
    <mergeCell ref="J9:J10"/>
    <mergeCell ref="A10:H10"/>
    <mergeCell ref="A1:B3"/>
    <mergeCell ref="C1:I1"/>
    <mergeCell ref="C2:I2"/>
    <mergeCell ref="C3:F3"/>
    <mergeCell ref="G3:J3"/>
    <mergeCell ref="A4:J4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3" name="Drop Down 1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4" name="Drop Down 2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5" name="Drop Down 3">
              <controlPr locked="0" defaultSize="0" print="0" autoFill="0" autoLine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CAIXA DIÁRIO JANEIRO</vt:lpstr>
      <vt:lpstr>CAIXA DIÁRIO FEVEREIRO</vt:lpstr>
      <vt:lpstr>CAIXA DIÁRIO MARÇO</vt:lpstr>
      <vt:lpstr>CAIXA DIÁRIO ABRIL</vt:lpstr>
      <vt:lpstr>CAIXA DIÁRIO MAIO</vt:lpstr>
      <vt:lpstr>CAIXA DIÁRIO JUNHO</vt:lpstr>
      <vt:lpstr>CAIXA DIÁRIO JULHO</vt:lpstr>
      <vt:lpstr>CAIXA DIÁRIO AGOSTO</vt:lpstr>
      <vt:lpstr>CAIXA DIÁRIO SETEMBRO</vt:lpstr>
      <vt:lpstr>CAIXA DIÁRIO OUTUBRO</vt:lpstr>
      <vt:lpstr>CAIXA DIÁRIO NOVEMBRO</vt:lpstr>
      <vt:lpstr>'CAIXA DIÁRIO JANEIRO'!Area_de_impressao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Esther Lima</cp:lastModifiedBy>
  <cp:lastPrinted>2025-07-16T20:20:12Z</cp:lastPrinted>
  <dcterms:created xsi:type="dcterms:W3CDTF">2006-01-11T17:38:40Z</dcterms:created>
  <dcterms:modified xsi:type="dcterms:W3CDTF">2025-11-03T19:30:41Z</dcterms:modified>
</cp:coreProperties>
</file>