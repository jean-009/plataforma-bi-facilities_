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13_ncr:1_{ABF26BA0-3D18-4D52-A107-608BD026A962}" xr6:coauthVersionLast="47" xr6:coauthVersionMax="47" xr10:uidLastSave="{00000000-0000-0000-0000-000000000000}"/>
  <bookViews>
    <workbookView xWindow="-108" yWindow="-108" windowWidth="23256" windowHeight="12456" firstSheet="3" activeTab="5" xr2:uid="{64EF3A16-EEEE-4C44-AC8F-3D4BF1A9111A}"/>
  </bookViews>
  <sheets>
    <sheet name="HSERV CABREUVA SERVICOS DE APOI" sheetId="3" r:id="rId1"/>
    <sheet name="H SERV CLEAN COMERCIO DE PRODUT" sheetId="1" r:id="rId2"/>
    <sheet name="VITOR AUGUSTO DUARTE SOCIEDADE " sheetId="8" r:id="rId3"/>
    <sheet name="HSERV SERVICOS COMBINADOS DE FA" sheetId="4" r:id="rId4"/>
    <sheet name="dividas Veiculares" sheetId="12" r:id="rId5"/>
    <sheet name="HENRIQUE JEAN DUARTE LTDA" sheetId="9" r:id="rId6"/>
    <sheet name="DIVIDAS TRABALHISTA" sheetId="10" r:id="rId7"/>
    <sheet name="HSERV TECNOLOGIA E SERVICOS SOC" sheetId="7" r:id="rId8"/>
    <sheet name="HSERV SERVICOS TERCEIRIZADOS SO" sheetId="6" r:id="rId9"/>
    <sheet name="HSERV SERVICOS DE LIMPEZA E SEG" sheetId="5" r:id="rId10"/>
    <sheet name="HSERV CABREUVA REPRESENTACOES C" sheetId="2" r:id="rId11"/>
  </sheets>
  <definedNames>
    <definedName name="_xlnm._FilterDatabase" localSheetId="2" hidden="1">'VITOR AUGUSTO DUARTE SOCIEDADE '!$A$1:$F$68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8" i="8" l="1"/>
  <c r="D51" i="4"/>
  <c r="D28" i="7"/>
  <c r="D33" i="6"/>
  <c r="D31" i="2"/>
  <c r="D29" i="5"/>
  <c r="D39" i="9"/>
  <c r="D54" i="1"/>
  <c r="D43" i="3"/>
  <c r="E27" i="4" l="1"/>
  <c r="G27" i="4" s="1"/>
  <c r="E21" i="9"/>
  <c r="G21" i="9" s="1"/>
  <c r="G22" i="9" s="1"/>
  <c r="B33" i="3"/>
  <c r="B41" i="1"/>
  <c r="B96" i="8"/>
  <c r="B40" i="4"/>
  <c r="B30" i="9"/>
  <c r="B20" i="2"/>
  <c r="B18" i="5"/>
  <c r="B16" i="6"/>
  <c r="B18" i="7"/>
  <c r="C34" i="4"/>
  <c r="C88" i="8"/>
  <c r="B27" i="3"/>
  <c r="G27" i="3"/>
  <c r="C14" i="10"/>
  <c r="B14" i="10"/>
  <c r="B16" i="10" s="1"/>
  <c r="E27" i="3"/>
  <c r="F29" i="1"/>
  <c r="H29" i="1" s="1"/>
  <c r="E20" i="9"/>
  <c r="G20" i="9" s="1"/>
  <c r="E26" i="4"/>
  <c r="E25" i="4"/>
  <c r="G25" i="4" s="1"/>
  <c r="F30" i="1"/>
  <c r="H30" i="1" s="1"/>
  <c r="F28" i="1"/>
  <c r="H28" i="1" s="1"/>
  <c r="E23" i="3"/>
  <c r="G23" i="3" s="1"/>
  <c r="E22" i="3"/>
  <c r="G22" i="3" s="1"/>
  <c r="E21" i="3"/>
  <c r="G28" i="4" l="1"/>
  <c r="H31" i="1"/>
  <c r="E12" i="4"/>
  <c r="D11" i="1"/>
  <c r="D4" i="6"/>
  <c r="D7" i="5"/>
  <c r="D10" i="2"/>
  <c r="F18" i="1" l="1"/>
  <c r="H18" i="1" s="1"/>
  <c r="E10" i="3"/>
  <c r="G10" i="3" s="1"/>
  <c r="D68" i="8" l="1"/>
  <c r="E13" i="4"/>
  <c r="G13" i="4" s="1"/>
  <c r="G12" i="4"/>
  <c r="E11" i="4"/>
  <c r="G11" i="4" s="1"/>
  <c r="E10" i="9"/>
  <c r="G10" i="9" s="1"/>
  <c r="E9" i="9"/>
  <c r="G9" i="9" s="1"/>
  <c r="G11" i="9" s="1"/>
  <c r="E10" i="4"/>
  <c r="G10" i="4" s="1"/>
  <c r="E9" i="4"/>
  <c r="G9" i="4" s="1"/>
  <c r="E8" i="4"/>
  <c r="G8" i="4" s="1"/>
  <c r="F73" i="8"/>
  <c r="H73" i="8" s="1"/>
  <c r="F17" i="1"/>
  <c r="F16" i="1"/>
  <c r="H16" i="1" s="1"/>
  <c r="E9" i="3"/>
  <c r="G9" i="3" s="1"/>
  <c r="G11" i="3" s="1"/>
  <c r="E8" i="3"/>
  <c r="E7" i="3"/>
  <c r="G14" i="4" l="1"/>
  <c r="H19" i="1"/>
</calcChain>
</file>

<file path=xl/sharedStrings.xml><?xml version="1.0" encoding="utf-8"?>
<sst xmlns="http://schemas.openxmlformats.org/spreadsheetml/2006/main" count="804" uniqueCount="187">
  <si>
    <t>CLIENTE</t>
  </si>
  <si>
    <t>VALOR 2024</t>
  </si>
  <si>
    <t>DESCRIÇAO DOS SERVIÇOS</t>
  </si>
  <si>
    <t>CONTROLE DE ACESSO</t>
  </si>
  <si>
    <t>LIMPEZA</t>
  </si>
  <si>
    <t>PLASTY COMERCIAL DE PLASTICOS LTDA - ISOFORMA</t>
  </si>
  <si>
    <t xml:space="preserve">JARDINAGEM </t>
  </si>
  <si>
    <t>LIMPEZA NOTURNA</t>
  </si>
  <si>
    <t>MONITORAMENTO.</t>
  </si>
  <si>
    <t>SEGURANÇA</t>
  </si>
  <si>
    <t>RONDA</t>
  </si>
  <si>
    <t>LOCAÇÃO</t>
  </si>
  <si>
    <t>TTB INDUSTRIA E COMERCIO DE PRODUTOS METALICOS LTDA</t>
  </si>
  <si>
    <t>JARDINAGEM 1 X NA SEMANA.</t>
  </si>
  <si>
    <t>VETTOR PECAS E TUBOS INDUSTRIA E COMERCIO LTDA.</t>
  </si>
  <si>
    <t>VETTOR TORRES DE RESFRIAMENTO LTDA</t>
  </si>
  <si>
    <t>CONDOMINIO PALAZZO VENEZA</t>
  </si>
  <si>
    <t>FISCAL</t>
  </si>
  <si>
    <t>TECNIPLAS EQUIPAMENTOS EM COMPOSITOS LTDA</t>
  </si>
  <si>
    <t>EDMAR APARECIDO MARTINEZ</t>
  </si>
  <si>
    <t>MIPAL INDUSTRIA DE EVAPORADORES LTDA</t>
  </si>
  <si>
    <t>RONDA NOTURNO</t>
  </si>
  <si>
    <t>CONDOMINIO NEW PARQUE TENIS</t>
  </si>
  <si>
    <t>CONDOMINIO BELL ART</t>
  </si>
  <si>
    <t>CONTROLADE DE ACESSO</t>
  </si>
  <si>
    <t>PREFEITURA MUNICIPAL DE CABREUVA</t>
  </si>
  <si>
    <t>INTERBRILHO HIGIENE E LIMPEZA LTDA</t>
  </si>
  <si>
    <t>DEPOSITO SANTA CATARINA DE CABREUVA LTDA</t>
  </si>
  <si>
    <t>MONITORAMENTO</t>
  </si>
  <si>
    <t>IRMÃOS BOA - CAMPO LIMPO (LOJA 16)</t>
  </si>
  <si>
    <t>IRMÃO BOA - ELOY CHAVES (LOJA17)</t>
  </si>
  <si>
    <t>IRMÃOS BOA - CENTENARIO (LOJA 06)</t>
  </si>
  <si>
    <t>IRMÃOS BOA - SOROCABA (LOJA 12)</t>
  </si>
  <si>
    <t>IRMÃOS BOA - DOM OLIVIO (LOJA 15)</t>
  </si>
  <si>
    <t>IRMÃOS BOA  - VILA RAMI (LOJA 09)</t>
  </si>
  <si>
    <t>IRMÃOS BOA  - CENTRO (LOJA 13)</t>
  </si>
  <si>
    <t>IRMÃOS BOA - ANHANGUERA (LOJA 02)</t>
  </si>
  <si>
    <t>IRMÃOS BOA - HORTOLANDIA (LOJA 01)</t>
  </si>
  <si>
    <t>IRMÃOS BOA - IMIGRANTES (LOJA 03)</t>
  </si>
  <si>
    <t>IRMÃOS BOA - VILA ARENS (LOJA 14)</t>
  </si>
  <si>
    <t>IRMÃOS BOA - DOM OLIVIO (LOJA 15) CD 07</t>
  </si>
  <si>
    <t>IRMÃOS BOA  - FRANCISCO MORATO (LOJA 10)</t>
  </si>
  <si>
    <t>IRMÃOS BOA  - VARZEA PAULISTA (LOJA 08)</t>
  </si>
  <si>
    <t>IRMÃOS BOA - CABREÚVA (LOJA 05)</t>
  </si>
  <si>
    <t>IRMÃOS BOA - MAXI SHOPPING (LOJA 04)</t>
  </si>
  <si>
    <t>IRMAOS BOA CD ITUPEVA (LOJA 18)</t>
  </si>
  <si>
    <t>IRMÃO BOA - LIBERDADE (LOJA 11)</t>
  </si>
  <si>
    <t>AVENIDA LOJA 10</t>
  </si>
  <si>
    <t>AVENIDA LOJA 11</t>
  </si>
  <si>
    <t>AVENIDA LOJA 25</t>
  </si>
  <si>
    <t>AVENIDA LOJA 26</t>
  </si>
  <si>
    <t>AVENIDA LOJA 29</t>
  </si>
  <si>
    <t>AVENIDA LOJA 31</t>
  </si>
  <si>
    <t>AVENIDA LOJA 32</t>
  </si>
  <si>
    <t>AVENIDA LOJA 07</t>
  </si>
  <si>
    <t>AVENIDA LOJA 09</t>
  </si>
  <si>
    <t>AVENIDA LOJA 18</t>
  </si>
  <si>
    <t>AVENIDA LOJA 30</t>
  </si>
  <si>
    <t>AVENIDA LOJA 41</t>
  </si>
  <si>
    <t>AVENIDA LOJA 08</t>
  </si>
  <si>
    <t>AVENIDA LOJA 12</t>
  </si>
  <si>
    <t>AVENIDA LOJA 21</t>
  </si>
  <si>
    <t>AVENIDA LOJA 33</t>
  </si>
  <si>
    <t>AVENIDA LOJA 38</t>
  </si>
  <si>
    <t>AVENIDA LOJA 37</t>
  </si>
  <si>
    <t>AVENIDA LOJA 39</t>
  </si>
  <si>
    <t>AVENIDA LOJA 40</t>
  </si>
  <si>
    <t>AVENIDA LOJA 02</t>
  </si>
  <si>
    <t>AVENIDA LOJA 03</t>
  </si>
  <si>
    <t>AVENIDA LOJA 04</t>
  </si>
  <si>
    <t>AVENIDA LOJA 13</t>
  </si>
  <si>
    <t>AVENIDA LOJA 20</t>
  </si>
  <si>
    <t>AVENIDA LOJA 23</t>
  </si>
  <si>
    <t>AVENIDA LOJA 28</t>
  </si>
  <si>
    <t>AVENIDALOJA 14</t>
  </si>
  <si>
    <t>AVENIDA LOJA 27</t>
  </si>
  <si>
    <t>AVENIDA LOJA 34</t>
  </si>
  <si>
    <t>AVENIDALOJA 35</t>
  </si>
  <si>
    <t>AVENIDA LOJA 36</t>
  </si>
  <si>
    <t>CNPJ</t>
  </si>
  <si>
    <t>13.423.530/0001-94</t>
  </si>
  <si>
    <t>17.712.528/0001-96</t>
  </si>
  <si>
    <t>09.084.364/0001-71</t>
  </si>
  <si>
    <t>32.488.187/0001-00</t>
  </si>
  <si>
    <t>47.218.628/0001-98</t>
  </si>
  <si>
    <t xml:space="preserve"> 47.209.318/0001-40</t>
  </si>
  <si>
    <t>47.209.799/0001-94</t>
  </si>
  <si>
    <t>22.142.040/0001-00</t>
  </si>
  <si>
    <t>SÓCIO</t>
  </si>
  <si>
    <t>JÉSSICA TRINDADE DOS SANTOS DUARTE</t>
  </si>
  <si>
    <t>VITOR AUGUSTO DUARTE</t>
  </si>
  <si>
    <t>CRISTIANE TRINDADE DOS SANTOS RODRIGUES</t>
  </si>
  <si>
    <t>MARIA JOSE DE OLIVEIRA</t>
  </si>
  <si>
    <t>GUTHIERRE TRINDADE RODRIGUES</t>
  </si>
  <si>
    <t>THAÍS MACÊDO DUARTE</t>
  </si>
  <si>
    <t>MARIA MADALENA DUARTE</t>
  </si>
  <si>
    <t>31.631.347/0001-66</t>
  </si>
  <si>
    <t>HENRIQUE JEAN DUARTE</t>
  </si>
  <si>
    <t>BANCO</t>
  </si>
  <si>
    <t xml:space="preserve">VALOR </t>
  </si>
  <si>
    <t>PARCELAS PAGAS</t>
  </si>
  <si>
    <t>VALOR RESIDUAL</t>
  </si>
  <si>
    <t>BADESCO</t>
  </si>
  <si>
    <t>TOTAL PARCELAS</t>
  </si>
  <si>
    <t>PARCELAS A PAGAR</t>
  </si>
  <si>
    <t>CAIXA</t>
  </si>
  <si>
    <t>SAFRA</t>
  </si>
  <si>
    <t>VALOR DA PARCELA</t>
  </si>
  <si>
    <t>SOFISA</t>
  </si>
  <si>
    <t>SICOOB</t>
  </si>
  <si>
    <t>DÍVIDAS BANCARIAS</t>
  </si>
  <si>
    <t>RICARO IMPORTACAO IND. E COM. DE EMBALAGENS E INSUM.</t>
  </si>
  <si>
    <t>SOFISA EXECUÇÃO</t>
  </si>
  <si>
    <t>SOFISA HONORARIOS</t>
  </si>
  <si>
    <t>SANTANDER</t>
  </si>
  <si>
    <t>SUPERMERCARDO TROIYANO - DRACENA</t>
  </si>
  <si>
    <t>SUPERMERCARDO TROIYANO- TUPI</t>
  </si>
  <si>
    <t>SUPERMERCARDO TROIYANO- JUNQUEIROPOLIS</t>
  </si>
  <si>
    <t>BRADESCO - CARTAO</t>
  </si>
  <si>
    <t>COLABORADORES</t>
  </si>
  <si>
    <t>Exceto equipe Troyano</t>
  </si>
  <si>
    <t>CONTRATO 2025</t>
  </si>
  <si>
    <t>LIQUIDO</t>
  </si>
  <si>
    <t>DATA DE PAGAMENTO</t>
  </si>
  <si>
    <t>ULTIMA QUINTA DO MÊS</t>
  </si>
  <si>
    <t>IRMÃOS BOA -  (LOJA 21)</t>
  </si>
  <si>
    <t>IRMÃOS BOA - PEDREIRA (LOJA 25)</t>
  </si>
  <si>
    <t>IRMÃOS BOA - CECAP  (LOJA 19)</t>
  </si>
  <si>
    <t>IRMÃOS BOA - PAULINIA  (LOJA 23)</t>
  </si>
  <si>
    <t>IRMÃO BOA - VALINHOS (LOJA 22)</t>
  </si>
  <si>
    <t>BRADESCO</t>
  </si>
  <si>
    <t>QUITADO</t>
  </si>
  <si>
    <t>24x</t>
  </si>
  <si>
    <t>20/48</t>
  </si>
  <si>
    <t>21/48</t>
  </si>
  <si>
    <t>HENRIQUE JEAN não é ?</t>
  </si>
  <si>
    <t>finaliza em janeiro</t>
  </si>
  <si>
    <t>em dia 12/20</t>
  </si>
  <si>
    <t>Em dia 12/24 - parcela 1.392,65</t>
  </si>
  <si>
    <t>emprestimo negociado: 8 parcelas de 24 (R$ 35714,97 (VALOR PARCELA 0</t>
  </si>
  <si>
    <t>OK</t>
  </si>
  <si>
    <t>ok</t>
  </si>
  <si>
    <t>VENCIMENTO</t>
  </si>
  <si>
    <t>ITAUCARD FIORINOS</t>
  </si>
  <si>
    <t>HENRIQUE JEAN</t>
  </si>
  <si>
    <t>HSERV CABREUVA</t>
  </si>
  <si>
    <t>HSERV CLEAN</t>
  </si>
  <si>
    <t>HSERV COMBINADOS</t>
  </si>
  <si>
    <t>HSERV LIMPEZA</t>
  </si>
  <si>
    <t>HSERV REPRESENTACOES</t>
  </si>
  <si>
    <t>HSERV TERCEIRIZADOS</t>
  </si>
  <si>
    <t>VITOR DUARTE</t>
  </si>
  <si>
    <t>TOTAL</t>
  </si>
  <si>
    <t>Dividas Trabalhistas</t>
  </si>
  <si>
    <t>Empresas</t>
  </si>
  <si>
    <t>DÍVIDAS COM FINANCIAMENTO VEICULAR</t>
  </si>
  <si>
    <t>DIVIDAS TRABALHISTAS</t>
  </si>
  <si>
    <t>LOCALIZA FLEET S.A.</t>
  </si>
  <si>
    <t xml:space="preserve">VITOR DUARTE </t>
  </si>
  <si>
    <t>Dividas Veiculares</t>
  </si>
  <si>
    <t>EMPRESA</t>
  </si>
  <si>
    <t>VALOR</t>
  </si>
  <si>
    <t>DIVIDAS VEICULARES</t>
  </si>
  <si>
    <t>CARTÃO DE CREDITO</t>
  </si>
  <si>
    <t>MOVIDA</t>
  </si>
  <si>
    <t xml:space="preserve">QMY1E00 e TJL4F14 </t>
  </si>
  <si>
    <t>SVQ7D60</t>
  </si>
  <si>
    <t>SINDICATO DOS EMPREGADOS E TRABALHADORES NAS EMPRESAS DE PRE</t>
  </si>
  <si>
    <t>SINDICATO</t>
  </si>
  <si>
    <t>GNB ADMINISTRACAO DE BENEFICIOS SOCIAIS LTDA</t>
  </si>
  <si>
    <t>ASOMETRA ENGENHARIA DE SEGURANCA E MEDICINA DO TRABALHO LTDA</t>
  </si>
  <si>
    <t>EXAMES MEDICOS</t>
  </si>
  <si>
    <t>DIVIDAS FINANCEIRA</t>
  </si>
  <si>
    <t>SINDICATO DOS EMPREGADOS E TRABALHADORES</t>
  </si>
  <si>
    <t xml:space="preserve">ASOMETRA ENGENHARIA DE SEGURANCA E MEDICINA DO TRABALHO </t>
  </si>
  <si>
    <t xml:space="preserve">DESCRIÇÃO </t>
  </si>
  <si>
    <t>CENTRO DE CUSTO</t>
  </si>
  <si>
    <t xml:space="preserve">GNB ADMINISTRACAO DE BENEFICIOS SOCIAIS </t>
  </si>
  <si>
    <t>SIEMACO-PRUDENTE SINDICATO AVENIDA, ASSIS E REGIÃO- REFERENTE MARÇO</t>
  </si>
  <si>
    <t xml:space="preserve">SINDICATO DOS EMPREGADOS E TRABALHADORES NAS EMPRESAS </t>
  </si>
  <si>
    <t>DATA</t>
  </si>
  <si>
    <t>DESCRIÇÃO</t>
  </si>
  <si>
    <t xml:space="preserve">CATEGORIA </t>
  </si>
  <si>
    <t>HSERV TECNOLOGIA</t>
  </si>
  <si>
    <t>ASOMETRA ENGENHARIA DE SEGURANCA E MEDICINA DO TRABALHO</t>
  </si>
  <si>
    <t>DIVIDAS FINANCEIRAS</t>
  </si>
  <si>
    <t>SINDICATO DOS EMPREGADOS E TRABALHADORES NAS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</si>
</sst>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R$ ]\ #,##0.00;\-[$R$ ]#,##0.00"/>
  </numFmts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111111"/>
      <name val="Calibri"/>
      <family val="2"/>
      <scheme val="minor"/>
    </font>
    <font>
      <sz val="10"/>
      <color rgb="FF1111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0"/>
      <color rgb="FF111111"/>
      <name val="Calibri Light"/>
      <family val="2"/>
    </font>
    <font>
      <sz val="10"/>
      <color rgb="FFFF0000"/>
      <name val="Calibri Light"/>
      <family val="2"/>
    </font>
    <font>
      <sz val="11"/>
      <color rgb="FF111111"/>
      <name val="Calibri Light"/>
      <family val="2"/>
    </font>
    <font>
      <b/>
      <sz val="11"/>
      <color rgb="FFED0000"/>
      <name val="Calibri"/>
      <family val="2"/>
      <scheme val="minor"/>
    </font>
    <font>
      <b/>
      <sz val="10"/>
      <color rgb="FF111111"/>
      <name val="Calibri Light"/>
      <family val="2"/>
    </font>
    <font>
      <b/>
      <sz val="10"/>
      <name val="Calibri Light"/>
      <family val="2"/>
    </font>
    <font>
      <sz val="11"/>
      <color rgb="FFED0000"/>
      <name val="Calibri"/>
      <family val="2"/>
      <scheme val="minor"/>
    </font>
    <font>
      <sz val="10"/>
      <color rgb="FF11111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1"/>
      <color rgb="FF1111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  <bgColor rgb="FFE9E9E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4" tint="0.59999389629810485"/>
      </patternFill>
    </fill>
  </fills>
  <borders count="2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20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44" fontId="5" fillId="0" borderId="2" xfId="0" applyNumberFormat="1" applyFont="1" applyBorder="1" applyAlignment="1">
      <alignment horizontal="left" vertical="center"/>
    </xf>
    <xf numFmtId="0" fontId="4" fillId="0" borderId="0" xfId="0" applyFont="1"/>
    <xf numFmtId="4" fontId="6" fillId="0" borderId="0" xfId="0" applyNumberFormat="1" applyFont="1"/>
    <xf numFmtId="44" fontId="4" fillId="0" borderId="0" xfId="0" applyNumberFormat="1" applyFont="1"/>
    <xf numFmtId="0" fontId="7" fillId="0" borderId="0" xfId="0" applyFont="1"/>
    <xf numFmtId="44" fontId="0" fillId="0" borderId="0" xfId="0" applyNumberFormat="1"/>
    <xf numFmtId="0" fontId="6" fillId="0" borderId="0" xfId="0" applyFont="1"/>
    <xf numFmtId="44" fontId="5" fillId="0" borderId="2" xfId="0" applyNumberFormat="1" applyFont="1" applyBorder="1" applyAlignment="1">
      <alignment horizontal="left"/>
    </xf>
    <xf numFmtId="44" fontId="0" fillId="0" borderId="2" xfId="0" applyNumberFormat="1" applyBorder="1"/>
    <xf numFmtId="44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0" fillId="0" borderId="5" xfId="0" applyBorder="1"/>
    <xf numFmtId="44" fontId="2" fillId="0" borderId="0" xfId="0" applyNumberFormat="1" applyFont="1"/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44" fontId="0" fillId="3" borderId="2" xfId="0" applyNumberFormat="1" applyFill="1" applyBorder="1" applyAlignment="1">
      <alignment horizontal="center"/>
    </xf>
    <xf numFmtId="16" fontId="0" fillId="0" borderId="0" xfId="0" applyNumberFormat="1"/>
    <xf numFmtId="44" fontId="0" fillId="0" borderId="2" xfId="0" applyNumberFormat="1" applyBorder="1" applyAlignment="1">
      <alignment horizontal="left"/>
    </xf>
    <xf numFmtId="44" fontId="8" fillId="0" borderId="0" xfId="0" applyNumberFormat="1" applyFont="1"/>
    <xf numFmtId="44" fontId="1" fillId="0" borderId="2" xfId="0" applyNumberFormat="1" applyFont="1" applyBorder="1" applyAlignment="1">
      <alignment horizontal="center"/>
    </xf>
    <xf numFmtId="44" fontId="1" fillId="0" borderId="0" xfId="0" applyNumberFormat="1" applyFont="1"/>
    <xf numFmtId="0" fontId="3" fillId="2" borderId="10" xfId="0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right" vertical="center" wrapText="1"/>
    </xf>
    <xf numFmtId="165" fontId="10" fillId="4" borderId="2" xfId="0" applyNumberFormat="1" applyFont="1" applyFill="1" applyBorder="1" applyAlignment="1">
      <alignment horizontal="right" vertical="center" wrapText="1"/>
    </xf>
    <xf numFmtId="165" fontId="9" fillId="5" borderId="2" xfId="0" applyNumberFormat="1" applyFont="1" applyFill="1" applyBorder="1" applyAlignment="1">
      <alignment horizontal="right" vertical="center" wrapText="1"/>
    </xf>
    <xf numFmtId="0" fontId="5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4" fontId="11" fillId="0" borderId="12" xfId="0" applyNumberFormat="1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0" fillId="6" borderId="2" xfId="0" applyNumberFormat="1" applyFill="1" applyBorder="1" applyAlignment="1">
      <alignment horizontal="center"/>
    </xf>
    <xf numFmtId="0" fontId="0" fillId="6" borderId="0" xfId="0" applyFill="1"/>
    <xf numFmtId="44" fontId="0" fillId="6" borderId="2" xfId="0" applyNumberFormat="1" applyFill="1" applyBorder="1"/>
    <xf numFmtId="44" fontId="0" fillId="6" borderId="2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7" borderId="2" xfId="0" applyFill="1" applyBorder="1" applyAlignment="1">
      <alignment horizontal="center"/>
    </xf>
    <xf numFmtId="44" fontId="0" fillId="7" borderId="2" xfId="0" applyNumberFormat="1" applyFill="1" applyBorder="1" applyAlignment="1">
      <alignment horizontal="center" vertical="center"/>
    </xf>
    <xf numFmtId="44" fontId="0" fillId="7" borderId="2" xfId="0" applyNumberFormat="1" applyFill="1" applyBorder="1" applyAlignment="1">
      <alignment horizontal="center"/>
    </xf>
    <xf numFmtId="44" fontId="0" fillId="7" borderId="0" xfId="0" applyNumberForma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44" fontId="1" fillId="0" borderId="2" xfId="0" applyNumberFormat="1" applyFont="1" applyBorder="1" applyAlignment="1">
      <alignment horizontal="center" vertical="center"/>
    </xf>
    <xf numFmtId="44" fontId="1" fillId="3" borderId="2" xfId="0" applyNumberFormat="1" applyFont="1" applyFill="1" applyBorder="1" applyAlignment="1">
      <alignment horizontal="center"/>
    </xf>
    <xf numFmtId="44" fontId="0" fillId="6" borderId="0" xfId="0" applyNumberFormat="1" applyFill="1"/>
    <xf numFmtId="0" fontId="0" fillId="8" borderId="2" xfId="0" applyFill="1" applyBorder="1"/>
    <xf numFmtId="44" fontId="0" fillId="8" borderId="2" xfId="0" applyNumberFormat="1" applyFill="1" applyBorder="1"/>
    <xf numFmtId="0" fontId="0" fillId="8" borderId="0" xfId="0" applyFill="1"/>
    <xf numFmtId="0" fontId="1" fillId="7" borderId="2" xfId="0" applyFont="1" applyFill="1" applyBorder="1"/>
    <xf numFmtId="44" fontId="1" fillId="7" borderId="2" xfId="0" applyNumberFormat="1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44" fontId="1" fillId="7" borderId="2" xfId="0" applyNumberFormat="1" applyFont="1" applyFill="1" applyBorder="1"/>
    <xf numFmtId="17" fontId="1" fillId="7" borderId="0" xfId="0" applyNumberFormat="1" applyFont="1" applyFill="1"/>
    <xf numFmtId="0" fontId="1" fillId="7" borderId="0" xfId="0" applyFont="1" applyFill="1"/>
    <xf numFmtId="44" fontId="0" fillId="3" borderId="2" xfId="0" applyNumberFormat="1" applyFill="1" applyBorder="1"/>
    <xf numFmtId="0" fontId="0" fillId="3" borderId="0" xfId="0" applyFill="1"/>
    <xf numFmtId="0" fontId="15" fillId="3" borderId="0" xfId="0" applyFont="1" applyFill="1"/>
    <xf numFmtId="0" fontId="15" fillId="3" borderId="14" xfId="0" applyFont="1" applyFill="1" applyBorder="1"/>
    <xf numFmtId="44" fontId="15" fillId="0" borderId="15" xfId="0" applyNumberFormat="1" applyFont="1" applyBorder="1"/>
    <xf numFmtId="0" fontId="0" fillId="3" borderId="14" xfId="0" applyFill="1" applyBorder="1"/>
    <xf numFmtId="44" fontId="0" fillId="3" borderId="16" xfId="0" applyNumberFormat="1" applyFill="1" applyBorder="1"/>
    <xf numFmtId="0" fontId="0" fillId="3" borderId="17" xfId="0" applyFill="1" applyBorder="1"/>
    <xf numFmtId="44" fontId="0" fillId="3" borderId="18" xfId="0" applyNumberFormat="1" applyFill="1" applyBorder="1"/>
    <xf numFmtId="44" fontId="0" fillId="3" borderId="19" xfId="0" applyNumberFormat="1" applyFill="1" applyBorder="1"/>
    <xf numFmtId="44" fontId="15" fillId="3" borderId="0" xfId="0" applyNumberFormat="1" applyFont="1" applyFill="1"/>
    <xf numFmtId="44" fontId="15" fillId="3" borderId="2" xfId="0" applyNumberFormat="1" applyFont="1" applyFill="1" applyBorder="1"/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vertical="center"/>
    </xf>
    <xf numFmtId="44" fontId="2" fillId="6" borderId="2" xfId="0" applyNumberFormat="1" applyFont="1" applyFill="1" applyBorder="1" applyAlignment="1">
      <alignment horizontal="center"/>
    </xf>
    <xf numFmtId="44" fontId="8" fillId="6" borderId="2" xfId="0" applyNumberFormat="1" applyFont="1" applyFill="1" applyBorder="1" applyAlignment="1">
      <alignment horizontal="center"/>
    </xf>
    <xf numFmtId="0" fontId="2" fillId="6" borderId="0" xfId="0" applyFont="1" applyFill="1"/>
    <xf numFmtId="44" fontId="0" fillId="3" borderId="2" xfId="0" applyNumberFormat="1" applyFill="1" applyBorder="1" applyAlignment="1">
      <alignment horizontal="center" vertical="center"/>
    </xf>
    <xf numFmtId="44" fontId="0" fillId="3" borderId="0" xfId="0" applyNumberForma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10" borderId="2" xfId="0" applyFont="1" applyFill="1" applyBorder="1" applyAlignment="1">
      <alignment horizontal="center"/>
    </xf>
    <xf numFmtId="44" fontId="1" fillId="10" borderId="2" xfId="0" applyNumberFormat="1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44" fontId="8" fillId="0" borderId="2" xfId="0" applyNumberFormat="1" applyFont="1" applyBorder="1"/>
    <xf numFmtId="4" fontId="0" fillId="0" borderId="2" xfId="0" applyNumberFormat="1" applyBorder="1"/>
    <xf numFmtId="44" fontId="2" fillId="0" borderId="2" xfId="0" applyNumberFormat="1" applyFont="1" applyBorder="1"/>
    <xf numFmtId="0" fontId="0" fillId="0" borderId="11" xfId="0" applyBorder="1" applyAlignment="1">
      <alignment horizontal="center"/>
    </xf>
    <xf numFmtId="14" fontId="2" fillId="0" borderId="2" xfId="0" applyNumberFormat="1" applyFont="1" applyBorder="1"/>
    <xf numFmtId="0" fontId="2" fillId="0" borderId="23" xfId="0" applyFont="1" applyBorder="1"/>
    <xf numFmtId="0" fontId="2" fillId="0" borderId="24" xfId="0" applyFont="1" applyBorder="1"/>
    <xf numFmtId="0" fontId="17" fillId="15" borderId="2" xfId="0" applyFont="1" applyFill="1" applyBorder="1" applyAlignment="1">
      <alignment horizontal="left" vertical="center" wrapText="1"/>
    </xf>
    <xf numFmtId="0" fontId="16" fillId="0" borderId="2" xfId="0" applyFont="1" applyBorder="1"/>
    <xf numFmtId="4" fontId="17" fillId="15" borderId="2" xfId="0" applyNumberFormat="1" applyFont="1" applyFill="1" applyBorder="1" applyAlignment="1">
      <alignment horizontal="right" vertical="center" wrapText="1"/>
    </xf>
    <xf numFmtId="0" fontId="17" fillId="14" borderId="2" xfId="0" applyFont="1" applyFill="1" applyBorder="1" applyAlignment="1">
      <alignment horizontal="left" vertical="center" wrapText="1"/>
    </xf>
    <xf numFmtId="14" fontId="17" fillId="14" borderId="2" xfId="0" applyNumberFormat="1" applyFont="1" applyFill="1" applyBorder="1" applyAlignment="1">
      <alignment horizontal="center" vertical="center" wrapText="1"/>
    </xf>
    <xf numFmtId="4" fontId="17" fillId="14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6" fillId="3" borderId="2" xfId="0" applyFont="1" applyFill="1" applyBorder="1"/>
    <xf numFmtId="14" fontId="17" fillId="3" borderId="2" xfId="0" applyNumberFormat="1" applyFont="1" applyFill="1" applyBorder="1" applyAlignment="1">
      <alignment horizontal="center" vertical="center" wrapText="1"/>
    </xf>
    <xf numFmtId="4" fontId="17" fillId="3" borderId="2" xfId="0" applyNumberFormat="1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13" fillId="13" borderId="21" xfId="0" applyFont="1" applyFill="1" applyBorder="1" applyAlignment="1">
      <alignment horizontal="center"/>
    </xf>
    <xf numFmtId="0" fontId="13" fillId="13" borderId="22" xfId="0" applyFont="1" applyFill="1" applyBorder="1" applyAlignment="1">
      <alignment horizontal="center"/>
    </xf>
    <xf numFmtId="0" fontId="13" fillId="13" borderId="11" xfId="0" applyFont="1" applyFill="1" applyBorder="1" applyAlignment="1">
      <alignment horizontal="center"/>
    </xf>
    <xf numFmtId="0" fontId="13" fillId="13" borderId="20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13" fillId="13" borderId="4" xfId="0" applyFont="1" applyFill="1" applyBorder="1" applyAlignment="1">
      <alignment horizontal="center"/>
    </xf>
    <xf numFmtId="0" fontId="13" fillId="13" borderId="7" xfId="0" applyFont="1" applyFill="1" applyBorder="1" applyAlignment="1">
      <alignment horizontal="center"/>
    </xf>
    <xf numFmtId="0" fontId="13" fillId="13" borderId="8" xfId="0" applyFont="1" applyFill="1" applyBorder="1" applyAlignment="1">
      <alignment horizontal="center"/>
    </xf>
    <xf numFmtId="0" fontId="13" fillId="13" borderId="9" xfId="0" applyFont="1" applyFill="1" applyBorder="1" applyAlignment="1">
      <alignment horizontal="center"/>
    </xf>
    <xf numFmtId="0" fontId="13" fillId="12" borderId="13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4" fontId="18" fillId="4" borderId="2" xfId="0" applyNumberFormat="1" applyFont="1" applyFill="1" applyBorder="1" applyAlignment="1">
      <alignment horizontal="right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left" wrapText="1"/>
    </xf>
    <xf numFmtId="44" fontId="19" fillId="4" borderId="2" xfId="0" applyNumberFormat="1" applyFont="1" applyFill="1" applyBorder="1" applyAlignment="1">
      <alignment horizontal="right" vertical="center" wrapText="1"/>
    </xf>
    <xf numFmtId="0" fontId="18" fillId="4" borderId="2" xfId="0" applyFont="1" applyFill="1" applyBorder="1" applyAlignment="1">
      <alignment horizontal="center" vertical="center" wrapText="1"/>
    </xf>
    <xf numFmtId="14" fontId="18" fillId="16" borderId="2" xfId="0" applyNumberFormat="1" applyFont="1" applyFill="1" applyBorder="1" applyAlignment="1">
      <alignment horizontal="right" vertical="center" wrapText="1"/>
    </xf>
    <xf numFmtId="0" fontId="18" fillId="16" borderId="2" xfId="0" applyFont="1" applyFill="1" applyBorder="1" applyAlignment="1">
      <alignment horizontal="left" vertical="center" wrapText="1"/>
    </xf>
    <xf numFmtId="0" fontId="18" fillId="16" borderId="2" xfId="0" applyFont="1" applyFill="1" applyBorder="1" applyAlignment="1">
      <alignment horizontal="left" wrapText="1"/>
    </xf>
    <xf numFmtId="44" fontId="19" fillId="16" borderId="2" xfId="0" applyNumberFormat="1" applyFont="1" applyFill="1" applyBorder="1" applyAlignment="1">
      <alignment horizontal="right" vertical="center" wrapText="1"/>
    </xf>
    <xf numFmtId="0" fontId="18" fillId="16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44" fontId="21" fillId="0" borderId="2" xfId="0" applyNumberFormat="1" applyFont="1" applyBorder="1"/>
    <xf numFmtId="14" fontId="18" fillId="4" borderId="2" xfId="0" applyNumberFormat="1" applyFont="1" applyFill="1" applyBorder="1" applyAlignment="1">
      <alignment horizontal="center" vertical="center" wrapText="1"/>
    </xf>
    <xf numFmtId="14" fontId="18" fillId="16" borderId="2" xfId="0" applyNumberFormat="1" applyFont="1" applyFill="1" applyBorder="1" applyAlignment="1">
      <alignment horizontal="center" vertical="center" wrapText="1"/>
    </xf>
    <xf numFmtId="14" fontId="22" fillId="4" borderId="2" xfId="0" applyNumberFormat="1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wrapText="1"/>
    </xf>
    <xf numFmtId="0" fontId="23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44" fontId="23" fillId="4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0" fillId="0" borderId="0" xfId="0" applyAlignment="1"/>
    <xf numFmtId="0" fontId="25" fillId="4" borderId="2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wrapText="1"/>
    </xf>
    <xf numFmtId="44" fontId="26" fillId="4" borderId="2" xfId="0" applyNumberFormat="1" applyFont="1" applyFill="1" applyBorder="1" applyAlignment="1">
      <alignment horizontal="right" vertical="center" wrapText="1"/>
    </xf>
    <xf numFmtId="0" fontId="27" fillId="4" borderId="2" xfId="0" applyFont="1" applyFill="1" applyBorder="1" applyAlignment="1">
      <alignment horizontal="left" wrapText="1"/>
    </xf>
    <xf numFmtId="44" fontId="28" fillId="4" borderId="2" xfId="0" applyNumberFormat="1" applyFont="1" applyFill="1" applyBorder="1" applyAlignment="1">
      <alignment horizontal="right" vertical="center" wrapText="1"/>
    </xf>
    <xf numFmtId="0" fontId="25" fillId="16" borderId="2" xfId="0" applyFont="1" applyFill="1" applyBorder="1" applyAlignment="1">
      <alignment horizontal="left" vertical="center" wrapText="1"/>
    </xf>
    <xf numFmtId="44" fontId="26" fillId="16" borderId="2" xfId="0" applyNumberFormat="1" applyFont="1" applyFill="1" applyBorder="1" applyAlignment="1">
      <alignment horizontal="right" vertical="center" wrapText="1"/>
    </xf>
    <xf numFmtId="0" fontId="13" fillId="13" borderId="21" xfId="0" applyFont="1" applyFill="1" applyBorder="1" applyAlignment="1">
      <alignment horizontal="center" vertical="center"/>
    </xf>
    <xf numFmtId="0" fontId="13" fillId="13" borderId="22" xfId="0" applyFont="1" applyFill="1" applyBorder="1" applyAlignment="1">
      <alignment horizontal="center" vertical="center"/>
    </xf>
    <xf numFmtId="4" fontId="17" fillId="3" borderId="2" xfId="0" applyNumberFormat="1" applyFont="1" applyFill="1" applyBorder="1" applyAlignment="1">
      <alignment horizontal="right" wrapText="1"/>
    </xf>
    <xf numFmtId="4" fontId="2" fillId="0" borderId="2" xfId="0" applyNumberFormat="1" applyFont="1" applyBorder="1" applyAlignment="1"/>
    <xf numFmtId="14" fontId="29" fillId="3" borderId="2" xfId="0" applyNumberFormat="1" applyFont="1" applyFill="1" applyBorder="1" applyAlignment="1">
      <alignment horizontal="center" vertical="center"/>
    </xf>
    <xf numFmtId="0" fontId="29" fillId="17" borderId="2" xfId="0" applyFont="1" applyFill="1" applyBorder="1" applyAlignment="1"/>
    <xf numFmtId="44" fontId="26" fillId="17" borderId="2" xfId="0" applyNumberFormat="1" applyFont="1" applyFill="1" applyBorder="1" applyAlignment="1">
      <alignment vertical="center"/>
    </xf>
    <xf numFmtId="0" fontId="25" fillId="4" borderId="2" xfId="0" applyFont="1" applyFill="1" applyBorder="1" applyAlignment="1">
      <alignment horizontal="center" vertical="center" wrapText="1"/>
    </xf>
    <xf numFmtId="14" fontId="27" fillId="4" borderId="2" xfId="0" applyNumberFormat="1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14" fontId="25" fillId="4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4" fontId="2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 wrapText="1"/>
    </xf>
    <xf numFmtId="14" fontId="25" fillId="16" borderId="2" xfId="0" applyNumberFormat="1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/>
    </xf>
    <xf numFmtId="44" fontId="2" fillId="0" borderId="0" xfId="0" applyNumberFormat="1" applyFont="1" applyBorder="1"/>
    <xf numFmtId="0" fontId="30" fillId="0" borderId="2" xfId="0" applyFont="1" applyBorder="1" applyAlignment="1">
      <alignment horizontal="center"/>
    </xf>
    <xf numFmtId="44" fontId="30" fillId="0" borderId="2" xfId="0" applyNumberFormat="1" applyFont="1" applyBorder="1" applyAlignment="1">
      <alignment horizontal="center"/>
    </xf>
    <xf numFmtId="44" fontId="3" fillId="2" borderId="1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24" fillId="0" borderId="2" xfId="0" applyNumberFormat="1" applyFont="1" applyBorder="1"/>
    <xf numFmtId="44" fontId="13" fillId="13" borderId="22" xfId="0" applyNumberFormat="1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6" xfId="1" xr:uid="{28E8CBD6-0FE2-47C0-8D83-F877BF63D27F}"/>
  </cellStyles>
  <dxfs count="0"/>
  <tableStyles count="0" defaultTableStyle="TableStyleMedium2" defaultPivotStyle="PivotStyleLight16"/>
  <colors>
    <mruColors>
      <color rgb="FF0000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6DC4-5AA0-4B52-BDF3-FD9C7F4DA009}">
  <dimension ref="A1:H43"/>
  <sheetViews>
    <sheetView showGridLines="0" topLeftCell="A10" workbookViewId="0">
      <selection activeCell="C52" sqref="C52"/>
    </sheetView>
  </sheetViews>
  <sheetFormatPr defaultRowHeight="14.4" x14ac:dyDescent="0.3"/>
  <cols>
    <col min="1" max="1" width="21.88671875" customWidth="1"/>
    <col min="2" max="2" width="20.88671875" customWidth="1"/>
    <col min="3" max="3" width="59.44140625" customWidth="1"/>
    <col min="4" max="4" width="16" bestFit="1" customWidth="1"/>
    <col min="5" max="5" width="17.88671875" bestFit="1" customWidth="1"/>
    <col min="6" max="6" width="29.6640625" bestFit="1" customWidth="1"/>
    <col min="7" max="7" width="18" bestFit="1" customWidth="1"/>
    <col min="8" max="8" width="29.6640625" bestFit="1" customWidth="1"/>
  </cols>
  <sheetData>
    <row r="1" spans="1:8" x14ac:dyDescent="0.3">
      <c r="A1" s="14" t="s">
        <v>79</v>
      </c>
      <c r="B1" s="14" t="s">
        <v>88</v>
      </c>
      <c r="C1" s="1" t="s">
        <v>0</v>
      </c>
      <c r="D1" s="37" t="s">
        <v>121</v>
      </c>
      <c r="E1" s="18" t="s">
        <v>122</v>
      </c>
      <c r="F1" s="18" t="s">
        <v>2</v>
      </c>
      <c r="G1" s="18" t="s">
        <v>123</v>
      </c>
    </row>
    <row r="2" spans="1:8" x14ac:dyDescent="0.3">
      <c r="A2" s="19" t="s">
        <v>82</v>
      </c>
      <c r="B2" s="19" t="s">
        <v>95</v>
      </c>
      <c r="C2" s="2" t="s">
        <v>16</v>
      </c>
      <c r="D2" s="39">
        <v>5691.74</v>
      </c>
      <c r="E2" s="39">
        <v>5062.7951999999996</v>
      </c>
      <c r="F2" s="2" t="s">
        <v>4</v>
      </c>
      <c r="G2" s="19">
        <v>10</v>
      </c>
    </row>
    <row r="4" spans="1:8" ht="15" thickBot="1" x14ac:dyDescent="0.35"/>
    <row r="5" spans="1:8" ht="15" thickBot="1" x14ac:dyDescent="0.35">
      <c r="A5" s="123" t="s">
        <v>110</v>
      </c>
      <c r="B5" s="124"/>
      <c r="C5" s="124"/>
      <c r="D5" s="124"/>
      <c r="E5" s="124"/>
      <c r="F5" s="124"/>
      <c r="G5" s="124"/>
      <c r="H5" s="125"/>
    </row>
    <row r="6" spans="1:8" s="20" customFormat="1" x14ac:dyDescent="0.3">
      <c r="A6" s="24" t="s">
        <v>98</v>
      </c>
      <c r="B6" s="24" t="s">
        <v>99</v>
      </c>
      <c r="C6" s="24" t="s">
        <v>103</v>
      </c>
      <c r="D6" s="24" t="s">
        <v>100</v>
      </c>
      <c r="E6" s="24" t="s">
        <v>104</v>
      </c>
      <c r="F6" s="24" t="s">
        <v>107</v>
      </c>
      <c r="G6" s="24" t="s">
        <v>101</v>
      </c>
    </row>
    <row r="7" spans="1:8" s="70" customFormat="1" x14ac:dyDescent="0.3">
      <c r="A7" s="65" t="s">
        <v>130</v>
      </c>
      <c r="B7" s="66">
        <v>1040000</v>
      </c>
      <c r="C7" s="67">
        <v>36</v>
      </c>
      <c r="D7" s="65">
        <v>16</v>
      </c>
      <c r="E7" s="65">
        <f t="shared" ref="E7:E10" si="0">C7-D7</f>
        <v>20</v>
      </c>
      <c r="F7" s="68">
        <v>46975.54</v>
      </c>
      <c r="G7" s="68">
        <v>939510.8</v>
      </c>
      <c r="H7" s="69" t="s">
        <v>139</v>
      </c>
    </row>
    <row r="8" spans="1:8" ht="15.6" customHeight="1" x14ac:dyDescent="0.3">
      <c r="A8" s="19" t="s">
        <v>106</v>
      </c>
      <c r="B8" s="11">
        <v>26938.559999999994</v>
      </c>
      <c r="C8" s="19">
        <v>24</v>
      </c>
      <c r="D8" s="19">
        <v>18</v>
      </c>
      <c r="E8" s="19">
        <f t="shared" si="0"/>
        <v>6</v>
      </c>
      <c r="F8" s="11">
        <v>1122.44</v>
      </c>
      <c r="G8" s="11">
        <v>6734.6400000000012</v>
      </c>
    </row>
    <row r="9" spans="1:8" s="64" customFormat="1" x14ac:dyDescent="0.3">
      <c r="A9" s="62" t="s">
        <v>109</v>
      </c>
      <c r="B9" s="63">
        <v>40249</v>
      </c>
      <c r="C9" s="62">
        <v>20</v>
      </c>
      <c r="D9" s="62">
        <v>12</v>
      </c>
      <c r="E9" s="62">
        <f t="shared" si="0"/>
        <v>8</v>
      </c>
      <c r="F9" s="63">
        <v>2012.45</v>
      </c>
      <c r="G9" s="63">
        <f>F9*E9</f>
        <v>16099.6</v>
      </c>
      <c r="H9" s="64" t="s">
        <v>137</v>
      </c>
    </row>
    <row r="10" spans="1:8" s="64" customFormat="1" x14ac:dyDescent="0.3">
      <c r="A10" s="62" t="s">
        <v>118</v>
      </c>
      <c r="B10" s="63">
        <v>29576.639999999999</v>
      </c>
      <c r="C10" s="62">
        <v>24</v>
      </c>
      <c r="D10" s="62">
        <v>12</v>
      </c>
      <c r="E10" s="62">
        <f t="shared" si="0"/>
        <v>12</v>
      </c>
      <c r="F10" s="63">
        <v>1232.3599999999999</v>
      </c>
      <c r="G10" s="63">
        <f>F10*E10</f>
        <v>14788.32</v>
      </c>
      <c r="H10" s="64" t="s">
        <v>138</v>
      </c>
    </row>
    <row r="11" spans="1:8" x14ac:dyDescent="0.3">
      <c r="G11" s="34">
        <f>SUM(G7:G10)</f>
        <v>977133.36</v>
      </c>
    </row>
    <row r="13" spans="1:8" x14ac:dyDescent="0.3">
      <c r="A13" s="21" t="s">
        <v>119</v>
      </c>
      <c r="B13" s="21">
        <v>46</v>
      </c>
    </row>
    <row r="17" spans="1:8" ht="86.4" customHeight="1" x14ac:dyDescent="0.3"/>
    <row r="19" spans="1:8" x14ac:dyDescent="0.3">
      <c r="A19" s="118" t="s">
        <v>110</v>
      </c>
      <c r="B19" s="118"/>
      <c r="C19" s="118"/>
      <c r="D19" s="118"/>
      <c r="E19" s="118"/>
      <c r="F19" s="118"/>
      <c r="G19" s="118"/>
    </row>
    <row r="20" spans="1:8" s="20" customFormat="1" x14ac:dyDescent="0.3">
      <c r="A20" s="105" t="s">
        <v>98</v>
      </c>
      <c r="B20" s="24" t="s">
        <v>99</v>
      </c>
      <c r="C20" s="24" t="s">
        <v>103</v>
      </c>
      <c r="D20" s="24" t="s">
        <v>100</v>
      </c>
      <c r="E20" s="24" t="s">
        <v>104</v>
      </c>
      <c r="F20" s="24" t="s">
        <v>107</v>
      </c>
      <c r="G20" s="106" t="s">
        <v>101</v>
      </c>
    </row>
    <row r="21" spans="1:8" s="73" customFormat="1" x14ac:dyDescent="0.3">
      <c r="A21" s="74" t="s">
        <v>130</v>
      </c>
      <c r="B21" s="8">
        <v>886687.77</v>
      </c>
      <c r="C21" s="83">
        <v>24</v>
      </c>
      <c r="D21" s="84">
        <v>8</v>
      </c>
      <c r="E21" s="84">
        <f t="shared" ref="E21:E23" si="1">C21-D21</f>
        <v>16</v>
      </c>
      <c r="F21" s="82">
        <v>35714.97</v>
      </c>
      <c r="G21" s="75">
        <v>571439.52</v>
      </c>
      <c r="H21" s="81" t="s">
        <v>140</v>
      </c>
    </row>
    <row r="22" spans="1:8" s="72" customFormat="1" x14ac:dyDescent="0.3">
      <c r="A22" s="76" t="s">
        <v>109</v>
      </c>
      <c r="B22" s="71">
        <v>40249</v>
      </c>
      <c r="C22" s="85">
        <v>20</v>
      </c>
      <c r="D22" s="85">
        <v>12</v>
      </c>
      <c r="E22" s="85">
        <f t="shared" si="1"/>
        <v>8</v>
      </c>
      <c r="F22" s="71">
        <v>2012.45</v>
      </c>
      <c r="G22" s="77">
        <f>F22*E22</f>
        <v>16099.6</v>
      </c>
      <c r="H22" s="72" t="s">
        <v>140</v>
      </c>
    </row>
    <row r="23" spans="1:8" s="72" customFormat="1" ht="15" thickBot="1" x14ac:dyDescent="0.35">
      <c r="A23" s="78" t="s">
        <v>118</v>
      </c>
      <c r="B23" s="79">
        <v>29576.639999999999</v>
      </c>
      <c r="C23" s="86">
        <v>24</v>
      </c>
      <c r="D23" s="86">
        <v>12</v>
      </c>
      <c r="E23" s="86">
        <f t="shared" si="1"/>
        <v>12</v>
      </c>
      <c r="F23" s="79">
        <v>1392.65</v>
      </c>
      <c r="G23" s="80">
        <f>F23*E23</f>
        <v>16711.800000000003</v>
      </c>
      <c r="H23" s="72" t="s">
        <v>140</v>
      </c>
    </row>
    <row r="26" spans="1:8" x14ac:dyDescent="0.3">
      <c r="A26" s="119" t="s">
        <v>155</v>
      </c>
      <c r="B26" s="120"/>
      <c r="C26" s="120"/>
      <c r="D26" s="120"/>
      <c r="E26" s="120"/>
      <c r="F26" s="120"/>
      <c r="G26" s="120"/>
    </row>
    <row r="27" spans="1:8" x14ac:dyDescent="0.3">
      <c r="A27" s="19" t="s">
        <v>143</v>
      </c>
      <c r="B27" s="11">
        <f>C27*F27</f>
        <v>182879.04</v>
      </c>
      <c r="C27" s="26">
        <v>48</v>
      </c>
      <c r="D27" s="26">
        <v>36</v>
      </c>
      <c r="E27" s="19">
        <f>C27-D27</f>
        <v>12</v>
      </c>
      <c r="F27" s="101">
        <v>3809.98</v>
      </c>
      <c r="G27" s="11">
        <f>F27*E27</f>
        <v>45719.76</v>
      </c>
    </row>
    <row r="30" spans="1:8" x14ac:dyDescent="0.3">
      <c r="A30" s="121" t="s">
        <v>156</v>
      </c>
      <c r="B30" s="122"/>
    </row>
    <row r="31" spans="1:8" x14ac:dyDescent="0.3">
      <c r="A31" s="26">
        <v>2025</v>
      </c>
      <c r="B31" s="11">
        <v>-326799.52999999997</v>
      </c>
    </row>
    <row r="32" spans="1:8" x14ac:dyDescent="0.3">
      <c r="A32" s="26">
        <v>2026</v>
      </c>
      <c r="B32" s="11">
        <v>-74600</v>
      </c>
    </row>
    <row r="33" spans="1:5" x14ac:dyDescent="0.3">
      <c r="B33" s="23">
        <f>SUM(B31:B32)</f>
        <v>-401399.52999999997</v>
      </c>
    </row>
    <row r="36" spans="1:5" x14ac:dyDescent="0.3">
      <c r="A36" s="119" t="s">
        <v>172</v>
      </c>
      <c r="B36" s="120"/>
      <c r="C36" s="120"/>
      <c r="D36" s="120"/>
      <c r="E36" s="120"/>
    </row>
    <row r="37" spans="1:5" s="30" customFormat="1" x14ac:dyDescent="0.3">
      <c r="A37" s="156" t="s">
        <v>142</v>
      </c>
      <c r="B37" s="159" t="s">
        <v>160</v>
      </c>
      <c r="C37" s="157" t="s">
        <v>175</v>
      </c>
      <c r="D37" s="160" t="s">
        <v>161</v>
      </c>
      <c r="E37" s="158" t="s">
        <v>176</v>
      </c>
    </row>
    <row r="38" spans="1:5" x14ac:dyDescent="0.3">
      <c r="A38" s="154">
        <v>45879</v>
      </c>
      <c r="B38" s="146" t="s">
        <v>145</v>
      </c>
      <c r="C38" s="144" t="s">
        <v>173</v>
      </c>
      <c r="D38" s="145">
        <v>-714.85</v>
      </c>
      <c r="E38" s="146" t="s">
        <v>168</v>
      </c>
    </row>
    <row r="39" spans="1:5" x14ac:dyDescent="0.3">
      <c r="A39" s="154">
        <v>45879</v>
      </c>
      <c r="B39" s="146" t="s">
        <v>145</v>
      </c>
      <c r="C39" s="144" t="s">
        <v>169</v>
      </c>
      <c r="D39" s="145">
        <v>-399</v>
      </c>
      <c r="E39" s="146" t="s">
        <v>168</v>
      </c>
    </row>
    <row r="40" spans="1:5" s="4" customFormat="1" ht="13.8" x14ac:dyDescent="0.3">
      <c r="A40" s="154">
        <v>45889</v>
      </c>
      <c r="B40" s="146" t="s">
        <v>145</v>
      </c>
      <c r="C40" s="144" t="s">
        <v>174</v>
      </c>
      <c r="D40" s="145">
        <v>-208.31</v>
      </c>
      <c r="E40" s="203" t="s">
        <v>171</v>
      </c>
    </row>
    <row r="41" spans="1:5" x14ac:dyDescent="0.3">
      <c r="A41" s="154">
        <v>45910</v>
      </c>
      <c r="B41" s="146" t="s">
        <v>145</v>
      </c>
      <c r="C41" s="144" t="s">
        <v>173</v>
      </c>
      <c r="D41" s="145">
        <v>-714.85</v>
      </c>
      <c r="E41" s="146" t="s">
        <v>168</v>
      </c>
    </row>
    <row r="42" spans="1:5" x14ac:dyDescent="0.3">
      <c r="A42" s="155">
        <v>45910</v>
      </c>
      <c r="B42" s="151" t="s">
        <v>145</v>
      </c>
      <c r="C42" s="149" t="s">
        <v>169</v>
      </c>
      <c r="D42" s="150">
        <v>-367.08</v>
      </c>
      <c r="E42" s="151" t="s">
        <v>168</v>
      </c>
    </row>
    <row r="43" spans="1:5" x14ac:dyDescent="0.3">
      <c r="D43" s="153">
        <f>SUM(D38:D42)</f>
        <v>-2404.0899999999997</v>
      </c>
    </row>
  </sheetData>
  <mergeCells count="5">
    <mergeCell ref="A19:G19"/>
    <mergeCell ref="A26:G26"/>
    <mergeCell ref="A30:B30"/>
    <mergeCell ref="A5:H5"/>
    <mergeCell ref="A36:E3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529B-834C-4EDA-ABC1-CF51047232DD}">
  <dimension ref="A1:J57"/>
  <sheetViews>
    <sheetView showGridLines="0" topLeftCell="A43" workbookViewId="0">
      <selection activeCell="A49" sqref="A49:C51"/>
    </sheetView>
  </sheetViews>
  <sheetFormatPr defaultRowHeight="14.4" x14ac:dyDescent="0.3"/>
  <cols>
    <col min="1" max="1" width="18.44140625" bestFit="1" customWidth="1"/>
    <col min="2" max="2" width="32.5546875" customWidth="1"/>
    <col min="3" max="3" width="59.109375" style="164" customWidth="1"/>
    <col min="4" max="4" width="16" bestFit="1" customWidth="1"/>
    <col min="5" max="5" width="19.88671875" customWidth="1"/>
    <col min="6" max="6" width="22.5546875" bestFit="1" customWidth="1"/>
    <col min="7" max="7" width="20.5546875" bestFit="1" customWidth="1"/>
    <col min="8" max="8" width="22.5546875" bestFit="1" customWidth="1"/>
  </cols>
  <sheetData>
    <row r="1" spans="1:10" x14ac:dyDescent="0.3">
      <c r="A1" s="14" t="s">
        <v>79</v>
      </c>
      <c r="B1" s="14" t="s">
        <v>88</v>
      </c>
      <c r="C1" s="162" t="s">
        <v>0</v>
      </c>
      <c r="D1" s="37" t="s">
        <v>121</v>
      </c>
      <c r="E1" s="18" t="s">
        <v>122</v>
      </c>
      <c r="F1" s="37" t="s">
        <v>2</v>
      </c>
      <c r="G1" s="18" t="s">
        <v>123</v>
      </c>
    </row>
    <row r="2" spans="1:10" s="4" customFormat="1" ht="13.8" x14ac:dyDescent="0.3">
      <c r="A2" s="2" t="s">
        <v>80</v>
      </c>
      <c r="B2" s="2" t="s">
        <v>89</v>
      </c>
      <c r="C2" s="163" t="s">
        <v>5</v>
      </c>
      <c r="D2" s="38">
        <v>2421.75</v>
      </c>
      <c r="E2" s="40">
        <v>2373.3150000000001</v>
      </c>
      <c r="F2" s="41" t="s">
        <v>6</v>
      </c>
      <c r="G2" s="42" t="s">
        <v>124</v>
      </c>
    </row>
    <row r="3" spans="1:10" s="4" customFormat="1" ht="13.8" x14ac:dyDescent="0.3">
      <c r="A3" s="2" t="s">
        <v>80</v>
      </c>
      <c r="B3" s="2" t="s">
        <v>89</v>
      </c>
      <c r="C3" s="163" t="s">
        <v>5</v>
      </c>
      <c r="D3" s="38">
        <v>26282.28</v>
      </c>
      <c r="E3" s="40">
        <v>25756.634399999999</v>
      </c>
      <c r="F3" s="41" t="s">
        <v>3</v>
      </c>
      <c r="G3" s="42" t="s">
        <v>124</v>
      </c>
    </row>
    <row r="4" spans="1:10" s="4" customFormat="1" ht="13.8" x14ac:dyDescent="0.3">
      <c r="A4" s="2" t="s">
        <v>80</v>
      </c>
      <c r="B4" s="2" t="s">
        <v>89</v>
      </c>
      <c r="C4" s="163" t="s">
        <v>5</v>
      </c>
      <c r="D4" s="38">
        <v>7680.56</v>
      </c>
      <c r="E4" s="40">
        <v>7526.9488000000001</v>
      </c>
      <c r="F4" s="41" t="s">
        <v>7</v>
      </c>
      <c r="G4" s="42" t="s">
        <v>124</v>
      </c>
    </row>
    <row r="5" spans="1:10" s="4" customFormat="1" ht="13.8" x14ac:dyDescent="0.3">
      <c r="A5" s="2" t="s">
        <v>80</v>
      </c>
      <c r="B5" s="2" t="s">
        <v>89</v>
      </c>
      <c r="C5" s="163" t="s">
        <v>5</v>
      </c>
      <c r="D5" s="38">
        <v>5942.67</v>
      </c>
      <c r="E5" s="40">
        <v>5823.8166000000001</v>
      </c>
      <c r="F5" s="41" t="s">
        <v>4</v>
      </c>
      <c r="G5" s="42" t="s">
        <v>124</v>
      </c>
    </row>
    <row r="6" spans="1:10" s="4" customFormat="1" ht="13.8" x14ac:dyDescent="0.3">
      <c r="A6" s="2" t="s">
        <v>80</v>
      </c>
      <c r="B6" s="2" t="s">
        <v>89</v>
      </c>
      <c r="C6" s="163" t="s">
        <v>111</v>
      </c>
      <c r="D6" s="38">
        <v>276.42</v>
      </c>
      <c r="E6" s="40">
        <v>268.12740000000002</v>
      </c>
      <c r="F6" s="41" t="s">
        <v>8</v>
      </c>
      <c r="G6" s="42">
        <v>10</v>
      </c>
    </row>
    <row r="7" spans="1:10" s="4" customFormat="1" ht="13.8" x14ac:dyDescent="0.3">
      <c r="A7" s="2" t="s">
        <v>80</v>
      </c>
      <c r="B7" s="2" t="s">
        <v>89</v>
      </c>
      <c r="C7" s="163" t="s">
        <v>111</v>
      </c>
      <c r="D7" s="38">
        <v>25498.68</v>
      </c>
      <c r="E7" s="40">
        <v>24988.706399999999</v>
      </c>
      <c r="F7" s="41" t="s">
        <v>3</v>
      </c>
      <c r="G7" s="42">
        <v>10</v>
      </c>
      <c r="J7" s="5"/>
    </row>
    <row r="8" spans="1:10" s="4" customFormat="1" ht="13.8" x14ac:dyDescent="0.3">
      <c r="A8" s="2" t="s">
        <v>80</v>
      </c>
      <c r="B8" s="2" t="s">
        <v>89</v>
      </c>
      <c r="C8" s="163" t="s">
        <v>111</v>
      </c>
      <c r="D8" s="38">
        <v>17177.89</v>
      </c>
      <c r="E8" s="40">
        <v>16834.332200000001</v>
      </c>
      <c r="F8" s="41" t="s">
        <v>9</v>
      </c>
      <c r="G8" s="42">
        <v>10</v>
      </c>
    </row>
    <row r="9" spans="1:10" s="4" customFormat="1" ht="13.8" x14ac:dyDescent="0.3">
      <c r="A9" s="2" t="s">
        <v>80</v>
      </c>
      <c r="B9" s="2" t="s">
        <v>89</v>
      </c>
      <c r="C9" s="163" t="s">
        <v>111</v>
      </c>
      <c r="D9" s="38">
        <v>12713.89</v>
      </c>
      <c r="E9" s="40">
        <v>12459.61</v>
      </c>
      <c r="F9" s="41" t="s">
        <v>10</v>
      </c>
      <c r="G9" s="42">
        <v>10</v>
      </c>
      <c r="J9" s="6"/>
    </row>
    <row r="10" spans="1:10" s="4" customFormat="1" ht="13.8" x14ac:dyDescent="0.3">
      <c r="A10" s="2" t="s">
        <v>80</v>
      </c>
      <c r="B10" s="2" t="s">
        <v>89</v>
      </c>
      <c r="C10" s="163" t="s">
        <v>111</v>
      </c>
      <c r="D10" s="38">
        <v>2284.4499999999998</v>
      </c>
      <c r="E10" s="40">
        <v>2284.4499999999998</v>
      </c>
      <c r="F10" s="41" t="s">
        <v>11</v>
      </c>
      <c r="G10" s="42">
        <v>10</v>
      </c>
    </row>
    <row r="11" spans="1:10" x14ac:dyDescent="0.3">
      <c r="D11" s="23">
        <f>SUM(D2:D10)</f>
        <v>100278.58999999998</v>
      </c>
      <c r="E11" s="23"/>
    </row>
    <row r="13" spans="1:10" ht="15" thickBot="1" x14ac:dyDescent="0.35"/>
    <row r="14" spans="1:10" ht="15" thickBot="1" x14ac:dyDescent="0.35">
      <c r="A14" s="123" t="s">
        <v>110</v>
      </c>
      <c r="B14" s="124"/>
      <c r="C14" s="124"/>
      <c r="D14" s="124"/>
      <c r="E14" s="124"/>
      <c r="F14" s="124"/>
      <c r="G14" s="124"/>
      <c r="H14" s="125"/>
    </row>
    <row r="15" spans="1:10" s="20" customFormat="1" x14ac:dyDescent="0.3">
      <c r="A15" s="25" t="s">
        <v>98</v>
      </c>
      <c r="B15" s="25" t="s">
        <v>99</v>
      </c>
      <c r="C15" s="25" t="s">
        <v>103</v>
      </c>
      <c r="D15" s="25" t="s">
        <v>100</v>
      </c>
      <c r="E15" s="25"/>
      <c r="F15" s="25" t="s">
        <v>104</v>
      </c>
      <c r="G15" s="25" t="s">
        <v>107</v>
      </c>
      <c r="H15" s="25" t="s">
        <v>101</v>
      </c>
    </row>
    <row r="16" spans="1:10" x14ac:dyDescent="0.3">
      <c r="A16" s="26" t="s">
        <v>102</v>
      </c>
      <c r="B16" s="27">
        <v>171037.01999999993</v>
      </c>
      <c r="C16" s="26">
        <v>42</v>
      </c>
      <c r="D16" s="26">
        <v>29</v>
      </c>
      <c r="E16" s="26"/>
      <c r="F16" s="26">
        <f>C16-D16</f>
        <v>13</v>
      </c>
      <c r="G16" s="29">
        <v>4072.31</v>
      </c>
      <c r="H16" s="29">
        <f>G16*F16</f>
        <v>52940.03</v>
      </c>
    </row>
    <row r="17" spans="1:9" x14ac:dyDescent="0.3">
      <c r="A17" s="26" t="s">
        <v>106</v>
      </c>
      <c r="B17" s="29">
        <v>39560.879999999997</v>
      </c>
      <c r="C17" s="26">
        <v>24</v>
      </c>
      <c r="D17" s="26">
        <v>18</v>
      </c>
      <c r="E17" s="26"/>
      <c r="F17" s="26">
        <f>C17-D17</f>
        <v>6</v>
      </c>
      <c r="G17" s="29">
        <v>1648.37</v>
      </c>
      <c r="H17" s="29">
        <v>9890.2199999999993</v>
      </c>
    </row>
    <row r="18" spans="1:9" x14ac:dyDescent="0.3">
      <c r="A18" s="26" t="s">
        <v>118</v>
      </c>
      <c r="B18" s="29">
        <v>39220.32</v>
      </c>
      <c r="C18" s="26">
        <v>24</v>
      </c>
      <c r="D18" s="26">
        <v>1</v>
      </c>
      <c r="E18" s="26"/>
      <c r="F18" s="26">
        <f>C18-D18</f>
        <v>23</v>
      </c>
      <c r="G18" s="29">
        <v>1634.18</v>
      </c>
      <c r="H18" s="29">
        <f>G18*F18</f>
        <v>37586.14</v>
      </c>
    </row>
    <row r="19" spans="1:9" x14ac:dyDescent="0.3">
      <c r="H19" s="36">
        <f>SUM(H16:H18)</f>
        <v>100416.39</v>
      </c>
    </row>
    <row r="21" spans="1:9" x14ac:dyDescent="0.3">
      <c r="A21" s="21" t="s">
        <v>119</v>
      </c>
      <c r="B21" s="21">
        <v>24</v>
      </c>
      <c r="G21" s="8"/>
    </row>
    <row r="23" spans="1:9" ht="15" customHeight="1" x14ac:dyDescent="0.3"/>
    <row r="25" spans="1:9" ht="15" thickBot="1" x14ac:dyDescent="0.35"/>
    <row r="26" spans="1:9" ht="15" thickBot="1" x14ac:dyDescent="0.35">
      <c r="A26" s="126" t="s">
        <v>110</v>
      </c>
      <c r="B26" s="127"/>
      <c r="C26" s="127"/>
      <c r="D26" s="127"/>
      <c r="E26" s="127"/>
      <c r="F26" s="127"/>
      <c r="G26" s="127"/>
      <c r="H26" s="128"/>
    </row>
    <row r="27" spans="1:9" s="20" customFormat="1" x14ac:dyDescent="0.3">
      <c r="A27" s="25" t="s">
        <v>98</v>
      </c>
      <c r="B27" s="25" t="s">
        <v>99</v>
      </c>
      <c r="C27" s="25" t="s">
        <v>103</v>
      </c>
      <c r="D27" s="25" t="s">
        <v>100</v>
      </c>
      <c r="E27" s="25"/>
      <c r="F27" s="25" t="s">
        <v>104</v>
      </c>
      <c r="G27" s="25" t="s">
        <v>107</v>
      </c>
      <c r="H27" s="25" t="s">
        <v>101</v>
      </c>
    </row>
    <row r="28" spans="1:9" x14ac:dyDescent="0.3">
      <c r="A28" s="13" t="s">
        <v>130</v>
      </c>
      <c r="B28" s="27">
        <v>171037.01999999993</v>
      </c>
      <c r="C28" s="26">
        <v>42</v>
      </c>
      <c r="D28" s="26">
        <v>29</v>
      </c>
      <c r="E28" s="26"/>
      <c r="F28" s="26">
        <f>C28-D28</f>
        <v>13</v>
      </c>
      <c r="G28" s="29">
        <v>5800.11</v>
      </c>
      <c r="H28" s="29">
        <f>G28*F28</f>
        <v>75401.429999999993</v>
      </c>
      <c r="I28" t="s">
        <v>140</v>
      </c>
    </row>
    <row r="29" spans="1:9" x14ac:dyDescent="0.3">
      <c r="A29" s="13" t="s">
        <v>106</v>
      </c>
      <c r="B29" s="29">
        <v>33497.64</v>
      </c>
      <c r="C29" s="26">
        <v>37</v>
      </c>
      <c r="D29" s="26">
        <v>1</v>
      </c>
      <c r="E29" s="26"/>
      <c r="F29" s="26">
        <f>C29-D29</f>
        <v>36</v>
      </c>
      <c r="G29" s="29">
        <v>930.49</v>
      </c>
      <c r="H29" s="29">
        <f>G29*F29</f>
        <v>33497.64</v>
      </c>
      <c r="I29" t="s">
        <v>141</v>
      </c>
    </row>
    <row r="30" spans="1:9" x14ac:dyDescent="0.3">
      <c r="A30" s="13" t="s">
        <v>118</v>
      </c>
      <c r="B30" s="29">
        <v>39220.32</v>
      </c>
      <c r="C30" s="26">
        <v>24</v>
      </c>
      <c r="D30" s="26">
        <v>12</v>
      </c>
      <c r="E30" s="26"/>
      <c r="F30" s="26">
        <f>C30-D30</f>
        <v>12</v>
      </c>
      <c r="G30" s="29">
        <v>1719.53</v>
      </c>
      <c r="H30" s="29">
        <f>G30*F30</f>
        <v>20634.36</v>
      </c>
      <c r="I30" t="s">
        <v>140</v>
      </c>
    </row>
    <row r="31" spans="1:9" x14ac:dyDescent="0.3">
      <c r="H31" s="100">
        <f>SUM(H28:H30)</f>
        <v>129533.43</v>
      </c>
    </row>
    <row r="33" spans="1:7" x14ac:dyDescent="0.3">
      <c r="A33" s="21" t="s">
        <v>119</v>
      </c>
      <c r="B33" s="21">
        <v>24</v>
      </c>
      <c r="G33" s="8"/>
    </row>
    <row r="38" spans="1:7" x14ac:dyDescent="0.3">
      <c r="A38" s="121" t="s">
        <v>156</v>
      </c>
      <c r="B38" s="122"/>
    </row>
    <row r="39" spans="1:7" x14ac:dyDescent="0.3">
      <c r="A39" s="26">
        <v>2025</v>
      </c>
      <c r="B39" s="11">
        <v>-32106.97</v>
      </c>
    </row>
    <row r="40" spans="1:7" x14ac:dyDescent="0.3">
      <c r="A40" s="26">
        <v>2026</v>
      </c>
      <c r="B40" s="11">
        <v>-26937.98</v>
      </c>
    </row>
    <row r="41" spans="1:7" x14ac:dyDescent="0.3">
      <c r="B41" s="102">
        <f>SUM(B39:B40)</f>
        <v>-59044.95</v>
      </c>
    </row>
    <row r="47" spans="1:7" ht="24.6" customHeight="1" x14ac:dyDescent="0.3">
      <c r="A47" s="172" t="s">
        <v>172</v>
      </c>
      <c r="B47" s="173"/>
      <c r="C47" s="173"/>
      <c r="D47" s="173"/>
      <c r="E47" s="173"/>
      <c r="F47" s="30"/>
    </row>
    <row r="48" spans="1:7" s="30" customFormat="1" x14ac:dyDescent="0.3">
      <c r="A48" s="156" t="s">
        <v>142</v>
      </c>
      <c r="B48" s="159" t="s">
        <v>160</v>
      </c>
      <c r="C48" s="157" t="s">
        <v>175</v>
      </c>
      <c r="D48" s="160" t="s">
        <v>161</v>
      </c>
      <c r="E48" s="158" t="s">
        <v>176</v>
      </c>
    </row>
    <row r="49" spans="1:6" x14ac:dyDescent="0.3">
      <c r="A49" s="182">
        <v>45879</v>
      </c>
      <c r="B49" s="179" t="s">
        <v>146</v>
      </c>
      <c r="C49" s="166" t="s">
        <v>177</v>
      </c>
      <c r="D49" s="167">
        <v>-383.04</v>
      </c>
      <c r="E49" s="146" t="s">
        <v>168</v>
      </c>
      <c r="F49" s="30"/>
    </row>
    <row r="50" spans="1:6" x14ac:dyDescent="0.3">
      <c r="A50" s="182">
        <v>45879</v>
      </c>
      <c r="B50" s="179" t="s">
        <v>146</v>
      </c>
      <c r="C50" s="166" t="s">
        <v>173</v>
      </c>
      <c r="D50" s="167">
        <v>-725.62</v>
      </c>
      <c r="E50" s="146" t="s">
        <v>168</v>
      </c>
      <c r="F50" s="30"/>
    </row>
    <row r="51" spans="1:6" x14ac:dyDescent="0.3">
      <c r="A51" s="180">
        <v>45889</v>
      </c>
      <c r="B51" s="181" t="s">
        <v>146</v>
      </c>
      <c r="C51" s="168" t="s">
        <v>174</v>
      </c>
      <c r="D51" s="169">
        <v>-295.68</v>
      </c>
      <c r="E51" s="152" t="s">
        <v>171</v>
      </c>
      <c r="F51" s="30"/>
    </row>
    <row r="52" spans="1:6" x14ac:dyDescent="0.3">
      <c r="A52" s="182">
        <v>45910</v>
      </c>
      <c r="B52" s="179" t="s">
        <v>146</v>
      </c>
      <c r="C52" s="166" t="s">
        <v>173</v>
      </c>
      <c r="D52" s="167">
        <v>-725.62</v>
      </c>
      <c r="E52" s="146" t="s">
        <v>168</v>
      </c>
      <c r="F52" s="30"/>
    </row>
    <row r="53" spans="1:6" x14ac:dyDescent="0.3">
      <c r="A53" s="192">
        <v>45910</v>
      </c>
      <c r="B53" s="191" t="s">
        <v>146</v>
      </c>
      <c r="C53" s="166" t="s">
        <v>177</v>
      </c>
      <c r="D53" s="171">
        <v>-383.04</v>
      </c>
      <c r="E53" s="151" t="s">
        <v>168</v>
      </c>
      <c r="F53" s="30"/>
    </row>
    <row r="54" spans="1:6" x14ac:dyDescent="0.3">
      <c r="D54" s="153">
        <f>SUM(D49:D53)</f>
        <v>-2513</v>
      </c>
    </row>
    <row r="57" spans="1:6" x14ac:dyDescent="0.3">
      <c r="F57" s="30"/>
    </row>
  </sheetData>
  <sortState xmlns:xlrd2="http://schemas.microsoft.com/office/spreadsheetml/2017/richdata2" ref="A2:H56">
    <sortCondition ref="A1:A56"/>
  </sortState>
  <mergeCells count="4">
    <mergeCell ref="A14:H14"/>
    <mergeCell ref="A26:H26"/>
    <mergeCell ref="A38:B38"/>
    <mergeCell ref="A47:E4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BC8D-DC63-48D5-A5C1-72812B89D22B}">
  <dimension ref="A1:K108"/>
  <sheetViews>
    <sheetView showGridLines="0" topLeftCell="A90" workbookViewId="0">
      <selection activeCell="E110" sqref="E110"/>
    </sheetView>
  </sheetViews>
  <sheetFormatPr defaultRowHeight="14.4" x14ac:dyDescent="0.3"/>
  <cols>
    <col min="1" max="1" width="24.88671875" customWidth="1"/>
    <col min="2" max="2" width="20.77734375" bestFit="1" customWidth="1"/>
    <col min="3" max="3" width="64.109375" style="164" customWidth="1"/>
    <col min="4" max="4" width="16" bestFit="1" customWidth="1"/>
    <col min="5" max="5" width="16" customWidth="1"/>
    <col min="6" max="6" width="22.5546875" bestFit="1" customWidth="1"/>
    <col min="7" max="7" width="18" bestFit="1" customWidth="1"/>
    <col min="8" max="8" width="15.6640625" bestFit="1" customWidth="1"/>
  </cols>
  <sheetData>
    <row r="1" spans="1:6" x14ac:dyDescent="0.3">
      <c r="A1" s="14" t="s">
        <v>79</v>
      </c>
      <c r="B1" s="14" t="s">
        <v>88</v>
      </c>
      <c r="C1" s="162" t="s">
        <v>0</v>
      </c>
      <c r="D1" s="37" t="s">
        <v>121</v>
      </c>
      <c r="E1" s="18" t="s">
        <v>122</v>
      </c>
      <c r="F1" s="1" t="s">
        <v>2</v>
      </c>
    </row>
    <row r="2" spans="1:6" s="4" customFormat="1" ht="13.8" x14ac:dyDescent="0.3">
      <c r="A2" s="2" t="s">
        <v>87</v>
      </c>
      <c r="B2" s="2" t="s">
        <v>90</v>
      </c>
      <c r="C2" s="163" t="s">
        <v>27</v>
      </c>
      <c r="D2" s="3">
        <v>255.94399999999999</v>
      </c>
      <c r="E2" s="3"/>
      <c r="F2" s="2" t="s">
        <v>28</v>
      </c>
    </row>
    <row r="3" spans="1:6" s="4" customFormat="1" ht="13.8" x14ac:dyDescent="0.3">
      <c r="A3" s="2" t="s">
        <v>87</v>
      </c>
      <c r="B3" s="2" t="s">
        <v>90</v>
      </c>
      <c r="C3" s="163" t="s">
        <v>29</v>
      </c>
      <c r="D3" s="3">
        <v>39623.094945000004</v>
      </c>
      <c r="E3" s="3"/>
      <c r="F3" s="2" t="s">
        <v>4</v>
      </c>
    </row>
    <row r="4" spans="1:6" s="4" customFormat="1" ht="13.8" x14ac:dyDescent="0.3">
      <c r="A4" s="2" t="s">
        <v>87</v>
      </c>
      <c r="B4" s="2" t="s">
        <v>90</v>
      </c>
      <c r="C4" s="163" t="s">
        <v>30</v>
      </c>
      <c r="D4" s="3">
        <v>28302.203519999999</v>
      </c>
      <c r="E4" s="3"/>
      <c r="F4" s="2" t="s">
        <v>4</v>
      </c>
    </row>
    <row r="5" spans="1:6" s="4" customFormat="1" ht="13.8" x14ac:dyDescent="0.3">
      <c r="A5" s="2" t="s">
        <v>87</v>
      </c>
      <c r="B5" s="2" t="s">
        <v>90</v>
      </c>
      <c r="C5" s="163" t="s">
        <v>31</v>
      </c>
      <c r="D5" s="3">
        <v>33928.741789714288</v>
      </c>
      <c r="E5" s="3"/>
      <c r="F5" s="2" t="s">
        <v>4</v>
      </c>
    </row>
    <row r="6" spans="1:6" s="4" customFormat="1" ht="13.8" x14ac:dyDescent="0.3">
      <c r="A6" s="2" t="s">
        <v>87</v>
      </c>
      <c r="B6" s="2" t="s">
        <v>90</v>
      </c>
      <c r="C6" s="163" t="s">
        <v>32</v>
      </c>
      <c r="D6" s="3">
        <v>28302.203519999999</v>
      </c>
      <c r="E6" s="3"/>
      <c r="F6" s="2" t="s">
        <v>4</v>
      </c>
    </row>
    <row r="7" spans="1:6" s="4" customFormat="1" ht="13.8" x14ac:dyDescent="0.3">
      <c r="A7" s="2" t="s">
        <v>87</v>
      </c>
      <c r="B7" s="2" t="s">
        <v>90</v>
      </c>
      <c r="C7" s="163" t="s">
        <v>33</v>
      </c>
      <c r="D7" s="3">
        <v>39623.093831999999</v>
      </c>
      <c r="E7" s="3"/>
      <c r="F7" s="2" t="s">
        <v>4</v>
      </c>
    </row>
    <row r="8" spans="1:6" s="4" customFormat="1" ht="13.8" x14ac:dyDescent="0.3">
      <c r="A8" s="2" t="s">
        <v>87</v>
      </c>
      <c r="B8" s="2" t="s">
        <v>90</v>
      </c>
      <c r="C8" s="163" t="s">
        <v>32</v>
      </c>
      <c r="D8" s="3">
        <v>33526.763999999996</v>
      </c>
      <c r="E8" s="3"/>
      <c r="F8" s="2" t="s">
        <v>17</v>
      </c>
    </row>
    <row r="9" spans="1:6" s="4" customFormat="1" ht="13.8" x14ac:dyDescent="0.3">
      <c r="A9" s="2" t="s">
        <v>87</v>
      </c>
      <c r="B9" s="2" t="s">
        <v>90</v>
      </c>
      <c r="C9" s="163" t="s">
        <v>34</v>
      </c>
      <c r="D9" s="3">
        <v>28341.641879999999</v>
      </c>
      <c r="E9" s="3"/>
      <c r="F9" s="2" t="s">
        <v>4</v>
      </c>
    </row>
    <row r="10" spans="1:6" s="4" customFormat="1" ht="13.8" x14ac:dyDescent="0.3">
      <c r="A10" s="2" t="s">
        <v>87</v>
      </c>
      <c r="B10" s="2" t="s">
        <v>90</v>
      </c>
      <c r="C10" s="163" t="s">
        <v>35</v>
      </c>
      <c r="D10" s="3">
        <v>28273.972751999998</v>
      </c>
      <c r="E10" s="3"/>
      <c r="F10" s="2" t="s">
        <v>4</v>
      </c>
    </row>
    <row r="11" spans="1:6" s="4" customFormat="1" ht="13.8" x14ac:dyDescent="0.3">
      <c r="A11" s="2" t="s">
        <v>87</v>
      </c>
      <c r="B11" s="2" t="s">
        <v>90</v>
      </c>
      <c r="C11" s="163" t="s">
        <v>36</v>
      </c>
      <c r="D11" s="3">
        <v>11320.881407999999</v>
      </c>
      <c r="E11" s="3"/>
      <c r="F11" s="2" t="s">
        <v>4</v>
      </c>
    </row>
    <row r="12" spans="1:6" s="4" customFormat="1" thickBot="1" x14ac:dyDescent="0.35">
      <c r="A12" s="2" t="s">
        <v>87</v>
      </c>
      <c r="B12" s="2" t="s">
        <v>90</v>
      </c>
      <c r="C12" s="163" t="s">
        <v>37</v>
      </c>
      <c r="D12" s="3">
        <v>28273.972751999998</v>
      </c>
      <c r="E12" s="3"/>
      <c r="F12" s="2" t="s">
        <v>4</v>
      </c>
    </row>
    <row r="13" spans="1:6" s="4" customFormat="1" ht="15.6" thickTop="1" thickBot="1" x14ac:dyDescent="0.35">
      <c r="A13" s="2" t="s">
        <v>87</v>
      </c>
      <c r="B13" s="2" t="s">
        <v>90</v>
      </c>
      <c r="C13" s="163" t="s">
        <v>38</v>
      </c>
      <c r="D13" s="43">
        <v>39623.094945000004</v>
      </c>
      <c r="E13" s="3"/>
      <c r="F13" s="2" t="s">
        <v>4</v>
      </c>
    </row>
    <row r="14" spans="1:6" s="4" customFormat="1" thickTop="1" x14ac:dyDescent="0.3">
      <c r="A14" s="2" t="s">
        <v>87</v>
      </c>
      <c r="B14" s="2" t="s">
        <v>90</v>
      </c>
      <c r="C14" s="163" t="s">
        <v>39</v>
      </c>
      <c r="D14" s="3">
        <v>28302.203519999999</v>
      </c>
      <c r="E14" s="3"/>
      <c r="F14" s="2" t="s">
        <v>4</v>
      </c>
    </row>
    <row r="15" spans="1:6" s="4" customFormat="1" ht="13.8" x14ac:dyDescent="0.3">
      <c r="A15" s="2" t="s">
        <v>87</v>
      </c>
      <c r="B15" s="2" t="s">
        <v>90</v>
      </c>
      <c r="C15" s="163" t="s">
        <v>40</v>
      </c>
      <c r="D15" s="3">
        <v>11320.881408000001</v>
      </c>
      <c r="E15" s="3"/>
      <c r="F15" s="2" t="s">
        <v>4</v>
      </c>
    </row>
    <row r="16" spans="1:6" s="4" customFormat="1" ht="13.8" x14ac:dyDescent="0.3">
      <c r="A16" s="2" t="s">
        <v>87</v>
      </c>
      <c r="B16" s="2" t="s">
        <v>90</v>
      </c>
      <c r="C16" s="163" t="s">
        <v>33</v>
      </c>
      <c r="D16" s="3">
        <v>3995.9243999999999</v>
      </c>
      <c r="E16" s="3"/>
      <c r="F16" s="2" t="s">
        <v>9</v>
      </c>
    </row>
    <row r="17" spans="1:6" s="4" customFormat="1" ht="13.8" x14ac:dyDescent="0.3">
      <c r="A17" s="2" t="s">
        <v>87</v>
      </c>
      <c r="B17" s="2" t="s">
        <v>90</v>
      </c>
      <c r="C17" s="163" t="s">
        <v>41</v>
      </c>
      <c r="D17" s="3">
        <v>39583.537812000002</v>
      </c>
      <c r="E17" s="3"/>
      <c r="F17" s="2" t="s">
        <v>4</v>
      </c>
    </row>
    <row r="18" spans="1:6" s="4" customFormat="1" ht="13.8" x14ac:dyDescent="0.3">
      <c r="A18" s="2" t="s">
        <v>87</v>
      </c>
      <c r="B18" s="2" t="s">
        <v>90</v>
      </c>
      <c r="C18" s="163" t="s">
        <v>42</v>
      </c>
      <c r="D18" s="3">
        <v>39583.537812000002</v>
      </c>
      <c r="E18" s="3"/>
      <c r="F18" s="2" t="s">
        <v>4</v>
      </c>
    </row>
    <row r="19" spans="1:6" s="4" customFormat="1" ht="13.8" x14ac:dyDescent="0.3">
      <c r="A19" s="2" t="s">
        <v>87</v>
      </c>
      <c r="B19" s="2" t="s">
        <v>90</v>
      </c>
      <c r="C19" s="163" t="s">
        <v>43</v>
      </c>
      <c r="D19" s="10">
        <v>28302.203519999999</v>
      </c>
      <c r="E19" s="10"/>
      <c r="F19" s="2" t="s">
        <v>4</v>
      </c>
    </row>
    <row r="20" spans="1:6" s="4" customFormat="1" ht="13.8" x14ac:dyDescent="0.3">
      <c r="A20" s="2" t="s">
        <v>87</v>
      </c>
      <c r="B20" s="2" t="s">
        <v>90</v>
      </c>
      <c r="C20" s="163" t="s">
        <v>43</v>
      </c>
      <c r="D20" s="10">
        <v>33526.763999999996</v>
      </c>
      <c r="E20" s="10"/>
      <c r="F20" s="2" t="s">
        <v>17</v>
      </c>
    </row>
    <row r="21" spans="1:6" s="4" customFormat="1" ht="13.8" x14ac:dyDescent="0.3">
      <c r="A21" s="2" t="s">
        <v>87</v>
      </c>
      <c r="B21" s="2" t="s">
        <v>90</v>
      </c>
      <c r="C21" s="163" t="s">
        <v>44</v>
      </c>
      <c r="D21" s="10">
        <v>10482.2976</v>
      </c>
      <c r="E21" s="10"/>
      <c r="F21" s="2" t="s">
        <v>4</v>
      </c>
    </row>
    <row r="22" spans="1:6" s="4" customFormat="1" ht="13.8" x14ac:dyDescent="0.3">
      <c r="A22" s="2" t="s">
        <v>87</v>
      </c>
      <c r="B22" s="2" t="s">
        <v>90</v>
      </c>
      <c r="C22" s="163" t="s">
        <v>45</v>
      </c>
      <c r="D22" s="10">
        <v>11320.884</v>
      </c>
      <c r="E22" s="10"/>
      <c r="F22" s="2" t="s">
        <v>4</v>
      </c>
    </row>
    <row r="23" spans="1:6" s="4" customFormat="1" ht="13.8" x14ac:dyDescent="0.3">
      <c r="A23" s="2" t="s">
        <v>87</v>
      </c>
      <c r="B23" s="2" t="s">
        <v>90</v>
      </c>
      <c r="C23" s="163" t="s">
        <v>127</v>
      </c>
      <c r="D23" s="10">
        <v>28302.203519999999</v>
      </c>
      <c r="E23" s="10"/>
      <c r="F23" s="2" t="s">
        <v>4</v>
      </c>
    </row>
    <row r="24" spans="1:6" s="4" customFormat="1" ht="13.8" x14ac:dyDescent="0.3">
      <c r="A24" s="2" t="s">
        <v>87</v>
      </c>
      <c r="B24" s="2" t="s">
        <v>90</v>
      </c>
      <c r="C24" s="163" t="s">
        <v>125</v>
      </c>
      <c r="D24" s="10">
        <v>28302.203519999999</v>
      </c>
      <c r="E24" s="10"/>
      <c r="F24" s="2" t="s">
        <v>4</v>
      </c>
    </row>
    <row r="25" spans="1:6" s="4" customFormat="1" ht="13.8" x14ac:dyDescent="0.3">
      <c r="A25" s="2" t="s">
        <v>87</v>
      </c>
      <c r="B25" s="2" t="s">
        <v>90</v>
      </c>
      <c r="C25" s="163" t="s">
        <v>128</v>
      </c>
      <c r="D25" s="10">
        <v>31245</v>
      </c>
      <c r="E25" s="10"/>
      <c r="F25" s="2" t="s">
        <v>4</v>
      </c>
    </row>
    <row r="26" spans="1:6" s="4" customFormat="1" ht="13.8" x14ac:dyDescent="0.3">
      <c r="A26" s="2" t="s">
        <v>87</v>
      </c>
      <c r="B26" s="2" t="s">
        <v>90</v>
      </c>
      <c r="C26" s="163" t="s">
        <v>126</v>
      </c>
      <c r="D26" s="10">
        <v>22098.58</v>
      </c>
      <c r="E26" s="10"/>
      <c r="F26" s="2" t="s">
        <v>4</v>
      </c>
    </row>
    <row r="27" spans="1:6" s="4" customFormat="1" ht="13.8" x14ac:dyDescent="0.3">
      <c r="A27" s="2" t="s">
        <v>87</v>
      </c>
      <c r="B27" s="2" t="s">
        <v>90</v>
      </c>
      <c r="C27" s="163" t="s">
        <v>46</v>
      </c>
      <c r="D27" s="10">
        <v>11320.881407999999</v>
      </c>
      <c r="E27" s="10"/>
      <c r="F27" s="2" t="s">
        <v>4</v>
      </c>
    </row>
    <row r="28" spans="1:6" s="4" customFormat="1" x14ac:dyDescent="0.3">
      <c r="A28" s="2" t="s">
        <v>87</v>
      </c>
      <c r="B28" s="2" t="s">
        <v>90</v>
      </c>
      <c r="C28" s="163" t="s">
        <v>129</v>
      </c>
      <c r="D28" s="11">
        <v>28302.21</v>
      </c>
      <c r="E28" s="11"/>
      <c r="F28" s="2" t="s">
        <v>4</v>
      </c>
    </row>
    <row r="29" spans="1:6" s="4" customFormat="1" x14ac:dyDescent="0.3">
      <c r="A29" s="2" t="s">
        <v>87</v>
      </c>
      <c r="B29" s="2" t="s">
        <v>90</v>
      </c>
      <c r="C29" s="163" t="s">
        <v>129</v>
      </c>
      <c r="D29" s="11">
        <v>33526.763999999996</v>
      </c>
      <c r="E29" s="11"/>
      <c r="F29" s="2" t="s">
        <v>17</v>
      </c>
    </row>
    <row r="30" spans="1:6" s="4" customFormat="1" ht="13.8" x14ac:dyDescent="0.3">
      <c r="A30" s="2" t="s">
        <v>87</v>
      </c>
      <c r="B30" s="2" t="s">
        <v>90</v>
      </c>
      <c r="C30" s="163" t="s">
        <v>47</v>
      </c>
      <c r="D30" s="12">
        <v>12480</v>
      </c>
      <c r="E30" s="12"/>
      <c r="F30" s="2" t="s">
        <v>4</v>
      </c>
    </row>
    <row r="31" spans="1:6" s="4" customFormat="1" ht="13.8" x14ac:dyDescent="0.3">
      <c r="A31" s="2" t="s">
        <v>87</v>
      </c>
      <c r="B31" s="2" t="s">
        <v>90</v>
      </c>
      <c r="C31" s="163" t="s">
        <v>48</v>
      </c>
      <c r="D31" s="12">
        <v>8000</v>
      </c>
      <c r="E31" s="12"/>
      <c r="F31" s="2" t="s">
        <v>4</v>
      </c>
    </row>
    <row r="32" spans="1:6" s="4" customFormat="1" ht="13.8" x14ac:dyDescent="0.3">
      <c r="A32" s="2" t="s">
        <v>87</v>
      </c>
      <c r="B32" s="2" t="s">
        <v>90</v>
      </c>
      <c r="C32" s="163" t="s">
        <v>49</v>
      </c>
      <c r="D32" s="12">
        <v>8000</v>
      </c>
      <c r="E32" s="12"/>
      <c r="F32" s="2" t="s">
        <v>4</v>
      </c>
    </row>
    <row r="33" spans="1:6" s="4" customFormat="1" ht="13.8" x14ac:dyDescent="0.3">
      <c r="A33" s="2" t="s">
        <v>87</v>
      </c>
      <c r="B33" s="2" t="s">
        <v>90</v>
      </c>
      <c r="C33" s="163" t="s">
        <v>50</v>
      </c>
      <c r="D33" s="12">
        <v>8000</v>
      </c>
      <c r="E33" s="12"/>
      <c r="F33" s="2" t="s">
        <v>4</v>
      </c>
    </row>
    <row r="34" spans="1:6" s="4" customFormat="1" ht="13.8" x14ac:dyDescent="0.3">
      <c r="A34" s="2" t="s">
        <v>87</v>
      </c>
      <c r="B34" s="2" t="s">
        <v>90</v>
      </c>
      <c r="C34" s="163" t="s">
        <v>51</v>
      </c>
      <c r="D34" s="12">
        <v>8000</v>
      </c>
      <c r="E34" s="12"/>
      <c r="F34" s="2" t="s">
        <v>4</v>
      </c>
    </row>
    <row r="35" spans="1:6" s="4" customFormat="1" ht="13.8" x14ac:dyDescent="0.3">
      <c r="A35" s="2" t="s">
        <v>87</v>
      </c>
      <c r="B35" s="2" t="s">
        <v>90</v>
      </c>
      <c r="C35" s="163" t="s">
        <v>52</v>
      </c>
      <c r="D35" s="12">
        <v>8000</v>
      </c>
      <c r="E35" s="12"/>
      <c r="F35" s="2" t="s">
        <v>4</v>
      </c>
    </row>
    <row r="36" spans="1:6" s="4" customFormat="1" ht="13.8" x14ac:dyDescent="0.3">
      <c r="A36" s="2" t="s">
        <v>87</v>
      </c>
      <c r="B36" s="2" t="s">
        <v>90</v>
      </c>
      <c r="C36" s="163" t="s">
        <v>53</v>
      </c>
      <c r="D36" s="12">
        <v>8000</v>
      </c>
      <c r="E36" s="12"/>
      <c r="F36" s="2" t="s">
        <v>4</v>
      </c>
    </row>
    <row r="37" spans="1:6" s="4" customFormat="1" ht="13.8" x14ac:dyDescent="0.3">
      <c r="A37" s="2" t="s">
        <v>87</v>
      </c>
      <c r="B37" s="2" t="s">
        <v>90</v>
      </c>
      <c r="C37" s="163" t="s">
        <v>54</v>
      </c>
      <c r="D37" s="12">
        <v>8000</v>
      </c>
      <c r="E37" s="12"/>
      <c r="F37" s="2" t="s">
        <v>4</v>
      </c>
    </row>
    <row r="38" spans="1:6" s="4" customFormat="1" ht="13.8" x14ac:dyDescent="0.3">
      <c r="A38" s="2" t="s">
        <v>87</v>
      </c>
      <c r="B38" s="2" t="s">
        <v>90</v>
      </c>
      <c r="C38" s="163" t="s">
        <v>55</v>
      </c>
      <c r="D38" s="12">
        <v>8000</v>
      </c>
      <c r="E38" s="12"/>
      <c r="F38" s="2" t="s">
        <v>4</v>
      </c>
    </row>
    <row r="39" spans="1:6" s="4" customFormat="1" ht="13.8" x14ac:dyDescent="0.3">
      <c r="A39" s="2" t="s">
        <v>87</v>
      </c>
      <c r="B39" s="2" t="s">
        <v>90</v>
      </c>
      <c r="C39" s="163" t="s">
        <v>56</v>
      </c>
      <c r="D39" s="12">
        <v>12480</v>
      </c>
      <c r="E39" s="12"/>
      <c r="F39" s="2" t="s">
        <v>4</v>
      </c>
    </row>
    <row r="40" spans="1:6" s="4" customFormat="1" ht="13.8" x14ac:dyDescent="0.3">
      <c r="A40" s="2" t="s">
        <v>87</v>
      </c>
      <c r="B40" s="2" t="s">
        <v>90</v>
      </c>
      <c r="C40" s="163" t="s">
        <v>57</v>
      </c>
      <c r="D40" s="12">
        <v>8000</v>
      </c>
      <c r="E40" s="12"/>
      <c r="F40" s="2" t="s">
        <v>4</v>
      </c>
    </row>
    <row r="41" spans="1:6" s="4" customFormat="1" ht="13.8" x14ac:dyDescent="0.3">
      <c r="A41" s="2" t="s">
        <v>87</v>
      </c>
      <c r="B41" s="2" t="s">
        <v>90</v>
      </c>
      <c r="C41" s="163" t="s">
        <v>58</v>
      </c>
      <c r="D41" s="12">
        <v>8000</v>
      </c>
      <c r="E41" s="12"/>
      <c r="F41" s="2" t="s">
        <v>4</v>
      </c>
    </row>
    <row r="42" spans="1:6" s="4" customFormat="1" ht="13.8" x14ac:dyDescent="0.3">
      <c r="A42" s="2" t="s">
        <v>87</v>
      </c>
      <c r="B42" s="2" t="s">
        <v>90</v>
      </c>
      <c r="C42" s="163" t="s">
        <v>59</v>
      </c>
      <c r="D42" s="12">
        <v>8000</v>
      </c>
      <c r="E42" s="12"/>
      <c r="F42" s="2" t="s">
        <v>4</v>
      </c>
    </row>
    <row r="43" spans="1:6" s="4" customFormat="1" ht="13.8" x14ac:dyDescent="0.3">
      <c r="A43" s="2" t="s">
        <v>87</v>
      </c>
      <c r="B43" s="2" t="s">
        <v>90</v>
      </c>
      <c r="C43" s="163" t="s">
        <v>60</v>
      </c>
      <c r="D43" s="12">
        <v>8000</v>
      </c>
      <c r="E43" s="12"/>
      <c r="F43" s="2" t="s">
        <v>4</v>
      </c>
    </row>
    <row r="44" spans="1:6" s="4" customFormat="1" ht="13.8" x14ac:dyDescent="0.3">
      <c r="A44" s="2" t="s">
        <v>87</v>
      </c>
      <c r="B44" s="2" t="s">
        <v>90</v>
      </c>
      <c r="C44" s="163" t="s">
        <v>61</v>
      </c>
      <c r="D44" s="12">
        <v>8000</v>
      </c>
      <c r="E44" s="12"/>
      <c r="F44" s="2" t="s">
        <v>4</v>
      </c>
    </row>
    <row r="45" spans="1:6" s="4" customFormat="1" ht="13.8" x14ac:dyDescent="0.3">
      <c r="A45" s="2" t="s">
        <v>87</v>
      </c>
      <c r="B45" s="2" t="s">
        <v>90</v>
      </c>
      <c r="C45" s="163" t="s">
        <v>62</v>
      </c>
      <c r="D45" s="12">
        <v>8000</v>
      </c>
      <c r="E45" s="12"/>
      <c r="F45" s="2" t="s">
        <v>4</v>
      </c>
    </row>
    <row r="46" spans="1:6" s="4" customFormat="1" ht="13.8" x14ac:dyDescent="0.3">
      <c r="A46" s="2" t="s">
        <v>87</v>
      </c>
      <c r="B46" s="2" t="s">
        <v>90</v>
      </c>
      <c r="C46" s="163" t="s">
        <v>63</v>
      </c>
      <c r="D46" s="12">
        <v>8000</v>
      </c>
      <c r="E46" s="12"/>
      <c r="F46" s="2" t="s">
        <v>4</v>
      </c>
    </row>
    <row r="47" spans="1:6" s="4" customFormat="1" ht="13.8" x14ac:dyDescent="0.3">
      <c r="A47" s="2" t="s">
        <v>87</v>
      </c>
      <c r="B47" s="2" t="s">
        <v>90</v>
      </c>
      <c r="C47" s="163" t="s">
        <v>64</v>
      </c>
      <c r="D47" s="12">
        <v>8000</v>
      </c>
      <c r="E47" s="12"/>
      <c r="F47" s="2" t="s">
        <v>4</v>
      </c>
    </row>
    <row r="48" spans="1:6" s="4" customFormat="1" ht="13.8" x14ac:dyDescent="0.3">
      <c r="A48" s="2" t="s">
        <v>87</v>
      </c>
      <c r="B48" s="2" t="s">
        <v>90</v>
      </c>
      <c r="C48" s="163" t="s">
        <v>65</v>
      </c>
      <c r="D48" s="12">
        <v>8000</v>
      </c>
      <c r="E48" s="12"/>
      <c r="F48" s="2" t="s">
        <v>4</v>
      </c>
    </row>
    <row r="49" spans="1:11" s="4" customFormat="1" ht="13.8" x14ac:dyDescent="0.3">
      <c r="A49" s="2" t="s">
        <v>87</v>
      </c>
      <c r="B49" s="2" t="s">
        <v>90</v>
      </c>
      <c r="C49" s="163" t="s">
        <v>66</v>
      </c>
      <c r="D49" s="12">
        <v>8000</v>
      </c>
      <c r="E49" s="12"/>
      <c r="F49" s="2" t="s">
        <v>4</v>
      </c>
    </row>
    <row r="50" spans="1:11" s="4" customFormat="1" ht="13.8" x14ac:dyDescent="0.3">
      <c r="A50" s="2" t="s">
        <v>87</v>
      </c>
      <c r="B50" s="2" t="s">
        <v>90</v>
      </c>
      <c r="C50" s="163" t="s">
        <v>67</v>
      </c>
      <c r="D50" s="12">
        <v>8000</v>
      </c>
      <c r="E50" s="12"/>
      <c r="F50" s="2" t="s">
        <v>4</v>
      </c>
    </row>
    <row r="51" spans="1:11" s="4" customFormat="1" ht="13.8" x14ac:dyDescent="0.3">
      <c r="A51" s="2" t="s">
        <v>87</v>
      </c>
      <c r="B51" s="2" t="s">
        <v>90</v>
      </c>
      <c r="C51" s="163" t="s">
        <v>68</v>
      </c>
      <c r="D51" s="12">
        <v>8000</v>
      </c>
      <c r="E51" s="12"/>
      <c r="F51" s="2" t="s">
        <v>4</v>
      </c>
    </row>
    <row r="52" spans="1:11" s="4" customFormat="1" ht="13.8" x14ac:dyDescent="0.3">
      <c r="A52" s="2" t="s">
        <v>87</v>
      </c>
      <c r="B52" s="2" t="s">
        <v>90</v>
      </c>
      <c r="C52" s="163" t="s">
        <v>69</v>
      </c>
      <c r="D52" s="12">
        <v>12480</v>
      </c>
      <c r="E52" s="12"/>
      <c r="F52" s="2" t="s">
        <v>4</v>
      </c>
    </row>
    <row r="53" spans="1:11" s="4" customFormat="1" ht="13.8" x14ac:dyDescent="0.3">
      <c r="A53" s="2" t="s">
        <v>87</v>
      </c>
      <c r="B53" s="2" t="s">
        <v>90</v>
      </c>
      <c r="C53" s="163" t="s">
        <v>70</v>
      </c>
      <c r="D53" s="12">
        <v>8000</v>
      </c>
      <c r="E53" s="12"/>
      <c r="F53" s="2" t="s">
        <v>4</v>
      </c>
    </row>
    <row r="54" spans="1:11" s="4" customFormat="1" ht="13.8" x14ac:dyDescent="0.3">
      <c r="A54" s="2" t="s">
        <v>87</v>
      </c>
      <c r="B54" s="2" t="s">
        <v>90</v>
      </c>
      <c r="C54" s="163" t="s">
        <v>71</v>
      </c>
      <c r="D54" s="12">
        <v>12480</v>
      </c>
      <c r="E54" s="12"/>
      <c r="F54" s="2" t="s">
        <v>4</v>
      </c>
    </row>
    <row r="55" spans="1:11" s="4" customFormat="1" ht="13.8" x14ac:dyDescent="0.3">
      <c r="A55" s="2" t="s">
        <v>87</v>
      </c>
      <c r="B55" s="2" t="s">
        <v>90</v>
      </c>
      <c r="C55" s="163" t="s">
        <v>72</v>
      </c>
      <c r="D55" s="12">
        <v>8000</v>
      </c>
      <c r="E55" s="12"/>
      <c r="F55" s="2" t="s">
        <v>4</v>
      </c>
    </row>
    <row r="56" spans="1:11" s="4" customFormat="1" ht="13.8" x14ac:dyDescent="0.3">
      <c r="A56" s="2" t="s">
        <v>87</v>
      </c>
      <c r="B56" s="2" t="s">
        <v>90</v>
      </c>
      <c r="C56" s="163" t="s">
        <v>73</v>
      </c>
      <c r="D56" s="12">
        <v>8000</v>
      </c>
      <c r="E56" s="12"/>
      <c r="F56" s="2" t="s">
        <v>4</v>
      </c>
    </row>
    <row r="57" spans="1:11" s="4" customFormat="1" ht="13.8" x14ac:dyDescent="0.3">
      <c r="A57" s="2" t="s">
        <v>87</v>
      </c>
      <c r="B57" s="2" t="s">
        <v>90</v>
      </c>
      <c r="C57" s="163" t="s">
        <v>74</v>
      </c>
      <c r="D57" s="12">
        <v>8000</v>
      </c>
      <c r="E57" s="12"/>
      <c r="F57" s="2" t="s">
        <v>4</v>
      </c>
    </row>
    <row r="58" spans="1:11" s="4" customFormat="1" ht="13.8" x14ac:dyDescent="0.3">
      <c r="A58" s="2" t="s">
        <v>87</v>
      </c>
      <c r="B58" s="2" t="s">
        <v>90</v>
      </c>
      <c r="C58" s="163" t="s">
        <v>75</v>
      </c>
      <c r="D58" s="12">
        <v>8000</v>
      </c>
      <c r="E58" s="12"/>
      <c r="F58" s="2" t="s">
        <v>4</v>
      </c>
    </row>
    <row r="59" spans="1:11" s="4" customFormat="1" ht="13.8" x14ac:dyDescent="0.3">
      <c r="A59" s="2" t="s">
        <v>87</v>
      </c>
      <c r="B59" s="2" t="s">
        <v>90</v>
      </c>
      <c r="C59" s="163" t="s">
        <v>76</v>
      </c>
      <c r="D59" s="12">
        <v>8000</v>
      </c>
      <c r="E59" s="12"/>
      <c r="F59" s="2" t="s">
        <v>4</v>
      </c>
    </row>
    <row r="60" spans="1:11" s="4" customFormat="1" ht="13.8" x14ac:dyDescent="0.3">
      <c r="A60" s="2" t="s">
        <v>87</v>
      </c>
      <c r="B60" s="2" t="s">
        <v>90</v>
      </c>
      <c r="C60" s="163" t="s">
        <v>77</v>
      </c>
      <c r="D60" s="12">
        <v>8000</v>
      </c>
      <c r="E60" s="12"/>
      <c r="F60" s="2" t="s">
        <v>4</v>
      </c>
    </row>
    <row r="61" spans="1:11" s="4" customFormat="1" ht="13.8" x14ac:dyDescent="0.3">
      <c r="A61" s="2" t="s">
        <v>87</v>
      </c>
      <c r="B61" s="2" t="s">
        <v>90</v>
      </c>
      <c r="C61" s="163" t="s">
        <v>78</v>
      </c>
      <c r="D61" s="12">
        <v>8000</v>
      </c>
      <c r="E61" s="12"/>
      <c r="F61" s="2" t="s">
        <v>4</v>
      </c>
    </row>
    <row r="62" spans="1:11" x14ac:dyDescent="0.3">
      <c r="A62" s="2" t="s">
        <v>87</v>
      </c>
      <c r="B62" s="2" t="s">
        <v>90</v>
      </c>
      <c r="C62" s="185" t="s">
        <v>115</v>
      </c>
      <c r="D62" s="33">
        <v>12000</v>
      </c>
      <c r="E62" s="33"/>
      <c r="F62" s="2" t="s">
        <v>4</v>
      </c>
      <c r="G62" s="4"/>
      <c r="H62" s="4"/>
      <c r="K62" s="32"/>
    </row>
    <row r="63" spans="1:11" x14ac:dyDescent="0.3">
      <c r="A63" s="2" t="s">
        <v>87</v>
      </c>
      <c r="B63" s="2" t="s">
        <v>90</v>
      </c>
      <c r="C63" s="185" t="s">
        <v>115</v>
      </c>
      <c r="D63" s="33">
        <v>12000</v>
      </c>
      <c r="E63" s="33"/>
      <c r="F63" s="2" t="s">
        <v>4</v>
      </c>
      <c r="G63" s="4"/>
      <c r="H63" s="4"/>
    </row>
    <row r="64" spans="1:11" x14ac:dyDescent="0.3">
      <c r="A64" s="2" t="s">
        <v>87</v>
      </c>
      <c r="B64" s="2" t="s">
        <v>90</v>
      </c>
      <c r="C64" s="185" t="s">
        <v>115</v>
      </c>
      <c r="D64" s="33">
        <v>8000</v>
      </c>
      <c r="E64" s="33"/>
      <c r="F64" s="2" t="s">
        <v>4</v>
      </c>
      <c r="G64" s="4"/>
      <c r="H64" s="4"/>
    </row>
    <row r="65" spans="1:9" x14ac:dyDescent="0.3">
      <c r="A65" s="2" t="s">
        <v>87</v>
      </c>
      <c r="B65" s="2" t="s">
        <v>90</v>
      </c>
      <c r="C65" s="185" t="s">
        <v>115</v>
      </c>
      <c r="D65" s="33">
        <v>8000</v>
      </c>
      <c r="E65" s="33"/>
      <c r="F65" s="2" t="s">
        <v>4</v>
      </c>
      <c r="G65" s="4"/>
      <c r="H65" s="4"/>
    </row>
    <row r="66" spans="1:9" x14ac:dyDescent="0.3">
      <c r="A66" s="2" t="s">
        <v>87</v>
      </c>
      <c r="B66" s="2" t="s">
        <v>90</v>
      </c>
      <c r="C66" s="185" t="s">
        <v>116</v>
      </c>
      <c r="D66" s="33">
        <v>8000</v>
      </c>
      <c r="E66" s="33"/>
      <c r="F66" s="2" t="s">
        <v>4</v>
      </c>
      <c r="G66" s="4"/>
      <c r="H66" s="4"/>
    </row>
    <row r="67" spans="1:9" x14ac:dyDescent="0.3">
      <c r="A67" s="2" t="s">
        <v>87</v>
      </c>
      <c r="B67" s="2" t="s">
        <v>90</v>
      </c>
      <c r="C67" s="185" t="s">
        <v>117</v>
      </c>
      <c r="D67" s="33">
        <v>8000</v>
      </c>
      <c r="E67" s="33"/>
      <c r="F67" s="2" t="s">
        <v>4</v>
      </c>
      <c r="G67" s="4"/>
      <c r="H67" s="4"/>
    </row>
    <row r="68" spans="1:9" ht="13.8" customHeight="1" x14ac:dyDescent="0.3">
      <c r="D68" s="23">
        <f>SUM(D2:D67)</f>
        <v>1058831.6858637142</v>
      </c>
      <c r="E68" s="23"/>
    </row>
    <row r="69" spans="1:9" ht="13.8" customHeight="1" x14ac:dyDescent="0.3"/>
    <row r="70" spans="1:9" ht="15" thickBot="1" x14ac:dyDescent="0.35"/>
    <row r="71" spans="1:9" ht="15" thickBot="1" x14ac:dyDescent="0.35">
      <c r="A71" s="123" t="s">
        <v>110</v>
      </c>
      <c r="B71" s="124"/>
      <c r="C71" s="124"/>
      <c r="D71" s="124"/>
      <c r="E71" s="124"/>
      <c r="F71" s="124"/>
      <c r="G71" s="124"/>
      <c r="H71" s="125"/>
    </row>
    <row r="72" spans="1:9" s="20" customFormat="1" x14ac:dyDescent="0.3">
      <c r="A72" s="25" t="s">
        <v>98</v>
      </c>
      <c r="B72" s="25" t="s">
        <v>99</v>
      </c>
      <c r="C72" s="25" t="s">
        <v>103</v>
      </c>
      <c r="D72" s="25" t="s">
        <v>100</v>
      </c>
      <c r="E72" s="25"/>
      <c r="F72" s="25" t="s">
        <v>104</v>
      </c>
      <c r="G72" s="25" t="s">
        <v>107</v>
      </c>
      <c r="H72" s="25" t="s">
        <v>101</v>
      </c>
    </row>
    <row r="73" spans="1:9" s="91" customFormat="1" x14ac:dyDescent="0.3">
      <c r="A73" s="87" t="s">
        <v>108</v>
      </c>
      <c r="B73" s="88">
        <v>24995.460000000003</v>
      </c>
      <c r="C73" s="87">
        <v>14</v>
      </c>
      <c r="D73" s="87">
        <v>14</v>
      </c>
      <c r="E73" s="87"/>
      <c r="F73" s="87">
        <f>C73-D73</f>
        <v>0</v>
      </c>
      <c r="G73" s="89">
        <v>2114.7600000000002</v>
      </c>
      <c r="H73" s="90">
        <f>G73*F73</f>
        <v>0</v>
      </c>
      <c r="I73" s="91" t="s">
        <v>131</v>
      </c>
    </row>
    <row r="74" spans="1:9" x14ac:dyDescent="0.3">
      <c r="D74" s="22"/>
      <c r="H74" s="23"/>
    </row>
    <row r="76" spans="1:9" x14ac:dyDescent="0.3">
      <c r="A76" s="21" t="s">
        <v>119</v>
      </c>
      <c r="B76" s="21">
        <v>98</v>
      </c>
      <c r="C76" s="164" t="s">
        <v>120</v>
      </c>
    </row>
    <row r="78" spans="1:9" ht="15" thickBot="1" x14ac:dyDescent="0.35"/>
    <row r="79" spans="1:9" ht="15" thickBot="1" x14ac:dyDescent="0.35">
      <c r="A79" s="130" t="s">
        <v>110</v>
      </c>
      <c r="B79" s="131"/>
      <c r="C79" s="131"/>
      <c r="D79" s="131"/>
      <c r="E79" s="131"/>
      <c r="F79" s="131"/>
      <c r="G79" s="131"/>
      <c r="H79" s="132"/>
    </row>
    <row r="80" spans="1:9" s="20" customFormat="1" x14ac:dyDescent="0.3">
      <c r="A80" s="25" t="s">
        <v>98</v>
      </c>
      <c r="B80" s="25" t="s">
        <v>99</v>
      </c>
      <c r="C80" s="25" t="s">
        <v>103</v>
      </c>
      <c r="D80" s="25" t="s">
        <v>100</v>
      </c>
      <c r="E80" s="25"/>
      <c r="F80" s="25" t="s">
        <v>104</v>
      </c>
      <c r="G80" s="25" t="s">
        <v>107</v>
      </c>
      <c r="H80" s="25" t="s">
        <v>101</v>
      </c>
    </row>
    <row r="83" spans="1:3" x14ac:dyDescent="0.3">
      <c r="A83" s="121" t="s">
        <v>162</v>
      </c>
      <c r="B83" s="122"/>
      <c r="C83" s="129"/>
    </row>
    <row r="84" spans="1:3" x14ac:dyDescent="0.3">
      <c r="A84" s="117" t="s">
        <v>160</v>
      </c>
      <c r="B84" s="117" t="s">
        <v>142</v>
      </c>
      <c r="C84" s="117" t="s">
        <v>161</v>
      </c>
    </row>
    <row r="85" spans="1:3" x14ac:dyDescent="0.3">
      <c r="A85" s="114" t="s">
        <v>157</v>
      </c>
      <c r="B85" s="115">
        <v>45868</v>
      </c>
      <c r="C85" s="174">
        <v>6485.88</v>
      </c>
    </row>
    <row r="86" spans="1:3" x14ac:dyDescent="0.3">
      <c r="A86" s="114" t="s">
        <v>157</v>
      </c>
      <c r="B86" s="115">
        <v>45868</v>
      </c>
      <c r="C86" s="174">
        <v>2025.6</v>
      </c>
    </row>
    <row r="87" spans="1:3" x14ac:dyDescent="0.3">
      <c r="A87" s="114" t="s">
        <v>157</v>
      </c>
      <c r="B87" s="115">
        <v>45899</v>
      </c>
      <c r="C87" s="174">
        <v>6421.09</v>
      </c>
    </row>
    <row r="88" spans="1:3" x14ac:dyDescent="0.3">
      <c r="C88" s="175">
        <f>SUM(C85:C87)</f>
        <v>14932.57</v>
      </c>
    </row>
    <row r="93" spans="1:3" x14ac:dyDescent="0.3">
      <c r="A93" s="121" t="s">
        <v>156</v>
      </c>
      <c r="B93" s="122"/>
    </row>
    <row r="94" spans="1:3" x14ac:dyDescent="0.3">
      <c r="A94" s="26">
        <v>2025</v>
      </c>
      <c r="B94" s="11">
        <v>-47050.639999999992</v>
      </c>
    </row>
    <row r="95" spans="1:3" x14ac:dyDescent="0.3">
      <c r="A95" s="26">
        <v>2026</v>
      </c>
      <c r="B95" s="11">
        <v>-29196.519999999997</v>
      </c>
    </row>
    <row r="96" spans="1:3" x14ac:dyDescent="0.3">
      <c r="B96" s="102">
        <f>SUM(B94:B95)</f>
        <v>-76247.159999999989</v>
      </c>
    </row>
    <row r="101" spans="1:5" ht="26.4" customHeight="1" x14ac:dyDescent="0.3">
      <c r="A101" s="172" t="s">
        <v>172</v>
      </c>
      <c r="B101" s="173"/>
      <c r="C101" s="173"/>
      <c r="D101" s="173"/>
      <c r="E101" s="173"/>
    </row>
    <row r="102" spans="1:5" x14ac:dyDescent="0.3">
      <c r="A102" s="176">
        <v>45777</v>
      </c>
      <c r="B102" s="193" t="s">
        <v>151</v>
      </c>
      <c r="C102" s="177" t="s">
        <v>178</v>
      </c>
      <c r="D102" s="178">
        <v>-2086.39</v>
      </c>
      <c r="E102" s="179" t="s">
        <v>168</v>
      </c>
    </row>
    <row r="103" spans="1:5" x14ac:dyDescent="0.3">
      <c r="A103" s="154">
        <v>45879</v>
      </c>
      <c r="B103" s="146" t="s">
        <v>151</v>
      </c>
      <c r="C103" s="144" t="s">
        <v>169</v>
      </c>
      <c r="D103" s="145">
        <v>-510.72</v>
      </c>
      <c r="E103" s="146" t="s">
        <v>168</v>
      </c>
    </row>
    <row r="104" spans="1:5" x14ac:dyDescent="0.3">
      <c r="A104" s="154">
        <v>45879</v>
      </c>
      <c r="B104" s="146" t="s">
        <v>151</v>
      </c>
      <c r="C104" s="166" t="s">
        <v>173</v>
      </c>
      <c r="D104" s="145">
        <v>-955.74</v>
      </c>
      <c r="E104" s="146" t="s">
        <v>168</v>
      </c>
    </row>
    <row r="105" spans="1:5" x14ac:dyDescent="0.3">
      <c r="A105" s="182">
        <v>45889</v>
      </c>
      <c r="B105" s="179" t="s">
        <v>151</v>
      </c>
      <c r="C105" s="166" t="s">
        <v>174</v>
      </c>
      <c r="D105" s="167">
        <v>-732.34</v>
      </c>
      <c r="E105" s="204" t="s">
        <v>171</v>
      </c>
    </row>
    <row r="106" spans="1:5" x14ac:dyDescent="0.3">
      <c r="A106" s="154">
        <v>45910</v>
      </c>
      <c r="B106" s="146" t="s">
        <v>151</v>
      </c>
      <c r="C106" s="166" t="s">
        <v>173</v>
      </c>
      <c r="D106" s="145">
        <v>-1426.48</v>
      </c>
      <c r="E106" s="146" t="s">
        <v>168</v>
      </c>
    </row>
    <row r="107" spans="1:5" x14ac:dyDescent="0.3">
      <c r="A107" s="155">
        <v>45910</v>
      </c>
      <c r="B107" s="151" t="s">
        <v>151</v>
      </c>
      <c r="C107" s="149" t="s">
        <v>169</v>
      </c>
      <c r="D107" s="150">
        <v>-446.88</v>
      </c>
      <c r="E107" s="151" t="s">
        <v>168</v>
      </c>
    </row>
    <row r="108" spans="1:5" x14ac:dyDescent="0.3">
      <c r="D108" s="100">
        <f>SUM(D102:D107)</f>
        <v>-6158.55</v>
      </c>
    </row>
  </sheetData>
  <mergeCells count="5">
    <mergeCell ref="A101:E101"/>
    <mergeCell ref="A83:C83"/>
    <mergeCell ref="A93:B93"/>
    <mergeCell ref="A71:H71"/>
    <mergeCell ref="A79:H7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6CFE-681A-42B4-B7C0-2AE789A7C9EC}">
  <dimension ref="A1:L51"/>
  <sheetViews>
    <sheetView showGridLines="0" topLeftCell="A19" workbookViewId="0">
      <selection activeCell="E25" sqref="E25"/>
    </sheetView>
  </sheetViews>
  <sheetFormatPr defaultRowHeight="14.4" x14ac:dyDescent="0.3"/>
  <cols>
    <col min="1" max="1" width="21.21875" customWidth="1"/>
    <col min="2" max="2" width="17.44140625" customWidth="1"/>
    <col min="3" max="3" width="67.5546875" style="113" customWidth="1"/>
    <col min="4" max="4" width="16" bestFit="1" customWidth="1"/>
    <col min="5" max="5" width="22.5546875" bestFit="1" customWidth="1"/>
    <col min="6" max="6" width="16.33203125" bestFit="1" customWidth="1"/>
    <col min="7" max="7" width="22.5546875" bestFit="1" customWidth="1"/>
    <col min="8" max="8" width="12.88671875" bestFit="1" customWidth="1"/>
  </cols>
  <sheetData>
    <row r="1" spans="1:12" ht="13.8" customHeight="1" x14ac:dyDescent="0.3">
      <c r="A1" s="14" t="s">
        <v>79</v>
      </c>
      <c r="B1" s="14" t="s">
        <v>88</v>
      </c>
      <c r="C1" s="1" t="s">
        <v>0</v>
      </c>
      <c r="D1" s="1" t="s">
        <v>1</v>
      </c>
      <c r="E1" s="1" t="s">
        <v>2</v>
      </c>
    </row>
    <row r="2" spans="1:12" x14ac:dyDescent="0.3">
      <c r="A2" s="2" t="s">
        <v>83</v>
      </c>
      <c r="B2" s="2" t="s">
        <v>94</v>
      </c>
      <c r="C2" s="2" t="s">
        <v>18</v>
      </c>
      <c r="D2" s="3">
        <v>23516.74</v>
      </c>
      <c r="E2" s="2" t="s">
        <v>3</v>
      </c>
      <c r="H2" s="4"/>
    </row>
    <row r="5" spans="1:12" ht="15" thickBot="1" x14ac:dyDescent="0.35"/>
    <row r="6" spans="1:12" ht="15" thickBot="1" x14ac:dyDescent="0.35">
      <c r="A6" s="123" t="s">
        <v>110</v>
      </c>
      <c r="B6" s="124"/>
      <c r="C6" s="124"/>
      <c r="D6" s="124"/>
      <c r="E6" s="124"/>
      <c r="F6" s="124"/>
      <c r="G6" s="125"/>
    </row>
    <row r="7" spans="1:12" s="30" customFormat="1" x14ac:dyDescent="0.3">
      <c r="A7" s="25" t="s">
        <v>98</v>
      </c>
      <c r="B7" s="25" t="s">
        <v>99</v>
      </c>
      <c r="C7" s="161" t="s">
        <v>103</v>
      </c>
      <c r="D7" s="25" t="s">
        <v>100</v>
      </c>
      <c r="E7" s="25" t="s">
        <v>104</v>
      </c>
      <c r="F7" s="25" t="s">
        <v>107</v>
      </c>
      <c r="G7" s="25" t="s">
        <v>101</v>
      </c>
    </row>
    <row r="8" spans="1:12" s="50" customFormat="1" x14ac:dyDescent="0.3">
      <c r="A8" s="58" t="s">
        <v>105</v>
      </c>
      <c r="B8" s="59">
        <v>303323.14000000007</v>
      </c>
      <c r="C8" s="186">
        <v>39</v>
      </c>
      <c r="D8" s="58">
        <v>37</v>
      </c>
      <c r="E8" s="58">
        <f t="shared" ref="E8:E13" si="0">C8-D8</f>
        <v>2</v>
      </c>
      <c r="F8" s="60">
        <v>7735.46</v>
      </c>
      <c r="G8" s="35">
        <f t="shared" ref="G8:G13" si="1">F8*E8</f>
        <v>15470.92</v>
      </c>
    </row>
    <row r="9" spans="1:12" s="49" customFormat="1" ht="15" customHeight="1" x14ac:dyDescent="0.3">
      <c r="A9" s="44" t="s">
        <v>108</v>
      </c>
      <c r="B9" s="48">
        <v>26082.22</v>
      </c>
      <c r="C9" s="187">
        <v>14</v>
      </c>
      <c r="D9" s="44">
        <v>14</v>
      </c>
      <c r="E9" s="44">
        <f t="shared" si="0"/>
        <v>0</v>
      </c>
      <c r="F9" s="45">
        <v>2206.6999999999998</v>
      </c>
      <c r="G9" s="45">
        <f t="shared" si="1"/>
        <v>0</v>
      </c>
      <c r="H9" s="49" t="s">
        <v>131</v>
      </c>
    </row>
    <row r="10" spans="1:12" s="50" customFormat="1" x14ac:dyDescent="0.3">
      <c r="A10" s="58" t="s">
        <v>105</v>
      </c>
      <c r="B10" s="35">
        <v>206490.84</v>
      </c>
      <c r="C10" s="186">
        <v>37</v>
      </c>
      <c r="D10" s="58">
        <v>10</v>
      </c>
      <c r="E10" s="58">
        <f t="shared" si="0"/>
        <v>27</v>
      </c>
      <c r="F10" s="35">
        <v>5600</v>
      </c>
      <c r="G10" s="35">
        <f t="shared" si="1"/>
        <v>151200</v>
      </c>
      <c r="H10" s="50" t="s">
        <v>134</v>
      </c>
    </row>
    <row r="11" spans="1:12" s="56" customFormat="1" x14ac:dyDescent="0.3">
      <c r="A11" s="51" t="s">
        <v>112</v>
      </c>
      <c r="B11" s="52">
        <v>118907.74999999999</v>
      </c>
      <c r="C11" s="188">
        <v>20</v>
      </c>
      <c r="D11" s="51">
        <v>19</v>
      </c>
      <c r="E11" s="51">
        <f t="shared" si="0"/>
        <v>1</v>
      </c>
      <c r="F11" s="53">
        <v>5861.93</v>
      </c>
      <c r="G11" s="53">
        <f t="shared" si="1"/>
        <v>5861.93</v>
      </c>
      <c r="H11" s="54">
        <v>24406.79</v>
      </c>
      <c r="I11" s="55" t="s">
        <v>132</v>
      </c>
      <c r="J11" s="56">
        <v>19</v>
      </c>
      <c r="K11" s="57">
        <v>5</v>
      </c>
      <c r="L11" s="56" t="s">
        <v>136</v>
      </c>
    </row>
    <row r="12" spans="1:12" s="46" customFormat="1" x14ac:dyDescent="0.3">
      <c r="A12" s="44" t="s">
        <v>113</v>
      </c>
      <c r="B12" s="47">
        <v>11893.5</v>
      </c>
      <c r="C12" s="187">
        <v>18</v>
      </c>
      <c r="D12" s="44">
        <v>18</v>
      </c>
      <c r="E12" s="44">
        <f>C12-D12</f>
        <v>0</v>
      </c>
      <c r="F12" s="47">
        <v>660.75</v>
      </c>
      <c r="G12" s="45">
        <f t="shared" si="1"/>
        <v>0</v>
      </c>
      <c r="H12" s="46" t="s">
        <v>131</v>
      </c>
    </row>
    <row r="13" spans="1:12" x14ac:dyDescent="0.3">
      <c r="A13" s="26" t="s">
        <v>114</v>
      </c>
      <c r="B13" s="11">
        <v>42937.56</v>
      </c>
      <c r="C13" s="28">
        <v>36</v>
      </c>
      <c r="D13" s="26">
        <v>24</v>
      </c>
      <c r="E13" s="26">
        <f t="shared" si="0"/>
        <v>12</v>
      </c>
      <c r="F13" s="11">
        <v>1192.71</v>
      </c>
      <c r="G13" s="29">
        <f t="shared" si="1"/>
        <v>14312.52</v>
      </c>
      <c r="H13" t="s">
        <v>135</v>
      </c>
    </row>
    <row r="14" spans="1:12" x14ac:dyDescent="0.3">
      <c r="G14" s="34">
        <f>SUM(G8:G13)</f>
        <v>186845.37</v>
      </c>
    </row>
    <row r="17" spans="1:11" x14ac:dyDescent="0.3">
      <c r="A17" s="21" t="s">
        <v>119</v>
      </c>
      <c r="B17" s="21">
        <v>39</v>
      </c>
    </row>
    <row r="22" spans="1:11" ht="15" thickBot="1" x14ac:dyDescent="0.35">
      <c r="B22" s="15"/>
    </row>
    <row r="23" spans="1:11" ht="15" thickBot="1" x14ac:dyDescent="0.35">
      <c r="A23" s="126" t="s">
        <v>110</v>
      </c>
      <c r="B23" s="127"/>
      <c r="C23" s="127"/>
      <c r="D23" s="127"/>
      <c r="E23" s="127"/>
      <c r="F23" s="127"/>
      <c r="G23" s="128"/>
    </row>
    <row r="24" spans="1:11" s="30" customFormat="1" x14ac:dyDescent="0.3">
      <c r="A24" s="25" t="s">
        <v>98</v>
      </c>
      <c r="B24" s="25" t="s">
        <v>99</v>
      </c>
      <c r="C24" s="161" t="s">
        <v>103</v>
      </c>
      <c r="D24" s="25" t="s">
        <v>100</v>
      </c>
      <c r="E24" s="25" t="s">
        <v>104</v>
      </c>
      <c r="F24" s="25" t="s">
        <v>107</v>
      </c>
      <c r="G24" s="25" t="s">
        <v>101</v>
      </c>
    </row>
    <row r="25" spans="1:11" s="99" customFormat="1" x14ac:dyDescent="0.3">
      <c r="A25" s="97" t="s">
        <v>105</v>
      </c>
      <c r="B25" s="98">
        <v>150000</v>
      </c>
      <c r="C25" s="189">
        <v>48</v>
      </c>
      <c r="D25" s="97">
        <v>21</v>
      </c>
      <c r="E25" s="97">
        <f t="shared" ref="E25" si="2">C25-D25</f>
        <v>27</v>
      </c>
      <c r="F25" s="98">
        <v>5725.9</v>
      </c>
      <c r="G25" s="98">
        <f t="shared" ref="G25" si="3">F25*E25</f>
        <v>154599.29999999999</v>
      </c>
    </row>
    <row r="26" spans="1:11" s="95" customFormat="1" x14ac:dyDescent="0.3">
      <c r="A26" s="85" t="s">
        <v>112</v>
      </c>
      <c r="B26" s="92">
        <v>118907.74999999999</v>
      </c>
      <c r="C26" s="190">
        <v>24</v>
      </c>
      <c r="D26" s="85">
        <v>19</v>
      </c>
      <c r="E26" s="85">
        <f>C26-D26</f>
        <v>5</v>
      </c>
      <c r="F26" s="31">
        <v>5861.93</v>
      </c>
      <c r="G26" s="11">
        <v>24406.79</v>
      </c>
      <c r="H26" s="93" t="s">
        <v>140</v>
      </c>
      <c r="I26" s="94"/>
      <c r="K26" s="96"/>
    </row>
    <row r="27" spans="1:11" x14ac:dyDescent="0.3">
      <c r="A27" s="19" t="s">
        <v>163</v>
      </c>
      <c r="B27" s="19"/>
      <c r="C27" s="28">
        <v>24</v>
      </c>
      <c r="D27" s="26">
        <v>22</v>
      </c>
      <c r="E27" s="26">
        <f>C27-D27</f>
        <v>2</v>
      </c>
      <c r="F27" s="11">
        <v>1297.19</v>
      </c>
      <c r="G27" s="11">
        <f>E27*F27</f>
        <v>2594.38</v>
      </c>
    </row>
    <row r="28" spans="1:11" x14ac:dyDescent="0.3">
      <c r="G28" s="102">
        <f>SUM(G25:G27)</f>
        <v>181600.47</v>
      </c>
    </row>
    <row r="29" spans="1:11" x14ac:dyDescent="0.3">
      <c r="A29" s="121" t="s">
        <v>162</v>
      </c>
      <c r="B29" s="122"/>
      <c r="C29" s="129"/>
    </row>
    <row r="30" spans="1:11" x14ac:dyDescent="0.3">
      <c r="A30" s="117" t="s">
        <v>160</v>
      </c>
      <c r="B30" s="117" t="s">
        <v>142</v>
      </c>
      <c r="C30" s="183" t="s">
        <v>161</v>
      </c>
    </row>
    <row r="31" spans="1:11" x14ac:dyDescent="0.3">
      <c r="A31" s="114" t="s">
        <v>157</v>
      </c>
      <c r="B31" s="115">
        <v>45868</v>
      </c>
      <c r="C31" s="116">
        <v>4309.57</v>
      </c>
    </row>
    <row r="32" spans="1:11" x14ac:dyDescent="0.3">
      <c r="A32" s="114" t="s">
        <v>157</v>
      </c>
      <c r="B32" s="115">
        <v>45870</v>
      </c>
      <c r="C32" s="116">
        <v>2756.38</v>
      </c>
    </row>
    <row r="33" spans="1:5" x14ac:dyDescent="0.3">
      <c r="A33" s="114" t="s">
        <v>157</v>
      </c>
      <c r="B33" s="115">
        <v>45899</v>
      </c>
      <c r="C33" s="116">
        <v>4266.79</v>
      </c>
    </row>
    <row r="34" spans="1:5" x14ac:dyDescent="0.3">
      <c r="C34" s="184">
        <f>SUM(C31:C33)</f>
        <v>11332.74</v>
      </c>
    </row>
    <row r="37" spans="1:5" x14ac:dyDescent="0.3">
      <c r="A37" s="121" t="s">
        <v>156</v>
      </c>
      <c r="B37" s="122"/>
    </row>
    <row r="38" spans="1:5" x14ac:dyDescent="0.3">
      <c r="A38" s="103">
        <v>2025</v>
      </c>
      <c r="B38" s="11">
        <v>-11200</v>
      </c>
    </row>
    <row r="39" spans="1:5" x14ac:dyDescent="0.3">
      <c r="A39" s="103">
        <v>2026</v>
      </c>
      <c r="B39" s="26"/>
    </row>
    <row r="40" spans="1:5" x14ac:dyDescent="0.3">
      <c r="B40" s="11">
        <f>SUM(B38:B39)</f>
        <v>-11200</v>
      </c>
    </row>
    <row r="43" spans="1:5" ht="28.2" customHeight="1" x14ac:dyDescent="0.3">
      <c r="A43" s="172" t="s">
        <v>172</v>
      </c>
      <c r="B43" s="173"/>
      <c r="C43" s="173"/>
      <c r="D43" s="173"/>
      <c r="E43" s="173"/>
    </row>
    <row r="44" spans="1:5" x14ac:dyDescent="0.3">
      <c r="A44" s="182">
        <v>45879</v>
      </c>
      <c r="B44" s="179" t="s">
        <v>147</v>
      </c>
      <c r="C44" s="165" t="s">
        <v>167</v>
      </c>
      <c r="D44" s="167">
        <v>-2166.7199999999998</v>
      </c>
      <c r="E44" s="179" t="s">
        <v>168</v>
      </c>
    </row>
    <row r="45" spans="1:5" x14ac:dyDescent="0.3">
      <c r="A45" s="154">
        <v>45879</v>
      </c>
      <c r="B45" s="146" t="s">
        <v>147</v>
      </c>
      <c r="C45" s="143" t="s">
        <v>167</v>
      </c>
      <c r="D45" s="145">
        <v>-30</v>
      </c>
      <c r="E45" s="146" t="s">
        <v>168</v>
      </c>
    </row>
    <row r="46" spans="1:5" x14ac:dyDescent="0.3">
      <c r="A46" s="182">
        <v>45880</v>
      </c>
      <c r="B46" s="179" t="s">
        <v>147</v>
      </c>
      <c r="C46" s="165" t="s">
        <v>169</v>
      </c>
      <c r="D46" s="167">
        <v>-845.88</v>
      </c>
      <c r="E46" s="179" t="s">
        <v>168</v>
      </c>
    </row>
    <row r="47" spans="1:5" x14ac:dyDescent="0.3">
      <c r="A47" s="182">
        <v>45889</v>
      </c>
      <c r="B47" s="191" t="s">
        <v>147</v>
      </c>
      <c r="C47" s="165" t="s">
        <v>170</v>
      </c>
      <c r="D47" s="167">
        <v>-378.01</v>
      </c>
      <c r="E47" s="204" t="s">
        <v>171</v>
      </c>
    </row>
    <row r="48" spans="1:5" x14ac:dyDescent="0.3">
      <c r="A48" s="182">
        <v>45910</v>
      </c>
      <c r="B48" s="179" t="s">
        <v>147</v>
      </c>
      <c r="C48" s="165" t="s">
        <v>167</v>
      </c>
      <c r="D48" s="167">
        <v>-2043.48</v>
      </c>
      <c r="E48" s="179" t="s">
        <v>168</v>
      </c>
    </row>
    <row r="49" spans="1:5" x14ac:dyDescent="0.3">
      <c r="A49" s="182">
        <v>45910</v>
      </c>
      <c r="B49" s="179" t="s">
        <v>147</v>
      </c>
      <c r="C49" s="165" t="s">
        <v>167</v>
      </c>
      <c r="D49" s="167">
        <v>-30</v>
      </c>
      <c r="E49" s="179" t="s">
        <v>168</v>
      </c>
    </row>
    <row r="50" spans="1:5" ht="15" customHeight="1" x14ac:dyDescent="0.3">
      <c r="A50" s="192">
        <v>45910</v>
      </c>
      <c r="B50" s="191" t="s">
        <v>147</v>
      </c>
      <c r="C50" s="170" t="s">
        <v>169</v>
      </c>
      <c r="D50" s="171">
        <v>-798</v>
      </c>
      <c r="E50" s="191" t="s">
        <v>168</v>
      </c>
    </row>
    <row r="51" spans="1:5" x14ac:dyDescent="0.3">
      <c r="D51" s="100">
        <f>SUM(D44:D50)</f>
        <v>-6292.09</v>
      </c>
    </row>
  </sheetData>
  <mergeCells count="5">
    <mergeCell ref="A29:C29"/>
    <mergeCell ref="A37:B37"/>
    <mergeCell ref="A6:G6"/>
    <mergeCell ref="A23:G23"/>
    <mergeCell ref="A43:E4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E3FB-FF22-4F6C-BC31-C5E78A8CB6BF}">
  <dimension ref="B1:E8"/>
  <sheetViews>
    <sheetView showGridLines="0" workbookViewId="0">
      <selection activeCell="E6" sqref="E6:E8"/>
    </sheetView>
  </sheetViews>
  <sheetFormatPr defaultRowHeight="14.4" x14ac:dyDescent="0.3"/>
  <cols>
    <col min="2" max="2" width="26.33203125" style="113" customWidth="1"/>
    <col min="3" max="3" width="21.5546875" customWidth="1"/>
    <col min="4" max="4" width="15.109375" customWidth="1"/>
  </cols>
  <sheetData>
    <row r="1" spans="2:5" x14ac:dyDescent="0.3">
      <c r="B1" s="133" t="s">
        <v>159</v>
      </c>
      <c r="C1" s="134"/>
      <c r="D1" s="134"/>
      <c r="E1" s="134"/>
    </row>
    <row r="2" spans="2:5" x14ac:dyDescent="0.3">
      <c r="B2" s="135"/>
      <c r="C2" s="136"/>
      <c r="D2" s="136"/>
      <c r="E2" s="136"/>
    </row>
    <row r="3" spans="2:5" x14ac:dyDescent="0.3">
      <c r="B3" s="107" t="s">
        <v>147</v>
      </c>
      <c r="C3" s="108" t="s">
        <v>157</v>
      </c>
      <c r="D3" s="111">
        <v>45868</v>
      </c>
      <c r="E3" s="109">
        <v>4309.57</v>
      </c>
    </row>
    <row r="4" spans="2:5" x14ac:dyDescent="0.3">
      <c r="B4" s="107" t="s">
        <v>147</v>
      </c>
      <c r="C4" s="108" t="s">
        <v>157</v>
      </c>
      <c r="D4" s="111">
        <v>45870</v>
      </c>
      <c r="E4" s="112">
        <v>2756.38</v>
      </c>
    </row>
    <row r="5" spans="2:5" x14ac:dyDescent="0.3">
      <c r="B5" s="107" t="s">
        <v>147</v>
      </c>
      <c r="C5" s="108" t="s">
        <v>157</v>
      </c>
      <c r="D5" s="111">
        <v>45899</v>
      </c>
      <c r="E5" s="112">
        <v>4266.79</v>
      </c>
    </row>
    <row r="6" spans="2:5" x14ac:dyDescent="0.3">
      <c r="B6" s="110" t="s">
        <v>158</v>
      </c>
      <c r="C6" s="108" t="s">
        <v>157</v>
      </c>
      <c r="D6" s="111">
        <v>45868</v>
      </c>
      <c r="E6" s="112">
        <v>6485.88</v>
      </c>
    </row>
    <row r="7" spans="2:5" x14ac:dyDescent="0.3">
      <c r="B7" s="110" t="s">
        <v>158</v>
      </c>
      <c r="C7" s="108" t="s">
        <v>157</v>
      </c>
      <c r="D7" s="111">
        <v>45868</v>
      </c>
      <c r="E7" s="109">
        <v>2025.6</v>
      </c>
    </row>
    <row r="8" spans="2:5" x14ac:dyDescent="0.3">
      <c r="B8" s="110" t="s">
        <v>158</v>
      </c>
      <c r="C8" s="108" t="s">
        <v>157</v>
      </c>
      <c r="D8" s="111">
        <v>45899</v>
      </c>
      <c r="E8" s="109">
        <v>6421.09</v>
      </c>
    </row>
  </sheetData>
  <mergeCells count="1">
    <mergeCell ref="B1:E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F882-5FA9-4A0C-88A6-5B772A062AB7}">
  <dimension ref="A1:H39"/>
  <sheetViews>
    <sheetView showGridLines="0" tabSelected="1" topLeftCell="A7" workbookViewId="0">
      <selection activeCell="E36" sqref="E36"/>
    </sheetView>
  </sheetViews>
  <sheetFormatPr defaultRowHeight="14.4" x14ac:dyDescent="0.3"/>
  <cols>
    <col min="1" max="1" width="20.88671875" bestFit="1" customWidth="1"/>
    <col min="2" max="2" width="22" bestFit="1" customWidth="1"/>
    <col min="3" max="3" width="68" style="164" customWidth="1"/>
    <col min="4" max="4" width="18" customWidth="1"/>
    <col min="5" max="5" width="17.88671875" bestFit="1" customWidth="1"/>
    <col min="6" max="6" width="18" bestFit="1" customWidth="1"/>
    <col min="7" max="7" width="22.5546875" bestFit="1" customWidth="1"/>
  </cols>
  <sheetData>
    <row r="1" spans="1:8" ht="13.8" customHeight="1" x14ac:dyDescent="0.3">
      <c r="A1" s="14" t="s">
        <v>79</v>
      </c>
      <c r="B1" s="14" t="s">
        <v>88</v>
      </c>
      <c r="C1" s="162" t="s">
        <v>0</v>
      </c>
      <c r="D1" s="1" t="s">
        <v>2</v>
      </c>
    </row>
    <row r="2" spans="1:8" x14ac:dyDescent="0.3">
      <c r="A2" t="s">
        <v>96</v>
      </c>
      <c r="B2" t="s">
        <v>97</v>
      </c>
    </row>
    <row r="6" spans="1:8" ht="15" thickBot="1" x14ac:dyDescent="0.35"/>
    <row r="7" spans="1:8" ht="15" thickBot="1" x14ac:dyDescent="0.35">
      <c r="A7" s="123" t="s">
        <v>110</v>
      </c>
      <c r="B7" s="124"/>
      <c r="C7" s="124"/>
      <c r="D7" s="124"/>
      <c r="E7" s="124"/>
      <c r="F7" s="124"/>
      <c r="G7" s="125"/>
    </row>
    <row r="8" spans="1:8" s="30" customFormat="1" x14ac:dyDescent="0.3">
      <c r="A8" s="25" t="s">
        <v>98</v>
      </c>
      <c r="B8" s="25" t="s">
        <v>99</v>
      </c>
      <c r="C8" s="25" t="s">
        <v>103</v>
      </c>
      <c r="D8" s="25" t="s">
        <v>100</v>
      </c>
      <c r="E8" s="25" t="s">
        <v>104</v>
      </c>
      <c r="F8" s="25" t="s">
        <v>107</v>
      </c>
      <c r="G8" s="25" t="s">
        <v>101</v>
      </c>
    </row>
    <row r="9" spans="1:8" s="49" customFormat="1" x14ac:dyDescent="0.3">
      <c r="A9" s="44" t="s">
        <v>108</v>
      </c>
      <c r="B9" s="61">
        <v>26111.739999999998</v>
      </c>
      <c r="C9" s="44">
        <v>14</v>
      </c>
      <c r="D9" s="44">
        <v>14</v>
      </c>
      <c r="E9" s="44">
        <f>C9-D9</f>
        <v>0</v>
      </c>
      <c r="F9" s="45">
        <v>2206.6999999999998</v>
      </c>
      <c r="G9" s="45">
        <f>F9*E9</f>
        <v>0</v>
      </c>
      <c r="H9" s="49" t="s">
        <v>131</v>
      </c>
    </row>
    <row r="10" spans="1:8" s="15" customFormat="1" x14ac:dyDescent="0.3">
      <c r="A10" s="26" t="s">
        <v>105</v>
      </c>
      <c r="B10" s="29">
        <v>213687.41999999998</v>
      </c>
      <c r="C10" s="26">
        <v>37</v>
      </c>
      <c r="D10" s="26">
        <v>9</v>
      </c>
      <c r="E10" s="26">
        <f>C10-D10</f>
        <v>28</v>
      </c>
      <c r="F10" s="29">
        <v>5800</v>
      </c>
      <c r="G10" s="29">
        <f>F10*E10</f>
        <v>162400</v>
      </c>
      <c r="H10" s="15" t="s">
        <v>133</v>
      </c>
    </row>
    <row r="11" spans="1:8" x14ac:dyDescent="0.3">
      <c r="F11" s="8"/>
      <c r="G11" s="34">
        <f>SUM(G9:G10)</f>
        <v>162400</v>
      </c>
    </row>
    <row r="13" spans="1:8" x14ac:dyDescent="0.3">
      <c r="A13" s="21" t="s">
        <v>119</v>
      </c>
      <c r="B13" s="21">
        <v>46</v>
      </c>
    </row>
    <row r="17" spans="1:7" ht="15" thickBot="1" x14ac:dyDescent="0.35"/>
    <row r="18" spans="1:7" ht="15" thickBot="1" x14ac:dyDescent="0.35">
      <c r="A18" s="137" t="s">
        <v>110</v>
      </c>
      <c r="B18" s="138"/>
      <c r="C18" s="138"/>
      <c r="D18" s="138"/>
      <c r="E18" s="138"/>
      <c r="F18" s="138"/>
      <c r="G18" s="139"/>
    </row>
    <row r="19" spans="1:7" s="30" customFormat="1" x14ac:dyDescent="0.3">
      <c r="A19" s="25" t="s">
        <v>98</v>
      </c>
      <c r="B19" s="25" t="s">
        <v>99</v>
      </c>
      <c r="C19" s="25" t="s">
        <v>103</v>
      </c>
      <c r="D19" s="25" t="s">
        <v>100</v>
      </c>
      <c r="E19" s="25" t="s">
        <v>104</v>
      </c>
      <c r="F19" s="25" t="s">
        <v>107</v>
      </c>
      <c r="G19" s="25" t="s">
        <v>101</v>
      </c>
    </row>
    <row r="20" spans="1:7" s="15" customFormat="1" x14ac:dyDescent="0.3">
      <c r="A20" s="26" t="s">
        <v>105</v>
      </c>
      <c r="B20" s="29">
        <v>213687.41999999998</v>
      </c>
      <c r="C20" s="26">
        <v>48</v>
      </c>
      <c r="D20" s="26">
        <v>20</v>
      </c>
      <c r="E20" s="26">
        <f>C20-D20</f>
        <v>28</v>
      </c>
      <c r="F20" s="29">
        <v>5606.72</v>
      </c>
      <c r="G20" s="29">
        <f>F20*E20</f>
        <v>156988.16</v>
      </c>
    </row>
    <row r="21" spans="1:7" x14ac:dyDescent="0.3">
      <c r="A21" s="19" t="s">
        <v>163</v>
      </c>
      <c r="B21" s="19"/>
      <c r="C21" s="26">
        <v>24</v>
      </c>
      <c r="D21" s="26">
        <v>19</v>
      </c>
      <c r="E21" s="26">
        <f>C21-D21</f>
        <v>5</v>
      </c>
      <c r="F21" s="11">
        <v>2324.5500000000002</v>
      </c>
      <c r="G21" s="11">
        <f>E21*F21</f>
        <v>11622.75</v>
      </c>
    </row>
    <row r="22" spans="1:7" x14ac:dyDescent="0.3">
      <c r="G22" s="102">
        <f>SUM(G20:G21)</f>
        <v>168610.91</v>
      </c>
    </row>
    <row r="27" spans="1:7" x14ac:dyDescent="0.3">
      <c r="A27" s="121" t="s">
        <v>156</v>
      </c>
      <c r="B27" s="122"/>
    </row>
    <row r="28" spans="1:7" x14ac:dyDescent="0.3">
      <c r="A28" s="26">
        <v>2025</v>
      </c>
      <c r="B28" s="11">
        <v>-19960</v>
      </c>
    </row>
    <row r="29" spans="1:7" x14ac:dyDescent="0.3">
      <c r="A29" s="26">
        <v>2026</v>
      </c>
      <c r="B29" s="11">
        <v>-16863.84</v>
      </c>
    </row>
    <row r="30" spans="1:7" x14ac:dyDescent="0.3">
      <c r="B30" s="102">
        <f>SUM(B28:B29)</f>
        <v>-36823.839999999997</v>
      </c>
    </row>
    <row r="31" spans="1:7" x14ac:dyDescent="0.3">
      <c r="B31" s="194"/>
    </row>
    <row r="32" spans="1:7" ht="15" customHeight="1" x14ac:dyDescent="0.3">
      <c r="B32" s="194"/>
    </row>
    <row r="33" spans="1:5" ht="22.2" customHeight="1" x14ac:dyDescent="0.3">
      <c r="A33" s="172" t="s">
        <v>172</v>
      </c>
      <c r="B33" s="173"/>
      <c r="C33" s="173"/>
      <c r="D33" s="173"/>
      <c r="E33" s="173"/>
    </row>
    <row r="34" spans="1:5" x14ac:dyDescent="0.3">
      <c r="A34" s="154">
        <v>45879</v>
      </c>
      <c r="B34" s="146" t="s">
        <v>144</v>
      </c>
      <c r="C34" s="144" t="s">
        <v>169</v>
      </c>
      <c r="D34" s="145">
        <v>-159.6</v>
      </c>
      <c r="E34" s="146" t="s">
        <v>168</v>
      </c>
    </row>
    <row r="35" spans="1:5" x14ac:dyDescent="0.3">
      <c r="A35" s="154">
        <v>45879</v>
      </c>
      <c r="B35" s="146" t="s">
        <v>144</v>
      </c>
      <c r="C35" s="144" t="s">
        <v>179</v>
      </c>
      <c r="D35" s="145">
        <v>-505.95</v>
      </c>
      <c r="E35" s="146" t="s">
        <v>168</v>
      </c>
    </row>
    <row r="36" spans="1:5" x14ac:dyDescent="0.3">
      <c r="A36" s="154">
        <v>45889</v>
      </c>
      <c r="B36" s="146" t="s">
        <v>144</v>
      </c>
      <c r="C36" s="144" t="s">
        <v>174</v>
      </c>
      <c r="D36" s="145">
        <v>-85.59</v>
      </c>
      <c r="E36" s="203" t="s">
        <v>171</v>
      </c>
    </row>
    <row r="37" spans="1:5" x14ac:dyDescent="0.3">
      <c r="A37" s="154">
        <v>45910</v>
      </c>
      <c r="B37" s="146" t="s">
        <v>144</v>
      </c>
      <c r="C37" s="144" t="s">
        <v>179</v>
      </c>
      <c r="D37" s="145">
        <v>-261.77999999999997</v>
      </c>
      <c r="E37" s="146" t="s">
        <v>168</v>
      </c>
    </row>
    <row r="38" spans="1:5" x14ac:dyDescent="0.3">
      <c r="A38" s="155">
        <v>45910</v>
      </c>
      <c r="B38" s="151" t="s">
        <v>144</v>
      </c>
      <c r="C38" s="149" t="s">
        <v>169</v>
      </c>
      <c r="D38" s="150">
        <v>-159.6</v>
      </c>
      <c r="E38" s="151" t="s">
        <v>168</v>
      </c>
    </row>
    <row r="39" spans="1:5" x14ac:dyDescent="0.3">
      <c r="D39" s="100">
        <f>SUM(D34:D38)</f>
        <v>-1172.52</v>
      </c>
    </row>
  </sheetData>
  <mergeCells count="4">
    <mergeCell ref="A7:G7"/>
    <mergeCell ref="A18:G18"/>
    <mergeCell ref="A27:B27"/>
    <mergeCell ref="A33:E3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8CDB-9654-4534-83E7-86EC5333C8FC}">
  <dimension ref="A3:E16"/>
  <sheetViews>
    <sheetView showGridLines="0" workbookViewId="0">
      <selection activeCell="C7" sqref="B7:C7"/>
    </sheetView>
  </sheetViews>
  <sheetFormatPr defaultRowHeight="14.4" x14ac:dyDescent="0.3"/>
  <cols>
    <col min="1" max="1" width="22" bestFit="1" customWidth="1"/>
    <col min="2" max="2" width="18.5546875" bestFit="1" customWidth="1"/>
    <col min="3" max="4" width="14.109375" bestFit="1" customWidth="1"/>
    <col min="5" max="5" width="10.5546875" bestFit="1" customWidth="1"/>
  </cols>
  <sheetData>
    <row r="3" spans="1:5" x14ac:dyDescent="0.3">
      <c r="A3" s="140" t="s">
        <v>153</v>
      </c>
      <c r="B3" s="140"/>
      <c r="C3" s="140"/>
    </row>
    <row r="4" spans="1:5" x14ac:dyDescent="0.3">
      <c r="A4" s="140"/>
      <c r="B4" s="140"/>
      <c r="C4" s="140"/>
      <c r="E4" s="104">
        <v>45909</v>
      </c>
    </row>
    <row r="5" spans="1:5" x14ac:dyDescent="0.3">
      <c r="A5" s="19" t="s">
        <v>154</v>
      </c>
      <c r="B5" s="26">
        <v>2025</v>
      </c>
      <c r="C5" s="26">
        <v>2026</v>
      </c>
    </row>
    <row r="6" spans="1:5" x14ac:dyDescent="0.3">
      <c r="A6" s="19" t="s">
        <v>144</v>
      </c>
      <c r="B6" s="11">
        <v>-19960</v>
      </c>
      <c r="C6" s="11">
        <v>-16863.84</v>
      </c>
    </row>
    <row r="7" spans="1:5" x14ac:dyDescent="0.3">
      <c r="A7" s="19" t="s">
        <v>145</v>
      </c>
      <c r="B7" s="11">
        <v>-326799.52999999997</v>
      </c>
      <c r="C7" s="11">
        <v>-74600</v>
      </c>
    </row>
    <row r="8" spans="1:5" x14ac:dyDescent="0.3">
      <c r="A8" s="19" t="s">
        <v>146</v>
      </c>
      <c r="B8" s="11">
        <v>-32106.97</v>
      </c>
      <c r="C8" s="11">
        <v>-26937.98</v>
      </c>
    </row>
    <row r="9" spans="1:5" x14ac:dyDescent="0.3">
      <c r="A9" s="19" t="s">
        <v>147</v>
      </c>
      <c r="B9" s="11">
        <v>-11200</v>
      </c>
      <c r="C9" s="11"/>
    </row>
    <row r="10" spans="1:5" x14ac:dyDescent="0.3">
      <c r="A10" s="19" t="s">
        <v>148</v>
      </c>
      <c r="B10" s="11">
        <v>-4000</v>
      </c>
      <c r="C10" s="11">
        <v>-4000</v>
      </c>
    </row>
    <row r="11" spans="1:5" x14ac:dyDescent="0.3">
      <c r="A11" s="19" t="s">
        <v>149</v>
      </c>
      <c r="B11" s="11">
        <v>-16000</v>
      </c>
      <c r="C11" s="11"/>
    </row>
    <row r="12" spans="1:5" x14ac:dyDescent="0.3">
      <c r="A12" s="19" t="s">
        <v>150</v>
      </c>
      <c r="B12" s="11">
        <v>-3000</v>
      </c>
      <c r="C12" s="11">
        <v>-2000</v>
      </c>
    </row>
    <row r="13" spans="1:5" x14ac:dyDescent="0.3">
      <c r="A13" s="19" t="s">
        <v>151</v>
      </c>
      <c r="B13" s="11">
        <v>-47050.639999999992</v>
      </c>
      <c r="C13" s="11">
        <v>-29196.519999999997</v>
      </c>
    </row>
    <row r="14" spans="1:5" x14ac:dyDescent="0.3">
      <c r="A14" s="19" t="s">
        <v>152</v>
      </c>
      <c r="B14" s="11">
        <f>SUM(B6:B13)</f>
        <v>-460117.14</v>
      </c>
      <c r="C14" s="11">
        <f>SUM(C6:C13)</f>
        <v>-153598.34</v>
      </c>
    </row>
    <row r="16" spans="1:5" x14ac:dyDescent="0.3">
      <c r="B16" s="102">
        <f>SUM(B14:C14)</f>
        <v>-613715.48</v>
      </c>
    </row>
  </sheetData>
  <mergeCells count="1">
    <mergeCell ref="A3:C4"/>
  </mergeCells>
  <pageMargins left="0.511811024" right="0.511811024" top="0.78740157499999996" bottom="0.78740157499999996" header="0.31496062000000002" footer="0.31496062000000002"/>
  <ignoredErrors>
    <ignoredError sqref="B14:C1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D4BA-F4D9-4F11-A9C3-1C8472428D4D}">
  <dimension ref="A1:E28"/>
  <sheetViews>
    <sheetView showGridLines="0" topLeftCell="A19" workbookViewId="0">
      <selection activeCell="F28" sqref="F28"/>
    </sheetView>
  </sheetViews>
  <sheetFormatPr defaultColWidth="9" defaultRowHeight="14.4" x14ac:dyDescent="0.3"/>
  <cols>
    <col min="1" max="1" width="21.77734375" customWidth="1"/>
    <col min="2" max="2" width="22.21875" customWidth="1"/>
    <col min="3" max="3" width="61" customWidth="1"/>
    <col min="4" max="4" width="12.44140625" style="8" bestFit="1" customWidth="1"/>
    <col min="5" max="5" width="22.5546875" bestFit="1" customWidth="1"/>
  </cols>
  <sheetData>
    <row r="1" spans="1:5" ht="13.8" customHeight="1" x14ac:dyDescent="0.3">
      <c r="A1" s="14" t="s">
        <v>79</v>
      </c>
      <c r="B1" s="14" t="s">
        <v>88</v>
      </c>
      <c r="C1" s="1" t="s">
        <v>0</v>
      </c>
      <c r="D1" s="197" t="s">
        <v>1</v>
      </c>
      <c r="E1" s="1" t="s">
        <v>2</v>
      </c>
    </row>
    <row r="2" spans="1:5" s="4" customFormat="1" ht="13.8" x14ac:dyDescent="0.3">
      <c r="A2" s="2" t="s">
        <v>86</v>
      </c>
      <c r="B2" s="2" t="s">
        <v>91</v>
      </c>
      <c r="C2" s="2" t="s">
        <v>26</v>
      </c>
      <c r="D2" s="3">
        <v>21887.663200000003</v>
      </c>
      <c r="E2" s="2" t="s">
        <v>3</v>
      </c>
    </row>
    <row r="8" spans="1:5" x14ac:dyDescent="0.3">
      <c r="A8" s="21" t="s">
        <v>119</v>
      </c>
      <c r="B8" s="21">
        <v>4</v>
      </c>
    </row>
    <row r="15" spans="1:5" x14ac:dyDescent="0.3">
      <c r="A15" s="121" t="s">
        <v>156</v>
      </c>
      <c r="B15" s="122"/>
    </row>
    <row r="16" spans="1:5" x14ac:dyDescent="0.3">
      <c r="A16" s="26">
        <v>2025</v>
      </c>
      <c r="B16" s="29"/>
    </row>
    <row r="17" spans="1:5" x14ac:dyDescent="0.3">
      <c r="A17" s="26">
        <v>2026</v>
      </c>
      <c r="B17" s="29"/>
    </row>
    <row r="18" spans="1:5" x14ac:dyDescent="0.3">
      <c r="B18" s="11">
        <f>SUM(B16:B17)</f>
        <v>0</v>
      </c>
    </row>
    <row r="21" spans="1:5" ht="26.4" customHeight="1" x14ac:dyDescent="0.3">
      <c r="A21" s="172" t="s">
        <v>172</v>
      </c>
      <c r="B21" s="173"/>
      <c r="C21" s="173"/>
      <c r="D21" s="173"/>
      <c r="E21" s="173"/>
    </row>
    <row r="22" spans="1:5" x14ac:dyDescent="0.3">
      <c r="A22" s="195" t="s">
        <v>180</v>
      </c>
      <c r="B22" s="195" t="s">
        <v>160</v>
      </c>
      <c r="C22" s="195" t="s">
        <v>181</v>
      </c>
      <c r="D22" s="196" t="s">
        <v>161</v>
      </c>
      <c r="E22" s="195" t="s">
        <v>182</v>
      </c>
    </row>
    <row r="23" spans="1:5" x14ac:dyDescent="0.3">
      <c r="A23" s="154">
        <v>45879</v>
      </c>
      <c r="B23" s="146" t="s">
        <v>183</v>
      </c>
      <c r="C23" s="144" t="s">
        <v>169</v>
      </c>
      <c r="D23" s="145">
        <v>-702.24</v>
      </c>
      <c r="E23" s="146" t="s">
        <v>168</v>
      </c>
    </row>
    <row r="24" spans="1:5" x14ac:dyDescent="0.3">
      <c r="A24" s="154">
        <v>45879</v>
      </c>
      <c r="B24" s="146" t="s">
        <v>183</v>
      </c>
      <c r="C24" s="144" t="s">
        <v>179</v>
      </c>
      <c r="D24" s="145">
        <v>-1756.47</v>
      </c>
      <c r="E24" s="146" t="s">
        <v>168</v>
      </c>
    </row>
    <row r="25" spans="1:5" x14ac:dyDescent="0.3">
      <c r="A25" s="154">
        <v>45889</v>
      </c>
      <c r="B25" s="146" t="s">
        <v>183</v>
      </c>
      <c r="C25" s="144" t="s">
        <v>184</v>
      </c>
      <c r="D25" s="145">
        <v>-365</v>
      </c>
      <c r="E25" s="203" t="s">
        <v>171</v>
      </c>
    </row>
    <row r="26" spans="1:5" x14ac:dyDescent="0.3">
      <c r="A26" s="154">
        <v>45910</v>
      </c>
      <c r="B26" s="146" t="s">
        <v>183</v>
      </c>
      <c r="C26" s="144" t="s">
        <v>179</v>
      </c>
      <c r="D26" s="145">
        <v>-1851.13</v>
      </c>
      <c r="E26" s="146" t="s">
        <v>168</v>
      </c>
    </row>
    <row r="27" spans="1:5" x14ac:dyDescent="0.3">
      <c r="A27" s="155">
        <v>45910</v>
      </c>
      <c r="B27" s="151" t="s">
        <v>183</v>
      </c>
      <c r="C27" s="144" t="s">
        <v>169</v>
      </c>
      <c r="D27" s="150">
        <v>-702.24</v>
      </c>
      <c r="E27" s="151" t="s">
        <v>168</v>
      </c>
    </row>
    <row r="28" spans="1:5" x14ac:dyDescent="0.3">
      <c r="D28" s="100">
        <f>SUM(D23:D27)</f>
        <v>-5377.08</v>
      </c>
    </row>
  </sheetData>
  <mergeCells count="2">
    <mergeCell ref="A15:B15"/>
    <mergeCell ref="A21:E2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6734-ABDE-4C98-8338-807F6CFB9077}">
  <dimension ref="A1:E36"/>
  <sheetViews>
    <sheetView showGridLines="0" topLeftCell="A10" workbookViewId="0">
      <selection activeCell="C22" sqref="C22:C23"/>
    </sheetView>
  </sheetViews>
  <sheetFormatPr defaultColWidth="9" defaultRowHeight="14.4" x14ac:dyDescent="0.3"/>
  <cols>
    <col min="1" max="1" width="22.21875" customWidth="1"/>
    <col min="2" max="2" width="20.44140625" bestFit="1" customWidth="1"/>
    <col min="3" max="3" width="60.5546875" customWidth="1"/>
    <col min="4" max="4" width="12.88671875" bestFit="1" customWidth="1"/>
    <col min="5" max="5" width="22.5546875" bestFit="1" customWidth="1"/>
  </cols>
  <sheetData>
    <row r="1" spans="1:5" ht="13.8" customHeight="1" x14ac:dyDescent="0.3">
      <c r="A1" s="14" t="s">
        <v>79</v>
      </c>
      <c r="B1" s="14" t="s">
        <v>88</v>
      </c>
      <c r="C1" s="1" t="s">
        <v>0</v>
      </c>
      <c r="D1" s="1" t="s">
        <v>1</v>
      </c>
      <c r="E1" s="1" t="s">
        <v>2</v>
      </c>
    </row>
    <row r="2" spans="1:5" s="4" customFormat="1" ht="13.8" x14ac:dyDescent="0.3">
      <c r="A2" s="2" t="s">
        <v>85</v>
      </c>
      <c r="B2" s="2" t="s">
        <v>92</v>
      </c>
      <c r="C2" s="2" t="s">
        <v>23</v>
      </c>
      <c r="D2" s="3">
        <v>20185.36</v>
      </c>
      <c r="E2" s="2" t="s">
        <v>24</v>
      </c>
    </row>
    <row r="3" spans="1:5" s="4" customFormat="1" ht="13.8" x14ac:dyDescent="0.3">
      <c r="A3" s="2" t="s">
        <v>85</v>
      </c>
      <c r="B3" s="2" t="s">
        <v>92</v>
      </c>
      <c r="C3" s="2" t="s">
        <v>25</v>
      </c>
      <c r="D3" s="3">
        <v>13996.47</v>
      </c>
      <c r="E3" s="2" t="s">
        <v>4</v>
      </c>
    </row>
    <row r="4" spans="1:5" x14ac:dyDescent="0.3">
      <c r="D4" s="23">
        <f>SUM(D2:D3)</f>
        <v>34181.83</v>
      </c>
    </row>
    <row r="7" spans="1:5" ht="12" customHeight="1" x14ac:dyDescent="0.3"/>
    <row r="8" spans="1:5" x14ac:dyDescent="0.3">
      <c r="A8" s="21" t="s">
        <v>119</v>
      </c>
      <c r="B8" s="21">
        <v>7</v>
      </c>
    </row>
    <row r="13" spans="1:5" x14ac:dyDescent="0.3">
      <c r="A13" s="121" t="s">
        <v>156</v>
      </c>
      <c r="B13" s="122"/>
    </row>
    <row r="14" spans="1:5" x14ac:dyDescent="0.3">
      <c r="A14" s="26">
        <v>2025</v>
      </c>
      <c r="B14" s="11">
        <v>3000</v>
      </c>
    </row>
    <row r="15" spans="1:5" x14ac:dyDescent="0.3">
      <c r="A15" s="26">
        <v>2026</v>
      </c>
      <c r="B15" s="11">
        <v>2000</v>
      </c>
    </row>
    <row r="16" spans="1:5" x14ac:dyDescent="0.3">
      <c r="B16" s="102">
        <f>SUM(B14:B15)</f>
        <v>5000</v>
      </c>
    </row>
    <row r="20" spans="1:5" x14ac:dyDescent="0.3">
      <c r="A20" s="121" t="s">
        <v>162</v>
      </c>
      <c r="B20" s="122"/>
      <c r="C20" s="129"/>
    </row>
    <row r="21" spans="1:5" x14ac:dyDescent="0.3">
      <c r="A21" s="117" t="s">
        <v>160</v>
      </c>
      <c r="B21" s="117" t="s">
        <v>142</v>
      </c>
      <c r="C21" s="117" t="s">
        <v>161</v>
      </c>
    </row>
    <row r="22" spans="1:5" x14ac:dyDescent="0.3">
      <c r="A22" s="19" t="s">
        <v>164</v>
      </c>
      <c r="B22" s="141">
        <v>45896</v>
      </c>
      <c r="C22" s="201">
        <v>2599.85</v>
      </c>
      <c r="D22" t="s">
        <v>166</v>
      </c>
    </row>
    <row r="23" spans="1:5" x14ac:dyDescent="0.3">
      <c r="A23" s="19" t="s">
        <v>164</v>
      </c>
      <c r="B23" s="141">
        <v>45883</v>
      </c>
      <c r="C23" s="201">
        <v>4375.75</v>
      </c>
      <c r="D23" t="s">
        <v>165</v>
      </c>
    </row>
    <row r="26" spans="1:5" x14ac:dyDescent="0.3">
      <c r="A26" s="119" t="s">
        <v>185</v>
      </c>
      <c r="B26" s="120"/>
      <c r="C26" s="120"/>
      <c r="D26" s="120"/>
      <c r="E26" s="120"/>
    </row>
    <row r="27" spans="1:5" x14ac:dyDescent="0.3">
      <c r="A27" s="195" t="s">
        <v>180</v>
      </c>
      <c r="B27" s="195" t="s">
        <v>160</v>
      </c>
      <c r="C27" s="195" t="s">
        <v>181</v>
      </c>
      <c r="D27" s="196" t="s">
        <v>161</v>
      </c>
      <c r="E27" s="195" t="s">
        <v>182</v>
      </c>
    </row>
    <row r="28" spans="1:5" x14ac:dyDescent="0.3">
      <c r="A28" s="154">
        <v>45879</v>
      </c>
      <c r="B28" s="146" t="s">
        <v>150</v>
      </c>
      <c r="C28" s="143" t="s">
        <v>186</v>
      </c>
      <c r="D28" s="145">
        <v>-800.42</v>
      </c>
      <c r="E28" s="146" t="s">
        <v>168</v>
      </c>
    </row>
    <row r="29" spans="1:5" x14ac:dyDescent="0.3">
      <c r="A29" s="154">
        <v>45880</v>
      </c>
      <c r="B29" s="146" t="s">
        <v>150</v>
      </c>
      <c r="C29" s="143" t="s">
        <v>169</v>
      </c>
      <c r="D29" s="145">
        <v>-383.04</v>
      </c>
      <c r="E29" s="146" t="s">
        <v>168</v>
      </c>
    </row>
    <row r="30" spans="1:5" s="4" customFormat="1" ht="13.8" x14ac:dyDescent="0.3">
      <c r="A30" s="154">
        <v>45889</v>
      </c>
      <c r="B30" s="146" t="s">
        <v>150</v>
      </c>
      <c r="C30" s="143" t="s">
        <v>174</v>
      </c>
      <c r="D30" s="145">
        <v>-395</v>
      </c>
      <c r="E30" s="203" t="s">
        <v>171</v>
      </c>
    </row>
    <row r="31" spans="1:5" x14ac:dyDescent="0.3">
      <c r="A31" s="154">
        <v>45910</v>
      </c>
      <c r="B31" s="146" t="s">
        <v>150</v>
      </c>
      <c r="C31" s="143" t="s">
        <v>186</v>
      </c>
      <c r="D31" s="145">
        <v>-962.1</v>
      </c>
      <c r="E31" s="146" t="s">
        <v>168</v>
      </c>
    </row>
    <row r="32" spans="1:5" x14ac:dyDescent="0.3">
      <c r="A32" s="155">
        <v>45910</v>
      </c>
      <c r="B32" s="151" t="s">
        <v>150</v>
      </c>
      <c r="C32" s="148" t="s">
        <v>169</v>
      </c>
      <c r="D32" s="150">
        <v>-383.04</v>
      </c>
      <c r="E32" s="151" t="s">
        <v>168</v>
      </c>
    </row>
    <row r="33" spans="4:5" x14ac:dyDescent="0.3">
      <c r="D33" s="100">
        <f>SUM(D28:D32)</f>
        <v>-2923.6</v>
      </c>
    </row>
    <row r="36" spans="4:5" x14ac:dyDescent="0.3">
      <c r="D36" s="8"/>
      <c r="E36" s="15"/>
    </row>
  </sheetData>
  <mergeCells count="3">
    <mergeCell ref="A13:B13"/>
    <mergeCell ref="A20:C20"/>
    <mergeCell ref="A26:E2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745C-2514-4379-97DB-07F14E314857}">
  <dimension ref="A1:F29"/>
  <sheetViews>
    <sheetView showGridLines="0" topLeftCell="A10" workbookViewId="0">
      <selection activeCell="D24" sqref="D24:D29"/>
    </sheetView>
  </sheetViews>
  <sheetFormatPr defaultRowHeight="14.4" x14ac:dyDescent="0.3"/>
  <cols>
    <col min="1" max="1" width="20.44140625" customWidth="1"/>
    <col min="2" max="2" width="27.88671875" bestFit="1" customWidth="1"/>
    <col min="3" max="3" width="58.5546875" style="113" customWidth="1"/>
    <col min="4" max="4" width="12.88671875" bestFit="1" customWidth="1"/>
    <col min="5" max="5" width="22.5546875" bestFit="1" customWidth="1"/>
  </cols>
  <sheetData>
    <row r="1" spans="1:6" x14ac:dyDescent="0.3">
      <c r="A1" s="14" t="s">
        <v>79</v>
      </c>
      <c r="B1" s="14" t="s">
        <v>88</v>
      </c>
      <c r="C1" s="1" t="s">
        <v>0</v>
      </c>
      <c r="D1" s="1" t="s">
        <v>1</v>
      </c>
      <c r="E1" s="1" t="s">
        <v>2</v>
      </c>
    </row>
    <row r="2" spans="1:6" x14ac:dyDescent="0.3">
      <c r="A2" s="2" t="s">
        <v>84</v>
      </c>
      <c r="B2" s="2" t="s">
        <v>93</v>
      </c>
      <c r="C2" s="2" t="s">
        <v>19</v>
      </c>
      <c r="D2" s="3">
        <v>17160</v>
      </c>
      <c r="E2" s="2" t="s">
        <v>3</v>
      </c>
      <c r="F2" s="4"/>
    </row>
    <row r="3" spans="1:6" x14ac:dyDescent="0.3">
      <c r="A3" s="2" t="s">
        <v>84</v>
      </c>
      <c r="B3" s="2" t="s">
        <v>93</v>
      </c>
      <c r="C3" s="2" t="s">
        <v>19</v>
      </c>
      <c r="D3" s="3">
        <v>740</v>
      </c>
      <c r="E3" s="2" t="s">
        <v>4</v>
      </c>
      <c r="F3" s="4"/>
    </row>
    <row r="4" spans="1:6" x14ac:dyDescent="0.3">
      <c r="A4" s="2" t="s">
        <v>84</v>
      </c>
      <c r="B4" s="2" t="s">
        <v>93</v>
      </c>
      <c r="C4" s="2" t="s">
        <v>20</v>
      </c>
      <c r="D4" s="3">
        <v>23005.538400000001</v>
      </c>
      <c r="E4" s="2" t="s">
        <v>3</v>
      </c>
      <c r="F4" s="9"/>
    </row>
    <row r="5" spans="1:6" x14ac:dyDescent="0.3">
      <c r="A5" s="2" t="s">
        <v>84</v>
      </c>
      <c r="B5" s="2" t="s">
        <v>93</v>
      </c>
      <c r="C5" s="2" t="s">
        <v>20</v>
      </c>
      <c r="D5" s="3">
        <v>10920</v>
      </c>
      <c r="E5" s="2" t="s">
        <v>21</v>
      </c>
      <c r="F5" s="4"/>
    </row>
    <row r="6" spans="1:6" x14ac:dyDescent="0.3">
      <c r="A6" s="2" t="s">
        <v>84</v>
      </c>
      <c r="B6" s="2" t="s">
        <v>93</v>
      </c>
      <c r="C6" s="2" t="s">
        <v>22</v>
      </c>
      <c r="D6" s="3">
        <v>45898.548800000004</v>
      </c>
      <c r="E6" s="2" t="s">
        <v>3</v>
      </c>
      <c r="F6" s="4"/>
    </row>
    <row r="7" spans="1:6" x14ac:dyDescent="0.3">
      <c r="D7" s="23">
        <f>SUM(D2:D6)</f>
        <v>97724.087200000009</v>
      </c>
    </row>
    <row r="10" spans="1:6" x14ac:dyDescent="0.3">
      <c r="A10" s="21" t="s">
        <v>119</v>
      </c>
      <c r="B10" s="21">
        <v>14</v>
      </c>
    </row>
    <row r="15" spans="1:6" x14ac:dyDescent="0.3">
      <c r="A15" s="121" t="s">
        <v>156</v>
      </c>
      <c r="B15" s="122"/>
    </row>
    <row r="16" spans="1:6" x14ac:dyDescent="0.3">
      <c r="A16" s="26">
        <v>2025</v>
      </c>
      <c r="B16" s="11">
        <v>-4000</v>
      </c>
    </row>
    <row r="17" spans="1:5" x14ac:dyDescent="0.3">
      <c r="A17" s="26">
        <v>2026</v>
      </c>
      <c r="B17" s="11">
        <v>-4000</v>
      </c>
    </row>
    <row r="18" spans="1:5" x14ac:dyDescent="0.3">
      <c r="B18" s="102">
        <f>SUM(B16:B17)</f>
        <v>-8000</v>
      </c>
    </row>
    <row r="19" spans="1:5" x14ac:dyDescent="0.3">
      <c r="B19" s="194"/>
    </row>
    <row r="22" spans="1:5" x14ac:dyDescent="0.3">
      <c r="A22" s="119" t="s">
        <v>185</v>
      </c>
      <c r="B22" s="120"/>
      <c r="C22" s="120"/>
      <c r="D22" s="120"/>
      <c r="E22" s="120"/>
    </row>
    <row r="23" spans="1:5" x14ac:dyDescent="0.3">
      <c r="A23" s="195" t="s">
        <v>180</v>
      </c>
      <c r="B23" s="195" t="s">
        <v>160</v>
      </c>
      <c r="C23" s="198" t="s">
        <v>181</v>
      </c>
      <c r="D23" s="196" t="s">
        <v>161</v>
      </c>
      <c r="E23" s="195" t="s">
        <v>182</v>
      </c>
    </row>
    <row r="24" spans="1:5" x14ac:dyDescent="0.3">
      <c r="A24" s="142">
        <v>45879</v>
      </c>
      <c r="B24" s="143" t="s">
        <v>148</v>
      </c>
      <c r="C24" s="143" t="s">
        <v>179</v>
      </c>
      <c r="D24" s="145">
        <v>-775.52</v>
      </c>
      <c r="E24" s="146" t="s">
        <v>168</v>
      </c>
    </row>
    <row r="25" spans="1:5" x14ac:dyDescent="0.3">
      <c r="A25" s="142">
        <v>45880</v>
      </c>
      <c r="B25" s="143" t="s">
        <v>148</v>
      </c>
      <c r="C25" s="143" t="s">
        <v>169</v>
      </c>
      <c r="D25" s="145">
        <v>-271.32</v>
      </c>
      <c r="E25" s="146" t="s">
        <v>168</v>
      </c>
    </row>
    <row r="26" spans="1:5" s="4" customFormat="1" ht="13.8" x14ac:dyDescent="0.3">
      <c r="A26" s="142">
        <v>45889</v>
      </c>
      <c r="B26" s="143" t="s">
        <v>148</v>
      </c>
      <c r="C26" s="143" t="s">
        <v>174</v>
      </c>
      <c r="D26" s="145">
        <v>-350</v>
      </c>
      <c r="E26" s="146" t="s">
        <v>171</v>
      </c>
    </row>
    <row r="27" spans="1:5" x14ac:dyDescent="0.3">
      <c r="A27" s="142">
        <v>45910</v>
      </c>
      <c r="B27" s="143" t="s">
        <v>148</v>
      </c>
      <c r="C27" s="143" t="s">
        <v>179</v>
      </c>
      <c r="D27" s="145">
        <v>-749.76</v>
      </c>
      <c r="E27" s="146" t="s">
        <v>168</v>
      </c>
    </row>
    <row r="28" spans="1:5" x14ac:dyDescent="0.3">
      <c r="A28" s="147">
        <v>45910</v>
      </c>
      <c r="B28" s="148" t="s">
        <v>148</v>
      </c>
      <c r="C28" s="148" t="s">
        <v>169</v>
      </c>
      <c r="D28" s="150">
        <v>-239.4</v>
      </c>
      <c r="E28" s="151" t="s">
        <v>168</v>
      </c>
    </row>
    <row r="29" spans="1:5" x14ac:dyDescent="0.3">
      <c r="D29" s="153">
        <f>SUM(D24:D28)</f>
        <v>-2386</v>
      </c>
    </row>
  </sheetData>
  <mergeCells count="2">
    <mergeCell ref="A15:B15"/>
    <mergeCell ref="A22:E2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4652-005F-4B8A-81C7-FA6A6966C17E}">
  <dimension ref="A1:F31"/>
  <sheetViews>
    <sheetView showGridLines="0" topLeftCell="A13" workbookViewId="0">
      <selection activeCell="D24" sqref="D24:D29"/>
    </sheetView>
  </sheetViews>
  <sheetFormatPr defaultRowHeight="14.4" x14ac:dyDescent="0.3"/>
  <cols>
    <col min="1" max="1" width="21.21875" customWidth="1"/>
    <col min="2" max="2" width="23.109375" style="113" customWidth="1"/>
    <col min="3" max="3" width="56.6640625" customWidth="1"/>
    <col min="4" max="4" width="12.88671875" bestFit="1" customWidth="1"/>
    <col min="5" max="5" width="25.109375" bestFit="1" customWidth="1"/>
  </cols>
  <sheetData>
    <row r="1" spans="1:6" x14ac:dyDescent="0.3">
      <c r="A1" s="18" t="s">
        <v>79</v>
      </c>
      <c r="B1" s="16" t="s">
        <v>88</v>
      </c>
      <c r="C1" s="1" t="s">
        <v>0</v>
      </c>
      <c r="D1" s="1" t="s">
        <v>1</v>
      </c>
      <c r="E1" s="1" t="s">
        <v>2</v>
      </c>
    </row>
    <row r="2" spans="1:6" x14ac:dyDescent="0.3">
      <c r="A2" s="13" t="s">
        <v>81</v>
      </c>
      <c r="B2" s="17" t="s">
        <v>90</v>
      </c>
      <c r="C2" s="2" t="s">
        <v>12</v>
      </c>
      <c r="D2" s="3">
        <v>578.76</v>
      </c>
      <c r="E2" s="2" t="s">
        <v>8</v>
      </c>
      <c r="F2" s="4"/>
    </row>
    <row r="3" spans="1:6" x14ac:dyDescent="0.3">
      <c r="A3" s="13" t="s">
        <v>81</v>
      </c>
      <c r="B3" s="17" t="s">
        <v>90</v>
      </c>
      <c r="C3" s="2" t="s">
        <v>12</v>
      </c>
      <c r="D3" s="3">
        <v>1040</v>
      </c>
      <c r="E3" s="2" t="s">
        <v>13</v>
      </c>
      <c r="F3" s="7"/>
    </row>
    <row r="4" spans="1:6" x14ac:dyDescent="0.3">
      <c r="A4" s="13" t="s">
        <v>81</v>
      </c>
      <c r="B4" s="17" t="s">
        <v>90</v>
      </c>
      <c r="C4" s="2" t="s">
        <v>12</v>
      </c>
      <c r="D4" s="8">
        <v>9055.1</v>
      </c>
      <c r="E4" s="2" t="s">
        <v>4</v>
      </c>
      <c r="F4" s="7"/>
    </row>
    <row r="5" spans="1:6" x14ac:dyDescent="0.3">
      <c r="A5" s="13" t="s">
        <v>81</v>
      </c>
      <c r="B5" s="17" t="s">
        <v>90</v>
      </c>
      <c r="C5" s="2" t="s">
        <v>14</v>
      </c>
      <c r="D5" s="3">
        <v>22770</v>
      </c>
      <c r="E5" s="2" t="s">
        <v>3</v>
      </c>
      <c r="F5" s="4"/>
    </row>
    <row r="6" spans="1:6" x14ac:dyDescent="0.3">
      <c r="A6" s="13" t="s">
        <v>81</v>
      </c>
      <c r="B6" s="17" t="s">
        <v>90</v>
      </c>
      <c r="C6" s="2" t="s">
        <v>14</v>
      </c>
      <c r="D6" s="3">
        <v>4746.2202000000007</v>
      </c>
      <c r="E6" s="2" t="s">
        <v>4</v>
      </c>
      <c r="F6" s="4"/>
    </row>
    <row r="7" spans="1:6" x14ac:dyDescent="0.3">
      <c r="A7" s="13" t="s">
        <v>81</v>
      </c>
      <c r="B7" s="17" t="s">
        <v>90</v>
      </c>
      <c r="C7" s="2" t="s">
        <v>15</v>
      </c>
      <c r="D7" s="3">
        <v>24948.726749999998</v>
      </c>
      <c r="E7" s="2" t="s">
        <v>3</v>
      </c>
      <c r="F7" s="4"/>
    </row>
    <row r="8" spans="1:6" x14ac:dyDescent="0.3">
      <c r="A8" s="13" t="s">
        <v>81</v>
      </c>
      <c r="B8" s="17" t="s">
        <v>90</v>
      </c>
      <c r="C8" s="2" t="s">
        <v>15</v>
      </c>
      <c r="D8" s="3">
        <v>9492.45075</v>
      </c>
      <c r="E8" s="2" t="s">
        <v>4</v>
      </c>
      <c r="F8" s="4"/>
    </row>
    <row r="9" spans="1:6" x14ac:dyDescent="0.3">
      <c r="A9" s="13" t="s">
        <v>81</v>
      </c>
      <c r="B9" s="17" t="s">
        <v>90</v>
      </c>
      <c r="C9" s="2" t="s">
        <v>15</v>
      </c>
      <c r="D9" s="3">
        <v>200</v>
      </c>
      <c r="E9" s="2" t="s">
        <v>8</v>
      </c>
      <c r="F9" s="4"/>
    </row>
    <row r="10" spans="1:6" x14ac:dyDescent="0.3">
      <c r="D10" s="23">
        <f>SUM(D2:D9)</f>
        <v>72831.257700000002</v>
      </c>
    </row>
    <row r="13" spans="1:6" x14ac:dyDescent="0.3">
      <c r="A13" s="21" t="s">
        <v>119</v>
      </c>
      <c r="B13" s="199">
        <v>16</v>
      </c>
    </row>
    <row r="17" spans="1:5" x14ac:dyDescent="0.3">
      <c r="A17" s="121" t="s">
        <v>156</v>
      </c>
      <c r="B17" s="129"/>
    </row>
    <row r="18" spans="1:5" x14ac:dyDescent="0.3">
      <c r="A18" s="103">
        <v>2025</v>
      </c>
      <c r="B18" s="200">
        <v>-16000</v>
      </c>
    </row>
    <row r="19" spans="1:5" x14ac:dyDescent="0.3">
      <c r="A19" s="103">
        <v>2026</v>
      </c>
      <c r="B19" s="28"/>
    </row>
    <row r="20" spans="1:5" x14ac:dyDescent="0.3">
      <c r="B20" s="200">
        <f>SUM(B18:B19)</f>
        <v>-16000</v>
      </c>
    </row>
    <row r="24" spans="1:5" x14ac:dyDescent="0.3">
      <c r="A24" s="119" t="s">
        <v>185</v>
      </c>
      <c r="B24" s="120"/>
      <c r="C24" s="120"/>
      <c r="D24" s="202"/>
      <c r="E24" s="120"/>
    </row>
    <row r="25" spans="1:5" x14ac:dyDescent="0.3">
      <c r="A25" s="195" t="s">
        <v>180</v>
      </c>
      <c r="B25" s="198" t="s">
        <v>160</v>
      </c>
      <c r="C25" s="198" t="s">
        <v>181</v>
      </c>
      <c r="D25" s="196" t="s">
        <v>161</v>
      </c>
      <c r="E25" s="195" t="s">
        <v>182</v>
      </c>
    </row>
    <row r="26" spans="1:5" s="4" customFormat="1" ht="13.8" x14ac:dyDescent="0.3">
      <c r="A26" s="154">
        <v>45879</v>
      </c>
      <c r="B26" s="146" t="s">
        <v>149</v>
      </c>
      <c r="C26" s="144" t="s">
        <v>169</v>
      </c>
      <c r="D26" s="145">
        <v>-287.27999999999997</v>
      </c>
      <c r="E26" s="146" t="s">
        <v>168</v>
      </c>
    </row>
    <row r="27" spans="1:5" x14ac:dyDescent="0.3">
      <c r="A27" s="154">
        <v>45879</v>
      </c>
      <c r="B27" s="146" t="s">
        <v>149</v>
      </c>
      <c r="C27" s="144" t="s">
        <v>186</v>
      </c>
      <c r="D27" s="145">
        <v>-584.17999999999995</v>
      </c>
      <c r="E27" s="146" t="s">
        <v>168</v>
      </c>
    </row>
    <row r="28" spans="1:5" x14ac:dyDescent="0.3">
      <c r="A28" s="154">
        <v>45889</v>
      </c>
      <c r="B28" s="146" t="s">
        <v>149</v>
      </c>
      <c r="C28" s="144" t="s">
        <v>174</v>
      </c>
      <c r="D28" s="145">
        <v>-549.5</v>
      </c>
      <c r="E28" s="146" t="s">
        <v>171</v>
      </c>
    </row>
    <row r="29" spans="1:5" x14ac:dyDescent="0.3">
      <c r="A29" s="154">
        <v>45910</v>
      </c>
      <c r="B29" s="146" t="s">
        <v>149</v>
      </c>
      <c r="C29" s="144" t="s">
        <v>186</v>
      </c>
      <c r="D29" s="145">
        <v>-699.36</v>
      </c>
      <c r="E29" s="146" t="s">
        <v>168</v>
      </c>
    </row>
    <row r="30" spans="1:5" x14ac:dyDescent="0.3">
      <c r="A30" s="155">
        <v>45910</v>
      </c>
      <c r="B30" s="151" t="s">
        <v>149</v>
      </c>
      <c r="C30" s="149" t="s">
        <v>169</v>
      </c>
      <c r="D30" s="150">
        <v>-287.27999999999997</v>
      </c>
      <c r="E30" s="151" t="s">
        <v>168</v>
      </c>
    </row>
    <row r="31" spans="1:5" x14ac:dyDescent="0.3">
      <c r="D31" s="153">
        <f>SUM(D26:D30)</f>
        <v>-2407.6000000000004</v>
      </c>
    </row>
  </sheetData>
  <mergeCells count="2">
    <mergeCell ref="A17:B17"/>
    <mergeCell ref="A24:E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HSERV CABREUVA SERVICOS DE APOI</vt:lpstr>
      <vt:lpstr>H SERV CLEAN COMERCIO DE PRODUT</vt:lpstr>
      <vt:lpstr>VITOR AUGUSTO DUARTE SOCIEDADE </vt:lpstr>
      <vt:lpstr>HSERV SERVICOS COMBINADOS DE FA</vt:lpstr>
      <vt:lpstr>dividas Veiculares</vt:lpstr>
      <vt:lpstr>HENRIQUE JEAN DUARTE LTDA</vt:lpstr>
      <vt:lpstr>DIVIDAS TRABALHISTA</vt:lpstr>
      <vt:lpstr>HSERV TECNOLOGIA E SERVICOS SOC</vt:lpstr>
      <vt:lpstr>HSERV SERVICOS TERCEIRIZADOS SO</vt:lpstr>
      <vt:lpstr>HSERV SERVICOS DE LIMPEZA E SEG</vt:lpstr>
      <vt:lpstr>HSERV CABREUVA REPRESENTACOES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Rocha</dc:creator>
  <cp:lastModifiedBy>Ester Cardozo</cp:lastModifiedBy>
  <dcterms:created xsi:type="dcterms:W3CDTF">2024-10-02T14:30:59Z</dcterms:created>
  <dcterms:modified xsi:type="dcterms:W3CDTF">2025-09-11T15:19:59Z</dcterms:modified>
</cp:coreProperties>
</file>