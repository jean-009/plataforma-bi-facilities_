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drawings/drawing2.xml" ContentType="application/vnd.openxmlformats-officedocument.drawing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B5AE62BD-E2ED-4A2A-9F64-D1390A9C3AE8}" xr6:coauthVersionLast="47" xr6:coauthVersionMax="47" xr10:uidLastSave="{00000000-0000-0000-0000-000000000000}"/>
  <bookViews>
    <workbookView xWindow="-108" yWindow="-108" windowWidth="23256" windowHeight="12456" activeTab="2" xr2:uid="{2D4EBA98-E3F3-4A1F-9CF4-5FA2B2664D5F}"/>
  </bookViews>
  <sheets>
    <sheet name="PLANEJAMENTO" sheetId="76" r:id="rId1"/>
    <sheet name="BASE" sheetId="75" r:id="rId2"/>
    <sheet name="AJUSTES" sheetId="77" r:id="rId3"/>
    <sheet name="Planilha3" sheetId="60" state="hidden" r:id="rId4"/>
    <sheet name="Planilha7" sheetId="59" state="hidden" r:id="rId5"/>
    <sheet name="Planilha2" sheetId="55" state="hidden" r:id="rId6"/>
    <sheet name="ACORDO" sheetId="18" state="hidden" r:id="rId7"/>
    <sheet name="NEXTI" sheetId="17" state="hidden" r:id="rId8"/>
    <sheet name="Planilha1" sheetId="40" state="hidden" r:id="rId9"/>
    <sheet name="DDA VENCIDO" sheetId="20" state="hidden" r:id="rId10"/>
    <sheet name="Planilha6" sheetId="21" state="hidden" r:id="rId11"/>
  </sheets>
  <definedNames>
    <definedName name="_xlnm._FilterDatabase" localSheetId="6" hidden="1">ACORDO!$A$2:$G$33</definedName>
    <definedName name="_xlnm._FilterDatabase" localSheetId="1" hidden="1">BASE!$A$1:$G$360</definedName>
  </definedNames>
  <calcPr calcId="191029"/>
  <pivotCaches>
    <pivotCache cacheId="6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77" l="1"/>
  <c r="E31" i="77"/>
  <c r="E29" i="77"/>
  <c r="E33" i="77" s="1"/>
  <c r="C6" i="59"/>
  <c r="B13" i="76"/>
  <c r="B15" i="76"/>
  <c r="C10" i="55" l="1"/>
  <c r="D10" i="55"/>
  <c r="E10" i="55"/>
  <c r="C13" i="76"/>
  <c r="C15" i="76"/>
  <c r="D13" i="76"/>
  <c r="D15" i="76"/>
  <c r="E13" i="76"/>
  <c r="E15" i="76"/>
  <c r="F13" i="76"/>
  <c r="F15" i="76"/>
  <c r="G13" i="76"/>
  <c r="G15" i="76"/>
  <c r="H13" i="76"/>
  <c r="H15" i="76"/>
  <c r="I13" i="76"/>
  <c r="I15" i="76"/>
  <c r="J13" i="76"/>
  <c r="J15" i="76"/>
  <c r="K13" i="76"/>
  <c r="K15" i="76"/>
  <c r="L13" i="76"/>
  <c r="L15" i="76"/>
  <c r="M13" i="76"/>
  <c r="M15" i="76"/>
  <c r="N13" i="76"/>
  <c r="N15" i="76"/>
  <c r="O13" i="76"/>
  <c r="O15" i="76"/>
  <c r="P13" i="76"/>
  <c r="P15" i="76"/>
  <c r="Q13" i="76"/>
  <c r="Q15" i="76"/>
  <c r="R13" i="76"/>
  <c r="R15" i="76"/>
  <c r="S13" i="76"/>
  <c r="S15" i="76"/>
  <c r="T13" i="76" l="1"/>
  <c r="T15" i="76"/>
</calcChain>
</file>

<file path=xl/sharedStrings.xml><?xml version="1.0" encoding="utf-8"?>
<sst xmlns="http://schemas.openxmlformats.org/spreadsheetml/2006/main" count="2804" uniqueCount="476">
  <si>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</si>
  <si>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</si>
  <si>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</si>
  <si>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</si>
  <si>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</si>
  <si>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</si>
  <si>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</si>
  <si>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</si>
  <si>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</si>
  <si>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</si>
  <si>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</si>
  <si>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</si>
  <si>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</si>
  <si>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</si>
  <si>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</si>
  <si>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</si>
  <si>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</si>
  <si>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</si>
  <si>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</si>
  <si>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</si>
  <si>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</si>
  <si>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</si>
  <si>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</si>
  <si>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</si>
  <si>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</si>
  <si>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</si>
  <si>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</si>
  <si>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</si>
  <si>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</si>
  <si>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</si>
  <si>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</si>
  <si>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</si>
  <si>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</si>
  <si>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</si>
  <si>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</si>
  <si>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</si>
  <si>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</si>
  <si>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</si>
  <si>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</si>
  <si>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</si>
  <si>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</si>
  <si>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</si>
  <si>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</si>
  <si>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</si>
  <si>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</si>
  <si>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</si>
  <si>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</si>
  <si>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</si>
  <si>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</si>
  <si>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</si>
  <si>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</si>
  <si>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</si>
  <si>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</si>
  <si>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</si>
  <si>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</si>
  <si>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</si>
  <si>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</si>
  <si>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</si>
  <si>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</si>
  <si>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</si>
  <si>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</si>
  <si>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</si>
  <si>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</si>
  <si>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</si>
  <si>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</si>
  <si>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</si>
  <si>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</si>
  <si>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</si>
  <si>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</si>
  <si>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</si>
  <si>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</si>
  <si>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</si>
  <si>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</si>
  <si>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</si>
  <si>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</si>
  <si>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</si>
  <si>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</si>
  <si>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</si>
  <si>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</si>
  <si>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</si>
  <si>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</si>
  <si>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</si>
  <si>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</si>
  <si>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ESTER CARDOZO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</si>
  <si>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</si>
  <si>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</si>
  <si>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</si>
  <si>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</si>
  <si>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</si>
  <si>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</si>
  <si>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</si>
  <si>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</si>
  <si>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</si>
  <si>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</si>
  <si>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</si>
  <si>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</si>
  <si>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</si>
  <si>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</si>
  <si>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</si>
  <si>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</si>
  <si>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EXAMES MEDICOS</t>
  </si>
  <si>
    <t>IF EMPRESARIAL</t>
  </si>
  <si>
    <t>CONTABILIDADE</t>
  </si>
  <si>
    <t>ANJO AZUL ALARMES</t>
  </si>
  <si>
    <t>MAXIWEB INTERNET PROVIDER LTDA</t>
  </si>
  <si>
    <t>IMPOSTO</t>
  </si>
  <si>
    <t>DARF DE COFINS, PIS- LUCRO REAL EMPRESA VITOR</t>
  </si>
  <si>
    <t>DARF DE COFINS, PIS- LUCRO  PRESUMIDO HSERV CABREUVA</t>
  </si>
  <si>
    <t>CLARO S/A</t>
  </si>
  <si>
    <t>TELEFONE</t>
  </si>
  <si>
    <t xml:space="preserve">IMOVEL NEX ONE </t>
  </si>
  <si>
    <t>GADE CORPORATIVA</t>
  </si>
  <si>
    <t>INTERNET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</si>
  <si>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</si>
  <si>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</si>
  <si>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</si>
  <si>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</si>
  <si>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</si>
  <si>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</si>
  <si>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</si>
  <si>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</si>
  <si>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</si>
  <si>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</si>
  <si>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</si>
  <si>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</si>
  <si>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</si>
  <si>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>FÉRIAS</t>
  </si>
  <si>
    <t>APORTE</t>
  </si>
  <si>
    <t>GUIA DE PARCELAMENTO INSS VITOR JULHO A NOV 2024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</si>
  <si>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</si>
  <si>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</si>
  <si>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</si>
  <si>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</si>
  <si>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</si>
  <si>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</si>
  <si>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</si>
  <si>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</si>
  <si>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</si>
  <si>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</si>
  <si>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</si>
  <si>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</si>
  <si>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</si>
  <si>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</si>
  <si>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</si>
  <si>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</si>
  <si>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</si>
  <si>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</si>
  <si>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</si>
  <si>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</si>
  <si>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</si>
  <si>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</si>
  <si>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</si>
  <si>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</si>
  <si>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PLASTY COMERCIAL DE PLASTICOS LTDA</t>
  </si>
  <si>
    <t>ACORDO TRABALHISTA</t>
  </si>
  <si>
    <t>LUCAS LEONARDO MARQUES DE OLIVEIRA</t>
  </si>
  <si>
    <t>CRISTIANI COSIM DE OLIVEIRA VILELA</t>
  </si>
  <si>
    <t>ANA PAULA HERKES MARTINS</t>
  </si>
  <si>
    <t>VALERIA GEOVANNA DOS SANTOS</t>
  </si>
  <si>
    <t>TADIM NEVES SOCIEDADE INDIVIDUAL DE ADVOCACIA</t>
  </si>
  <si>
    <t>LUAN VIEIRA BARRETO</t>
  </si>
  <si>
    <t>SINDPRESTEM</t>
  </si>
  <si>
    <t>SIEMACO-PRUDENTE SINDICATO AVENIDA, ASSIS E REGIÃO</t>
  </si>
  <si>
    <t>EMPORIO MEGA 100 COMERCIO DE ALIMENTOS S.A.</t>
  </si>
  <si>
    <t>LOCALIZA FLEET S.A.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</si>
  <si>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</si>
  <si>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</si>
  <si>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</si>
  <si>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</si>
  <si>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</si>
  <si>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</si>
  <si>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</si>
  <si>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SETEMBRO</t>
  </si>
  <si>
    <t>EMPRESTIMO HSERV CLEAN BRADESCO -PARCELA MENSAL</t>
  </si>
  <si>
    <t>FT 2 QUINZENA</t>
  </si>
  <si>
    <t>OUTUBRO</t>
  </si>
  <si>
    <t>Rótulos de Linha</t>
  </si>
  <si>
    <t>Soma de VALOR</t>
  </si>
  <si>
    <t>Total Geral</t>
  </si>
  <si>
    <t>Rótulos de Coluna</t>
  </si>
  <si>
    <t>SALDO</t>
  </si>
  <si>
    <t>J.E. COMERCIO E SOLUCOES LTDA</t>
  </si>
  <si>
    <t>MERCADORIAS PARA REVENDA</t>
  </si>
  <si>
    <t>PAROLAR DIST DE UTENSILIOS DOMESTICOS LTDA</t>
  </si>
  <si>
    <t>FLORA DISTRIB PROD DE HIGIENE E LIMPEZA LTDA</t>
  </si>
  <si>
    <t>GLOVAN CABREUVA ALUGUEL DE EQUIPAMENTOS LTDA</t>
  </si>
  <si>
    <t>EQUIPAMENTOS</t>
  </si>
  <si>
    <t>ANDRADE FREITAS SOCIEDADE DE ADVOGADOS</t>
  </si>
  <si>
    <t>IFOOD.COM AGENCIA DE RESTAURANTES ONLINE S.A.</t>
  </si>
  <si>
    <t>RESOLVE ALIMENTACAO LTDA</t>
  </si>
  <si>
    <t>VALE ALIMENTAÇAO</t>
  </si>
  <si>
    <t>ALTOLIM COMERCIAL ASSIS EIRELI - ME</t>
  </si>
  <si>
    <t>JOSE JONAS DE ARAUJO SILVA- PROCESSO 0010137-76.2022.5.15.0018- MANOEL VICENTE  HONORARIOS</t>
  </si>
  <si>
    <t>JOSE JONAS DE ARAUJO SILVA- PROCESSO 0010137-76.2022.5.15.0018- MANOEL VICENTE  PARCELA 1/8</t>
  </si>
  <si>
    <t>WAGNER BIONDO</t>
  </si>
  <si>
    <t>ND</t>
  </si>
  <si>
    <t xml:space="preserve">OKUYAMA &amp; ALVES SOCIEDADE DE ADVOGADOS- - 0012457-65.2023.5.15.0018 JESSICA BARROS DOS SANTOS </t>
  </si>
  <si>
    <t>ELAINE BARBOSA DE SOUSA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</si>
  <si>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</si>
  <si>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</si>
  <si>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</si>
  <si>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</si>
  <si>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JHONY WALLACE GOMES DE OLIVEIRA</t>
  </si>
  <si>
    <t>GISELE RODRIGUES DOS SANTOS</t>
  </si>
  <si>
    <t>GABRIEL DO NASCIMENTO NEVES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</si>
  <si>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</si>
  <si>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</si>
  <si>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</si>
  <si>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</si>
  <si>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</si>
  <si>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SAMANTHA PATRICIA MACHADO DE GOUVEIA- PROC 0011413-05.2022.5.15.0096-ANDERSON RAIMUNDO DUARTE -PARCELA 2/2</t>
  </si>
  <si>
    <t>MARCIO FERREIRA TOLLER SILVA-  PROC 1001220-97.2024.5.02.0291-NORTON DO NASCIMENTO GONÇALVES BUENO-PARCELA 4/4</t>
  </si>
  <si>
    <t>ACORDO TRABALHISTA - ISABEL MACHADO PARCELA 1/6</t>
  </si>
  <si>
    <t>PEDRO LEOPOLDO BRUNELLI JUNIOR -Processo n. 0011252-29.2021.5.15.0096  AUTOR: DANILO MIGUEL DA SILVA  -PARCEL A 2/4</t>
  </si>
  <si>
    <t>ALINE CAMOLEZ SOARES ISCARO-PROC: 0012233-68.2024.5.15.0188 - GISLAINE CRISTINA FERNANDES PEREIRA PARCELA 5/5</t>
  </si>
  <si>
    <t xml:space="preserve">NEXTI 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</si>
  <si>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</si>
  <si>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</si>
  <si>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</si>
  <si>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</si>
  <si>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</si>
  <si>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</si>
  <si>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</si>
  <si>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</si>
  <si>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</si>
  <si>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</si>
  <si>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</si>
  <si>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</si>
  <si>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</si>
  <si>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</si>
  <si>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 xml:space="preserve">SICOOB HSERV CABREUVA NEGOCIAÇÃO CHEQUE ESPECIAL </t>
  </si>
  <si>
    <t>DESCRIÇÕA</t>
  </si>
  <si>
    <t xml:space="preserve">VALOR 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</si>
  <si>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</si>
  <si>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</si>
  <si>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</si>
  <si>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</si>
  <si>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</si>
  <si>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TADIM NEVES SOCIEDADE INDIVIDUAL DE ADVOCACIA -PROC  - 0012114-44.2023.5.15.0188-ADILIO SANTOS SOUZA PARCELA 8/8</t>
  </si>
  <si>
    <t>ANDRADE FREITAS SOCIEDADE DE ADVOGADOS-Proc 0012259-82.2024.5.15.0021 ESTEVAO GOMES DE SOUZA PARCELA 4/5</t>
  </si>
  <si>
    <t>OKUYAMA &amp; ALVES SOCIEDADE DE ADVOGADOSS - PROC 0012457-65.2023.5.15.0018 -JESSICA BARROS DOS SANTO PARCELA 6/8</t>
  </si>
  <si>
    <t>SANTOS SEPULVEDA SOCIEDADE INDIVIDUAL DE ADVOCACIA- - PROC 0010895-75.2023.5.15.009-AMANDA BRITO SANTOS PARCELA 6/16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</si>
  <si>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</si>
  <si>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</si>
  <si>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</si>
  <si>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</si>
  <si>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</si>
  <si>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</si>
  <si>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</si>
  <si>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</si>
  <si>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</si>
  <si>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</si>
  <si>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</si>
  <si>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</si>
  <si>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</si>
  <si>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</si>
  <si>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</si>
  <si>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</si>
  <si>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</si>
  <si>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</si>
  <si>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</si>
  <si>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</si>
  <si>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</si>
  <si>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</si>
  <si>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</si>
  <si>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</si>
  <si>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</si>
  <si>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</si>
  <si>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</si>
  <si>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>HSERV  REPRESENTACOES</t>
  </si>
  <si>
    <t xml:space="preserve">HSERV TECNOLOGIA 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</si>
  <si>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</si>
  <si>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</si>
  <si>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</si>
  <si>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</si>
  <si>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</si>
  <si>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</si>
  <si>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</si>
  <si>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</si>
  <si>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</si>
  <si>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</si>
  <si>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</si>
  <si>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</si>
  <si>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</si>
  <si>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</si>
  <si>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</si>
  <si>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</si>
  <si>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</si>
  <si>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</si>
  <si>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</si>
  <si>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</si>
  <si>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</si>
  <si>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</si>
  <si>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</si>
  <si>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</si>
  <si>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</si>
  <si>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</si>
  <si>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</si>
  <si>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</si>
  <si>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</si>
  <si>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</si>
  <si>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</si>
  <si>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</si>
  <si>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</si>
  <si>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</si>
  <si>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</si>
  <si>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</si>
  <si>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</si>
  <si>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</si>
  <si>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</si>
  <si>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</si>
  <si>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</si>
  <si>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</si>
  <si>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</si>
  <si>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</si>
  <si>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</si>
  <si>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</si>
  <si>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</si>
  <si>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</si>
  <si>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</si>
  <si>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</si>
  <si>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</si>
  <si>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</si>
  <si>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</si>
  <si>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</si>
  <si>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</si>
  <si>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</si>
  <si>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</si>
  <si>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</si>
  <si>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</si>
  <si>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RAI INDUSTRIAL</t>
  </si>
  <si>
    <t>NEW PARK TENIS</t>
  </si>
  <si>
    <t>RIOS DAS PEDRAS</t>
  </si>
  <si>
    <t>CBM TOWER -RATEIO MENSAL</t>
  </si>
  <si>
    <t>CBM TOWER -TAXA DE CONDOMINIO</t>
  </si>
  <si>
    <t>OKUYAMA &amp; ALVES SOCIEDADE DE ADVOGADOS-PROC 0012360-22.2024.5.15.0021 ADRIANA TEIXEIRA DE OLIVEIRA PARCELA 3/8</t>
  </si>
  <si>
    <t>ARGENTON E QUEIROZ ADVOGADOS ASSOCIADOS-Proc 0012026-51.2024.5.15.0097-SIMONE DA SILVA CORREIA- PARCELA 4/6</t>
  </si>
  <si>
    <t>PATRICIA LOMBARDI-PROC 1002854-81.2023.5.02.0221 TANIA MARIANO DOS SANTOS PARCELA 4/6</t>
  </si>
  <si>
    <t>JESAIAS ROMANHA -PROC 0010363-38.2022.5.15.0097 - ISABEL MACHADO PARCELA 4/8</t>
  </si>
  <si>
    <t xml:space="preserve">DEVOLUÇÃO APORTE VITOR - APORTE 16/12 </t>
  </si>
  <si>
    <t>PROLABORE SOCIOS CRISTIANE-MARIA JOSE, GUTHIERRI</t>
  </si>
  <si>
    <t>CSLL TRIMESTRAL HSERV CABREUVA</t>
  </si>
  <si>
    <t>IRPJ TRIMESTRAL HSERV CABREUVA</t>
  </si>
  <si>
    <t>ALUGUEL DE EQUIPAMENTOS</t>
  </si>
  <si>
    <t>ALTEVYR SILVA GONCALVES -PROC-nº 0010321-03.2025.5.15.0026  IZILDA APARECIDA SABINO PARCELA 3/5</t>
  </si>
  <si>
    <t>CLAUDIO JESUS DE ALMEIDA ADVOGADOS ASSOCIADOS-Proc 0011865-05.2024.5.15.0109- ADRILENE PEREIRA DA SILVA-PARCELA 3/6</t>
  </si>
  <si>
    <t>JAIR RÉ- REEMBOLSO DE KM VISITA A PREFEITURA</t>
  </si>
  <si>
    <t>BRASIL MEDICINA E SAUDE PREVENTIVA ORGANIZACAO, GESTAO E CON</t>
  </si>
  <si>
    <t>Liquido</t>
  </si>
  <si>
    <t>Pensão alimenticia</t>
  </si>
  <si>
    <t>Bonus</t>
  </si>
  <si>
    <t>FOLHA DE PAGAMENTO 06/08/2025</t>
  </si>
  <si>
    <t>ESCOBRAS INDUSTRIA E COMERCIO DE MAQUINAS LTDA</t>
  </si>
  <si>
    <t>MES</t>
  </si>
  <si>
    <t>MOVIDA PARTICIPACOES S.A. 18/08/2025</t>
  </si>
  <si>
    <t xml:space="preserve">MANUTENÇÃO </t>
  </si>
  <si>
    <t>JOAO CAETANO GUEDES</t>
  </si>
  <si>
    <t>WELLINGTON DE SOUZA FONCECA</t>
  </si>
  <si>
    <t>LUCIANO FERREIRA DOS SANTOS</t>
  </si>
  <si>
    <t>GRACE ADRIANA DE ANDRADE</t>
  </si>
  <si>
    <t>MERCADORIA PARA REVENDA</t>
  </si>
  <si>
    <t>ALEXANDRA SILVA DE LIMA</t>
  </si>
  <si>
    <t>LUANA RODRIGUES DOS REIS</t>
  </si>
  <si>
    <t>FELIPE ANGELO-GUIA DE GPS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</si>
  <si>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</si>
  <si>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</si>
  <si>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</si>
  <si>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</si>
  <si>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</si>
  <si>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</si>
  <si>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</si>
  <si>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STAR CLEAN PRO INDUSTRIA E COMERCIO DE EQUIPAMENTOS DE LIMPE - FMD FUNDO DE INVESTIMENTO EM DIREITOS CREDITORIOS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</si>
  <si>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</si>
  <si>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</si>
  <si>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DEVOLUÇÃO EMPRESTIMO INTER- RETIRADA DE R$ 110.000,00 DIA 15/08 E R$ 10.000,00 DIA 05/09</t>
  </si>
  <si>
    <t>PAMELA ROCHA MARINHO -REEMBOLSOS DE DESPESAS</t>
  </si>
  <si>
    <t>SOFISA ACORDO- PROCESSO EXECUÇÃO PARCELA 20/24</t>
  </si>
  <si>
    <t>FT 1º QUINZENA E PACOTES, RT</t>
  </si>
  <si>
    <t>CEF MATRIZ--EMPRESTIMO HENRIQUE IEAN VENCIDO JULHO</t>
  </si>
  <si>
    <t>CEF MATRIZ-EMPRESTIMO HSERV COMBINADOS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</si>
  <si>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</si>
  <si>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</si>
  <si>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</si>
  <si>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</si>
  <si>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BRADESCO -RENEGOCIAÇÃO DO EMPRESTIMO</t>
  </si>
  <si>
    <t>MAC LUCER - MAITÁ APTO 073 CONTRATO 170 (MENSAL) PARCELA 18 /27</t>
  </si>
  <si>
    <t xml:space="preserve">MAC LUCER - VINEA AP 004 CONTRATO 095 (MENSAL) </t>
  </si>
  <si>
    <t xml:space="preserve">TECNIPLAS EQUIPAMENTOS EM COMPOSITOS EIR-NO DIA 10/09/2025 PAGRAM R$ 11.225,96 RESTA </t>
  </si>
  <si>
    <t>KEVYN TAWAN BERTONHA FERREIRA</t>
  </si>
  <si>
    <t>FGTS EM ATRASO GUSTAVO AMARANTE DA SILVA</t>
  </si>
  <si>
    <t>FGTS EM ATRASO JOSE CICERO DOS SANTOS COSTA</t>
  </si>
  <si>
    <t>BOA R$ 872.126,10- R$ 602.847,78 = R$ 269.278,32</t>
  </si>
  <si>
    <t>JOSE CICERO DOS SANTOS COSTA</t>
  </si>
  <si>
    <t>ELIZABETH SEMENSSATO LEITE</t>
  </si>
  <si>
    <t>MARIA RAIMUNDA DE OLIVEIRA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</si>
  <si>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</si>
  <si>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</si>
  <si>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</si>
  <si>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</si>
  <si>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</si>
  <si>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</si>
  <si>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</si>
  <si>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</si>
  <si>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</si>
  <si>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>MICHAEL NOVAES DE FRANCA-FGTS EM ATRASO 11/2022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</si>
  <si>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</si>
  <si>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</si>
  <si>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</si>
  <si>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</si>
  <si>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</si>
  <si>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</si>
  <si>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</si>
  <si>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</si>
  <si>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</si>
  <si>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ASOMETRA VENCIDA 20/08/2025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</si>
  <si>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</si>
  <si>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</si>
  <si>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</si>
  <si>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</si>
  <si>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</si>
  <si>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</si>
  <si>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</si>
  <si>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</si>
  <si>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</si>
  <si>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</si>
  <si>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</si>
  <si>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</si>
  <si>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</si>
  <si>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</si>
  <si>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</si>
  <si>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</si>
  <si>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>PREFEITURA M DE CABREUVA-ATRASADA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</si>
  <si>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</si>
  <si>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</si>
  <si>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</si>
  <si>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</si>
  <si>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</si>
  <si>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</si>
  <si>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</si>
  <si>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SILVANA APARECIDA DE OLIVEIRA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</si>
  <si>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</si>
  <si>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</si>
  <si>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</si>
  <si>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</si>
  <si>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</si>
  <si>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</si>
  <si>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</si>
  <si>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</si>
  <si>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</si>
  <si>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</si>
  <si>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</si>
  <si>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AIDE ZORAIDE RONDAO</t>
  </si>
  <si>
    <t>ROSALINA NOGUEIRA PEREIRA</t>
  </si>
  <si>
    <t>INFOJOBS BRASIL ATIVIDADES DE INTERNET LTDA.</t>
  </si>
  <si>
    <t>RECRUTAMENTO E SELEÇÃO</t>
  </si>
  <si>
    <t>BONIFICAÇÕES</t>
  </si>
  <si>
    <t>PREFEITURA M DE CABREUVA-SETEMBRO</t>
  </si>
  <si>
    <t xml:space="preserve">PLANEJAMENTO FINANCEIRO </t>
  </si>
  <si>
    <t>VENCIMENTO</t>
  </si>
  <si>
    <t>DESCRIÇÃO</t>
  </si>
  <si>
    <t>SUGESTÃO</t>
  </si>
  <si>
    <t>BRASIL MEDICINA E SAUDE PREVENTIVA ORGANIZACAO, GESTAO E COM (ASSISTENCIA MEDICA E ODONTOLOGICA)</t>
  </si>
  <si>
    <t>PAGAR 20/10</t>
  </si>
  <si>
    <t>PAGAR 30/09</t>
  </si>
  <si>
    <t>VERIFICAR</t>
  </si>
  <si>
    <t>CBM TOWER-ACORDO RATEIO - HONORARIOS</t>
  </si>
  <si>
    <t>CBM TOWER-ACORDO RATEIO 8X</t>
  </si>
  <si>
    <t>VEPAKUM- COBRA DOCUMENTAÇÃO  NO DIA SEGUINTE</t>
  </si>
  <si>
    <t>TECNIPLAS - NUNCA ATRASOU, ENTÃO NÃO SABEMOS QUANDO IRÁ COBRAR</t>
  </si>
  <si>
    <t>NEW PARK-COBRA NO DIA DE PAGAR 10/10</t>
  </si>
  <si>
    <t>VETTOR- COBRA DOCUMENTAÇÃO  NO DIA SEGUINTE</t>
  </si>
  <si>
    <t>BELL ART- COBRA NO DIA DE PAGAR 15/10</t>
  </si>
  <si>
    <t>PALAZZO-COBRA NO DIA DE PAGAR 10/10</t>
  </si>
  <si>
    <t>TOTAL</t>
  </si>
  <si>
    <t>DESCONSIDERAR</t>
  </si>
  <si>
    <t>ISS - HSERV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</si>
</sst>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6"/>
      <color rgb="FF333333"/>
      <name val="Arial"/>
      <family val="2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277">
    <xf numFmtId="0" fontId="0" fillId="0" borderId="0" xfId="0"/>
    <xf numFmtId="44" fontId="0" fillId="0" borderId="0" xfId="0" applyNumberFormat="1"/>
    <xf numFmtId="14" fontId="5" fillId="2" borderId="1" xfId="0" applyNumberFormat="1" applyFont="1" applyFill="1" applyBorder="1" applyAlignment="1">
      <alignment horizontal="left" vertical="center" wrapText="1"/>
    </xf>
    <xf numFmtId="44" fontId="4" fillId="0" borderId="1" xfId="0" applyNumberFormat="1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wrapText="1"/>
    </xf>
    <xf numFmtId="44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44" fontId="5" fillId="2" borderId="1" xfId="0" applyNumberFormat="1" applyFont="1" applyFill="1" applyBorder="1"/>
    <xf numFmtId="0" fontId="5" fillId="2" borderId="1" xfId="0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44" fontId="5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7" borderId="0" xfId="0" applyFont="1" applyFill="1"/>
    <xf numFmtId="14" fontId="7" fillId="2" borderId="1" xfId="0" applyNumberFormat="1" applyFont="1" applyFill="1" applyBorder="1" applyAlignment="1">
      <alignment horizontal="left" vertical="center" wrapText="1"/>
    </xf>
    <xf numFmtId="0" fontId="7" fillId="0" borderId="0" xfId="0" applyFont="1"/>
    <xf numFmtId="14" fontId="9" fillId="2" borderId="1" xfId="0" applyNumberFormat="1" applyFont="1" applyFill="1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4" fillId="2" borderId="1" xfId="0" applyNumberFormat="1" applyFont="1" applyFill="1" applyBorder="1" applyAlignment="1">
      <alignment horizontal="left" vertical="center" wrapText="1"/>
    </xf>
    <xf numFmtId="14" fontId="5" fillId="2" borderId="6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5" fillId="2" borderId="8" xfId="0" applyNumberFormat="1" applyFont="1" applyFill="1" applyBorder="1" applyAlignment="1">
      <alignment horizontal="left" vertical="center" wrapText="1"/>
    </xf>
    <xf numFmtId="4" fontId="5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44" fontId="13" fillId="3" borderId="1" xfId="0" applyNumberFormat="1" applyFont="1" applyFill="1" applyBorder="1" applyAlignment="1">
      <alignment horizontal="right" vertical="center" wrapText="1"/>
    </xf>
    <xf numFmtId="14" fontId="15" fillId="2" borderId="1" xfId="0" applyNumberFormat="1" applyFont="1" applyFill="1" applyBorder="1" applyAlignment="1">
      <alignment horizontal="left" vertical="center" wrapText="1"/>
    </xf>
    <xf numFmtId="4" fontId="15" fillId="2" borderId="1" xfId="0" applyNumberFormat="1" applyFont="1" applyFill="1" applyBorder="1" applyAlignment="1">
      <alignment horizontal="center" vertical="center"/>
    </xf>
    <xf numFmtId="4" fontId="4" fillId="2" borderId="6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44" fontId="15" fillId="3" borderId="1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14" fontId="12" fillId="2" borderId="1" xfId="0" applyNumberFormat="1" applyFont="1" applyFill="1" applyBorder="1" applyAlignment="1">
      <alignment horizontal="left" vertical="center" wrapText="1"/>
    </xf>
    <xf numFmtId="14" fontId="12" fillId="3" borderId="1" xfId="0" applyNumberFormat="1" applyFont="1" applyFill="1" applyBorder="1" applyAlignment="1">
      <alignment horizontal="left" vertical="center" wrapText="1"/>
    </xf>
    <xf numFmtId="44" fontId="12" fillId="3" borderId="1" xfId="0" applyNumberFormat="1" applyFont="1" applyFill="1" applyBorder="1" applyAlignment="1">
      <alignment horizontal="right" vertical="center" wrapText="1"/>
    </xf>
    <xf numFmtId="4" fontId="12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2" fillId="2" borderId="1" xfId="0" applyFont="1" applyFill="1" applyBorder="1" applyAlignment="1">
      <alignment horizontal="left" vertical="center"/>
    </xf>
    <xf numFmtId="44" fontId="12" fillId="2" borderId="1" xfId="0" applyNumberFormat="1" applyFont="1" applyFill="1" applyBorder="1"/>
    <xf numFmtId="4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" fontId="12" fillId="2" borderId="6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14" fontId="5" fillId="3" borderId="8" xfId="0" applyNumberFormat="1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vertical="center" wrapText="1"/>
    </xf>
    <xf numFmtId="44" fontId="5" fillId="3" borderId="8" xfId="0" applyNumberFormat="1" applyFont="1" applyFill="1" applyBorder="1" applyAlignment="1">
      <alignment horizontal="righ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17" fillId="0" borderId="0" xfId="0" applyFont="1"/>
    <xf numFmtId="0" fontId="5" fillId="2" borderId="0" xfId="0" applyFont="1" applyFill="1" applyAlignment="1">
      <alignment horizontal="center" vertical="center"/>
    </xf>
    <xf numFmtId="14" fontId="8" fillId="2" borderId="1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vertical="center" wrapText="1"/>
    </xf>
    <xf numFmtId="14" fontId="5" fillId="3" borderId="6" xfId="0" applyNumberFormat="1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vertical="center" wrapText="1"/>
    </xf>
    <xf numFmtId="44" fontId="5" fillId="3" borderId="6" xfId="0" applyNumberFormat="1" applyFont="1" applyFill="1" applyBorder="1" applyAlignment="1">
      <alignment horizontal="right" vertical="center" wrapText="1"/>
    </xf>
    <xf numFmtId="44" fontId="5" fillId="3" borderId="1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44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44" fontId="9" fillId="2" borderId="1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5" fillId="2" borderId="1" xfId="0" applyNumberFormat="1" applyFont="1" applyFill="1" applyBorder="1" applyAlignment="1">
      <alignment horizontal="left" vertical="center"/>
    </xf>
    <xf numFmtId="44" fontId="5" fillId="2" borderId="6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horizontal="center" vertical="center"/>
    </xf>
    <xf numFmtId="44" fontId="5" fillId="6" borderId="1" xfId="0" applyNumberFormat="1" applyFont="1" applyFill="1" applyBorder="1" applyAlignment="1">
      <alignment vertical="center"/>
    </xf>
    <xf numFmtId="14" fontId="5" fillId="2" borderId="8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vertical="center"/>
    </xf>
    <xf numFmtId="44" fontId="12" fillId="2" borderId="1" xfId="0" applyNumberFormat="1" applyFont="1" applyFill="1" applyBorder="1" applyAlignment="1">
      <alignment vertical="center"/>
    </xf>
    <xf numFmtId="14" fontId="12" fillId="2" borderId="1" xfId="0" applyNumberFormat="1" applyFont="1" applyFill="1" applyBorder="1" applyAlignment="1">
      <alignment horizontal="left" vertical="center"/>
    </xf>
    <xf numFmtId="44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44" fontId="14" fillId="5" borderId="1" xfId="0" applyNumberFormat="1" applyFont="1" applyFill="1" applyBorder="1"/>
    <xf numFmtId="14" fontId="15" fillId="2" borderId="1" xfId="0" applyNumberFormat="1" applyFont="1" applyFill="1" applyBorder="1" applyAlignment="1">
      <alignment horizontal="left"/>
    </xf>
    <xf numFmtId="0" fontId="5" fillId="2" borderId="0" xfId="0" applyFont="1" applyFill="1"/>
    <xf numFmtId="44" fontId="5" fillId="2" borderId="8" xfId="0" applyNumberFormat="1" applyFont="1" applyFill="1" applyBorder="1" applyAlignment="1">
      <alignment vertical="center"/>
    </xf>
    <xf numFmtId="14" fontId="5" fillId="2" borderId="6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44" fontId="5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18" fillId="12" borderId="11" xfId="0" applyFont="1" applyFill="1" applyBorder="1" applyAlignment="1">
      <alignment horizontal="left" vertical="center" wrapText="1"/>
    </xf>
    <xf numFmtId="0" fontId="18" fillId="12" borderId="11" xfId="0" applyFont="1" applyFill="1" applyBorder="1" applyAlignment="1">
      <alignment horizontal="right" vertical="center" wrapText="1"/>
    </xf>
    <xf numFmtId="0" fontId="18" fillId="4" borderId="11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right" vertical="center" wrapText="1"/>
    </xf>
    <xf numFmtId="0" fontId="2" fillId="12" borderId="0" xfId="0" applyFont="1" applyFill="1"/>
    <xf numFmtId="0" fontId="19" fillId="12" borderId="11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left" vertical="center"/>
    </xf>
    <xf numFmtId="14" fontId="18" fillId="4" borderId="11" xfId="0" applyNumberFormat="1" applyFont="1" applyFill="1" applyBorder="1" applyAlignment="1">
      <alignment horizontal="center" vertical="center" wrapText="1"/>
    </xf>
    <xf numFmtId="4" fontId="18" fillId="4" borderId="11" xfId="0" applyNumberFormat="1" applyFont="1" applyFill="1" applyBorder="1" applyAlignment="1">
      <alignment horizontal="right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left" vertical="center"/>
    </xf>
    <xf numFmtId="14" fontId="18" fillId="12" borderId="11" xfId="0" applyNumberFormat="1" applyFont="1" applyFill="1" applyBorder="1" applyAlignment="1">
      <alignment horizontal="center" vertical="center" wrapText="1"/>
    </xf>
    <xf numFmtId="4" fontId="18" fillId="12" borderId="11" xfId="0" applyNumberFormat="1" applyFont="1" applyFill="1" applyBorder="1" applyAlignment="1">
      <alignment horizontal="right" vertical="center" wrapText="1"/>
    </xf>
    <xf numFmtId="0" fontId="7" fillId="12" borderId="11" xfId="0" applyFont="1" applyFill="1" applyBorder="1" applyAlignment="1">
      <alignment horizontal="left" vertical="center" wrapText="1"/>
    </xf>
    <xf numFmtId="0" fontId="7" fillId="12" borderId="11" xfId="0" applyFont="1" applyFill="1" applyBorder="1" applyAlignment="1">
      <alignment horizontal="left" vertical="center"/>
    </xf>
    <xf numFmtId="0" fontId="7" fillId="12" borderId="11" xfId="0" applyFont="1" applyFill="1" applyBorder="1" applyAlignment="1">
      <alignment horizontal="center" vertical="center" wrapText="1"/>
    </xf>
    <xf numFmtId="14" fontId="7" fillId="12" borderId="11" xfId="0" applyNumberFormat="1" applyFont="1" applyFill="1" applyBorder="1" applyAlignment="1">
      <alignment horizontal="center" vertical="center" wrapText="1"/>
    </xf>
    <xf numFmtId="4" fontId="7" fillId="12" borderId="11" xfId="0" applyNumberFormat="1" applyFont="1" applyFill="1" applyBorder="1" applyAlignment="1">
      <alignment horizontal="righ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14" fontId="7" fillId="4" borderId="11" xfId="0" applyNumberFormat="1" applyFont="1" applyFill="1" applyBorder="1" applyAlignment="1">
      <alignment horizontal="center" vertical="center" wrapText="1"/>
    </xf>
    <xf numFmtId="4" fontId="7" fillId="4" borderId="11" xfId="0" applyNumberFormat="1" applyFont="1" applyFill="1" applyBorder="1" applyAlignment="1">
      <alignment horizontal="right" vertical="center" wrapText="1"/>
    </xf>
    <xf numFmtId="0" fontId="7" fillId="4" borderId="11" xfId="0" applyFont="1" applyFill="1" applyBorder="1" applyAlignment="1">
      <alignment horizontal="right" vertical="center" wrapText="1"/>
    </xf>
    <xf numFmtId="0" fontId="7" fillId="12" borderId="11" xfId="0" applyFont="1" applyFill="1" applyBorder="1" applyAlignment="1">
      <alignment horizontal="right" vertical="center" wrapText="1"/>
    </xf>
    <xf numFmtId="0" fontId="18" fillId="7" borderId="11" xfId="0" applyFont="1" applyFill="1" applyBorder="1" applyAlignment="1">
      <alignment horizontal="left" vertical="center" wrapText="1"/>
    </xf>
    <xf numFmtId="0" fontId="18" fillId="7" borderId="11" xfId="0" applyFont="1" applyFill="1" applyBorder="1" applyAlignment="1">
      <alignment horizontal="left" vertical="center"/>
    </xf>
    <xf numFmtId="0" fontId="18" fillId="7" borderId="11" xfId="0" applyFont="1" applyFill="1" applyBorder="1" applyAlignment="1">
      <alignment horizontal="center" vertical="center" wrapText="1"/>
    </xf>
    <xf numFmtId="14" fontId="18" fillId="7" borderId="11" xfId="0" applyNumberFormat="1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right" vertical="center" wrapText="1"/>
    </xf>
    <xf numFmtId="0" fontId="0" fillId="7" borderId="0" xfId="0" applyFill="1"/>
    <xf numFmtId="4" fontId="18" fillId="7" borderId="11" xfId="0" applyNumberFormat="1" applyFont="1" applyFill="1" applyBorder="1" applyAlignment="1">
      <alignment horizontal="right" vertical="center" wrapText="1"/>
    </xf>
    <xf numFmtId="0" fontId="18" fillId="10" borderId="11" xfId="0" applyFont="1" applyFill="1" applyBorder="1" applyAlignment="1">
      <alignment horizontal="left" vertical="center" wrapText="1"/>
    </xf>
    <xf numFmtId="0" fontId="2" fillId="10" borderId="0" xfId="0" applyFont="1" applyFill="1"/>
    <xf numFmtId="0" fontId="18" fillId="10" borderId="11" xfId="0" applyFont="1" applyFill="1" applyBorder="1" applyAlignment="1">
      <alignment horizontal="left" vertical="center"/>
    </xf>
    <xf numFmtId="0" fontId="18" fillId="10" borderId="11" xfId="0" applyFont="1" applyFill="1" applyBorder="1" applyAlignment="1">
      <alignment horizontal="center" vertical="center" wrapText="1"/>
    </xf>
    <xf numFmtId="14" fontId="18" fillId="10" borderId="11" xfId="0" applyNumberFormat="1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right" vertical="center" wrapText="1"/>
    </xf>
    <xf numFmtId="4" fontId="18" fillId="10" borderId="11" xfId="0" applyNumberFormat="1" applyFont="1" applyFill="1" applyBorder="1" applyAlignment="1">
      <alignment horizontal="right" vertical="center" wrapText="1"/>
    </xf>
    <xf numFmtId="0" fontId="3" fillId="7" borderId="0" xfId="0" applyFont="1" applyFill="1"/>
    <xf numFmtId="0" fontId="18" fillId="11" borderId="11" xfId="0" applyFont="1" applyFill="1" applyBorder="1" applyAlignment="1">
      <alignment horizontal="left" vertical="center" wrapText="1"/>
    </xf>
    <xf numFmtId="0" fontId="2" fillId="11" borderId="0" xfId="0" applyFont="1" applyFill="1"/>
    <xf numFmtId="0" fontId="18" fillId="11" borderId="11" xfId="0" applyFont="1" applyFill="1" applyBorder="1" applyAlignment="1">
      <alignment horizontal="left" vertical="center"/>
    </xf>
    <xf numFmtId="0" fontId="18" fillId="11" borderId="11" xfId="0" applyFont="1" applyFill="1" applyBorder="1" applyAlignment="1">
      <alignment horizontal="center" vertical="center" wrapText="1"/>
    </xf>
    <xf numFmtId="14" fontId="18" fillId="11" borderId="11" xfId="0" applyNumberFormat="1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4" fontId="11" fillId="0" borderId="1" xfId="0" applyNumberFormat="1" applyFont="1" applyBorder="1"/>
    <xf numFmtId="44" fontId="17" fillId="8" borderId="1" xfId="0" applyNumberFormat="1" applyFont="1" applyFill="1" applyBorder="1" applyAlignment="1">
      <alignment horizontal="left"/>
    </xf>
    <xf numFmtId="44" fontId="17" fillId="8" borderId="1" xfId="0" applyNumberFormat="1" applyFont="1" applyFill="1" applyBorder="1"/>
    <xf numFmtId="14" fontId="12" fillId="2" borderId="6" xfId="0" applyNumberFormat="1" applyFont="1" applyFill="1" applyBorder="1" applyAlignment="1">
      <alignment horizontal="left" vertical="center" wrapText="1"/>
    </xf>
    <xf numFmtId="44" fontId="12" fillId="3" borderId="6" xfId="0" applyNumberFormat="1" applyFont="1" applyFill="1" applyBorder="1" applyAlignment="1">
      <alignment horizontal="right"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14" fontId="12" fillId="2" borderId="6" xfId="0" applyNumberFormat="1" applyFont="1" applyFill="1" applyBorder="1" applyAlignment="1">
      <alignment horizontal="left"/>
    </xf>
    <xf numFmtId="0" fontId="12" fillId="2" borderId="6" xfId="0" applyFont="1" applyFill="1" applyBorder="1" applyAlignment="1">
      <alignment vertical="center"/>
    </xf>
    <xf numFmtId="44" fontId="12" fillId="2" borderId="6" xfId="0" applyNumberFormat="1" applyFont="1" applyFill="1" applyBorder="1"/>
    <xf numFmtId="0" fontId="12" fillId="2" borderId="6" xfId="0" applyFont="1" applyFill="1" applyBorder="1" applyAlignment="1">
      <alignment horizontal="center" vertical="center"/>
    </xf>
    <xf numFmtId="14" fontId="12" fillId="2" borderId="6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44" fontId="5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/>
    </xf>
    <xf numFmtId="44" fontId="5" fillId="3" borderId="22" xfId="0" applyNumberFormat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left" vertical="center" wrapText="1"/>
    </xf>
    <xf numFmtId="14" fontId="10" fillId="2" borderId="1" xfId="0" applyNumberFormat="1" applyFont="1" applyFill="1" applyBorder="1" applyAlignment="1">
      <alignment horizontal="left" vertical="center"/>
    </xf>
    <xf numFmtId="0" fontId="20" fillId="4" borderId="11" xfId="0" applyFont="1" applyFill="1" applyBorder="1" applyAlignment="1">
      <alignment horizontal="left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left" vertical="center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left" vertical="center"/>
    </xf>
    <xf numFmtId="0" fontId="20" fillId="12" borderId="1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44" fontId="12" fillId="2" borderId="6" xfId="0" applyNumberFormat="1" applyFont="1" applyFill="1" applyBorder="1" applyAlignment="1">
      <alignment vertical="center"/>
    </xf>
    <xf numFmtId="0" fontId="12" fillId="2" borderId="6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44" fontId="7" fillId="2" borderId="1" xfId="0" applyNumberFormat="1" applyFont="1" applyFill="1" applyBorder="1"/>
    <xf numFmtId="4" fontId="7" fillId="2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164" fontId="21" fillId="3" borderId="1" xfId="0" applyNumberFormat="1" applyFont="1" applyFill="1" applyBorder="1" applyAlignment="1">
      <alignment horizontal="right" vertical="center" wrapText="1"/>
    </xf>
    <xf numFmtId="44" fontId="21" fillId="3" borderId="1" xfId="0" applyNumberFormat="1" applyFont="1" applyFill="1" applyBorder="1" applyAlignment="1">
      <alignment horizontal="right" vertical="center" wrapText="1"/>
    </xf>
    <xf numFmtId="0" fontId="12" fillId="2" borderId="3" xfId="0" applyFont="1" applyFill="1" applyBorder="1" applyAlignment="1">
      <alignment horizontal="left" vertical="center"/>
    </xf>
    <xf numFmtId="4" fontId="12" fillId="2" borderId="6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/>
    </xf>
    <xf numFmtId="4" fontId="12" fillId="2" borderId="1" xfId="0" applyNumberFormat="1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vertical="center"/>
    </xf>
    <xf numFmtId="44" fontId="5" fillId="2" borderId="0" xfId="1" applyFont="1" applyFill="1" applyBorder="1"/>
    <xf numFmtId="44" fontId="2" fillId="2" borderId="1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right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left" vertical="center" wrapText="1"/>
    </xf>
    <xf numFmtId="14" fontId="0" fillId="0" borderId="1" xfId="0" applyNumberFormat="1" applyBorder="1"/>
    <xf numFmtId="44" fontId="0" fillId="7" borderId="1" xfId="0" applyNumberFormat="1" applyFill="1" applyBorder="1" applyAlignment="1">
      <alignment horizontal="left"/>
    </xf>
    <xf numFmtId="44" fontId="0" fillId="7" borderId="1" xfId="0" applyNumberFormat="1" applyFill="1" applyBorder="1"/>
    <xf numFmtId="0" fontId="1" fillId="0" borderId="0" xfId="0" applyFont="1" applyAlignment="1">
      <alignment horizontal="center"/>
    </xf>
    <xf numFmtId="44" fontId="11" fillId="8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11" borderId="1" xfId="0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44" fontId="3" fillId="3" borderId="1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vertical="center"/>
    </xf>
    <xf numFmtId="44" fontId="3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4" fontId="3" fillId="11" borderId="1" xfId="0" applyNumberFormat="1" applyFont="1" applyFill="1" applyBorder="1" applyAlignment="1">
      <alignment horizontal="left" vertical="center"/>
    </xf>
    <xf numFmtId="14" fontId="3" fillId="11" borderId="1" xfId="0" applyNumberFormat="1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wrapText="1"/>
    </xf>
    <xf numFmtId="44" fontId="3" fillId="13" borderId="1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left" wrapText="1"/>
    </xf>
    <xf numFmtId="44" fontId="3" fillId="3" borderId="8" xfId="0" applyNumberFormat="1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wrapText="1"/>
    </xf>
    <xf numFmtId="44" fontId="1" fillId="11" borderId="1" xfId="0" applyNumberFormat="1" applyFont="1" applyFill="1" applyBorder="1"/>
    <xf numFmtId="0" fontId="24" fillId="0" borderId="1" xfId="0" applyFont="1" applyBorder="1" applyAlignment="1">
      <alignment horizontal="right"/>
    </xf>
    <xf numFmtId="44" fontId="24" fillId="0" borderId="1" xfId="0" applyNumberFormat="1" applyFont="1" applyBorder="1"/>
    <xf numFmtId="0" fontId="23" fillId="3" borderId="1" xfId="0" applyFont="1" applyFill="1" applyBorder="1" applyAlignment="1">
      <alignment horizontal="right" wrapText="1"/>
    </xf>
    <xf numFmtId="0" fontId="1" fillId="14" borderId="1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9" fillId="12" borderId="14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19" fillId="12" borderId="17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9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21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11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 wrapText="1"/>
    </xf>
    <xf numFmtId="44" fontId="11" fillId="2" borderId="1" xfId="0" applyNumberFormat="1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4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3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5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3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3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3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3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3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3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3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3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09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09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09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09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09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09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09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09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09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09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09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09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09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09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09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09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09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09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09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09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09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09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09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09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09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09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09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09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09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09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09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09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09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09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09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09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09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09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09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09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09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09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09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09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09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09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09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09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09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09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09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09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09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09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09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09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09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09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09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09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09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09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09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09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09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09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09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09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09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09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09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09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09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09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09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09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09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09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09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09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09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09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09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09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09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09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09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09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09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09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09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09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09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09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09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09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09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09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09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09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19.575434606479" createdVersion="8" refreshedVersion="8" minRefreshableVersion="3" recordCount="359" xr:uid="{57F4ADFC-548C-4465-9F70-C60743860291}">
  <cacheSource type="worksheet">
    <worksheetSource ref="A1:G360" sheet="BASE"/>
  </cacheSource>
  <cacheFields count="9">
    <cacheField name="DATA" numFmtId="14">
      <sharedItems containsSemiMixedTypes="0" containsNonDate="0" containsDate="1" containsString="0" minDate="2025-09-19T00:00:00" maxDate="2025-10-16T00:00:00" count="19">
        <d v="2025-09-19T00:00:00"/>
        <d v="2025-09-30T00:00:00"/>
        <d v="2025-09-25T00:00:00"/>
        <d v="2025-09-23T00:00:00"/>
        <d v="2025-09-29T00:00:00"/>
        <d v="2025-10-07T00:00:00"/>
        <d v="2025-10-13T00:00:00"/>
        <d v="2025-10-06T00:00:00"/>
        <d v="2025-10-08T00:00:00"/>
        <d v="2025-09-22T00:00:00"/>
        <d v="2025-09-26T00:00:00"/>
        <d v="2025-10-02T00:00:00"/>
        <d v="2025-09-24T00:00:00"/>
        <d v="2025-10-01T00:00:00"/>
        <d v="2025-10-15T00:00:00"/>
        <d v="2025-10-10T00:00:00"/>
        <d v="2025-10-03T00:00:00"/>
        <d v="2025-10-14T00:00:00"/>
        <d v="2025-10-09T00:00:00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83000" maxValue="345280"/>
    </cacheField>
    <cacheField name="TIPO" numFmtId="0">
      <sharedItems count="2">
        <s v="DESPESAS"/>
        <s v="RECEITAS"/>
      </sharedItems>
    </cacheField>
    <cacheField name="CENTRO DE CUSTO" numFmtId="0">
      <sharedItems/>
    </cacheField>
    <cacheField name="Dias (DATA)" numFmtId="0" databaseField="0">
      <fieldGroup base="0">
        <rangePr groupBy="days" startDate="2025-09-19T00:00:00" endDate="2025-10-16T00:00:00"/>
        <groupItems count="368">
          <s v="&lt;19/09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0/2025"/>
        </groupItems>
      </fieldGroup>
    </cacheField>
    <cacheField name="Meses (DATA)" numFmtId="0" databaseField="0">
      <fieldGroup base="0">
        <rangePr groupBy="months" startDate="2025-09-19T00:00:00" endDate="2025-10-16T00:00:00"/>
        <groupItems count="14">
          <s v="&lt;19/09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s v="SETEMBRO"/>
    <s v="HSERV CABREUVA"/>
    <s v="JESAIAS ROMANHA -PROC 0010363-38.2022.5.15.0097 - ISABEL MACHADO PARCELA 4/8"/>
    <n v="-50000"/>
    <x v="0"/>
    <s v="ACORDO TRABALHISTA"/>
  </r>
  <r>
    <x v="0"/>
    <s v="SETEMBRO"/>
    <s v="COMBINADOS"/>
    <s v="CBM TOWER -RATEIO MENSAL"/>
    <n v="-1480.5"/>
    <x v="0"/>
    <s v="APORTE"/>
  </r>
  <r>
    <x v="0"/>
    <s v="SETEMBRO"/>
    <s v="COMBINADOS"/>
    <s v="CBM TOWER -TAXA DE CONDOMINIO"/>
    <n v="-200"/>
    <x v="0"/>
    <s v="APORTE"/>
  </r>
  <r>
    <x v="1"/>
    <s v="SETEMBRO"/>
    <s v="VITOR DUARTE"/>
    <s v="CLAUDIO JESUS DE ALMEIDA ADVOGADOS ASSOCIADOS-Proc 0011865-05.2024.5.15.0109- ADRILENE PEREIRA DA SILVA-PARCELA 3/6"/>
    <n v="-1500"/>
    <x v="0"/>
    <s v="ACORDO TRABALHISTA"/>
  </r>
  <r>
    <x v="1"/>
    <s v="SETEMBRO"/>
    <s v="HSERV CABREUVA"/>
    <s v="OKUYAMA &amp; ALVES SOCIEDADE DE ADVOGADOS-PROC 0012360-22.2024.5.15.0021 ADRIANA TEIXEIRA DE OLIVEIRA PARCELA 3/8"/>
    <n v="-2000"/>
    <x v="0"/>
    <s v="ACORDO TRABALHISTA"/>
  </r>
  <r>
    <x v="1"/>
    <s v="SETEMBRO"/>
    <s v="VITOR DUARTE"/>
    <s v="DEVOLUÇÃO APORTE VITOR - APORTE 16/12 "/>
    <n v="-10000"/>
    <x v="0"/>
    <s v="APORTE"/>
  </r>
  <r>
    <x v="1"/>
    <s v="SETEMBRO"/>
    <s v="VITOR DUARTE"/>
    <s v="ALTEVYR SILVA GONCALVES -PROC-nº 0010321-03.2025.5.15.0026  IZILDA APARECIDA SABINO PARCELA 3/5"/>
    <n v="-880"/>
    <x v="0"/>
    <s v="ACORDO TRABALHISTA"/>
  </r>
  <r>
    <x v="1"/>
    <s v="SETEMBRO"/>
    <s v="HSERV COMBINADOS "/>
    <s v="JAIR RÉ- REEMBOLSO DE KM VISITA A PREFEITURA"/>
    <n v="-15"/>
    <x v="0"/>
    <s v="REEMBOLSO"/>
  </r>
  <r>
    <x v="2"/>
    <s v="SETEMBRO"/>
    <s v="VITOR DUARTE"/>
    <s v="LUPE LOCACAO E COMERCIO DE EQUIPAMENTOS ELETRONICOS E SERVICO- LOCAÇÃO NOTEBOOK ELISANGELA APARECIDA VITOR"/>
    <n v="-430.22"/>
    <x v="0"/>
    <s v="ALUGUEL DE EQUIPAMENTOS"/>
  </r>
  <r>
    <x v="3"/>
    <s v="SETEMBRO"/>
    <s v="HSERV TERCEIRIZADOS"/>
    <s v="MOVIDA PARTICIPACOES S.A. 18/08/2025"/>
    <n v="-2599.85"/>
    <x v="0"/>
    <s v="ALUGUEL DE VEICULOS"/>
  </r>
  <r>
    <x v="0"/>
    <s v="SETEMBRO"/>
    <s v="HENRIQUE JEAN"/>
    <s v="JONATHAN DINIZ WESFAL 0-PROC 1001448-72.2024.5.02.0291 AUTOR: LUCIANA APARECIDA MARQUES DA SILVA -PARCELA  1/10"/>
    <n v="-1240"/>
    <x v="0"/>
    <s v="ACORDO TRABALHISTA"/>
  </r>
  <r>
    <x v="0"/>
    <s v="SETEMBRO"/>
    <s v="VITOR DUARTE"/>
    <s v="ARGENTON E QUEIROZ ADVOGADOS ASSOCIADOS-Proc 0012026-51.2024.5.15.0097-SIMONE DA SILVA CORREIA- PARCELA 4/6"/>
    <n v="-268.92"/>
    <x v="0"/>
    <s v="ACORDO TRABALHISTA"/>
  </r>
  <r>
    <x v="1"/>
    <s v="SETEMBRO"/>
    <s v="HSERV COMBINADOS "/>
    <s v="PAMELA ROCHA MARINHO -REEMBOLSOS DE DESPESAS"/>
    <n v="-111.89"/>
    <x v="0"/>
    <s v="REEMBOLSO"/>
  </r>
  <r>
    <x v="1"/>
    <s v="SETEMBRO"/>
    <s v="HSERV CLEAN"/>
    <s v="GUIA DE IMPOSTO VEPAKUM RETROATIVO 2024"/>
    <n v="-4000"/>
    <x v="0"/>
    <s v="IMPOSTO"/>
  </r>
  <r>
    <x v="4"/>
    <s v="SETEMBRO"/>
    <s v="HSERV TERCERIZADOS"/>
    <s v="RAI INDUSTRIAL"/>
    <n v="4935"/>
    <x v="1"/>
    <s v="VENDAS DE SERVIÇOS"/>
  </r>
  <r>
    <x v="5"/>
    <s v="OUTUBRO"/>
    <s v="HSERV TERCERIZADOS"/>
    <s v="RAI INDUSTRIAL"/>
    <n v="4935"/>
    <x v="1"/>
    <s v="VENDAS DE SERVIÇOS"/>
  </r>
  <r>
    <x v="6"/>
    <s v="OUTUBRO"/>
    <s v="HSERV LIMPEZA"/>
    <s v="NEW PARK TENIS"/>
    <n v="42921.04"/>
    <x v="1"/>
    <s v="VENDAS DE SERVIÇOS"/>
  </r>
  <r>
    <x v="6"/>
    <s v="OUTUBRO"/>
    <s v="CLEAN"/>
    <s v="SANTA CASA DE MISERICORDIA DE CABREUVA"/>
    <n v="22930"/>
    <x v="1"/>
    <s v="VENDAS DE SERVIÇOS"/>
  </r>
  <r>
    <x v="4"/>
    <s v="SETEMBRO"/>
    <s v="CLEAN"/>
    <s v="RIOS DAS PEDRAS"/>
    <n v="7440"/>
    <x v="1"/>
    <s v="VENDAS DE SERVIÇOS"/>
  </r>
  <r>
    <x v="1"/>
    <s v="SETEMBRO"/>
    <s v="HSERV CABREUVA"/>
    <s v="SIEMACO-PRUDENTE SINDICATO AVENIDA, ASSIS E REGIÃO"/>
    <n v="-1905.5"/>
    <x v="0"/>
    <s v="SINDICATO"/>
  </r>
  <r>
    <x v="1"/>
    <s v="SETEMBRO"/>
    <s v="HSERV CLEAN"/>
    <s v="DEVOLUÇÃO EMPRESTIMO INTER- RETIRADA DE R$ 110.000,00 DIA 15/08 E R$ 10.000,00 DIA 05/09"/>
    <n v="-171000"/>
    <x v="0"/>
    <s v="EMPRESTIMO "/>
  </r>
  <r>
    <x v="7"/>
    <s v="OUTUBRO"/>
    <s v="HSERV TERCEIRIZADOS"/>
    <s v="LOTUS CENTRAL DE DISTRIBUICAO DE HIGIENICOS LTDA"/>
    <n v="-2141.69"/>
    <x v="0"/>
    <s v="MERCADORIAS PARA REVENDA"/>
  </r>
  <r>
    <x v="8"/>
    <s v="OUTUBRO"/>
    <s v="HSERV TERCEIRIZADOS"/>
    <s v="CAETANO BERNARDES NEUBAUER Proc 0010591-77.2025.5.15.0074 RECLAMANTE: SIMONE FERREIRA DA SILVA -PARCELA  2/6"/>
    <n v="-1000"/>
    <x v="0"/>
    <s v="ACORDO TRABALHISTA"/>
  </r>
  <r>
    <x v="8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8"/>
    <s v="OUTUBRO"/>
    <s v="HSERV COMBINADOS"/>
    <s v="ANDRADE FREITAS SOCIEDADE DE ADVOGADOS-Proc 0012259-82.2024.5.15.0021 ESTEVAO GOMES DE SOUZA PARCELA 4/5"/>
    <n v="-5600"/>
    <x v="0"/>
    <s v="ACORDO TRABALHISTA"/>
  </r>
  <r>
    <x v="3"/>
    <s v="SETEMBRO"/>
    <s v="HSERV CABREUVA"/>
    <s v="CSLL TRIMESTRAL HSERV CABREUVA"/>
    <n v="-4636.07"/>
    <x v="0"/>
    <s v="IMPOSTO"/>
  </r>
  <r>
    <x v="3"/>
    <s v="SETEMBRO"/>
    <s v="HSERV CABREUVA"/>
    <s v="IRPJ TRIMESTRAL HSERV CABREUVA"/>
    <n v="-8011.38"/>
    <x v="0"/>
    <s v="IMPOSTO"/>
  </r>
  <r>
    <x v="1"/>
    <s v="SETEMBRO"/>
    <s v="HSERV CABREUVA"/>
    <s v="PATRICIA LOMBARDI-PROC 1002854-81.2023.5.02.0221 TANIA MARIANO DOS SANTOS PARCELA 4/6"/>
    <n v="-2500"/>
    <x v="0"/>
    <s v="ACORDO TRABALHISTA"/>
  </r>
  <r>
    <x v="3"/>
    <s v="SETEMBRO"/>
    <s v="HSERV CLEAN"/>
    <s v="FELIPE ANGELO-GUIA DE GPS"/>
    <n v="-1000"/>
    <x v="0"/>
    <s v="MERCADORIAS PARA REVENDA"/>
  </r>
  <r>
    <x v="0"/>
    <s v="SETEMBRO"/>
    <s v="HENRIQUE JEAN"/>
    <s v="BRASIL MEDICINA E SAUDE PREVENTIVA ORGANIZACAO, GESTAO E CON"/>
    <n v="-353.3"/>
    <x v="0"/>
    <s v="SINDICATO"/>
  </r>
  <r>
    <x v="0"/>
    <s v="SETEMBRO"/>
    <s v="HSERV CABREUVA"/>
    <s v="BRASIL MEDICINA E SAUDE PREVENTIVA ORGANIZACAO, GESTAO E CON"/>
    <n v="-812.59"/>
    <x v="0"/>
    <s v="SINDICATO"/>
  </r>
  <r>
    <x v="0"/>
    <s v="SETEMBRO"/>
    <s v="HSERV CLEAN"/>
    <s v="BRASIL MEDICINA E SAUDE PREVENTIVA ORGANIZACAO, GESTAO E CON"/>
    <n v="-847.92"/>
    <x v="0"/>
    <s v="SINDICATO"/>
  </r>
  <r>
    <x v="0"/>
    <s v="SETEMBRO"/>
    <s v="HSERV COMBINADOS"/>
    <s v="BRASIL MEDICINA E SAUDE PREVENTIVA ORGANIZACAO, GESTAO E CON"/>
    <n v="-1766.5"/>
    <x v="0"/>
    <s v="SINDICATO"/>
  </r>
  <r>
    <x v="0"/>
    <s v="SETEMBRO"/>
    <s v="HSERV LIMPEZA"/>
    <s v="BRASIL MEDICINA E SAUDE PREVENTIVA ORGANIZACAO, GESTAO E CON"/>
    <n v="-529.95000000000005"/>
    <x v="0"/>
    <s v="SINDICATO"/>
  </r>
  <r>
    <x v="0"/>
    <s v="SETEMBRO"/>
    <s v="HSERV REPRESENTACOES"/>
    <s v="BRASIL MEDICINA E SAUDE PREVENTIVA ORGANIZACAO, GESTAO E CON"/>
    <n v="-812.59"/>
    <x v="0"/>
    <s v="SINDICATO"/>
  </r>
  <r>
    <x v="0"/>
    <s v="SETEMBRO"/>
    <s v="HSERV TECNOLOGIA"/>
    <s v="BRASIL MEDICINA E SAUDE PREVENTIVA ORGANIZACAO, GESTAO E CON"/>
    <n v="-1589.85"/>
    <x v="0"/>
    <s v="SINDICATO"/>
  </r>
  <r>
    <x v="0"/>
    <s v="SETEMBRO"/>
    <s v="HSERV TERCEIRIZADOS"/>
    <s v="BRASIL MEDICINA E SAUDE PREVENTIVA ORGANIZACAO, GESTAO E CON"/>
    <n v="-918.58"/>
    <x v="0"/>
    <s v="SINDICATO"/>
  </r>
  <r>
    <x v="0"/>
    <s v="SETEMBRO"/>
    <s v="VITOR DUARTE"/>
    <s v="BRASIL MEDICINA E SAUDE PREVENTIVA ORGANIZACAO, GESTAO E CON"/>
    <n v="-989.24"/>
    <x v="0"/>
    <s v="SINDICATO"/>
  </r>
  <r>
    <x v="2"/>
    <s v="SETEMBRO"/>
    <s v="HSERV COMBINADOS "/>
    <s v="JAIR RÉ-COMISSÃO DE VENDAS DE SERVIÇOS "/>
    <n v="-1000"/>
    <x v="0"/>
    <s v="COMISSOES"/>
  </r>
  <r>
    <x v="3"/>
    <s v="SETEMBRO"/>
    <s v="HSERV TERCEIRIZADOS"/>
    <s v="MOVIDA PARTICIPACOES S.A."/>
    <n v="-4375.75"/>
    <x v="0"/>
    <s v="ALUGUEL DE VEICULOS"/>
  </r>
  <r>
    <x v="0"/>
    <s v="SETEMBRO"/>
    <s v="HENRIQUE JEAN"/>
    <s v="EMPORIO MEGA 100 COMERCIO DE ALIMENTOS S.A."/>
    <n v="-3177.29"/>
    <x v="0"/>
    <s v="CESTA BASICA"/>
  </r>
  <r>
    <x v="0"/>
    <s v="SETEMBRO"/>
    <s v="HSERV CABREUVA"/>
    <s v="EMPORIO MEGA 100 COMERCIO DE ALIMENTOS S.A."/>
    <n v="-2247.35"/>
    <x v="0"/>
    <s v="CESTA BASICA"/>
  </r>
  <r>
    <x v="0"/>
    <s v="SETEMBRO"/>
    <s v="HSERV CLEAN"/>
    <s v="EMPORIO MEGA 100 COMERCIO DE ALIMENTOS S.A."/>
    <n v="-1239.92"/>
    <x v="0"/>
    <s v="CESTA BASICA"/>
  </r>
  <r>
    <x v="0"/>
    <s v="SETEMBRO"/>
    <s v="HSERV CLEAN"/>
    <s v="EMPORIO MEGA 100 COMERCIO DE ALIMENTOS S.A."/>
    <n v="-3409.78"/>
    <x v="0"/>
    <s v="CESTA BASICA"/>
  </r>
  <r>
    <x v="0"/>
    <s v="SETEMBRO"/>
    <s v="HSERV COMBINADOS"/>
    <s v="EMPORIO MEGA 100 COMERCIO DE ALIMENTOS S.A."/>
    <n v="-3332.29"/>
    <x v="0"/>
    <s v="CESTA BASICA"/>
  </r>
  <r>
    <x v="0"/>
    <s v="SETEMBRO"/>
    <s v="HSERV LIMPEZA"/>
    <s v="EMPORIO MEGA 100 COMERCIO DE ALIMENTOS S.A."/>
    <n v="-929.94"/>
    <x v="0"/>
    <s v="CESTA BASICA"/>
  </r>
  <r>
    <x v="0"/>
    <s v="SETEMBRO"/>
    <s v="HSERV REPRESENTACOES"/>
    <s v="EMPORIO MEGA 100 COMERCIO DE ALIMENTOS S.A."/>
    <n v="-929.94"/>
    <x v="0"/>
    <s v="CESTA BASICA"/>
  </r>
  <r>
    <x v="0"/>
    <s v="SETEMBRO"/>
    <s v="HSERV TECNOLOGIA"/>
    <s v="EMPORIO MEGA 100 COMERCIO DE ALIMENTOS S.A."/>
    <n v="-232.49"/>
    <x v="0"/>
    <s v="CESTA BASICA"/>
  </r>
  <r>
    <x v="0"/>
    <s v="SETEMBRO"/>
    <s v="HSERV TERCEIRIZADOS"/>
    <s v="EMPORIO MEGA 100 COMERCIO DE ALIMENTOS S.A."/>
    <n v="-1084.93"/>
    <x v="0"/>
    <s v="CESTA BASICA"/>
  </r>
  <r>
    <x v="0"/>
    <s v="SETEMBRO"/>
    <s v="VITOR DUARTE"/>
    <s v="EMPORIO MEGA 100 COMERCIO DE ALIMENTOS S.A."/>
    <n v="-154.99"/>
    <x v="0"/>
    <s v="CESTA BASICA"/>
  </r>
  <r>
    <x v="0"/>
    <s v="SETEMBRO"/>
    <s v="HSERV COMBINADOS "/>
    <s v="SOFISA ACORDO- PROCESSO EXECUÇÃO PARCELA 20/24"/>
    <n v="-5028.43"/>
    <x v="0"/>
    <s v="EMPRESTIMO "/>
  </r>
  <r>
    <x v="9"/>
    <s v="SETEMBRO"/>
    <s v="HSERV CABREUVA"/>
    <s v="IF EMPRESARIAL"/>
    <n v="-15860.65"/>
    <x v="0"/>
    <s v="CONTABILIDADE"/>
  </r>
  <r>
    <x v="9"/>
    <s v="SETEMBRO"/>
    <s v="HSERV CABREUVA"/>
    <s v="ANJO AZUL ALARMES"/>
    <n v="-1114.33"/>
    <x v="0"/>
    <s v="SISTEMA"/>
  </r>
  <r>
    <x v="9"/>
    <s v="SETEMBRO"/>
    <s v="HSERV CABREUVA"/>
    <s v="MAXIWEB INTERNET PROVIDER LTDA"/>
    <n v="-39.799999999999997"/>
    <x v="0"/>
    <s v="SISTEMA"/>
  </r>
  <r>
    <x v="9"/>
    <s v="SETEMBRO"/>
    <s v="HSERV CLEAN"/>
    <s v="SIMPLES NACIONAL MENSAL - HSERV CLEAN-07.20.25247.2693681-9"/>
    <n v="-4492.67"/>
    <x v="0"/>
    <s v="IMPOSTO"/>
  </r>
  <r>
    <x v="9"/>
    <s v="SETEMBRO"/>
    <s v="HSERV COMBINADOS"/>
    <s v="SIMPLES NACIONAL MENSAL - HSERV COMBINADOS-07.20.25248.3910154-2"/>
    <n v="-1105.31"/>
    <x v="0"/>
    <s v="IMPOSTO"/>
  </r>
  <r>
    <x v="9"/>
    <s v="SETEMBRO"/>
    <s v="HENRIQUE JEAN"/>
    <s v="SIMPLES NACIONAL MENSAL - HENRIQUE JEAN - 07.20.25247.2707569-8"/>
    <n v="-1375.8"/>
    <x v="0"/>
    <s v="IMPOSTO"/>
  </r>
  <r>
    <x v="9"/>
    <s v="SETEMBRO"/>
    <s v="HSERV TECNOLOGIA"/>
    <s v="SIMPLES NACIONAL MENSAL - HSERV TECNOLOGIA-07.20.25255.9466159-0"/>
    <n v="-1418.32"/>
    <x v="0"/>
    <s v="IMPOSTO"/>
  </r>
  <r>
    <x v="9"/>
    <s v="SETEMBRO"/>
    <s v="HSERV LIMPEZA"/>
    <s v="SIMPLES NACIONAL MENSAL - HSERV LIMPEZA-07.20.25248.3984353-0"/>
    <n v="-5040.0600000000004"/>
    <x v="0"/>
    <s v="IMPOSTO"/>
  </r>
  <r>
    <x v="9"/>
    <s v="SETEMBRO"/>
    <s v="HSERV REPRESENTAÇÃO"/>
    <s v="SIMPLES NACIONAL MENSAL - HSERV REPRESENTAÇÃO - 07.20.25248.3924133-6"/>
    <n v="-5232.74"/>
    <x v="0"/>
    <s v="IMPOSTO"/>
  </r>
  <r>
    <x v="9"/>
    <s v="SETEMBRO"/>
    <s v="HSERV TERCERIZADOS"/>
    <s v="SIMPLES NACIONAL MENSAL - HSERV TERCERIZADOS - 07.20.25248.3944995-6"/>
    <n v="-884.67"/>
    <x v="0"/>
    <s v="IMPOSTO"/>
  </r>
  <r>
    <x v="9"/>
    <s v="SETEMBRO"/>
    <s v="VITOR DUARTE"/>
    <s v="DARF DE COFINS, PIS- LUCRO REAL EMPRESA VITOR"/>
    <n v="-13668.57"/>
    <x v="0"/>
    <s v="IMPOSTO"/>
  </r>
  <r>
    <x v="9"/>
    <s v="SETEMBRO"/>
    <s v="HSERV CABREUVA"/>
    <s v="DARF DE COFINS, PIS- LUCRO  PRESUMIDO HSERV CABREUVA"/>
    <n v="-3000"/>
    <x v="0"/>
    <s v="IMPOSTO"/>
  </r>
  <r>
    <x v="0"/>
    <s v="SETEMBRO"/>
    <s v="HENRIQUE JEAN"/>
    <s v="DARF INSS MENSAL - HENRIQUE JEAN DUARTE "/>
    <n v="-7240.94"/>
    <x v="0"/>
    <s v="IMPOSTO"/>
  </r>
  <r>
    <x v="0"/>
    <s v="SETEMBRO"/>
    <s v="HSERV CABREUVA"/>
    <s v="DARF INSS MENSAL  HSERV CABREUVA "/>
    <n v="-10349.69"/>
    <x v="0"/>
    <s v="IMPOSTO"/>
  </r>
  <r>
    <x v="0"/>
    <s v="SETEMBRO"/>
    <s v="HSERV CLEAN"/>
    <s v="DARF INSS MENSAL  HSERV CLEAN "/>
    <n v="-3877.89"/>
    <x v="0"/>
    <s v="IMPOSTO"/>
  </r>
  <r>
    <x v="0"/>
    <s v="SETEMBRO"/>
    <s v="HSERV COMBINADOS"/>
    <s v="DARF INSS MENSAL  HSERV COMBINADOS "/>
    <n v="-6173.28"/>
    <x v="0"/>
    <s v="IMPOSTO"/>
  </r>
  <r>
    <x v="0"/>
    <s v="SETEMBRO"/>
    <s v="HSERV LIMPEZA"/>
    <s v="DARF INSS MENSAL  HSERV LIMPEZA"/>
    <n v="-2131.9499999999998"/>
    <x v="0"/>
    <s v="IMPOSTO"/>
  </r>
  <r>
    <x v="0"/>
    <s v="SETEMBRO"/>
    <s v="HSERV REPRESENTACOES"/>
    <s v="DARF INSS MENSAL  HSERV  REPRESENTACOES "/>
    <n v="-54.75"/>
    <x v="0"/>
    <s v="IMPOSTO"/>
  </r>
  <r>
    <x v="0"/>
    <s v="SETEMBRO"/>
    <s v="HSERV TECNOLOGIA"/>
    <s v="DARF INSS MENSAL  HSERV TECNOLOGIA"/>
    <n v="-7599.89"/>
    <x v="0"/>
    <s v="IMPOSTO"/>
  </r>
  <r>
    <x v="0"/>
    <s v="SETEMBRO"/>
    <s v="HSERV TERCEIRIZADOS"/>
    <s v="DARF INSS MENSAL  HSERV TERCEIRIZADOS"/>
    <n v="-2851.4"/>
    <x v="0"/>
    <s v="IMPOSTO"/>
  </r>
  <r>
    <x v="0"/>
    <s v="SETEMBRO"/>
    <s v="VITOR DUARTE"/>
    <s v="DARF INSS MENSAL  HSERV LTDA "/>
    <n v="-16742.48"/>
    <x v="0"/>
    <s v="IMPOSTO"/>
  </r>
  <r>
    <x v="0"/>
    <s v="SETEMBRO"/>
    <s v="HENRIQUE JEAN"/>
    <s v="FGTS MENSAL - HENRIQUE JEAN "/>
    <n v="-11538.22"/>
    <x v="0"/>
    <s v="IMPOSTO"/>
  </r>
  <r>
    <x v="0"/>
    <s v="SETEMBRO"/>
    <s v="HSERV CABREUVA"/>
    <s v="FGTS MENSAL - HSERV CABREUVA "/>
    <n v="-5859.72"/>
    <x v="0"/>
    <s v="IMPOSTO"/>
  </r>
  <r>
    <x v="0"/>
    <s v="SETEMBRO"/>
    <s v="HSERV CLEAN"/>
    <s v="FGTS MENSAL - HSERV CLEAN "/>
    <n v="-4698.51"/>
    <x v="0"/>
    <s v="IMPOSTO"/>
  </r>
  <r>
    <x v="0"/>
    <s v="SETEMBRO"/>
    <s v="HSERV COMBINADOS"/>
    <s v="FGTS MENSAL - HSERV COMBINADOS "/>
    <n v="-8746.14"/>
    <x v="0"/>
    <s v="IMPOSTO"/>
  </r>
  <r>
    <x v="0"/>
    <s v="SETEMBRO"/>
    <s v="HSERV LIMPEZA"/>
    <s v="FGTS MENSAL - HSERV LIMPEZA "/>
    <n v="-5082.6099999999997"/>
    <x v="0"/>
    <s v="IMPOSTO"/>
  </r>
  <r>
    <x v="0"/>
    <s v="SETEMBRO"/>
    <s v="HSERV REPRESENTACOES"/>
    <s v="FGTS MENSAL - HSERV REPRESENTACOES "/>
    <n v="-2832.62"/>
    <x v="0"/>
    <s v="IMPOSTO"/>
  </r>
  <r>
    <x v="0"/>
    <s v="SETEMBRO"/>
    <s v="HSERV TECNOLOGIA"/>
    <s v="FGTS MENSAL - HSERV TECNOLOGIA"/>
    <n v="-9064.18"/>
    <x v="0"/>
    <s v="IMPOSTO"/>
  </r>
  <r>
    <x v="0"/>
    <s v="SETEMBRO"/>
    <s v="HSERV TERCEIRIZADOS"/>
    <s v="FGTS MENSAL - HSERV TERCEIRIZADOS"/>
    <n v="-3638.69"/>
    <x v="0"/>
    <s v="IMPOSTO"/>
  </r>
  <r>
    <x v="0"/>
    <s v="SETEMBRO"/>
    <s v="VITOR DUARTE"/>
    <s v="FGTS MENSAL - HSERV LTDA VITOR DUARTE"/>
    <n v="-3544.6"/>
    <x v="0"/>
    <s v="IMPOSTO"/>
  </r>
  <r>
    <x v="0"/>
    <s v="SETEMBRO"/>
    <s v="HENRIQUE JEAN"/>
    <s v="MICHAEL NOVAES DE FRANCA-FGTS EM ATRASO 11/2022"/>
    <n v="-184.78"/>
    <x v="0"/>
    <s v="IMPOSTO"/>
  </r>
  <r>
    <x v="9"/>
    <s v="SETEMBRO"/>
    <s v="HSERV CABREUVA"/>
    <s v="FT 1º QUINZENA E PACOTES, RT"/>
    <n v="-72096.91"/>
    <x v="0"/>
    <s v="FT"/>
  </r>
  <r>
    <x v="9"/>
    <s v="SETEMBRO"/>
    <s v="HSERV CABREUVA"/>
    <s v="CAIXA CARTOES PRE-PAGOS S.A."/>
    <n v="-9186.57"/>
    <x v="0"/>
    <s v="VALE TRANSPORTE"/>
  </r>
  <r>
    <x v="9"/>
    <s v="SETEMBRO"/>
    <s v="HSERV CLEAN"/>
    <s v="CAIXA CARTOES PRE-PAGOS S.A."/>
    <n v="-1373.01"/>
    <x v="0"/>
    <s v="VALE TRANSPORTE"/>
  </r>
  <r>
    <x v="9"/>
    <s v="SETEMBRO"/>
    <s v="HSERV LIMPEZA"/>
    <s v="CAIXA CARTOES PRE-PAGOS S.A."/>
    <n v="-217.38"/>
    <x v="0"/>
    <s v="VALE TRANSPORTE"/>
  </r>
  <r>
    <x v="9"/>
    <s v="SETEMBRO"/>
    <s v="HSERV REPRESENTACOES"/>
    <s v="CAIXA CARTOES PRE-PAGOS S.A."/>
    <n v="-1366.4"/>
    <x v="0"/>
    <s v="VALE TRANSPORTE"/>
  </r>
  <r>
    <x v="9"/>
    <s v="SETEMBRO"/>
    <s v="HSERV TECNOLOGIA"/>
    <s v="CAIXA CARTOES PRE-PAGOS S.A."/>
    <n v="-3091.6"/>
    <x v="0"/>
    <s v="VALE TRANSPORTE"/>
  </r>
  <r>
    <x v="9"/>
    <s v="SETEMBRO"/>
    <s v="HSERV TERCEIRIZADOS"/>
    <s v="CAIXA CARTOES PRE-PAGOS S.A."/>
    <n v="-1565.84"/>
    <x v="0"/>
    <s v="VALE TRANSPORTE"/>
  </r>
  <r>
    <x v="9"/>
    <s v="SETEMBRO"/>
    <s v="VITOR DUARTE"/>
    <s v="CAIXA CARTOES PRE-PAGOS S.A."/>
    <n v="-16807.55"/>
    <x v="0"/>
    <s v="VALE TRANSPORTE"/>
  </r>
  <r>
    <x v="9"/>
    <s v="SETEMBRO"/>
    <s v="HSERV COMBINADOS"/>
    <s v="RITA SABINO DE MIRANDA MOURA"/>
    <n v="-70"/>
    <x v="0"/>
    <s v="VALE TRANSPORTE"/>
  </r>
  <r>
    <x v="9"/>
    <s v="SETEMBRO"/>
    <s v="HSERV CABREUVA"/>
    <s v="FT ASSIS E REGIÃO- "/>
    <n v="-8000"/>
    <x v="0"/>
    <s v="FT"/>
  </r>
  <r>
    <x v="9"/>
    <s v="SETEMBRO"/>
    <s v="HSERV COMBINADOS"/>
    <s v="MAC LUCER - MAITÁ APTO 073 CONTRATO 170 (MENSAL) PARCELA 18 /27"/>
    <n v="-3003.13"/>
    <x v="0"/>
    <s v="APORTE"/>
  </r>
  <r>
    <x v="9"/>
    <s v="SETEMBRO"/>
    <s v="VITOR DUARTE"/>
    <s v="CLARO S/A"/>
    <n v="-1700"/>
    <x v="0"/>
    <s v="TELEFONE"/>
  </r>
  <r>
    <x v="0"/>
    <s v="SETEMBRO"/>
    <s v="HENRIQUE JEAN ND"/>
    <s v="IMOVEL NEX ONE "/>
    <n v="-8937.32"/>
    <x v="0"/>
    <s v="RESERVA"/>
  </r>
  <r>
    <x v="0"/>
    <s v="SETEMBRO"/>
    <s v="VITOR DUARTE"/>
    <s v="VIVA FOOD R E LTDA"/>
    <n v="-17235"/>
    <x v="0"/>
    <s v="VALE ALIMENTAÇÃO"/>
  </r>
  <r>
    <x v="10"/>
    <s v="SETEMBRO"/>
    <s v="VITOR DUARTE"/>
    <s v="VIVA FOOD R E LTDA"/>
    <n v="-17235"/>
    <x v="0"/>
    <s v="VALE ALIMENTAÇÃO"/>
  </r>
  <r>
    <x v="2"/>
    <s v="SETEMBRO"/>
    <s v="HSERV CLEAN"/>
    <s v="AUTO POSTO JARDIM DAS HORTENCIA"/>
    <n v="-6379.82"/>
    <x v="0"/>
    <s v="COMBUSTIVEL E PEDAGIO"/>
  </r>
  <r>
    <x v="2"/>
    <s v="SETEMBRO"/>
    <s v="VITOR DUARTE"/>
    <s v="GADE CORPORATIVA"/>
    <n v="-84.3"/>
    <x v="0"/>
    <s v="SISTEMA"/>
  </r>
  <r>
    <x v="2"/>
    <s v="SETEMBRO"/>
    <s v="HSERV CABREUVA"/>
    <s v="PEDRO LEOPOLDO BRUNELLI JUNIOR -Processo n. 0011252-29.2021.5.15.0096  AUTOR: DANILO MIGUEL DA SILVA  -PARCEL A 4/4"/>
    <n v="-2688.37"/>
    <x v="0"/>
    <s v="ACORDO TRABALHISTA"/>
  </r>
  <r>
    <x v="2"/>
    <s v="SETEMBRO"/>
    <s v="HSERV CABREUVA"/>
    <s v="OPEN IT GROUP ESCRITORIO E LOJA CLEAN"/>
    <n v="-294.8"/>
    <x v="0"/>
    <s v="INTERNET"/>
  </r>
  <r>
    <x v="2"/>
    <s v="SETEMBRO"/>
    <s v="HSERV CLEAN"/>
    <s v="SPARTAN DO BRASIL PRODUTOS QUIMICOS LTDA"/>
    <n v="-4484.68"/>
    <x v="0"/>
    <s v="MERCADORIAS PARA REVENDA"/>
  </r>
  <r>
    <x v="2"/>
    <s v="SETEMBRO"/>
    <s v="HSERV TERCEIRIZADOS"/>
    <s v="WIG COMERCIO DE BATERIAS COMPONENTES LTDA"/>
    <n v="-886.67"/>
    <x v="0"/>
    <s v="MANUTENÇÃO"/>
  </r>
  <r>
    <x v="2"/>
    <s v="SETEMBRO"/>
    <s v="HSERV LIMPEZA"/>
    <s v="LEONILDA CRISTINA APARECIDA FERRAZ"/>
    <n v="-636.88"/>
    <x v="0"/>
    <s v="RESCISÕES"/>
  </r>
  <r>
    <x v="2"/>
    <s v="SETEMBRO"/>
    <s v="HSERV CABREUVA"/>
    <s v="BORELA ADVOGADOS ASSOCIADOS Proc 0010084-90.2025.5.15.0018 AUTOR: VANESSA ALESSANDRA NUNES DA COSTA SANTOS  -PARCELA 1/2"/>
    <n v="-2000"/>
    <x v="0"/>
    <s v="ACORDO TRABALHISTA"/>
  </r>
  <r>
    <x v="2"/>
    <s v="SETEMBRO"/>
    <s v="HSERV COMBINADOS"/>
    <s v="MAC LUCER - VINEA AP 004 CONTRATO 095 (MENSAL) "/>
    <n v="-1956.28"/>
    <x v="0"/>
    <s v="APORTE"/>
  </r>
  <r>
    <x v="9"/>
    <s v="SETEMBRO"/>
    <s v="VITOR DUARTE"/>
    <s v="CHEQUES DR DUARTE"/>
    <n v="-19960"/>
    <x v="0"/>
    <s v="PROLABORE"/>
  </r>
  <r>
    <x v="4"/>
    <s v="SETEMBRO"/>
    <s v="HSERV CLEAN"/>
    <s v="SOFT WORKS EPI CALCADOS LTDA"/>
    <n v="-536.6"/>
    <x v="0"/>
    <s v="UNIFORMES"/>
  </r>
  <r>
    <x v="4"/>
    <s v="SETEMBRO"/>
    <s v="VITOR DUARTE"/>
    <s v="GABRIEL DOS SANTOS NOVÃESCLOUD-TELEFONIA"/>
    <n v="-500"/>
    <x v="0"/>
    <s v="SISTEMA"/>
  </r>
  <r>
    <x v="1"/>
    <s v="SETEMBRO"/>
    <s v="HENRIQUE JEAN ND"/>
    <s v="CELIO ROBERTO"/>
    <n v="-5000"/>
    <x v="0"/>
    <s v="RESERVA"/>
  </r>
  <r>
    <x v="1"/>
    <s v="SETEMBRO"/>
    <s v="VITOR DUARTE"/>
    <s v="NEXTI DESENVOLVIMENTO DE SISTEMAS S.A."/>
    <n v="-3002.16"/>
    <x v="0"/>
    <s v="SISTEMA"/>
  </r>
  <r>
    <x v="1"/>
    <s v="SETEMBRO"/>
    <s v="VITOR DUARTE"/>
    <s v="NEXTI DESENVOLVIMENTO DE SISTEMAS S.A."/>
    <n v="-1576.11"/>
    <x v="0"/>
    <s v="SISTEMA"/>
  </r>
  <r>
    <x v="1"/>
    <s v="SETEMBRO"/>
    <s v=" HSERV CABREUVA"/>
    <s v="VALE TRANSPORTE BASE"/>
    <n v="-15000"/>
    <x v="0"/>
    <s v="VALE TRANSPORTE"/>
  </r>
  <r>
    <x v="10"/>
    <s v="SETEMBRO"/>
    <s v="HSERV CLEAN"/>
    <s v="HM MAQ COMERCIO E ASSISTENCIA TECNICA INDUSTRIAL"/>
    <n v="-371.04"/>
    <x v="0"/>
    <s v="MANUTENÇÃO"/>
  </r>
  <r>
    <x v="4"/>
    <s v="SETEMBRO"/>
    <s v="VITOR DUARTE"/>
    <s v="CHEQUES DR DUARTE"/>
    <n v="-13251.8"/>
    <x v="0"/>
    <s v="PROLABORE"/>
  </r>
  <r>
    <x v="1"/>
    <s v="SETEMBRO"/>
    <s v="HSERV CABREUVA"/>
    <s v="SIMPLES NACIONAL-PARCELAMENTO"/>
    <n v="-35000"/>
    <x v="0"/>
    <s v="IMPOSTO"/>
  </r>
  <r>
    <x v="1"/>
    <s v="SETEMBRO"/>
    <s v="HSERV CABREUVA"/>
    <s v="VALE COMBUSTIVEL 1 QUINZENA DE FEVEREIRO"/>
    <n v="-8000"/>
    <x v="0"/>
    <s v="VALE COMBUSTIVEL"/>
  </r>
  <r>
    <x v="1"/>
    <s v="SETEMBRO"/>
    <s v="VITOR DUARTE"/>
    <s v="54.055.078 MATHEUS PEIXOTO DE OLIVEIRA"/>
    <n v="-1500"/>
    <x v="0"/>
    <s v="TI"/>
  </r>
  <r>
    <x v="1"/>
    <s v="SETEMBRO"/>
    <s v="VITOR DUARTE"/>
    <s v="ADEMIR- IMPRESSÃO E IMPRESSORA"/>
    <n v="-100"/>
    <x v="0"/>
    <s v="TI"/>
  </r>
  <r>
    <x v="1"/>
    <s v="SETEMBRO"/>
    <s v="HSERV COMBINADOS "/>
    <s v="REEMBOLSOS"/>
    <n v="-800"/>
    <x v="0"/>
    <s v="REEMBOLSO"/>
  </r>
  <r>
    <x v="1"/>
    <s v="SETEMBRO"/>
    <s v="VITOR DUARTE"/>
    <s v="JHONY WALLACE GOMES DE OLIVEIRA"/>
    <n v="-3256.25"/>
    <x v="0"/>
    <s v="FÉRIAS"/>
  </r>
  <r>
    <x v="1"/>
    <s v="SETEMBRO"/>
    <s v="HSERV TERCEIRIZADOS"/>
    <s v="LOTUS CENTRAL DE DISTRIBUICAO DE HIGIENICOS LTDA"/>
    <n v="-2141.69"/>
    <x v="0"/>
    <s v="MERCADORIAS PARA REVENDA"/>
  </r>
  <r>
    <x v="11"/>
    <s v="OUTUBRO"/>
    <s v="HSERV CLEAN"/>
    <s v="J.E. COMERCIO E SOLUCOES LTDA"/>
    <n v="-390"/>
    <x v="0"/>
    <s v="MERCADORIAS PARA REVENDA"/>
  </r>
  <r>
    <x v="11"/>
    <s v="OUTUBRO"/>
    <s v="HSERV CLEAN"/>
    <s v="SPARTAN DO BRASIL PRODUTOS QUIMICOS LTDA"/>
    <n v="-4484.68"/>
    <x v="0"/>
    <s v="MERCADORIAS PARA REVENDA"/>
  </r>
  <r>
    <x v="11"/>
    <s v="OUTUBRO"/>
    <s v="HSERV CLEAN"/>
    <s v="J.E. COMERCIO E SOLUCOES LTDA"/>
    <n v="-1456"/>
    <x v="0"/>
    <s v="MERCADORIAS PARA REVENDA"/>
  </r>
  <r>
    <x v="11"/>
    <s v="OUTUBRO"/>
    <s v="HENRIQUE JEAN"/>
    <s v="ANA PAULA DE SOUZA FREIRE"/>
    <n v="-2152.61"/>
    <x v="0"/>
    <s v="FÉRIAS"/>
  </r>
  <r>
    <x v="11"/>
    <s v="OUTUBRO"/>
    <s v="HSERV CABREUVA"/>
    <s v="KEVYN TAWAN BERTONHA FERREIRA"/>
    <n v="-2666.08"/>
    <x v="0"/>
    <s v="FÉRIAS"/>
  </r>
  <r>
    <x v="11"/>
    <s v="OUTUBRO"/>
    <s v="HSERV CABREUVA"/>
    <s v="ALEXANDRA SILVA DE LIMA"/>
    <n v="-2675.88"/>
    <x v="0"/>
    <s v="FÉRIAS"/>
  </r>
  <r>
    <x v="11"/>
    <s v="OUTUBRO"/>
    <s v="HSERV CABREUVA"/>
    <s v="GRACE ADRIANA DE ANDRADE"/>
    <n v="-2315.3000000000002"/>
    <x v="0"/>
    <s v="FÉRIAS"/>
  </r>
  <r>
    <x v="11"/>
    <s v="OUTUBRO"/>
    <s v="HSERV CABREUVA"/>
    <s v="GABRIEL DO NASCIMENTO NEVES"/>
    <n v="-2287.7399999999998"/>
    <x v="0"/>
    <s v="FÉRIAS"/>
  </r>
  <r>
    <x v="11"/>
    <s v="OUTUBRO"/>
    <s v="HSERV COMBINADOS"/>
    <s v="MARIA RAIMUNDA DE OLIVEIRA"/>
    <n v="-2187.38"/>
    <x v="0"/>
    <s v="FÉRIAS"/>
  </r>
  <r>
    <x v="11"/>
    <s v="OUTUBRO"/>
    <s v="HSERV COMBINADOS"/>
    <s v="CICERA MARIA DA SILVA ANDRADE"/>
    <n v="-2643.56"/>
    <x v="0"/>
    <s v="FÉRIAS"/>
  </r>
  <r>
    <x v="11"/>
    <s v="OUTUBRO"/>
    <s v="HSERV LIMPEZA"/>
    <s v="JOSUE MARIO GOMES DA SILVA"/>
    <n v="-2754.27"/>
    <x v="0"/>
    <s v="FÉRIAS"/>
  </r>
  <r>
    <x v="11"/>
    <s v="OUTUBRO"/>
    <s v="HSERV LIMPEZA"/>
    <s v="ADRIANA INACIA BENTO DE ASSIS"/>
    <n v="-2684.2"/>
    <x v="0"/>
    <s v="FÉRIAS"/>
  </r>
  <r>
    <x v="11"/>
    <s v="OUTUBRO"/>
    <s v="HSERV REPRESENTACOES"/>
    <s v="MARIA ELIZA CARNEIRO DIAS"/>
    <n v="-2117.89"/>
    <x v="0"/>
    <s v="FÉRIAS"/>
  </r>
  <r>
    <x v="11"/>
    <s v="OUTUBRO"/>
    <s v="HSERV REPRESENTACOES"/>
    <s v="JOSE RODRIGUES DA SILVA"/>
    <n v="-2720.59"/>
    <x v="0"/>
    <s v="FÉRIAS"/>
  </r>
  <r>
    <x v="11"/>
    <s v="OUTUBRO"/>
    <s v="HSERV TECNOLOGIA"/>
    <s v="FRANCISCO FERMINO RODRIGUES FILHO"/>
    <n v="-2221.88"/>
    <x v="0"/>
    <s v="FÉRIAS"/>
  </r>
  <r>
    <x v="11"/>
    <s v="OUTUBRO"/>
    <s v="HSERV TERCEIRIZADOS"/>
    <s v="WEVERTON GABRIEL DE JESUS OLIVEIRA"/>
    <n v="-3584.26"/>
    <x v="0"/>
    <s v="FÉRIAS"/>
  </r>
  <r>
    <x v="11"/>
    <s v="OUTUBRO"/>
    <s v="HSERV TERCEIRIZADOS"/>
    <s v="AIDE ZORAIDE RONDAO"/>
    <n v="-2106.31"/>
    <x v="0"/>
    <s v="FÉRIAS"/>
  </r>
  <r>
    <x v="11"/>
    <s v="OUTUBRO"/>
    <s v="HSERV TERCEIRIZADOS"/>
    <s v="WAGNER BIONDO"/>
    <n v="-2570.3200000000002"/>
    <x v="0"/>
    <s v="FÉRIAS"/>
  </r>
  <r>
    <x v="11"/>
    <s v="OUTUBRO"/>
    <s v="HENRIQUE JEAN"/>
    <s v="ROSALINA NOGUEIRA PEREIRA"/>
    <n v="-2187.34"/>
    <x v="0"/>
    <s v="FÉRIAS"/>
  </r>
  <r>
    <x v="11"/>
    <s v="OUTUBRO"/>
    <s v="HSERV CABREUVA"/>
    <s v="FÉRIAS"/>
    <n v="-37688.269999999997"/>
    <x v="0"/>
    <s v="FÉRIAS"/>
  </r>
  <r>
    <x v="1"/>
    <s v="SETEMBRO"/>
    <s v="VITOR DUARTE"/>
    <s v="GUIA DE PARCELAMENTO INSS VITOR JULHO A NOV 2024"/>
    <n v="-7000"/>
    <x v="0"/>
    <s v="IMPOSTO"/>
  </r>
  <r>
    <x v="1"/>
    <s v="SETEMBRO"/>
    <s v="HSERV CLEAN"/>
    <s v="GUIA DE IMPOSTO VEPAKUM RETROATIVO 2024"/>
    <n v="-4000"/>
    <x v="0"/>
    <s v="IMPOSTO"/>
  </r>
  <r>
    <x v="1"/>
    <s v="SETEMBRO"/>
    <s v=" HSERV CABREUVA"/>
    <s v="PARCELAMENTO DEBITOS PREVIDENCIARIOS"/>
    <n v="-2700"/>
    <x v="0"/>
    <s v="IMPOSTO"/>
  </r>
  <r>
    <x v="1"/>
    <s v="SETEMBRO"/>
    <s v="HSERV CLEAN"/>
    <s v="PARCELA CREDITO PESSOAL CONTR 016721926 PARC"/>
    <n v="-1719.53"/>
    <x v="0"/>
    <s v="CARTÃO DE CREDITO"/>
  </r>
  <r>
    <x v="1"/>
    <s v="SETEMBRO"/>
    <s v="HSERV CABREUVA"/>
    <s v="PARCELA CREDITO PESSOAL CONTR 016721926 PARC"/>
    <n v="-1392.65"/>
    <x v="0"/>
    <s v="CARTÃO DE CREDITO"/>
  </r>
  <r>
    <x v="12"/>
    <s v="SETEMBRO"/>
    <s v="COMBINADOS"/>
    <s v="TECNIPLAS EQUIPAMENTOS EM COMPOSITOS EIR-NO DIA 10/09/2025 PAGRAM R$ 11.225,96 RESTA "/>
    <n v="11225.96"/>
    <x v="1"/>
    <s v="VENDAS DE SERVIÇOS"/>
  </r>
  <r>
    <x v="12"/>
    <s v="SETEMBRO"/>
    <s v="VITOR"/>
    <s v="GIFEL"/>
    <n v="680.03"/>
    <x v="1"/>
    <s v="VENDAS DE SERVIÇOS"/>
  </r>
  <r>
    <x v="12"/>
    <s v="SETEMBRO"/>
    <s v="VITOR DUARTE"/>
    <s v="FRANCISCO DE SOUSA CAVALCANTE JUNIOR"/>
    <n v="-2500"/>
    <x v="0"/>
    <s v="IMPOSTO"/>
  </r>
  <r>
    <x v="12"/>
    <s v="SETEMBRO"/>
    <s v="HSERV COMBINADOS"/>
    <s v="LOTUS CENTRAL DE DISTRIBUICAO DE HIGIENICOS LTDA"/>
    <n v="-985.45"/>
    <x v="0"/>
    <s v="MERCADORIAS PARA REVENDA"/>
  </r>
  <r>
    <x v="10"/>
    <s v="SETEMBRO"/>
    <s v="CLEAN"/>
    <s v="PLASTY COMERCIAL DE PLASTICOS LTDA"/>
    <n v="2373.8200000000002"/>
    <x v="1"/>
    <s v="VENDAS DE SERVIÇOS"/>
  </r>
  <r>
    <x v="10"/>
    <s v="SETEMBRO"/>
    <s v="CLEAN"/>
    <s v="PLASTY COMERCIAL DE PLASTICOS LTDA"/>
    <n v="5823.82"/>
    <x v="1"/>
    <s v="VENDAS DE SERVIÇOS"/>
  </r>
  <r>
    <x v="10"/>
    <s v="SETEMBRO"/>
    <s v="CLEAN"/>
    <s v="PLASTY COMERCIAL DE PLASTICOS LTDA"/>
    <n v="7526.95"/>
    <x v="1"/>
    <s v="VENDAS DE SERVIÇOS"/>
  </r>
  <r>
    <x v="10"/>
    <s v="SETEMBRO"/>
    <s v="CLEAN"/>
    <s v="PLASTY COMERCIAL DE PLASTICOS LTDA"/>
    <n v="25756.63"/>
    <x v="1"/>
    <s v="VENDAS DE SERVIÇOS"/>
  </r>
  <r>
    <x v="1"/>
    <s v="SETEMBRO"/>
    <s v="CABREUVA"/>
    <s v="BOA R$ 872.126,10- R$ 602.847,78 = R$ 269.278,32"/>
    <n v="269278.32"/>
    <x v="1"/>
    <s v="VENDAS DE SERVIÇOS"/>
  </r>
  <r>
    <x v="3"/>
    <s v="SETEMBRO"/>
    <s v="HSERV TERCEIRIZADOS"/>
    <s v="LOTUS CENTRAL DE DISTRIBUICAO DE HIGIENICOS LTDA"/>
    <n v="-2141.69"/>
    <x v="0"/>
    <s v="MERCADORIAS PARA REVENDA"/>
  </r>
  <r>
    <x v="3"/>
    <s v="SETEMBRO"/>
    <s v="VITOR DUARTE"/>
    <s v="ALTOLIM COMERCIAL ASSIS EIRELI - ME"/>
    <n v="-84.56"/>
    <x v="0"/>
    <s v="MERCADORIAS PARA REVENDA"/>
  </r>
  <r>
    <x v="3"/>
    <s v="SETEMBRO"/>
    <s v="HSERV COMBINADOS"/>
    <s v="FGTS EM ATRASO GUSTAVO AMARANTE DA SILVA"/>
    <n v="-2574.0700000000002"/>
    <x v="0"/>
    <s v="IMPOSTO"/>
  </r>
  <r>
    <x v="3"/>
    <s v="SETEMBRO"/>
    <s v="VITOR DUARTE"/>
    <s v="FGTS EM ATRASO JOSE CICERO DOS SANTOS COSTA"/>
    <n v="-2669.79"/>
    <x v="0"/>
    <s v="IMPOSTO"/>
  </r>
  <r>
    <x v="3"/>
    <s v="SETEMBRO"/>
    <s v="VITOR DUARTE"/>
    <s v="DARF INSS VITOR DUARTE-INSS FOLHA 07/2025 -RETIFICAÇÃO"/>
    <n v="-250.23"/>
    <x v="0"/>
    <s v="IMPOSTO"/>
  </r>
  <r>
    <x v="3"/>
    <s v="SETEMBRO"/>
    <s v="HSERV COMBINADOS"/>
    <s v="NAIR APARECIDA DA GONELLA DOS SANTOS"/>
    <n v="-86.1"/>
    <x v="0"/>
    <s v="VALE TRANSPORTE"/>
  </r>
  <r>
    <x v="3"/>
    <s v="SETEMBRO"/>
    <s v="HSERV COMBINADOS"/>
    <s v="SILVANA APARECIDA DE OLIVEIRA"/>
    <n v="-86.1"/>
    <x v="0"/>
    <s v="VALE TRANSPORTE"/>
  </r>
  <r>
    <x v="3"/>
    <s v="SETEMBRO"/>
    <s v="HSERV TERCEIRIZADOS"/>
    <s v="MIGUEL RIBEIRO DA SILVA"/>
    <n v="-40"/>
    <x v="0"/>
    <s v="VALE TRANSPORTE"/>
  </r>
  <r>
    <x v="3"/>
    <s v="SETEMBRO"/>
    <s v="HENRIQUE JEAN"/>
    <s v="CEF MATRIZ--EMPRESTIMO HENRIQUE IEAN VENCIDO JULHO"/>
    <n v="-7000"/>
    <x v="0"/>
    <s v="EMPRESTIMO "/>
  </r>
  <r>
    <x v="3"/>
    <s v="SETEMBRO"/>
    <s v="HSERV COMBINADOS"/>
    <s v="CEF MATRIZ-EMPRESTIMO HSERV COMBINADOS VENCIDO JULHO"/>
    <n v="-7000"/>
    <x v="0"/>
    <s v="EMPRESTIMO "/>
  </r>
  <r>
    <x v="0"/>
    <s v="SETEMBRO"/>
    <s v="HSERV TERCEIRIZADOS"/>
    <s v="CBM TOWER-ACORDO RATEIO - HONORARIOS"/>
    <n v="-2298.27"/>
    <x v="0"/>
    <s v="APORTE"/>
  </r>
  <r>
    <x v="1"/>
    <s v="SETEMBRO"/>
    <s v="HSERV TERCEIRIZADOS"/>
    <s v="CBM TOWER-ACORDO RATEIO 8X"/>
    <n v="-2873"/>
    <x v="0"/>
    <s v="APORTE"/>
  </r>
  <r>
    <x v="0"/>
    <s v="SETEMBRO"/>
    <s v="HENRIQUE JEAN"/>
    <s v="BENEFICIO SOCIAL VENCIDA 10/08/2025"/>
    <n v="-159.6"/>
    <x v="0"/>
    <s v="SINDICATO"/>
  </r>
  <r>
    <x v="0"/>
    <s v="SETEMBRO"/>
    <s v="HSERV CABREUVA"/>
    <s v="BENEFICIO SOCIAL VENCIDA 10/08/2025"/>
    <n v="-399"/>
    <x v="0"/>
    <s v="SINDICATO"/>
  </r>
  <r>
    <x v="0"/>
    <s v="SETEMBRO"/>
    <s v="HSERV CLEAN"/>
    <s v="BENEFICIO SOCIAL VENCIDA 10/08/2025"/>
    <n v="-383.04"/>
    <x v="0"/>
    <s v="SINDICATO"/>
  </r>
  <r>
    <x v="0"/>
    <s v="SETEMBRO"/>
    <s v="HSERV COMBINADOS"/>
    <s v="BENEFICIO SOCIAL VENCIDA 10/08/2025"/>
    <n v="-845.88"/>
    <x v="0"/>
    <s v="SINDICATO"/>
  </r>
  <r>
    <x v="0"/>
    <s v="SETEMBRO"/>
    <s v="HSERV LIMPEZA"/>
    <s v="BENEFICIO SOCIAL VENCIDA 10/08/2025"/>
    <n v="-271.32"/>
    <x v="0"/>
    <s v="SINDICATO"/>
  </r>
  <r>
    <x v="0"/>
    <s v="SETEMBRO"/>
    <s v="HSERV REPRESENTACOES"/>
    <s v="BENEFICIO SOCIAL VENCIDA 10/08/2025"/>
    <n v="-287.27999999999997"/>
    <x v="0"/>
    <s v="SINDICATO"/>
  </r>
  <r>
    <x v="0"/>
    <s v="SETEMBRO"/>
    <s v="HSERV TECNOLOGIA"/>
    <s v="BENEFICIO SOCIAL VENCIDA 10/08/2025"/>
    <n v="-702.24"/>
    <x v="0"/>
    <s v="SINDICATO"/>
  </r>
  <r>
    <x v="0"/>
    <s v="SETEMBRO"/>
    <s v="HSERV TERCEIRIZADOS"/>
    <s v="BENEFICIO SOCIAL VENCIDA 10/08/2025"/>
    <n v="-383.04"/>
    <x v="0"/>
    <s v="SINDICATO"/>
  </r>
  <r>
    <x v="0"/>
    <s v="SETEMBRO"/>
    <s v="VITOR DUARTE"/>
    <s v="BENEFICIO SOCIAL VENCIDA 10/08/2025"/>
    <n v="-510.72"/>
    <x v="0"/>
    <s v="SINDICATO"/>
  </r>
  <r>
    <x v="1"/>
    <s v="SETEMBRO"/>
    <s v="HENRIQUE JEAN"/>
    <s v="SINDPRESTEM"/>
    <n v="-630"/>
    <x v="0"/>
    <s v="SINDICATO"/>
  </r>
  <r>
    <x v="9"/>
    <s v="SETEMBRO"/>
    <s v="HENRIQUE JEAN"/>
    <s v="IFOOD.COM AGENCIA DE RESTAURANTES ONLINE S.A."/>
    <n v="-539.76"/>
    <x v="0"/>
    <s v="VALE ALIMENTAÇAO"/>
  </r>
  <r>
    <x v="9"/>
    <s v="SETEMBRO"/>
    <s v="HENRIQUE JEAN"/>
    <s v="CRISTIANA DOS SANTOS"/>
    <n v="-249.12"/>
    <x v="0"/>
    <s v="VALE ALIMENTAÇAO"/>
  </r>
  <r>
    <x v="9"/>
    <s v="SETEMBRO"/>
    <s v="VITOR DUARTE"/>
    <s v="RESOLVE ALIMENTACAO LTDA"/>
    <n v="-762.72"/>
    <x v="0"/>
    <s v="VALE ALIMENTAÇAO"/>
  </r>
  <r>
    <x v="9"/>
    <s v="SETEMBRO"/>
    <s v="HSERV CLEAN"/>
    <s v="J.E. COMERCIO E SOLUCOES LTDA"/>
    <n v="-2510.4499999999998"/>
    <x v="0"/>
    <s v="MERCADORIAS PARA REVENDA"/>
  </r>
  <r>
    <x v="9"/>
    <s v="SETEMBRO"/>
    <s v="HSERV TERCEIRIZADOS"/>
    <s v="STAR CLEAN PRO INDUSTRIA E COMERCIO DE EQUIPAMENTOS DE LIMPE"/>
    <n v="-1101.8399999999999"/>
    <x v="0"/>
    <s v="CESTA BASICA"/>
  </r>
  <r>
    <x v="1"/>
    <s v="SETEMBRO"/>
    <s v="HENRIQUE JEAN"/>
    <s v="EMPORIO MEGA 100 COMERCIO DE ALIMENTOS S.A."/>
    <n v="-852.45"/>
    <x v="0"/>
    <s v="CESTA BASICA"/>
  </r>
  <r>
    <x v="1"/>
    <s v="SETEMBRO"/>
    <s v="HSERV CABREUVA"/>
    <s v="EMPORIO MEGA 100 COMERCIO DE ALIMENTOS S.A."/>
    <n v="-1549.9"/>
    <x v="0"/>
    <s v="CESTA BASICA"/>
  </r>
  <r>
    <x v="1"/>
    <s v="SETEMBRO"/>
    <s v="HSERV CLEAN"/>
    <s v="EMPORIO MEGA 100 COMERCIO DE ALIMENTOS S.A."/>
    <n v="-1007.44"/>
    <x v="0"/>
    <s v="CESTA BASICA"/>
  </r>
  <r>
    <x v="1"/>
    <s v="SETEMBRO"/>
    <s v="HSERV CLEAN"/>
    <s v="EMPORIO MEGA 100 COMERCIO DE ALIMENTOS S.A."/>
    <n v="-4882.1899999999996"/>
    <x v="0"/>
    <s v="CESTA BASICA"/>
  </r>
  <r>
    <x v="1"/>
    <s v="SETEMBRO"/>
    <s v="HSERV COMBINADOS"/>
    <s v="EMPORIO MEGA 100 COMERCIO DE ALIMENTOS S.A."/>
    <n v="-2557.34"/>
    <x v="0"/>
    <s v="CESTA BASICA"/>
  </r>
  <r>
    <x v="1"/>
    <s v="SETEMBRO"/>
    <s v="HSERV LIMPEZA"/>
    <s v="EMPORIO MEGA 100 COMERCIO DE ALIMENTOS S.A."/>
    <n v="-852.45"/>
    <x v="0"/>
    <s v="CESTA BASICA"/>
  </r>
  <r>
    <x v="1"/>
    <s v="SETEMBRO"/>
    <s v="HSERV REPRESENTACOES"/>
    <s v="EMPORIO MEGA 100 COMERCIO DE ALIMENTOS S.A."/>
    <n v="-697.46"/>
    <x v="0"/>
    <s v="CESTA BASICA"/>
  </r>
  <r>
    <x v="1"/>
    <s v="SETEMBRO"/>
    <s v="HSERV TECNOLOGIA"/>
    <s v="EMPORIO MEGA 100 COMERCIO DE ALIMENTOS S.A."/>
    <n v="-2092.37"/>
    <x v="0"/>
    <s v="CESTA BASICA"/>
  </r>
  <r>
    <x v="1"/>
    <s v="SETEMBRO"/>
    <s v="HSERV TERCEIRIZADOS"/>
    <s v="EMPORIO MEGA 100 COMERCIO DE ALIMENTOS S.A."/>
    <n v="-1084.93"/>
    <x v="0"/>
    <s v="CESTA BASICA"/>
  </r>
  <r>
    <x v="1"/>
    <s v="SETEMBRO"/>
    <s v="VITOR DUARTE"/>
    <s v="EMPORIO MEGA 100 COMERCIO DE ALIMENTOS S.A."/>
    <n v="-309.98"/>
    <x v="0"/>
    <s v="CESTA BASICA"/>
  </r>
  <r>
    <x v="1"/>
    <s v="SETEMBRO"/>
    <s v="HSERV CABREUVA"/>
    <s v="FERNANDO APARECIDO DOS SANTOS-Proc 0013031-54.2024.5.15.0018 RECLAMANTE: MANOEL ROBERTO DE SOUSA   PARCELA 3/17"/>
    <n v="-3000"/>
    <x v="0"/>
    <s v="ACORDO TRABALHISTA"/>
  </r>
  <r>
    <x v="1"/>
    <s v="SETEMBRO"/>
    <s v="VITOR DUARTE"/>
    <s v="JURANDIR BAVOSO JUNIOR- Proc 0010814-86.2024.5.15.0002 RECLAMANTE: JUAN ERICK REIS DOS SANTOS  PARCELA 3/12"/>
    <n v="-2000"/>
    <x v="0"/>
    <s v="ACORDO TRABALHISTA"/>
  </r>
  <r>
    <x v="1"/>
    <s v="SETEMBRO"/>
    <s v="HSERV CABREUVA"/>
    <s v="LUCAS LEONARDO MARQUES DE OLIVEIRA"/>
    <n v="-2000"/>
    <x v="0"/>
    <s v="ACORDO TRABALHISTA"/>
  </r>
  <r>
    <x v="1"/>
    <s v="SETEMBRO"/>
    <s v="HSERV CABREUVA"/>
    <s v="DALMAZO SOCIEDADE INDIVIDUAL DE ADVOCACIA"/>
    <n v="-1465"/>
    <x v="0"/>
    <s v="ACORDO TRABALHISTA"/>
  </r>
  <r>
    <x v="1"/>
    <s v="SETEMBRO"/>
    <s v="HSERV CABREUVA"/>
    <s v="ARAUJO E RIOS ADVOGADOS ASSOCIADOS"/>
    <n v="-3836.54"/>
    <x v="0"/>
    <s v="ACORDO TRABALHISTA"/>
  </r>
  <r>
    <x v="1"/>
    <s v="SETEMBRO"/>
    <s v="HSERV CABREUVA"/>
    <s v="TIAGO JOSE DE FREITAS OLIVEIRA"/>
    <n v="-3200"/>
    <x v="0"/>
    <s v="ACORDO TRABALHISTA"/>
  </r>
  <r>
    <x v="1"/>
    <s v="SETEMBRO"/>
    <s v="HSERV CLEAN"/>
    <s v="ANA PAULA HERKES MARTINS"/>
    <n v="-2500"/>
    <x v="0"/>
    <s v="ACORDO TRABALHISTA"/>
  </r>
  <r>
    <x v="1"/>
    <s v="SETEMBRO"/>
    <s v="HSERV LIMPEZA"/>
    <s v="JUAN PHILIPY STEPHANO AMARO SOCIEDADE INDIVIDUAL DE ADVOCACI"/>
    <n v="-1000"/>
    <x v="0"/>
    <s v="ACORDO TRABALHISTA"/>
  </r>
  <r>
    <x v="1"/>
    <s v="SETEMBRO"/>
    <s v="VITOR DUARTE"/>
    <s v="IVAN MARQUES DOS SANTOS"/>
    <n v="-2864.92"/>
    <x v="0"/>
    <s v="ACORDO TRABALHISTA"/>
  </r>
  <r>
    <x v="1"/>
    <s v="SETEMBRO"/>
    <s v="VITOR DUARTE"/>
    <s v="LUAN VIEIRA BARRETO"/>
    <n v="-1400"/>
    <x v="0"/>
    <s v="ACORDO TRABALHISTA"/>
  </r>
  <r>
    <x v="1"/>
    <s v="SETEMBRO"/>
    <s v="VITOR DUARTE"/>
    <s v="VALERIA GEOVANNA DOS SANTOS"/>
    <n v="-1916.67"/>
    <x v="0"/>
    <s v="ACORDO TRABALHISTA"/>
  </r>
  <r>
    <x v="13"/>
    <s v="OUTUBRO"/>
    <s v="HSERV CLEAN"/>
    <s v="JOSE JONAS DE ARAUJO SILVA- PROCESSO 0010137-76.2022.5.15.0018- MANOEL VICENTE  PARCELA 4/8"/>
    <n v="-3968.99"/>
    <x v="0"/>
    <s v="ACORDO TRABALHISTA"/>
  </r>
  <r>
    <x v="14"/>
    <s v="OUTUBRO"/>
    <s v="HSERV CABREUVA"/>
    <s v=" MEI"/>
    <n v="-75000"/>
    <x v="0"/>
    <s v="SALARIOS"/>
  </r>
  <r>
    <x v="7"/>
    <s v="OUTUBRO"/>
    <s v="HSERV CABREUVA"/>
    <s v=" MEI  "/>
    <n v="-17000"/>
    <x v="0"/>
    <s v="SALARIOS"/>
  </r>
  <r>
    <x v="11"/>
    <s v="OUTUBRO"/>
    <s v="VITOR DUARTE"/>
    <s v="ALTOLIM COMERCIAL ASSIS EIRELI - ME"/>
    <n v="-107.14"/>
    <x v="0"/>
    <s v="MERCADORIAS PARA REVENDA"/>
  </r>
  <r>
    <x v="11"/>
    <s v="OUTUBRO"/>
    <s v="HSERV TERCEIRIZADOS"/>
    <s v="LOTUS CENTRAL DE DISTRIBUICAO DE HIGIENICOS LTDA"/>
    <n v="-827.13995"/>
    <x v="0"/>
    <s v="MERCADORIAS PARA REVENDA"/>
  </r>
  <r>
    <x v="11"/>
    <s v="OUTUBRO"/>
    <s v="HSERV TERCEIRIZADOS ND"/>
    <s v="_x0009_ENCARGOS LIMITE DE CRED- HSERV TERCERIZADOS BRADESCO "/>
    <n v="-900"/>
    <x v="0"/>
    <s v="ENCARGOS"/>
  </r>
  <r>
    <x v="14"/>
    <s v="OUTUBRO"/>
    <s v="HSERV CABREUVA"/>
    <s v="ASSIDUIDADE"/>
    <n v="-47000"/>
    <x v="0"/>
    <s v="ASSIDUIDADE"/>
  </r>
  <r>
    <x v="0"/>
    <s v="SETEMBRO"/>
    <s v="HSERV TERCEIRIZADOS"/>
    <s v="ESCOBRAS INDUSTRIA E COMERCIO DE MAQUINAS LTDA"/>
    <n v="-1400"/>
    <x v="0"/>
    <s v="MERCADORIAS PARA REVENDA"/>
  </r>
  <r>
    <x v="0"/>
    <s v="SETEMBRO"/>
    <s v="HSERV TERCEIRIZADOS"/>
    <s v="GLOVAN CABREUVA ALUGUEL DE EQUIPAMENTOS LTDA"/>
    <n v="-35.299999999999997"/>
    <x v="0"/>
    <s v="EQUIPAMENTOS"/>
  </r>
  <r>
    <x v="0"/>
    <s v="SETEMBRO"/>
    <s v="HSERV COMBINADOS"/>
    <s v="ELAINE BARBOSA DE SOUSA"/>
    <n v="-168"/>
    <x v="0"/>
    <s v="VALE TRANSPORTE"/>
  </r>
  <r>
    <x v="0"/>
    <s v="SETEMBRO"/>
    <s v="HSERV COMBINADOS"/>
    <s v="FRANCISCO GALILEU DA COSTA SILVA"/>
    <n v="-220"/>
    <x v="0"/>
    <s v="VALE TRANSPORTE"/>
  </r>
  <r>
    <x v="0"/>
    <s v="SETEMBRO"/>
    <s v="HSERV COMBINADOS"/>
    <s v="JOAO CAETANO GUEDES"/>
    <n v="-180"/>
    <x v="0"/>
    <s v="VALE TRANSPORTE"/>
  </r>
  <r>
    <x v="0"/>
    <s v="SETEMBRO"/>
    <s v="HSERV COMBINADOS"/>
    <s v="MARLY DA SILVA"/>
    <n v="-147"/>
    <x v="0"/>
    <s v="VALE TRANSPORTE"/>
  </r>
  <r>
    <x v="0"/>
    <s v="SETEMBRO"/>
    <s v="HSERV COMBINADOS"/>
    <s v="LUANA RODRIGUES DOS REIS"/>
    <n v="-163.19999999999999"/>
    <x v="0"/>
    <s v="VALE TRANSPORTE"/>
  </r>
  <r>
    <x v="0"/>
    <s v="SETEMBRO"/>
    <s v="HSERV TERCEIRIZADOS"/>
    <s v="JOSE CICERO DOS SANTOS COSTA"/>
    <n v="-3410.83"/>
    <x v="0"/>
    <s v="RESCISÕES"/>
  </r>
  <r>
    <x v="0"/>
    <s v="SETEMBRO"/>
    <s v="VITOR DUARTE"/>
    <s v="IFOOD.COM AGENCIA DE RESTAURANTES ONLINE S.A."/>
    <n v="-290.64"/>
    <x v="0"/>
    <s v="VALE ALIMENTAÇAO"/>
  </r>
  <r>
    <x v="0"/>
    <s v="SETEMBRO"/>
    <s v="VITOR DUARTE"/>
    <s v="ELIZABETH SEMENSSATO LEITE"/>
    <n v="-1759.52"/>
    <x v="0"/>
    <s v="RESCISÕES"/>
  </r>
  <r>
    <x v="0"/>
    <s v="SETEMBRO"/>
    <s v="VITOR DUARTE"/>
    <s v="GRRF ELIZABETH SEMENSSATO LEITE"/>
    <n v="-101.87"/>
    <x v="0"/>
    <s v="RESCISÕES"/>
  </r>
  <r>
    <x v="4"/>
    <s v="SETEMBRO"/>
    <s v="HSERV CABREUVA"/>
    <s v="ASOMETRA VENCIDA 20/08/2025"/>
    <n v="-4500"/>
    <x v="0"/>
    <s v="EXAMES MEDICOS"/>
  </r>
  <r>
    <x v="15"/>
    <s v="OUTUBRO"/>
    <s v="HSERV CABREUVA"/>
    <s v="AUTO POSTO JARDIM DAS HORTENCI"/>
    <n v="-9500"/>
    <x v="0"/>
    <s v="COMBUSTIVEL E PEDAGIO"/>
  </r>
  <r>
    <x v="16"/>
    <s v="OUTUBRO"/>
    <s v="VITOR DUARTE"/>
    <s v="AVENIDA "/>
    <n v="345280"/>
    <x v="1"/>
    <s v="VENDAS DE SERVIÇOS"/>
  </r>
  <r>
    <x v="7"/>
    <s v="OUTUBRO"/>
    <s v="HSERV CABREUVA"/>
    <s v="BANCO ITAUCARD S.A.- "/>
    <n v="-3809.98"/>
    <x v="0"/>
    <s v="FINANCIAMENTO"/>
  </r>
  <r>
    <x v="14"/>
    <s v="OUTUBRO"/>
    <s v="VITOR DUARTE"/>
    <s v="BOLETO OTAVIO"/>
    <n v="-21000"/>
    <x v="0"/>
    <s v="PROLABORE"/>
  </r>
  <r>
    <x v="4"/>
    <s v="SETEMBRO"/>
    <s v="HENRIQUE JEAN"/>
    <s v="PAULO CEZAR FERREIRA DOS SANTOS-PROC 0012427-44.2024.5.15.0002 -MARIA NAZARE DA SILVA PARCELA 2/10"/>
    <n v="-1500"/>
    <x v="0"/>
    <s v="ACORDO TRABALHISTA"/>
  </r>
  <r>
    <x v="4"/>
    <s v="SETEMBRO"/>
    <s v="HSERV CABREUVA"/>
    <s v="AUREA MOSCATINI-PROC 0012313-20.2024.5.15.0095  - GABRIEL BARBOSA DOS SANTOS   PARCELA 2/5"/>
    <n v="-1000"/>
    <x v="0"/>
    <s v="ACORDO TRABALHISTA"/>
  </r>
  <r>
    <x v="4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4"/>
    <s v="SETEMBRO"/>
    <s v="HENRIQUE JEAN"/>
    <s v="FABIANA DE SOUZA CULBERT SOCIEDADE INDIVIDUAL DE ADVOCACIA- PROC 0010360-81.2025.5.15.0096PAULO EDVAN HAHNE -PARCELA 2/6"/>
    <n v="-1000"/>
    <x v="0"/>
    <s v="ACORDO TRABALHISTA"/>
  </r>
  <r>
    <x v="4"/>
    <s v="SETEMBRO"/>
    <s v="VITOR DUARTE"/>
    <s v="ALTOLIM COMERCIAL ASSIS EIRELI - ME"/>
    <n v="-136.44"/>
    <x v="0"/>
    <s v="MERCADORIAS PARA REVENDA"/>
  </r>
  <r>
    <x v="4"/>
    <s v="SETEMBRO"/>
    <s v="HSERV TERCEIRIZADOS"/>
    <s v="STAR CLEAN PRO INDUSTRIA E COMERCIO DE EQUIPAMENTOS DE LIMPE - FMD FUNDO DE INVESTIMENTO EM DIREITOS CREDITORIOS"/>
    <n v="-1101.8399999999999"/>
    <x v="0"/>
    <s v="MERCADORIAS PARA REVENDA"/>
  </r>
  <r>
    <x v="4"/>
    <s v="SETEMBRO"/>
    <s v="HSERV CLEAN"/>
    <s v="J.E. COMERCIO E SOLUCOES LTDA"/>
    <n v="-2510.4499999999998"/>
    <x v="0"/>
    <s v="MERCADORIAS PARA REVENDA"/>
  </r>
  <r>
    <x v="4"/>
    <s v="SETEMBRO"/>
    <s v="HSERV TERCEIRIZADOS"/>
    <s v="PAROLAR DIST DE UTENSILIOS DOMESTICOS LTDA"/>
    <n v="-354.28"/>
    <x v="0"/>
    <s v="MERCADORIAS PARA REVENDA"/>
  </r>
  <r>
    <x v="4"/>
    <s v="SETEMBRO"/>
    <s v="HSERV COMBINADOS"/>
    <s v="GISELE RODRIGUES DOS SANTOS"/>
    <n v="-61.28"/>
    <x v="0"/>
    <s v="MERCADORIAS PARA REVENDA"/>
  </r>
  <r>
    <x v="4"/>
    <s v="SETEMBRO"/>
    <s v="HSERV CABREUVA"/>
    <s v="BRADESCO -RENEGOCIAÇÃO DO EMPRESTIMO"/>
    <n v="-35714.57"/>
    <x v="0"/>
    <s v="EMPRESTIMO "/>
  </r>
  <r>
    <x v="15"/>
    <s v="OUTUBRO"/>
    <s v="HSERV CABREUVA"/>
    <s v="BRADESCO SEGUROS - QUY9F13- DEBITO AUTOMATICO HSERV CABREUVA BRADESCO"/>
    <n v="-545.78"/>
    <x v="0"/>
    <s v="SEGUROS EM GERAL"/>
  </r>
  <r>
    <x v="15"/>
    <s v="OUTUBRO"/>
    <s v="HSERV COMBINADOS "/>
    <s v="BRASIL MEDICINE - PROVISÃO "/>
    <n v="-9000"/>
    <x v="0"/>
    <s v="SINDICATO"/>
  </r>
  <r>
    <x v="13"/>
    <s v="OUTUBRO"/>
    <s v="HSERV COMBINADOS "/>
    <s v="CAIXINHA OPERACIONAL "/>
    <n v="-1500"/>
    <x v="0"/>
    <s v="CAIXINHA"/>
  </r>
  <r>
    <x v="13"/>
    <s v="OUTUBRO"/>
    <s v="HSERV COMBINADOS "/>
    <s v="CAIXINHA OPERACIONAL - OSSIRES"/>
    <n v="-1500"/>
    <x v="0"/>
    <s v="CAIXINHA"/>
  </r>
  <r>
    <x v="14"/>
    <s v="OUTUBRO"/>
    <s v="HENRIQUE JEAN"/>
    <s v="CARTÃO DE CREDITO"/>
    <n v="-2302.0500000000002"/>
    <x v="0"/>
    <s v="CARTÃO DE CREDITO"/>
  </r>
  <r>
    <x v="14"/>
    <s v="OUTUBRO"/>
    <s v="HSERV COMBINADOS"/>
    <s v="CARTÃO DE CREDITO"/>
    <n v="-1248.99"/>
    <x v="0"/>
    <s v="CARTÃO DE CREDITO"/>
  </r>
  <r>
    <x v="14"/>
    <s v="OUTUBRO"/>
    <s v="VITOR DUARTE"/>
    <s v="CARTAO DE CRÉDITO- VITOR"/>
    <n v="-12000"/>
    <x v="0"/>
    <s v="CARTÃO DE CREDITO"/>
  </r>
  <r>
    <x v="15"/>
    <s v="OUTUBRO"/>
    <s v="HENRIQUE JEAN"/>
    <s v="CARTÃO VITOR"/>
    <n v="-9000"/>
    <x v="0"/>
    <s v="PROLABORE"/>
  </r>
  <r>
    <x v="14"/>
    <s v="OUTUBRO"/>
    <s v="HENRIQUE JEAN ND"/>
    <s v="CELIO ROBERTO"/>
    <n v="-877.96"/>
    <x v="0"/>
    <s v="RESERVA"/>
  </r>
  <r>
    <x v="7"/>
    <s v="OUTUBRO"/>
    <s v="HENRIQUE JEAN"/>
    <s v="CONDOMINIO NEX ONE CONSOLAÇÃO BELAS ARTES- ROBOTTON"/>
    <n v="-760"/>
    <x v="0"/>
    <s v="RESERVA"/>
  </r>
  <r>
    <x v="6"/>
    <s v="OUTUBRO"/>
    <s v="CABREUVA"/>
    <s v="CONDOMINIO PALAZZO VENEZA"/>
    <n v="4880.1400000000003"/>
    <x v="1"/>
    <s v="VENDAS DE SERVIÇOS"/>
  </r>
  <r>
    <x v="7"/>
    <s v="OUTUBRO"/>
    <s v="HSERV CABREUVA "/>
    <s v="CREDIFIT"/>
    <n v="-3000"/>
    <x v="0"/>
    <s v="CONSIGNADO"/>
  </r>
  <r>
    <x v="6"/>
    <s v="OUTUBRO"/>
    <s v="VITOR"/>
    <s v="DEPOSITO SANTA CATARINA LTDA"/>
    <n v="257.81"/>
    <x v="1"/>
    <s v="VENDAS DE SERVIÇOS"/>
  </r>
  <r>
    <x v="13"/>
    <s v="OUTUBRO"/>
    <s v="LIMPEZA"/>
    <s v="EDMAR APARECIDO MARTINEZ"/>
    <n v="799.2"/>
    <x v="1"/>
    <s v="VENDAS DE SERVIÇOS"/>
  </r>
  <r>
    <x v="13"/>
    <s v="OUTUBRO"/>
    <s v="LIMPEZA"/>
    <s v="EDMAR APARECIDO MARTINEZ"/>
    <n v="18532.8"/>
    <x v="1"/>
    <s v="VENDAS DE SERVIÇOS"/>
  </r>
  <r>
    <x v="13"/>
    <s v="OUTUBRO"/>
    <s v="HSERV CABREUVA"/>
    <s v="ELEKTRO LOJA CLEAN"/>
    <n v="-201"/>
    <x v="0"/>
    <s v="ENERGIA ELETRICA"/>
  </r>
  <r>
    <x v="13"/>
    <s v="OUTUBRO"/>
    <s v="HSERV CABREUVA"/>
    <s v="ELEKTRO SALA 16"/>
    <n v="-650"/>
    <x v="0"/>
    <s v="ENERGIA ELETRICA"/>
  </r>
  <r>
    <x v="13"/>
    <s v="OUTUBRO"/>
    <s v="HSERV CABREUVA"/>
    <s v="ELEKTRO SALA 17"/>
    <n v="-320"/>
    <x v="0"/>
    <s v="ENERGIA ELETRICA"/>
  </r>
  <r>
    <x v="13"/>
    <s v="OUTUBRO"/>
    <s v="HSERV CABREUVA"/>
    <s v="ELEKTRO SALA 18"/>
    <n v="-350"/>
    <x v="0"/>
    <s v="ENERGIA ELETRICA"/>
  </r>
  <r>
    <x v="14"/>
    <s v="OUTUBRO"/>
    <s v="HSERV CLEAN"/>
    <s v="EMPRESTIMO HSERV CLEAN BRADESCO -PARCELA MENSAL"/>
    <n v="-5523.75"/>
    <x v="0"/>
    <s v="EMPRESTIMO "/>
  </r>
  <r>
    <x v="14"/>
    <s v="OUTUBRO"/>
    <s v="HSERV COMBINADOS "/>
    <s v="ESTER CARDOZO"/>
    <n v="-1375"/>
    <x v="0"/>
    <s v="SALARIOS"/>
  </r>
  <r>
    <x v="7"/>
    <s v="OUTUBRO"/>
    <s v="HSERV CABREUVA"/>
    <s v="ESTER CARDOZO DE LIMA "/>
    <n v="-500"/>
    <x v="0"/>
    <s v="SALARIOS"/>
  </r>
  <r>
    <x v="14"/>
    <s v="OUTUBRO"/>
    <s v="VITOR DUARTE"/>
    <s v="FABIOLA FARIAS FELIX"/>
    <n v="-145"/>
    <x v="0"/>
    <s v="CESTA BASICA"/>
  </r>
  <r>
    <x v="15"/>
    <s v="OUTUBRO"/>
    <s v="HENRIQUE JEAN ND"/>
    <s v="FIT ADM (VIDA NOVA) 34-07"/>
    <n v="-432"/>
    <x v="0"/>
    <s v="RESERVA"/>
  </r>
  <r>
    <x v="15"/>
    <s v="OUTUBRO"/>
    <s v="HSERV COMBINADOS "/>
    <s v="FT 2 QUINZENA"/>
    <n v="-50000"/>
    <x v="0"/>
    <s v="FT"/>
  </r>
  <r>
    <x v="7"/>
    <s v="OUTUBRO"/>
    <s v="HSERV COMBINADOS "/>
    <s v="FT ASSIS E REGIÃO- "/>
    <n v="-7000"/>
    <x v="0"/>
    <s v="FT"/>
  </r>
  <r>
    <x v="6"/>
    <s v="OUTUBRO"/>
    <s v="VITOR"/>
    <s v="GIFEL"/>
    <n v="680.03"/>
    <x v="1"/>
    <s v="VENDAS DE SERVIÇOS"/>
  </r>
  <r>
    <x v="6"/>
    <s v="OUTUBRO"/>
    <s v="LIMPEZA"/>
    <s v="IMPROVEMENT FIT ACADEMIA LTDA"/>
    <n v="7850"/>
    <x v="1"/>
    <s v="VENDAS DE SERVIÇOS"/>
  </r>
  <r>
    <x v="13"/>
    <s v="OUTUBRO"/>
    <s v="TECNOLOGIA"/>
    <s v="INTERBRILHO HIGIENE E LIMPEZA LTDA"/>
    <n v="23638.67"/>
    <x v="1"/>
    <s v="VENDAS DE SERVIÇOS"/>
  </r>
  <r>
    <x v="15"/>
    <s v="OUTUBRO"/>
    <s v="HSERV CLEAN"/>
    <s v="INTERMEDICA"/>
    <n v="-9146.82"/>
    <x v="0"/>
    <s v="CONVENIO MEDICO"/>
  </r>
  <r>
    <x v="15"/>
    <s v="OUTUBRO"/>
    <s v="HSERV COMBINADOS "/>
    <s v="JAIR RÉ"/>
    <n v="-1000"/>
    <x v="0"/>
    <s v="COMISSOES"/>
  </r>
  <r>
    <x v="15"/>
    <s v="OUTUBRO"/>
    <s v="HSERV COMBINADOS "/>
    <s v="JHONNY WALACE"/>
    <n v="-1000"/>
    <x v="0"/>
    <s v="COMISSOES"/>
  </r>
  <r>
    <x v="15"/>
    <s v="OUTUBRO"/>
    <s v="VITOR DUARTE"/>
    <s v="MARCASA-SEGURANÇA VEPAKUM"/>
    <n v="-10500"/>
    <x v="0"/>
    <s v="SEGURANÇAS"/>
  </r>
  <r>
    <x v="6"/>
    <s v="OUTUBRO"/>
    <s v="HSERV CLEAN"/>
    <s v="SPARTAN DO BRASIL PRODUTOS QUIMICOS LTDA"/>
    <n v="-2808.81"/>
    <x v="0"/>
    <s v="MERCADORIA PARA REVENDA"/>
  </r>
  <r>
    <x v="6"/>
    <s v="OUTUBRO"/>
    <s v="HSERV CLEAN"/>
    <s v="SOFT WORKS EPI CALCADOS LTDA"/>
    <n v="-832.4"/>
    <x v="0"/>
    <s v="UNIFORMES "/>
  </r>
  <r>
    <x v="15"/>
    <s v="OUTUBRO"/>
    <s v="HSERV TERCEIRIZADOS"/>
    <s v="MOVIDA PARTICIPACOES S.A.-"/>
    <n v="-4347.01"/>
    <x v="0"/>
    <s v="ALUGUEL DE VEICULOS"/>
  </r>
  <r>
    <x v="15"/>
    <s v="OUTUBRO"/>
    <s v="HSERV TERCEIRIZADOS"/>
    <s v="MOVIDA PARTICIPACOES S.A.-"/>
    <n v="-2173.96"/>
    <x v="0"/>
    <s v="ALUGUEL DE VEICULOS"/>
  </r>
  <r>
    <x v="14"/>
    <s v="OUTUBRO"/>
    <s v="HSERV TECNOLOGIA"/>
    <s v="OMIEXPERIENCE LTDA."/>
    <n v="-244.5"/>
    <x v="0"/>
    <s v="SISTEMA"/>
  </r>
  <r>
    <x v="14"/>
    <s v="OUTUBRO"/>
    <s v="HSERV REPRESENTACOES"/>
    <s v="OMIEXPERIENCE LTDA."/>
    <n v="-300"/>
    <x v="0"/>
    <s v="SISTEMA"/>
  </r>
  <r>
    <x v="14"/>
    <s v="OUTUBRO"/>
    <s v="HSERV CABREUVA "/>
    <s v="OMIEXPERIENCE LTDA."/>
    <n v="-300"/>
    <x v="0"/>
    <s v="SISTEMA"/>
  </r>
  <r>
    <x v="14"/>
    <s v="OUTUBRO"/>
    <s v="HSERV  COMBINADOS"/>
    <s v="OMIEXPERIENCE LTDA."/>
    <n v="-300"/>
    <x v="0"/>
    <s v="SISTEMA"/>
  </r>
  <r>
    <x v="14"/>
    <s v="OUTUBRO"/>
    <s v="HENRIQUE JEAN DUARTE "/>
    <s v="OMIEXPERIENCE LTDA."/>
    <n v="-275"/>
    <x v="0"/>
    <s v="SISTEMA"/>
  </r>
  <r>
    <x v="14"/>
    <s v="OUTUBRO"/>
    <s v="HSERV TERCEIRIZADOS"/>
    <s v="OMIEXPERIENCE LTDA."/>
    <n v="-300"/>
    <x v="0"/>
    <s v="SISTEMA"/>
  </r>
  <r>
    <x v="14"/>
    <s v="OUTUBRO"/>
    <s v="HSERV  LIMPEZA "/>
    <s v="OMIEXPERIENCE LTDA."/>
    <n v="-300"/>
    <x v="0"/>
    <s v="SISTEMA"/>
  </r>
  <r>
    <x v="14"/>
    <s v="OUTUBRO"/>
    <s v="VITOR  DUARTE "/>
    <s v="OMIEXPERIENCE LTDA."/>
    <n v="-350"/>
    <x v="0"/>
    <s v="SISTEMA"/>
  </r>
  <r>
    <x v="14"/>
    <s v="OUTUBRO"/>
    <s v="HSER CLEAN"/>
    <s v="OMIEXPERIENCE LTDA."/>
    <n v="-373.51"/>
    <x v="0"/>
    <s v="SISTEMA"/>
  </r>
  <r>
    <x v="15"/>
    <s v="OUTUBRO"/>
    <s v="HSERV TECNOLOGIA"/>
    <s v="PAPEL E CIA"/>
    <n v="-700"/>
    <x v="0"/>
    <s v="MATERIAL DE ESCRITÓRIO"/>
  </r>
  <r>
    <x v="15"/>
    <s v="OUTUBRO"/>
    <s v="HENRIQUE JEAN"/>
    <s v="PROLABORE SOCIOS CRISTIANE-MARIA JOSE, GUTHIERRI"/>
    <n v="-3000"/>
    <x v="0"/>
    <s v="PROLABORE"/>
  </r>
  <r>
    <x v="6"/>
    <s v="OUTUBRO"/>
    <s v="CLEAN"/>
    <s v="RICARO"/>
    <n v="24988.71"/>
    <x v="1"/>
    <s v="VENDAS DE SERVIÇOS"/>
  </r>
  <r>
    <x v="6"/>
    <s v="OUTUBRO"/>
    <s v="CLEAN"/>
    <s v="RICARO"/>
    <n v="16834.330000000002"/>
    <x v="1"/>
    <s v="VENDAS DE SERVIÇOS"/>
  </r>
  <r>
    <x v="6"/>
    <s v="OUTUBRO"/>
    <s v="CLEAN"/>
    <s v="RICARO"/>
    <n v="268.13"/>
    <x v="1"/>
    <s v="VENDAS DE SERVIÇOS"/>
  </r>
  <r>
    <x v="15"/>
    <s v="OUTUBRO"/>
    <s v="VITOR  DUARTE"/>
    <s v="RONDAWEB CONEXOES LTDA"/>
    <n v="-395.73"/>
    <x v="0"/>
    <s v="SISTEMA"/>
  </r>
  <r>
    <x v="7"/>
    <s v="OUTUBRO"/>
    <s v="HSERV CABREUVA"/>
    <s v="SALARIO CLT, PENSÃO ALIMENTICIA, BONUS-"/>
    <n v="-483000"/>
    <x v="0"/>
    <s v="SALARIOS"/>
  </r>
  <r>
    <x v="14"/>
    <s v="OUTUBRO"/>
    <s v="HSERV CABREUVA"/>
    <s v="SEM PARAR- "/>
    <n v="-6500"/>
    <x v="0"/>
    <s v="COMBUSTIVEL E PEDAGIO"/>
  </r>
  <r>
    <x v="15"/>
    <s v="OUTUBRO"/>
    <s v="HSERV CABREUVA"/>
    <s v="SERGIO LUIZ BERTOLO"/>
    <n v="-290"/>
    <x v="0"/>
    <s v="ALUGUEL DE IMOVEIS"/>
  </r>
  <r>
    <x v="17"/>
    <s v="OUTUBRO"/>
    <s v="HSERV CABREUVA"/>
    <s v="SICOOB HSERV CABREUVA NEGOCIAÇÃO CHEQUE ESPECIAL "/>
    <n v="-2012.45"/>
    <x v="0"/>
    <s v="EMPRESTIMO "/>
  </r>
  <r>
    <x v="7"/>
    <s v="OUTUBRO"/>
    <s v="HSERV CABREUVA"/>
    <s v="TAR PLANO ADAPT 3 05/24"/>
    <n v="-349"/>
    <x v="0"/>
    <s v="TARIFA BANCARIA"/>
  </r>
  <r>
    <x v="7"/>
    <s v="OUTUBRO"/>
    <s v="HSERV TERCERIZADOS"/>
    <s v="TAR PLANO ADAPT 3 05/24"/>
    <n v="-389"/>
    <x v="0"/>
    <s v="TARIFA BANCARIA"/>
  </r>
  <r>
    <x v="7"/>
    <s v="OUTUBRO"/>
    <s v="HSERV COMBINADOS"/>
    <s v="TAR PLANO ADAPT 3 05/24"/>
    <n v="-349"/>
    <x v="0"/>
    <s v="TARIFA BANCARIA"/>
  </r>
  <r>
    <x v="7"/>
    <s v="OUTUBRO"/>
    <s v="HENRIQUE JEAN"/>
    <s v="TAR PLANO ADAPT 3 05/24"/>
    <n v="-349"/>
    <x v="0"/>
    <s v="TARIFA BANCARIA"/>
  </r>
  <r>
    <x v="7"/>
    <s v="OUTUBRO"/>
    <s v="HSERV TECNOLOGIA"/>
    <s v="TAR PLANO ADAPT 3 05/24"/>
    <n v="-389"/>
    <x v="0"/>
    <s v="TARIFA BANCARIA"/>
  </r>
  <r>
    <x v="7"/>
    <s v="OUTUBRO"/>
    <s v="HSERV LIMPEZA"/>
    <s v="TAR PLANO ADAPT 3 05/24"/>
    <n v="-389"/>
    <x v="0"/>
    <s v="TARIFA BANCARIA"/>
  </r>
  <r>
    <x v="7"/>
    <s v="OUTUBRO"/>
    <s v="HSERV REPRESENTAÇÃO"/>
    <s v="TAR PLANO ADAPT 3 05/24"/>
    <n v="-389"/>
    <x v="0"/>
    <s v="TARIFA BANCARIA"/>
  </r>
  <r>
    <x v="14"/>
    <s v="OUTUBRO"/>
    <s v="HSERV CABREUVA"/>
    <s v="TARIFA MAX EMPRESARIAL"/>
    <n v="-171.1"/>
    <x v="0"/>
    <s v="TARIFA BANCARIA"/>
  </r>
  <r>
    <x v="14"/>
    <s v="OUTUBRO"/>
    <s v="HSERV CLEAN"/>
    <s v="TARIFA MAX EMPRESARIAL"/>
    <n v="-171.1"/>
    <x v="0"/>
    <s v="TARIFA BANCARIA"/>
  </r>
  <r>
    <x v="14"/>
    <s v="OUTUBRO"/>
    <s v="HSERV COMBINADOS "/>
    <s v="TARIFA MAX EMPRESARIAL"/>
    <n v="-171.1"/>
    <x v="0"/>
    <s v="TARIFA BANCARIA"/>
  </r>
  <r>
    <x v="14"/>
    <s v="OUTUBRO"/>
    <s v="HSERV COMBINADOS  ND"/>
    <s v="TARIFA MAX EMPRESARIAL"/>
    <n v="-171.1"/>
    <x v="0"/>
    <s v="TARIFA BANCARIA"/>
  </r>
  <r>
    <x v="14"/>
    <s v="OUTUBRO"/>
    <s v="HENRIQUE JEAN"/>
    <s v="TARIFA MAX EMPRESARIAL"/>
    <n v="-171.1"/>
    <x v="0"/>
    <s v="TARIFA BANCARIA"/>
  </r>
  <r>
    <x v="14"/>
    <s v="OUTUBRO"/>
    <s v="HENRIQUE JEAN ND"/>
    <s v="TARIFA MAX EMPRESARIAL"/>
    <n v="-171.1"/>
    <x v="0"/>
    <s v="TARIFA BANCARIA"/>
  </r>
  <r>
    <x v="14"/>
    <s v="OUTUBRO"/>
    <s v="VITOR DUARTE"/>
    <s v="TARIFA MAX EMPRESARIAL"/>
    <n v="-171.1"/>
    <x v="0"/>
    <s v="TARIFA BANCARIA"/>
  </r>
  <r>
    <x v="14"/>
    <s v="OUTUBRO"/>
    <s v="VITOR DUARTE ND"/>
    <s v="TARIFA MAX EMPRESARIAL"/>
    <n v="-171.1"/>
    <x v="0"/>
    <s v="TARIFA BANCARIA"/>
  </r>
  <r>
    <x v="14"/>
    <s v="OUTUBRO"/>
    <s v="HSERV TERCERIZADOS"/>
    <s v="TARIFA MAX EMPRESARIAL"/>
    <n v="-171.1"/>
    <x v="0"/>
    <s v="TARIFA BANCARIA"/>
  </r>
  <r>
    <x v="14"/>
    <s v="OUTUBRO"/>
    <s v="HSERV TERCERIZADOS ND"/>
    <s v="TARIFA MAX EMPRESARIAL"/>
    <n v="-171.1"/>
    <x v="0"/>
    <s v="TARIFA BANCARIA"/>
  </r>
  <r>
    <x v="14"/>
    <s v="OUTUBRO"/>
    <s v="HSERV LIMPEZA"/>
    <s v="TARIFA MAX EMPRESARIAL"/>
    <n v="-171.1"/>
    <x v="0"/>
    <s v="TARIFA BANCARIA"/>
  </r>
  <r>
    <x v="14"/>
    <s v="OUTUBRO"/>
    <s v="HSERV LIMPEZA ND"/>
    <s v="TARIFA MAX EMPRESARIAL"/>
    <n v="-171.1"/>
    <x v="0"/>
    <s v="TARIFA BANCARIA"/>
  </r>
  <r>
    <x v="14"/>
    <s v="OUTUBRO"/>
    <s v="HSERV TECNOLOGIA"/>
    <s v="TARIFA MAX EMPRESARIAL"/>
    <n v="-171.1"/>
    <x v="0"/>
    <s v="TARIFA BANCARIA"/>
  </r>
  <r>
    <x v="14"/>
    <s v="OUTUBRO"/>
    <s v="HSERV REPRESENTAÇÃO"/>
    <s v="TARIFA MAX EMPRESARIAL"/>
    <n v="-171.1"/>
    <x v="0"/>
    <s v="TARIFA BANCARIA"/>
  </r>
  <r>
    <x v="13"/>
    <s v="OUTUBRO"/>
    <s v="COMBINADOS"/>
    <s v="TECNIPLAS EQUIPAMENTOS EM COMPOSITOS EIR"/>
    <n v="22451.91"/>
    <x v="1"/>
    <s v="VENDAS DE SERVIÇOS"/>
  </r>
  <r>
    <x v="15"/>
    <s v="OUTUBRO"/>
    <s v="CABREUVA"/>
    <s v="TED 422.0115.KYN C V A L"/>
    <n v="11000"/>
    <x v="1"/>
    <s v="VENDAS DE SERVIÇOS"/>
  </r>
  <r>
    <x v="6"/>
    <s v="OUTUBRO"/>
    <s v="REPRESENTAÇÃO"/>
    <s v="TTB INDUSTRIA E COMERCIO DE PRODUTOS MET"/>
    <n v="603.26"/>
    <x v="1"/>
    <s v="VENDAS DE SERVIÇOS"/>
  </r>
  <r>
    <x v="6"/>
    <s v="OUTUBRO"/>
    <s v="REPRESENTAÇÃO"/>
    <s v="TTB INDUSTRIA E COMERCIO DE PRODUTOS MET"/>
    <n v="1106.1400000000001"/>
    <x v="1"/>
    <s v="VENDAS DE SERVIÇOS"/>
  </r>
  <r>
    <x v="6"/>
    <s v="OUTUBRO"/>
    <s v="REPRESENTAÇÃO"/>
    <s v="TTB INDUSTRIA E COMERCIO DE PRODUTOS MET"/>
    <n v="9631"/>
    <x v="1"/>
    <s v="VENDAS DE SERVIÇOS"/>
  </r>
  <r>
    <x v="14"/>
    <s v="OUTUBRO"/>
    <s v="HSERV COMBINADOS"/>
    <s v="JHONY WALLACE GOMES DE OLIVEIRA"/>
    <n v="-1139.25"/>
    <x v="0"/>
    <s v="BONIFICAÇÕES"/>
  </r>
  <r>
    <x v="14"/>
    <s v="OUTUBRO"/>
    <s v="HSERV CABREUVA"/>
    <s v="VALE ALIMENTAÇÃO MENSAL -"/>
    <n v="-91000"/>
    <x v="0"/>
    <s v="VALE ALIMENTAÇÃO"/>
  </r>
  <r>
    <x v="14"/>
    <s v="OUTUBRO"/>
    <s v="HSERV CABREUVA"/>
    <s v="VALE COMBUSTIVEL-2 QUINZENA DE JANEIRO"/>
    <n v="-8000"/>
    <x v="0"/>
    <s v="VALE COMBUSTIVEL"/>
  </r>
  <r>
    <x v="7"/>
    <s v="OUTUBRO"/>
    <s v="HSERV CLEAN"/>
    <s v="J.E. COMERCIO E SOLUCOES LTDA"/>
    <n v="-2510.44"/>
    <x v="0"/>
    <s v="MERCADORIAS PARA REVENDA"/>
  </r>
  <r>
    <x v="7"/>
    <s v="OUTUBRO"/>
    <s v="HSERV TERCEIRIZADOS"/>
    <s v="FLORA DISTRIB PROD DE HIGIENE E LIMPEZA LTDA"/>
    <n v="-725.7"/>
    <x v="0"/>
    <s v="MERCADORIAS PARA REVENDA"/>
  </r>
  <r>
    <x v="7"/>
    <s v="OUTUBRO"/>
    <s v="HSERV TERCEIRIZADOS"/>
    <s v="STAR CLEAN PRO INDUSTRIA E COMERCIO DE EQUIPAMENTOS DE LIMPE"/>
    <n v="-1101.8399999999999"/>
    <x v="0"/>
    <s v="MERCADORIAS PARA REVENDA"/>
  </r>
  <r>
    <x v="7"/>
    <s v="OUTUBRO"/>
    <s v="VITOR DUARTE"/>
    <s v="ALTOLIM COMERCIAL ASSIS EIRELI - ME"/>
    <n v="-59.35"/>
    <x v="0"/>
    <s v="MERCADORIAS PARA REVENDA"/>
  </r>
  <r>
    <x v="7"/>
    <s v="OUTUBRO"/>
    <s v=" HSERV CABREUVA"/>
    <s v="VALE TRANSPORTE "/>
    <n v="-5000"/>
    <x v="0"/>
    <s v="VALE TRANSPORTE"/>
  </r>
  <r>
    <x v="14"/>
    <s v="OUTUBRO"/>
    <s v=" HSERV CABREUVA"/>
    <s v="VALE TRANSPORTE BASE"/>
    <n v="-10000"/>
    <x v="0"/>
    <s v="VALE TRANSPORTE"/>
  </r>
  <r>
    <x v="13"/>
    <s v="OUTUBRO"/>
    <s v="REPRESENTAÇÃO"/>
    <s v="VETTOR TORRES DE RESFRIAMENTO LTDA"/>
    <n v="14482.07"/>
    <x v="1"/>
    <s v="VENDAS DE SERVIÇOS"/>
  </r>
  <r>
    <x v="13"/>
    <s v="OUTUBRO"/>
    <s v="REPRESENTAÇÃO"/>
    <s v="VETTOR TORRES DE RESFRIAMENTO LTDA"/>
    <n v="23943.3"/>
    <x v="1"/>
    <s v="VENDAS DE SERVIÇOS"/>
  </r>
  <r>
    <x v="13"/>
    <s v="OUTUBRO"/>
    <s v="REPRESENTAÇÃO"/>
    <s v="VETTOR TORRES DE RESFRIAMENTO LTDA"/>
    <n v="21852.37"/>
    <x v="1"/>
    <s v="VENDAS DE SERVIÇOS"/>
  </r>
  <r>
    <x v="13"/>
    <s v="OUTUBRO"/>
    <s v="REPRESENTAÇÃO"/>
    <s v="VETTOR TORRES DE RESFRIAMENTO LTDA"/>
    <n v="4683.53"/>
    <x v="1"/>
    <s v="VENDAS DE SERVIÇOS"/>
  </r>
  <r>
    <x v="16"/>
    <s v="OUTUBRO"/>
    <s v="HSERV CLEAN"/>
    <s v="SPARTAN DO BRASIL PRODUTOS QUIMICOS LTDA"/>
    <n v="-2045.3"/>
    <x v="0"/>
    <s v="MERCADORIAS PARA REVENDA"/>
  </r>
  <r>
    <x v="16"/>
    <s v="OUTUBRO"/>
    <s v="VITOR DUARTE"/>
    <s v="INFOJOBS BRASIL ATIVIDADES DE INTERNET LTDA."/>
    <n v="-1846.33"/>
    <x v="0"/>
    <s v="RECRUTAMENTO E SELEÇÃO"/>
  </r>
  <r>
    <x v="16"/>
    <s v="OUTUBRO"/>
    <s v="HSERV CABREUVA"/>
    <s v="ALINE CAMOLEZ SOARES ISCARO-RENAN GUSTAVO DA COSTA MOTA - Proc 0011848-82.2023.5.15.0018  PARCELA 1/9"/>
    <n v="-2000"/>
    <x v="0"/>
    <s v="ACORDO TRABALHISTA"/>
  </r>
  <r>
    <x v="13"/>
    <s v="OUTUBRO"/>
    <s v="REPRESENTAÇÃO"/>
    <s v="VETTOR TORRES DE RESFRIAMENTO LTDA"/>
    <n v="196"/>
    <x v="1"/>
    <s v="VENDAS DE SERVIÇOS"/>
  </r>
  <r>
    <x v="16"/>
    <s v="OUTUBRO"/>
    <s v="VITOR DUARTE"/>
    <s v="VIVA FOOD R E LTDA"/>
    <n v="-17235"/>
    <x v="0"/>
    <s v="VALE ALIMENTAÇÃO"/>
  </r>
  <r>
    <x v="15"/>
    <s v="OUTUBRO"/>
    <s v="HSERV COMBINADOS"/>
    <s v="GRRF WELLINGTON DE SOUZA FONCECA"/>
    <n v="-2365.2199999999998"/>
    <x v="0"/>
    <s v="RESCISÕES"/>
  </r>
  <r>
    <x v="15"/>
    <s v="OUTUBRO"/>
    <s v="HSERV COMBINADOS"/>
    <s v="WELLINGTON DE SOUZA FONCECA"/>
    <n v="-6999.49"/>
    <x v="0"/>
    <s v="RESCISÕES"/>
  </r>
  <r>
    <x v="15"/>
    <s v="OUTUBRO"/>
    <s v="HSERV COMBINADOS"/>
    <s v="WELLINGTON DE SOUZA FONCECA-FGTS EM ATRASO"/>
    <n v="-1986"/>
    <x v="0"/>
    <s v="IMPOSTO"/>
  </r>
  <r>
    <x v="15"/>
    <s v="OUTUBRO"/>
    <s v="HSERV TECNOLOGIA"/>
    <s v="LUCIANO FERREIRA DOS SANTOS"/>
    <n v="-7009.1"/>
    <x v="0"/>
    <s v="RESCISÕES"/>
  </r>
  <r>
    <x v="15"/>
    <s v="OUTUBRO"/>
    <s v="HSERV TECNOLOGIA"/>
    <s v="GRRF LUCIANO FERREIRA DOS SANTOS"/>
    <n v="-1321.77"/>
    <x v="0"/>
    <s v="RESCISÕES"/>
  </r>
  <r>
    <x v="15"/>
    <s v="OUTUBRO"/>
    <s v="VITOR DUARTE"/>
    <s v="ALTOLIM COMERCIAL ASSIS EIRELI - ME"/>
    <n v="-81.635803999999993"/>
    <x v="0"/>
    <s v="UNIFORMES "/>
  </r>
  <r>
    <x v="15"/>
    <s v="OUTUBRO"/>
    <s v="VITOR DUARTE"/>
    <s v="ALTOLIM COMERCIAL ASSIS EIRELI - ME"/>
    <n v="-97.33"/>
    <x v="0"/>
    <s v="UNIFORMES "/>
  </r>
  <r>
    <x v="15"/>
    <s v="OUTUBRO"/>
    <s v="VITOR DUARTE"/>
    <s v="ALTOLIM COMERCIAL ASSIS EIRELI - ME"/>
    <n v="-15.694193"/>
    <x v="0"/>
    <s v="UNIFORMES "/>
  </r>
  <r>
    <x v="15"/>
    <s v="OUTUBRO"/>
    <s v="VITOR DUARTE"/>
    <s v="VIVA FOOD R E LTDA"/>
    <n v="-17235"/>
    <x v="0"/>
    <s v="VALE ALIMENTAÇÃO"/>
  </r>
  <r>
    <x v="15"/>
    <s v="OUTUBRO"/>
    <s v="HENRIQUE JEAN"/>
    <s v="SANTOS SEPULVEDA SOCIEDADE INDIVIDUAL DE ADVOCACIA- - PROC 0010895-75.2023.5.15.009-AMANDA BRITO SANTOS PARCELA 6/16"/>
    <n v="-1000"/>
    <x v="0"/>
    <s v="ACORDO TRABALHISTA"/>
  </r>
  <r>
    <x v="14"/>
    <s v="OUTUBRO"/>
    <s v="HSERV TERCERIZADOS"/>
    <s v="PREFEITURA M DE CABREUVA-ATRASADA"/>
    <n v="15077.75"/>
    <x v="1"/>
    <s v="VENDAS DE SERVIÇOS"/>
  </r>
  <r>
    <x v="14"/>
    <s v="OUTUBRO"/>
    <s v="HSERV TERCERIZADOS"/>
    <s v="PREFEITURA M DE CABREUVA-SETEMBRO"/>
    <n v="15077.75"/>
    <x v="1"/>
    <s v="VENDAS DE SERVIÇOS"/>
  </r>
  <r>
    <x v="14"/>
    <s v="OUTUBRO"/>
    <s v="HSERV CABREUVA"/>
    <s v="ZAMBONI, SOUSA, CARVALHO &amp; MARIANO --PROC 0012075-66.2022.5.15.0096 -CLAUDIA ARAUJO DOS SANTOS-PARCELA 5/6"/>
    <n v="-10000"/>
    <x v="0"/>
    <s v="ACORDO TRABALHISTA"/>
  </r>
  <r>
    <x v="18"/>
    <s v="OUTUBRO"/>
    <s v="HSERV CLEAN"/>
    <s v="SPARTAN DO BRASIL PRODUTOS QUIMICOS LTDA"/>
    <n v="-4484.6899999999996"/>
    <x v="0"/>
    <s v="MERCADORIAS PARA REVENDA"/>
  </r>
  <r>
    <x v="18"/>
    <s v="OUTUBRO"/>
    <s v="HSERV CLEAN"/>
    <s v="RSC COM. MAT.P/ CONSTRUCAO LTDA."/>
    <n v="-139.53"/>
    <x v="0"/>
    <s v="MANUTENÇÃO "/>
  </r>
  <r>
    <x v="18"/>
    <s v="OUTUBRO"/>
    <s v="HSERV TERCEIRIZADOS"/>
    <s v="LOTUS CENTRAL DE DISTRIBUICAO DE HIGIENICOS LTDA"/>
    <n v="-827.13"/>
    <x v="0"/>
    <s v="MERCADORIAS PARA REVENDA"/>
  </r>
  <r>
    <x v="18"/>
    <s v="OUTUBRO"/>
    <s v="HSERV TERCEIRIZADOS"/>
    <s v="WIG COMERCIO DE BATERIAS COMPONENTES LTDA"/>
    <n v="-886.66"/>
    <x v="0"/>
    <s v="MANUTENÇÃO "/>
  </r>
  <r>
    <x v="18"/>
    <s v="OUTUBRO"/>
    <s v="VITOR DUARTE"/>
    <s v="L. A. DE SOUZA - EQUIPAMENTOS DE SEGURANCA LTDA"/>
    <n v="-372"/>
    <x v="0"/>
    <s v="UNIFORMES "/>
  </r>
  <r>
    <x v="18"/>
    <s v="OUTUBRO"/>
    <s v="HSERV REPRESENTACOES"/>
    <s v="OKUYAMA &amp; ALVES SOCIEDADE DE ADVOGADOSS - PROC 0012457-65.2023.5.15.0018 -JESSICA BARROS DOS SANTO PARCELA 6/8"/>
    <n v="-2000"/>
    <x v="0"/>
    <s v="ACORDO TRABALHISTA"/>
  </r>
  <r>
    <x v="14"/>
    <s v="OUTUBRO"/>
    <s v="HSERV REPRESENTACOES"/>
    <s v="OKUYAMA &amp; ALVES SOCIEDADE DE ADVOGADOS- PROC 0012465-42.2023.5.15.0018-PROC GENILDA MARIA DA SILVA PARCELA 6/8"/>
    <n v="-2000"/>
    <x v="0"/>
    <s v="ACORDO TRABALHISTA"/>
  </r>
  <r>
    <x v="13"/>
    <s v="OUTUBRO"/>
    <s v="HSERV TERCEIRIZADOS"/>
    <s v="LOTUS CENTRAL DE DISTRIBUICAO DE HIGIENICOS LTDA"/>
    <n v="-985.45"/>
    <x v="0"/>
    <s v="MERCADORIA PARA REVENDA"/>
  </r>
  <r>
    <x v="13"/>
    <s v="OUTUBRO"/>
    <s v="VITOR DUARTE"/>
    <s v="TADIM NEVES SOCIEDADE INDIVIDUAL DE ADVOCACIA -PROC  - 0012114-44.2023.5.15.0188-ADILIO SANTOS SOUZA PARCELA 8/8"/>
    <n v="-1848.63"/>
    <x v="0"/>
    <s v="ACORDO TRABALHIS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9FA89-AEDC-492B-8D4A-8C881124D45C}" name="Tabela dinâmica1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U10" firstHeaderRow="1" firstDataRow="2" firstDataCol="1"/>
  <pivotFields count="9">
    <pivotField axis="axisCol" numFmtId="14" showAll="0">
      <items count="20">
        <item x="0"/>
        <item x="9"/>
        <item x="3"/>
        <item x="12"/>
        <item x="2"/>
        <item x="10"/>
        <item x="4"/>
        <item x="1"/>
        <item x="13"/>
        <item x="11"/>
        <item x="16"/>
        <item x="7"/>
        <item x="5"/>
        <item x="8"/>
        <item x="18"/>
        <item x="15"/>
        <item x="6"/>
        <item x="17"/>
        <item x="14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a de VALOR" fld="4" baseField="0" baseItem="0" numFmtId="44"/>
  </dataFields>
  <formats count="19">
    <format dxfId="18">
      <pivotArea collapsedLevelsAreSubtotals="1" fieldPosition="0">
        <references count="1">
          <reference field="5" count="1">
            <x v="0"/>
          </reference>
        </references>
      </pivotArea>
    </format>
    <format dxfId="17">
      <pivotArea dataOnly="0" labelOnly="1" fieldPosition="0">
        <references count="1">
          <reference field="5" count="1">
            <x v="0"/>
          </reference>
        </references>
      </pivotArea>
    </format>
    <format dxfId="16">
      <pivotArea collapsedLevelsAreSubtotals="1" fieldPosition="0">
        <references count="1">
          <reference field="5" count="1">
            <x v="1"/>
          </reference>
        </references>
      </pivotArea>
    </format>
    <format dxfId="15">
      <pivotArea dataOnly="0" labelOnly="1" fieldPosition="0">
        <references count="1">
          <reference field="5" count="1">
            <x v="1"/>
          </reference>
        </references>
      </pivotArea>
    </format>
    <format dxfId="14">
      <pivotArea collapsedLevelsAreSubtotals="1" fieldPosition="0">
        <references count="1">
          <reference field="5" count="1">
            <x v="1"/>
          </reference>
        </references>
      </pivotArea>
    </format>
    <format dxfId="13">
      <pivotArea dataOnly="0" labelOnly="1" fieldPosition="0">
        <references count="1">
          <reference field="5" count="1">
            <x v="1"/>
          </reference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1.xml"/><Relationship Id="rId21" Type="http://schemas.openxmlformats.org/officeDocument/2006/relationships/control" Target="../activeX/activeX26.xml"/><Relationship Id="rId42" Type="http://schemas.openxmlformats.org/officeDocument/2006/relationships/control" Target="../activeX/activeX47.xml"/><Relationship Id="rId47" Type="http://schemas.openxmlformats.org/officeDocument/2006/relationships/control" Target="../activeX/activeX52.xml"/><Relationship Id="rId63" Type="http://schemas.openxmlformats.org/officeDocument/2006/relationships/control" Target="../activeX/activeX68.xml"/><Relationship Id="rId68" Type="http://schemas.openxmlformats.org/officeDocument/2006/relationships/control" Target="../activeX/activeX73.xml"/><Relationship Id="rId84" Type="http://schemas.openxmlformats.org/officeDocument/2006/relationships/control" Target="../activeX/activeX89.xml"/><Relationship Id="rId89" Type="http://schemas.openxmlformats.org/officeDocument/2006/relationships/control" Target="../activeX/activeX94.xml"/><Relationship Id="rId7" Type="http://schemas.openxmlformats.org/officeDocument/2006/relationships/control" Target="../activeX/activeX12.xml"/><Relationship Id="rId71" Type="http://schemas.openxmlformats.org/officeDocument/2006/relationships/control" Target="../activeX/activeX76.xml"/><Relationship Id="rId92" Type="http://schemas.openxmlformats.org/officeDocument/2006/relationships/control" Target="../activeX/activeX97.xml"/><Relationship Id="rId2" Type="http://schemas.openxmlformats.org/officeDocument/2006/relationships/vmlDrawing" Target="../drawings/vmlDrawing2.vml"/><Relationship Id="rId16" Type="http://schemas.openxmlformats.org/officeDocument/2006/relationships/control" Target="../activeX/activeX21.xml"/><Relationship Id="rId29" Type="http://schemas.openxmlformats.org/officeDocument/2006/relationships/control" Target="../activeX/activeX34.xml"/><Relationship Id="rId11" Type="http://schemas.openxmlformats.org/officeDocument/2006/relationships/control" Target="../activeX/activeX16.xml"/><Relationship Id="rId24" Type="http://schemas.openxmlformats.org/officeDocument/2006/relationships/control" Target="../activeX/activeX29.xml"/><Relationship Id="rId32" Type="http://schemas.openxmlformats.org/officeDocument/2006/relationships/control" Target="../activeX/activeX37.xml"/><Relationship Id="rId37" Type="http://schemas.openxmlformats.org/officeDocument/2006/relationships/control" Target="../activeX/activeX42.xml"/><Relationship Id="rId40" Type="http://schemas.openxmlformats.org/officeDocument/2006/relationships/control" Target="../activeX/activeX45.xml"/><Relationship Id="rId45" Type="http://schemas.openxmlformats.org/officeDocument/2006/relationships/control" Target="../activeX/activeX50.xml"/><Relationship Id="rId53" Type="http://schemas.openxmlformats.org/officeDocument/2006/relationships/control" Target="../activeX/activeX58.xml"/><Relationship Id="rId58" Type="http://schemas.openxmlformats.org/officeDocument/2006/relationships/control" Target="../activeX/activeX63.xml"/><Relationship Id="rId66" Type="http://schemas.openxmlformats.org/officeDocument/2006/relationships/control" Target="../activeX/activeX71.xml"/><Relationship Id="rId74" Type="http://schemas.openxmlformats.org/officeDocument/2006/relationships/control" Target="../activeX/activeX79.xml"/><Relationship Id="rId79" Type="http://schemas.openxmlformats.org/officeDocument/2006/relationships/control" Target="../activeX/activeX84.xml"/><Relationship Id="rId87" Type="http://schemas.openxmlformats.org/officeDocument/2006/relationships/control" Target="../activeX/activeX92.xml"/><Relationship Id="rId102" Type="http://schemas.openxmlformats.org/officeDocument/2006/relationships/control" Target="../activeX/activeX107.xml"/><Relationship Id="rId5" Type="http://schemas.openxmlformats.org/officeDocument/2006/relationships/control" Target="../activeX/activeX10.xml"/><Relationship Id="rId61" Type="http://schemas.openxmlformats.org/officeDocument/2006/relationships/control" Target="../activeX/activeX66.xml"/><Relationship Id="rId82" Type="http://schemas.openxmlformats.org/officeDocument/2006/relationships/control" Target="../activeX/activeX87.xml"/><Relationship Id="rId90" Type="http://schemas.openxmlformats.org/officeDocument/2006/relationships/control" Target="../activeX/activeX95.xml"/><Relationship Id="rId95" Type="http://schemas.openxmlformats.org/officeDocument/2006/relationships/control" Target="../activeX/activeX100.xml"/><Relationship Id="rId19" Type="http://schemas.openxmlformats.org/officeDocument/2006/relationships/control" Target="../activeX/activeX24.xml"/><Relationship Id="rId14" Type="http://schemas.openxmlformats.org/officeDocument/2006/relationships/control" Target="../activeX/activeX19.xml"/><Relationship Id="rId22" Type="http://schemas.openxmlformats.org/officeDocument/2006/relationships/control" Target="../activeX/activeX27.xml"/><Relationship Id="rId27" Type="http://schemas.openxmlformats.org/officeDocument/2006/relationships/control" Target="../activeX/activeX32.xml"/><Relationship Id="rId30" Type="http://schemas.openxmlformats.org/officeDocument/2006/relationships/control" Target="../activeX/activeX35.xml"/><Relationship Id="rId35" Type="http://schemas.openxmlformats.org/officeDocument/2006/relationships/control" Target="../activeX/activeX40.xml"/><Relationship Id="rId43" Type="http://schemas.openxmlformats.org/officeDocument/2006/relationships/control" Target="../activeX/activeX48.xml"/><Relationship Id="rId48" Type="http://schemas.openxmlformats.org/officeDocument/2006/relationships/control" Target="../activeX/activeX53.xml"/><Relationship Id="rId56" Type="http://schemas.openxmlformats.org/officeDocument/2006/relationships/control" Target="../activeX/activeX61.xml"/><Relationship Id="rId64" Type="http://schemas.openxmlformats.org/officeDocument/2006/relationships/control" Target="../activeX/activeX69.xml"/><Relationship Id="rId69" Type="http://schemas.openxmlformats.org/officeDocument/2006/relationships/control" Target="../activeX/activeX74.xml"/><Relationship Id="rId77" Type="http://schemas.openxmlformats.org/officeDocument/2006/relationships/control" Target="../activeX/activeX82.xml"/><Relationship Id="rId100" Type="http://schemas.openxmlformats.org/officeDocument/2006/relationships/control" Target="../activeX/activeX105.xml"/><Relationship Id="rId8" Type="http://schemas.openxmlformats.org/officeDocument/2006/relationships/control" Target="../activeX/activeX13.xml"/><Relationship Id="rId51" Type="http://schemas.openxmlformats.org/officeDocument/2006/relationships/control" Target="../activeX/activeX56.xml"/><Relationship Id="rId72" Type="http://schemas.openxmlformats.org/officeDocument/2006/relationships/control" Target="../activeX/activeX77.xml"/><Relationship Id="rId80" Type="http://schemas.openxmlformats.org/officeDocument/2006/relationships/control" Target="../activeX/activeX85.xml"/><Relationship Id="rId85" Type="http://schemas.openxmlformats.org/officeDocument/2006/relationships/control" Target="../activeX/activeX90.xml"/><Relationship Id="rId93" Type="http://schemas.openxmlformats.org/officeDocument/2006/relationships/control" Target="../activeX/activeX98.xml"/><Relationship Id="rId98" Type="http://schemas.openxmlformats.org/officeDocument/2006/relationships/control" Target="../activeX/activeX103.xml"/><Relationship Id="rId3" Type="http://schemas.openxmlformats.org/officeDocument/2006/relationships/control" Target="../activeX/activeX9.xml"/><Relationship Id="rId12" Type="http://schemas.openxmlformats.org/officeDocument/2006/relationships/control" Target="../activeX/activeX17.xml"/><Relationship Id="rId17" Type="http://schemas.openxmlformats.org/officeDocument/2006/relationships/control" Target="../activeX/activeX22.xml"/><Relationship Id="rId25" Type="http://schemas.openxmlformats.org/officeDocument/2006/relationships/control" Target="../activeX/activeX30.xml"/><Relationship Id="rId33" Type="http://schemas.openxmlformats.org/officeDocument/2006/relationships/control" Target="../activeX/activeX38.xml"/><Relationship Id="rId38" Type="http://schemas.openxmlformats.org/officeDocument/2006/relationships/control" Target="../activeX/activeX43.xml"/><Relationship Id="rId46" Type="http://schemas.openxmlformats.org/officeDocument/2006/relationships/control" Target="../activeX/activeX51.xml"/><Relationship Id="rId59" Type="http://schemas.openxmlformats.org/officeDocument/2006/relationships/control" Target="../activeX/activeX64.xml"/><Relationship Id="rId67" Type="http://schemas.openxmlformats.org/officeDocument/2006/relationships/control" Target="../activeX/activeX72.xml"/><Relationship Id="rId103" Type="http://schemas.openxmlformats.org/officeDocument/2006/relationships/control" Target="../activeX/activeX108.xml"/><Relationship Id="rId20" Type="http://schemas.openxmlformats.org/officeDocument/2006/relationships/control" Target="../activeX/activeX25.xml"/><Relationship Id="rId41" Type="http://schemas.openxmlformats.org/officeDocument/2006/relationships/control" Target="../activeX/activeX46.xml"/><Relationship Id="rId54" Type="http://schemas.openxmlformats.org/officeDocument/2006/relationships/control" Target="../activeX/activeX59.xml"/><Relationship Id="rId62" Type="http://schemas.openxmlformats.org/officeDocument/2006/relationships/control" Target="../activeX/activeX67.xml"/><Relationship Id="rId70" Type="http://schemas.openxmlformats.org/officeDocument/2006/relationships/control" Target="../activeX/activeX75.xml"/><Relationship Id="rId75" Type="http://schemas.openxmlformats.org/officeDocument/2006/relationships/control" Target="../activeX/activeX80.xml"/><Relationship Id="rId83" Type="http://schemas.openxmlformats.org/officeDocument/2006/relationships/control" Target="../activeX/activeX88.xml"/><Relationship Id="rId88" Type="http://schemas.openxmlformats.org/officeDocument/2006/relationships/control" Target="../activeX/activeX93.xml"/><Relationship Id="rId91" Type="http://schemas.openxmlformats.org/officeDocument/2006/relationships/control" Target="../activeX/activeX96.xml"/><Relationship Id="rId96" Type="http://schemas.openxmlformats.org/officeDocument/2006/relationships/control" Target="../activeX/activeX101.x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1.xml"/><Relationship Id="rId15" Type="http://schemas.openxmlformats.org/officeDocument/2006/relationships/control" Target="../activeX/activeX20.xml"/><Relationship Id="rId23" Type="http://schemas.openxmlformats.org/officeDocument/2006/relationships/control" Target="../activeX/activeX28.xml"/><Relationship Id="rId28" Type="http://schemas.openxmlformats.org/officeDocument/2006/relationships/control" Target="../activeX/activeX33.xml"/><Relationship Id="rId36" Type="http://schemas.openxmlformats.org/officeDocument/2006/relationships/control" Target="../activeX/activeX41.xml"/><Relationship Id="rId49" Type="http://schemas.openxmlformats.org/officeDocument/2006/relationships/control" Target="../activeX/activeX54.xml"/><Relationship Id="rId57" Type="http://schemas.openxmlformats.org/officeDocument/2006/relationships/control" Target="../activeX/activeX62.xml"/><Relationship Id="rId10" Type="http://schemas.openxmlformats.org/officeDocument/2006/relationships/control" Target="../activeX/activeX15.xml"/><Relationship Id="rId31" Type="http://schemas.openxmlformats.org/officeDocument/2006/relationships/control" Target="../activeX/activeX36.xml"/><Relationship Id="rId44" Type="http://schemas.openxmlformats.org/officeDocument/2006/relationships/control" Target="../activeX/activeX49.xml"/><Relationship Id="rId52" Type="http://schemas.openxmlformats.org/officeDocument/2006/relationships/control" Target="../activeX/activeX57.xml"/><Relationship Id="rId60" Type="http://schemas.openxmlformats.org/officeDocument/2006/relationships/control" Target="../activeX/activeX65.xml"/><Relationship Id="rId65" Type="http://schemas.openxmlformats.org/officeDocument/2006/relationships/control" Target="../activeX/activeX70.xml"/><Relationship Id="rId73" Type="http://schemas.openxmlformats.org/officeDocument/2006/relationships/control" Target="../activeX/activeX78.xml"/><Relationship Id="rId78" Type="http://schemas.openxmlformats.org/officeDocument/2006/relationships/control" Target="../activeX/activeX83.xml"/><Relationship Id="rId81" Type="http://schemas.openxmlformats.org/officeDocument/2006/relationships/control" Target="../activeX/activeX86.xml"/><Relationship Id="rId86" Type="http://schemas.openxmlformats.org/officeDocument/2006/relationships/control" Target="../activeX/activeX91.xml"/><Relationship Id="rId94" Type="http://schemas.openxmlformats.org/officeDocument/2006/relationships/control" Target="../activeX/activeX99.xml"/><Relationship Id="rId99" Type="http://schemas.openxmlformats.org/officeDocument/2006/relationships/control" Target="../activeX/activeX104.xml"/><Relationship Id="rId101" Type="http://schemas.openxmlformats.org/officeDocument/2006/relationships/control" Target="../activeX/activeX106.xml"/><Relationship Id="rId4" Type="http://schemas.openxmlformats.org/officeDocument/2006/relationships/image" Target="../media/image2.emf"/><Relationship Id="rId9" Type="http://schemas.openxmlformats.org/officeDocument/2006/relationships/control" Target="../activeX/activeX14.xml"/><Relationship Id="rId13" Type="http://schemas.openxmlformats.org/officeDocument/2006/relationships/control" Target="../activeX/activeX18.xml"/><Relationship Id="rId18" Type="http://schemas.openxmlformats.org/officeDocument/2006/relationships/control" Target="../activeX/activeX23.xml"/><Relationship Id="rId39" Type="http://schemas.openxmlformats.org/officeDocument/2006/relationships/control" Target="../activeX/activeX44.xml"/><Relationship Id="rId34" Type="http://schemas.openxmlformats.org/officeDocument/2006/relationships/control" Target="../activeX/activeX39.xml"/><Relationship Id="rId50" Type="http://schemas.openxmlformats.org/officeDocument/2006/relationships/control" Target="../activeX/activeX55.xml"/><Relationship Id="rId55" Type="http://schemas.openxmlformats.org/officeDocument/2006/relationships/control" Target="../activeX/activeX60.xml"/><Relationship Id="rId76" Type="http://schemas.openxmlformats.org/officeDocument/2006/relationships/control" Target="../activeX/activeX81.xml"/><Relationship Id="rId97" Type="http://schemas.openxmlformats.org/officeDocument/2006/relationships/control" Target="../activeX/activeX10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2446-FDAB-4763-B16F-527ADDAB1408}">
  <dimension ref="A1:U15"/>
  <sheetViews>
    <sheetView showGridLines="0" zoomScale="86" zoomScaleNormal="86" workbookViewId="0">
      <selection activeCell="A20" sqref="A20"/>
    </sheetView>
  </sheetViews>
  <sheetFormatPr defaultRowHeight="14.4" x14ac:dyDescent="0.3"/>
  <cols>
    <col min="1" max="1" width="18.33203125" bestFit="1" customWidth="1"/>
    <col min="2" max="2" width="19.6640625" bestFit="1" customWidth="1"/>
    <col min="3" max="3" width="14.33203125" bestFit="1" customWidth="1"/>
    <col min="4" max="5" width="13.109375" bestFit="1" customWidth="1"/>
    <col min="6" max="6" width="13.109375" customWidth="1"/>
    <col min="7" max="8" width="13.109375" bestFit="1" customWidth="1"/>
    <col min="9" max="10" width="14.33203125" bestFit="1" customWidth="1"/>
    <col min="11" max="11" width="13.109375" bestFit="1" customWidth="1"/>
    <col min="12" max="20" width="14.33203125" bestFit="1" customWidth="1"/>
    <col min="21" max="21" width="15.88671875" bestFit="1" customWidth="1"/>
    <col min="22" max="29" width="10.77734375" bestFit="1" customWidth="1"/>
    <col min="30" max="30" width="13.77734375" bestFit="1" customWidth="1"/>
    <col min="31" max="31" width="11.6640625" bestFit="1" customWidth="1"/>
    <col min="32" max="32" width="12.77734375" bestFit="1" customWidth="1"/>
    <col min="33" max="33" width="15.5546875" bestFit="1" customWidth="1"/>
    <col min="34" max="34" width="12.77734375" bestFit="1" customWidth="1"/>
    <col min="35" max="35" width="15.5546875" bestFit="1" customWidth="1"/>
    <col min="36" max="36" width="12.77734375" bestFit="1" customWidth="1"/>
    <col min="37" max="37" width="15.5546875" bestFit="1" customWidth="1"/>
    <col min="38" max="38" width="12.77734375" bestFit="1" customWidth="1"/>
    <col min="39" max="39" width="9" bestFit="1" customWidth="1"/>
    <col min="40" max="40" width="15.5546875" bestFit="1" customWidth="1"/>
    <col min="41" max="41" width="12.77734375" bestFit="1" customWidth="1"/>
    <col min="42" max="42" width="10" bestFit="1" customWidth="1"/>
    <col min="43" max="43" width="15.5546875" bestFit="1" customWidth="1"/>
    <col min="44" max="44" width="12.77734375" bestFit="1" customWidth="1"/>
    <col min="45" max="45" width="15.5546875" bestFit="1" customWidth="1"/>
    <col min="46" max="46" width="12.77734375" bestFit="1" customWidth="1"/>
    <col min="47" max="47" width="15.5546875" bestFit="1" customWidth="1"/>
    <col min="48" max="48" width="12.6640625" bestFit="1" customWidth="1"/>
  </cols>
  <sheetData>
    <row r="1" spans="1:21" x14ac:dyDescent="0.3">
      <c r="A1" s="260" t="s">
        <v>457</v>
      </c>
      <c r="B1" s="260"/>
      <c r="C1" s="260"/>
      <c r="D1" s="260"/>
      <c r="E1" s="260"/>
      <c r="F1" s="260"/>
      <c r="G1" s="260"/>
      <c r="H1" s="260"/>
    </row>
    <row r="2" spans="1:21" x14ac:dyDescent="0.3">
      <c r="A2" s="260"/>
      <c r="B2" s="260"/>
      <c r="C2" s="260"/>
      <c r="D2" s="260"/>
      <c r="E2" s="260"/>
      <c r="F2" s="260"/>
      <c r="G2" s="260"/>
      <c r="H2" s="260"/>
    </row>
    <row r="4" spans="1:21" x14ac:dyDescent="0.3">
      <c r="B4" s="22" t="s">
        <v>180</v>
      </c>
      <c r="C4" s="38">
        <v>450810.63</v>
      </c>
    </row>
    <row r="6" spans="1:21" s="29" customFormat="1" x14ac:dyDescent="0.3">
      <c r="A6" s="28" t="s">
        <v>177</v>
      </c>
      <c r="B6" s="28" t="s">
        <v>179</v>
      </c>
    </row>
    <row r="7" spans="1:21" s="29" customFormat="1" x14ac:dyDescent="0.3">
      <c r="A7" s="28" t="s">
        <v>176</v>
      </c>
      <c r="B7" s="232">
        <v>45919</v>
      </c>
      <c r="C7" s="232">
        <v>45922</v>
      </c>
      <c r="D7" s="232">
        <v>45923</v>
      </c>
      <c r="E7" s="232">
        <v>45924</v>
      </c>
      <c r="F7" s="232">
        <v>45925</v>
      </c>
      <c r="G7" s="232">
        <v>45926</v>
      </c>
      <c r="H7" s="232">
        <v>45929</v>
      </c>
      <c r="I7" s="232">
        <v>45930</v>
      </c>
      <c r="J7" s="232">
        <v>45931</v>
      </c>
      <c r="K7" s="232">
        <v>45932</v>
      </c>
      <c r="L7" s="232">
        <v>45933</v>
      </c>
      <c r="M7" s="232">
        <v>45936</v>
      </c>
      <c r="N7" s="232">
        <v>45937</v>
      </c>
      <c r="O7" s="232">
        <v>45938</v>
      </c>
      <c r="P7" s="232">
        <v>45939</v>
      </c>
      <c r="Q7" s="232">
        <v>45940</v>
      </c>
      <c r="R7" s="232">
        <v>45943</v>
      </c>
      <c r="S7" s="232">
        <v>45944</v>
      </c>
      <c r="T7" s="232">
        <v>45945</v>
      </c>
      <c r="U7" s="232" t="s">
        <v>178</v>
      </c>
    </row>
    <row r="8" spans="1:21" s="234" customFormat="1" x14ac:dyDescent="0.3">
      <c r="A8" s="233" t="s">
        <v>134</v>
      </c>
      <c r="E8" s="234">
        <v>11905.99</v>
      </c>
      <c r="G8" s="234">
        <v>41481.22</v>
      </c>
      <c r="H8" s="234">
        <v>12375</v>
      </c>
      <c r="I8" s="234">
        <v>269278.32</v>
      </c>
      <c r="J8" s="234">
        <v>130579.84999999999</v>
      </c>
      <c r="L8" s="234">
        <v>345280</v>
      </c>
      <c r="N8" s="234">
        <v>4935</v>
      </c>
      <c r="Q8" s="234">
        <v>11000</v>
      </c>
      <c r="R8" s="234">
        <v>132950.59000000003</v>
      </c>
      <c r="T8" s="234">
        <v>30155.5</v>
      </c>
      <c r="U8" s="234">
        <v>989941.47</v>
      </c>
    </row>
    <row r="9" spans="1:21" s="182" customFormat="1" x14ac:dyDescent="0.3">
      <c r="A9" s="181" t="s">
        <v>8</v>
      </c>
      <c r="B9" s="182">
        <v>-236078.69999999995</v>
      </c>
      <c r="C9" s="182">
        <v>-196835.20000000001</v>
      </c>
      <c r="D9" s="182">
        <v>-42555.59</v>
      </c>
      <c r="E9" s="182">
        <v>-3485.45</v>
      </c>
      <c r="F9" s="182">
        <v>-20842.019999999997</v>
      </c>
      <c r="G9" s="182">
        <v>-17606.04</v>
      </c>
      <c r="H9" s="182">
        <v>-65967.259999999995</v>
      </c>
      <c r="I9" s="182">
        <v>-330673.4200000001</v>
      </c>
      <c r="J9" s="182">
        <v>-11324.07</v>
      </c>
      <c r="K9" s="182">
        <v>-85728.839949999994</v>
      </c>
      <c r="L9" s="182">
        <v>-23126.63</v>
      </c>
      <c r="M9" s="182">
        <v>-529212</v>
      </c>
      <c r="O9" s="182">
        <v>-7600</v>
      </c>
      <c r="P9" s="182">
        <v>-8710.0099999999984</v>
      </c>
      <c r="Q9" s="182">
        <v>-149142.53999700001</v>
      </c>
      <c r="R9" s="182">
        <v>-3641.21</v>
      </c>
      <c r="S9" s="182">
        <v>-2012.45</v>
      </c>
      <c r="T9" s="182">
        <v>-300250.41000000003</v>
      </c>
      <c r="U9" s="182">
        <v>-2034791.8399470001</v>
      </c>
    </row>
    <row r="10" spans="1:21" s="31" customFormat="1" x14ac:dyDescent="0.3">
      <c r="A10" s="30" t="s">
        <v>178</v>
      </c>
      <c r="B10" s="31">
        <v>-236078.69999999995</v>
      </c>
      <c r="C10" s="31">
        <v>-196835.20000000001</v>
      </c>
      <c r="D10" s="31">
        <v>-42555.59</v>
      </c>
      <c r="E10" s="31">
        <v>8420.5400000000009</v>
      </c>
      <c r="F10" s="31">
        <v>-20842.019999999997</v>
      </c>
      <c r="G10" s="31">
        <v>23875.18</v>
      </c>
      <c r="H10" s="31">
        <v>-53592.259999999995</v>
      </c>
      <c r="I10" s="31">
        <v>-61395.100000000093</v>
      </c>
      <c r="J10" s="31">
        <v>119255.78</v>
      </c>
      <c r="K10" s="31">
        <v>-85728.839949999994</v>
      </c>
      <c r="L10" s="31">
        <v>322153.37</v>
      </c>
      <c r="M10" s="31">
        <v>-529212</v>
      </c>
      <c r="N10" s="31">
        <v>4935</v>
      </c>
      <c r="O10" s="31">
        <v>-7600</v>
      </c>
      <c r="P10" s="31">
        <v>-8710.0099999999984</v>
      </c>
      <c r="Q10" s="31">
        <v>-138142.53999700001</v>
      </c>
      <c r="R10" s="31">
        <v>129309.38000000002</v>
      </c>
      <c r="S10" s="31">
        <v>-2012.45</v>
      </c>
      <c r="T10" s="31">
        <v>-270094.91000000003</v>
      </c>
      <c r="U10" s="31">
        <v>-1044850.3699470002</v>
      </c>
    </row>
    <row r="13" spans="1:21" s="54" customFormat="1" x14ac:dyDescent="0.3">
      <c r="A13" s="102" t="s">
        <v>180</v>
      </c>
      <c r="B13" s="38">
        <f>C4+GETPIVOTDATA("VALOR",$A$6,"DATA",DATE(2025,9,19),"TIPO","RECEITAS")+GETPIVOTDATA("VALOR",$A$6,"DATA",DATE(2025,9,19),"TIPO","DESPESAS")</f>
        <v>214731.93000000005</v>
      </c>
      <c r="C13" s="38">
        <f>B13+GETPIVOTDATA("VALOR",$A$6,"DATA",DATE(2025,9,22),"TIPO","RECEITAS")+GETPIVOTDATA("VALOR",$A$6,"DATA",DATE(2025,9,22),"TIPO","DESPESAS")</f>
        <v>17896.73000000004</v>
      </c>
      <c r="D13" s="180">
        <f>C13+GETPIVOTDATA("VALOR",$A$6,"DATA",DATE(2025,9,23),"TIPO","RECEITAS")+GETPIVOTDATA("VALOR",$A$6,"DATA",DATE(2025,9,23),"TIPO","DESPESAS")</f>
        <v>-24658.859999999957</v>
      </c>
      <c r="E13" s="180">
        <f>D13+GETPIVOTDATA("VALOR",$A$6,"DATA",DATE(2025,9,24),"TIPO","RECEITAS")+GETPIVOTDATA("VALOR",$A$6,"DATA",DATE(2025,9,24),"TIPO","DESPESAS")</f>
        <v>-16238.319999999956</v>
      </c>
      <c r="F13" s="180">
        <f>E13+GETPIVOTDATA("VALOR",$A$6,"DATA",DATE(2025,9,25),"TIPO","RECEITAS")+GETPIVOTDATA("VALOR",$A$6,"DATA",DATE(2025,9,25),"TIPO","DESPESAS")</f>
        <v>-37080.339999999953</v>
      </c>
      <c r="G13" s="180">
        <f>F13+GETPIVOTDATA("VALOR",$A$6,"DATA",DATE(2025,9,26),"TIPO","RECEITAS")+GETPIVOTDATA("VALOR",$A$6,"DATA",DATE(2025,9,26),"TIPO","DESPESAS")</f>
        <v>-13205.159999999953</v>
      </c>
      <c r="H13" s="180">
        <f>G13+GETPIVOTDATA("VALOR",$A$6,"DATA",DATE(2025,9,29),"TIPO","RECEITAS")+GETPIVOTDATA("VALOR",$A$6,"DATA",DATE(2025,9,29),"TIPO","DESPESAS")</f>
        <v>-66797.419999999955</v>
      </c>
      <c r="I13" s="180">
        <f>H13+GETPIVOTDATA("VALOR",$A$6,"DATA",DATE(2025,9,30),"TIPO","RECEITAS")+GETPIVOTDATA("VALOR",$A$6,"DATA",DATE(2025,9,30),"TIPO","DESPESAS")</f>
        <v>-128192.52000000005</v>
      </c>
      <c r="J13" s="180">
        <f>I13++GETPIVOTDATA("VALOR",$A$6,"DATA",DATE(2025,10,1),"TIPO","RECEITAS")+GETPIVOTDATA("VALOR",$A$6,"DATA",DATE(2025,10,1),"TIPO","DESPESAS")</f>
        <v>-8936.7400000000562</v>
      </c>
      <c r="K13" s="180">
        <f>J13+GETPIVOTDATA("VALOR",$A$6,"DATA",DATE(2025,10,2),"TIPO","RECEITAS")+GETPIVOTDATA("VALOR",$A$6,"DATA",DATE(2025,10,2),"TIPO","DESPESAS")</f>
        <v>-94665.579950000043</v>
      </c>
      <c r="L13" s="38">
        <f>K13+GETPIVOTDATA("VALOR",$A$6,"DATA",DATE(2025,10,3),"TIPO","RECEITAS")+GETPIVOTDATA("VALOR",$A$6,"DATA",DATE(2025,10,3),"TIPO","DESPESAS")</f>
        <v>227487.79004999995</v>
      </c>
      <c r="M13" s="180">
        <f>L13+GETPIVOTDATA("VALOR",$A$6,"DATA",DATE(2025,10,6),"TIPO","RECEITAS")+GETPIVOTDATA("VALOR",$A$6,"DATA",DATE(2025,10,6),"TIPO","DESPESAS")</f>
        <v>-301724.20995000005</v>
      </c>
      <c r="N13" s="180">
        <f>M13+GETPIVOTDATA("VALOR",$A$6,"DATA",DATE(2025,10,7),"TIPO","RECEITAS")+GETPIVOTDATA("VALOR",$A$6,"DATA",DATE(2025,10,7),"TIPO","DESPESAS")</f>
        <v>-296789.20995000005</v>
      </c>
      <c r="O13" s="180">
        <f>N13+GETPIVOTDATA("VALOR",$A$6,"DATA",DATE(2025,10,8),"TIPO","RECEITAS")+GETPIVOTDATA("VALOR",$A$6,"DATA",DATE(2025,10,8),"TIPO","DESPESAS")</f>
        <v>-304389.20995000005</v>
      </c>
      <c r="P13" s="180">
        <f>O13+GETPIVOTDATA("VALOR",$A$6,"DATA",DATE(2025,10,9),"TIPO","RECEITAS")+GETPIVOTDATA("VALOR",$A$6,"DATA",DATE(2025,10,9),"TIPO","DESPESAS")</f>
        <v>-313099.21995000006</v>
      </c>
      <c r="Q13" s="180">
        <f>P13+GETPIVOTDATA("VALOR",$A$6,"DATA",DATE(2025,10,10),"TIPO","RECEITAS")+GETPIVOTDATA("VALOR",$A$6,"DATA",DATE(2025,10,10),"TIPO","DESPESAS")</f>
        <v>-451241.75994700007</v>
      </c>
      <c r="R13" s="180">
        <f>Q13+GETPIVOTDATA("VALOR",$A$6,"DATA",DATE(2025,10,13),"TIPO","RECEITAS")+GETPIVOTDATA("VALOR",$A$6,"DATA",DATE(2025,10,13),"TIPO","DESPESAS")</f>
        <v>-321932.37994700007</v>
      </c>
      <c r="S13" s="180">
        <f>R13+GETPIVOTDATA("VALOR",$A$6,"DATA",DATE(2025,10,14),"TIPO","RECEITAS")+GETPIVOTDATA("VALOR",$A$6,"DATA",DATE(2025,10,14),"TIPO","DESPESAS")</f>
        <v>-323944.82994700008</v>
      </c>
      <c r="T13" s="180">
        <f>S13+GETPIVOTDATA("VALOR",$A$6,"DATA",DATE(2025,10,15),"TIPO","RECEITAS")+GETPIVOTDATA("VALOR",$A$6,"DATA",DATE(2025,10,15),"TIPO","DESPESAS")</f>
        <v>-594039.73994700005</v>
      </c>
      <c r="U13" s="102"/>
    </row>
    <row r="15" spans="1:21" hidden="1" x14ac:dyDescent="0.3">
      <c r="B15" s="1">
        <f>C4+GETPIVOTDATA("VALOR",$A$6,"DATA",DATE(2025,9,19),"TIPO","RECEITAS")+GETPIVOTDATA("VALOR",$A$6,"DATA",DATE(2025,9,19),"TIPO","DESPESAS")</f>
        <v>214731.93000000005</v>
      </c>
      <c r="C15" s="1">
        <f>B15+GETPIVOTDATA("VALOR",$A$6,"DATA",DATE(2025,9,22),"TIPO","RECEITAS")+GETPIVOTDATA("VALOR",$A$6,"DATA",DATE(2025,9,22),"TIPO","DESPESAS")</f>
        <v>17896.73000000004</v>
      </c>
      <c r="D15" s="1">
        <f>C15+GETPIVOTDATA("VALOR",$A$6,"DATA",DATE(2025,9,23),"TIPO","RECEITAS")+GETPIVOTDATA("VALOR",$A$6,"DATA",DATE(2025,9,23),"TIPO","DESPESAS")</f>
        <v>-24658.859999999957</v>
      </c>
      <c r="E15" s="1">
        <f>D15+GETPIVOTDATA("VALOR",$A$6,"DATA",DATE(2025,9,24),"TIPO","RECEITAS")+GETPIVOTDATA("VALOR",$A$6,"DATA",DATE(2025,9,24),"TIPO","DESPESAS")</f>
        <v>-16238.319999999956</v>
      </c>
      <c r="F15" s="1">
        <f>E15+GETPIVOTDATA("VALOR",$A$6,"DATA",DATE(2025,9,25),"TIPO","RECEITAS")+GETPIVOTDATA("VALOR",$A$6,"DATA",DATE(2025,9,25),"TIPO","DESPESAS")</f>
        <v>-37080.339999999953</v>
      </c>
      <c r="G15" s="1">
        <f>F15+GETPIVOTDATA("VALOR",$A$6,"DATA",DATE(2025,9,26),"TIPO","RECEITAS")+GETPIVOTDATA("VALOR",$A$6,"DATA",DATE(2025,9,26),"TIPO","DESPESAS")</f>
        <v>-13205.159999999953</v>
      </c>
      <c r="H15" s="1">
        <f>G15+GETPIVOTDATA("VALOR",$A$6,"DATA",DATE(2025,9,29),"TIPO","RECEITAS")+GETPIVOTDATA("VALOR",$A$6,"DATA",DATE(2025,9,29),"TIPO","DESPESAS")</f>
        <v>-66797.419999999955</v>
      </c>
      <c r="I15" s="1">
        <f>H15+GETPIVOTDATA("VALOR",$A$6,"DATA",DATE(2025,9,30),"TIPO","RECEITAS")+GETPIVOTDATA("VALOR",$A$6,"DATA",DATE(2025,9,30),"TIPO","DESPESAS")</f>
        <v>-128192.52000000005</v>
      </c>
      <c r="J15" s="1">
        <f>I15+GETPIVOTDATA("VALOR",$A$6,"DATA",DATE(2025,10,1),"TIPO","RECEITAS")+GETPIVOTDATA("VALOR",$A$6,"DATA",DATE(2025,10,1),"TIPO","DESPESAS")</f>
        <v>-8936.7400000000562</v>
      </c>
      <c r="K15" s="1">
        <f>J15+GETPIVOTDATA("VALOR",$A$6,"DATA",DATE(2025,10,2),"TIPO","RECEITAS")+GETPIVOTDATA("VALOR",$A$6,"DATA",DATE(2025,10,2),"TIPO","DESPESAS")</f>
        <v>-94665.579950000043</v>
      </c>
      <c r="L15" s="1">
        <f>K15+GETPIVOTDATA("VALOR",$A$6,"DATA",DATE(2025,10,3),"TIPO","RECEITAS")+GETPIVOTDATA("VALOR",$A$6,"DATA",DATE(2025,10,3),"TIPO","DESPESAS")</f>
        <v>227487.79004999995</v>
      </c>
      <c r="M15" s="1">
        <f>L15+GETPIVOTDATA("VALOR",$A$6,"DATA",DATE(2025,10,6),"TIPO","RECEITAS")+GETPIVOTDATA("VALOR",$A$6,"DATA",DATE(2025,10,6),"TIPO","DESPESAS")</f>
        <v>-301724.20995000005</v>
      </c>
      <c r="N15" s="1">
        <f>M15+GETPIVOTDATA("VALOR",$A$6,"DATA",DATE(2025,10,7),"TIPO","RECEITAS")+GETPIVOTDATA("VALOR",$A$6,"DATA",DATE(2025,10,7),"TIPO","DESPESAS")</f>
        <v>-296789.20995000005</v>
      </c>
      <c r="O15" s="1">
        <f>N15+GETPIVOTDATA("VALOR",$A$6,"DATA",DATE(2025,10,8),"TIPO","RECEITAS")+GETPIVOTDATA("VALOR",$A$6,"DATA",DATE(2025,10,8),"TIPO","DESPESAS")</f>
        <v>-304389.20995000005</v>
      </c>
      <c r="P15" s="1">
        <f>O15+GETPIVOTDATA("VALOR",$A$6,"DATA",DATE(2025,10,9),"TIPO","RECEITAS")+GETPIVOTDATA("VALOR",$A$6,"DATA",DATE(2025,10,9),"TIPO","DESPESAS")</f>
        <v>-313099.21995000006</v>
      </c>
      <c r="Q15" s="1">
        <f>P15+GETPIVOTDATA("VALOR",$A$6,"DATA",DATE(2025,10,10),"TIPO","RECEITAS")+GETPIVOTDATA("VALOR",$A$6,"DATA",DATE(2025,10,10),"TIPO","DESPESAS")</f>
        <v>-451241.75994700007</v>
      </c>
      <c r="R15" s="1">
        <f>Q15+GETPIVOTDATA("VALOR",$A$6,"DATA",DATE(2025,10,13),"TIPO","RECEITAS")+GETPIVOTDATA("VALOR",$A$6,"DATA",DATE(2025,10,13),"TIPO","DESPESAS")</f>
        <v>-321932.37994700007</v>
      </c>
      <c r="S15" s="1">
        <f>R15+GETPIVOTDATA("VALOR",$A$6,"DATA",DATE(2025,10,14),"TIPO","RECEITAS")+GETPIVOTDATA("VALOR",$A$6,"DATA",DATE(2025,10,14),"TIPO","DESPESAS")</f>
        <v>-323944.82994700008</v>
      </c>
      <c r="T15" s="1">
        <f>S15+GETPIVOTDATA("VALOR",$A$6,"DATA",DATE(2025,10,15),"TIPO","RECEITAS")+GETPIVOTDATA("VALOR",$A$6,"DATA",DATE(2025,10,15),"TIPO","DESPESAS")</f>
        <v>-594039.73994700005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276C-15A5-4555-85FA-B790D3AC69A0}">
  <sheetPr filterMode="1"/>
  <dimension ref="A1:H360"/>
  <sheetViews>
    <sheetView workbookViewId="0">
      <selection activeCell="D29" sqref="D29"/>
    </sheetView>
  </sheetViews>
  <sheetFormatPr defaultRowHeight="14.4" x14ac:dyDescent="0.3"/>
  <cols>
    <col min="1" max="1" width="10.5546875" style="49" bestFit="1" customWidth="1"/>
    <col min="2" max="2" width="23.109375" style="49" customWidth="1"/>
    <col min="3" max="3" width="23.33203125" style="49" customWidth="1"/>
    <col min="4" max="4" width="132.6640625" style="208" customWidth="1"/>
    <col min="5" max="5" width="13.5546875" style="49" bestFit="1" customWidth="1"/>
    <col min="6" max="6" width="12.88671875" style="49" customWidth="1"/>
    <col min="7" max="7" width="29.88671875" style="49" customWidth="1"/>
    <col min="8" max="16384" width="8.88671875" style="49"/>
  </cols>
  <sheetData>
    <row r="1" spans="1:7" x14ac:dyDescent="0.3">
      <c r="A1" s="116" t="s">
        <v>0</v>
      </c>
      <c r="B1" s="116" t="s">
        <v>353</v>
      </c>
      <c r="C1" s="63" t="s">
        <v>1</v>
      </c>
      <c r="D1" s="218" t="s">
        <v>2</v>
      </c>
      <c r="E1" s="57" t="s">
        <v>3</v>
      </c>
      <c r="F1" s="58" t="s">
        <v>4</v>
      </c>
      <c r="G1" s="126" t="s">
        <v>5</v>
      </c>
    </row>
    <row r="2" spans="1:7" hidden="1" x14ac:dyDescent="0.3">
      <c r="A2" s="120">
        <v>45919</v>
      </c>
      <c r="B2" s="40" t="s">
        <v>172</v>
      </c>
      <c r="C2" s="4" t="s">
        <v>6</v>
      </c>
      <c r="D2" s="43" t="s">
        <v>338</v>
      </c>
      <c r="E2" s="45">
        <v>-50000</v>
      </c>
      <c r="F2" s="16" t="s">
        <v>8</v>
      </c>
      <c r="G2" s="44" t="s">
        <v>154</v>
      </c>
    </row>
    <row r="3" spans="1:7" hidden="1" x14ac:dyDescent="0.3">
      <c r="A3" s="104">
        <v>45919</v>
      </c>
      <c r="B3" s="104" t="s">
        <v>172</v>
      </c>
      <c r="C3" s="17" t="s">
        <v>138</v>
      </c>
      <c r="D3" s="17" t="s">
        <v>333</v>
      </c>
      <c r="E3" s="10">
        <v>-1480.5</v>
      </c>
      <c r="F3" s="16" t="s">
        <v>8</v>
      </c>
      <c r="G3" s="72" t="s">
        <v>127</v>
      </c>
    </row>
    <row r="4" spans="1:7" hidden="1" x14ac:dyDescent="0.3">
      <c r="A4" s="104">
        <v>45919</v>
      </c>
      <c r="B4" s="104" t="s">
        <v>172</v>
      </c>
      <c r="C4" s="17" t="s">
        <v>138</v>
      </c>
      <c r="D4" s="17" t="s">
        <v>334</v>
      </c>
      <c r="E4" s="10">
        <v>-200</v>
      </c>
      <c r="F4" s="16" t="s">
        <v>8</v>
      </c>
      <c r="G4" s="72" t="s">
        <v>127</v>
      </c>
    </row>
    <row r="5" spans="1:7" hidden="1" x14ac:dyDescent="0.3">
      <c r="A5" s="67">
        <v>45930</v>
      </c>
      <c r="B5" s="2" t="s">
        <v>172</v>
      </c>
      <c r="C5" s="17" t="s">
        <v>17</v>
      </c>
      <c r="D5" s="17" t="s">
        <v>345</v>
      </c>
      <c r="E5" s="10">
        <v>-1500</v>
      </c>
      <c r="F5" s="16" t="s">
        <v>8</v>
      </c>
      <c r="G5" s="11" t="s">
        <v>154</v>
      </c>
    </row>
    <row r="6" spans="1:7" hidden="1" x14ac:dyDescent="0.3">
      <c r="A6" s="67">
        <v>45930</v>
      </c>
      <c r="B6" s="2" t="s">
        <v>172</v>
      </c>
      <c r="C6" s="17" t="s">
        <v>6</v>
      </c>
      <c r="D6" s="17" t="s">
        <v>335</v>
      </c>
      <c r="E6" s="10">
        <v>-2000</v>
      </c>
      <c r="F6" s="16" t="s">
        <v>8</v>
      </c>
      <c r="G6" s="11" t="s">
        <v>154</v>
      </c>
    </row>
    <row r="7" spans="1:7" hidden="1" x14ac:dyDescent="0.3">
      <c r="A7" s="67">
        <v>45930</v>
      </c>
      <c r="B7" s="104" t="s">
        <v>172</v>
      </c>
      <c r="C7" s="15" t="s">
        <v>17</v>
      </c>
      <c r="D7" s="17" t="s">
        <v>339</v>
      </c>
      <c r="E7" s="125">
        <v>-10000</v>
      </c>
      <c r="F7" s="16" t="s">
        <v>8</v>
      </c>
      <c r="G7" s="74" t="s">
        <v>127</v>
      </c>
    </row>
    <row r="8" spans="1:7" hidden="1" x14ac:dyDescent="0.3">
      <c r="A8" s="67">
        <v>45930</v>
      </c>
      <c r="B8" s="2" t="s">
        <v>172</v>
      </c>
      <c r="C8" s="17" t="s">
        <v>17</v>
      </c>
      <c r="D8" s="17" t="s">
        <v>344</v>
      </c>
      <c r="E8" s="10">
        <v>-880</v>
      </c>
      <c r="F8" s="11" t="s">
        <v>8</v>
      </c>
      <c r="G8" s="11" t="s">
        <v>154</v>
      </c>
    </row>
    <row r="9" spans="1:7" hidden="1" x14ac:dyDescent="0.3">
      <c r="A9" s="67">
        <v>45930</v>
      </c>
      <c r="B9" s="104" t="s">
        <v>172</v>
      </c>
      <c r="C9" s="5" t="s">
        <v>13</v>
      </c>
      <c r="D9" s="15" t="s">
        <v>346</v>
      </c>
      <c r="E9" s="125">
        <v>-15</v>
      </c>
      <c r="F9" s="16" t="s">
        <v>8</v>
      </c>
      <c r="G9" s="125" t="s">
        <v>125</v>
      </c>
    </row>
    <row r="10" spans="1:7" hidden="1" x14ac:dyDescent="0.3">
      <c r="A10" s="67">
        <v>45925</v>
      </c>
      <c r="B10" s="2" t="s">
        <v>172</v>
      </c>
      <c r="C10" s="17" t="s">
        <v>17</v>
      </c>
      <c r="D10" s="17" t="s">
        <v>381</v>
      </c>
      <c r="E10" s="10">
        <v>-430.22</v>
      </c>
      <c r="F10" s="16" t="s">
        <v>8</v>
      </c>
      <c r="G10" s="11" t="s">
        <v>343</v>
      </c>
    </row>
    <row r="11" spans="1:7" hidden="1" x14ac:dyDescent="0.3">
      <c r="A11" s="104">
        <v>45923</v>
      </c>
      <c r="B11" s="104" t="s">
        <v>172</v>
      </c>
      <c r="C11" s="17" t="s">
        <v>69</v>
      </c>
      <c r="D11" s="17" t="s">
        <v>354</v>
      </c>
      <c r="E11" s="10">
        <v>-2599.85</v>
      </c>
      <c r="F11" s="16" t="s">
        <v>8</v>
      </c>
      <c r="G11" s="11" t="s">
        <v>71</v>
      </c>
    </row>
    <row r="12" spans="1:7" hidden="1" x14ac:dyDescent="0.3">
      <c r="A12" s="67">
        <v>45919</v>
      </c>
      <c r="B12" s="104" t="s">
        <v>172</v>
      </c>
      <c r="C12" s="17" t="s">
        <v>30</v>
      </c>
      <c r="D12" s="17" t="s">
        <v>364</v>
      </c>
      <c r="E12" s="10">
        <v>-1240</v>
      </c>
      <c r="F12" s="16" t="s">
        <v>8</v>
      </c>
      <c r="G12" s="44" t="s">
        <v>154</v>
      </c>
    </row>
    <row r="13" spans="1:7" hidden="1" x14ac:dyDescent="0.3">
      <c r="A13" s="120">
        <v>45919</v>
      </c>
      <c r="B13" s="104" t="s">
        <v>172</v>
      </c>
      <c r="C13" s="17" t="s">
        <v>17</v>
      </c>
      <c r="D13" s="17" t="s">
        <v>336</v>
      </c>
      <c r="E13" s="10">
        <v>-268.92</v>
      </c>
      <c r="F13" s="16" t="s">
        <v>8</v>
      </c>
      <c r="G13" s="44" t="s">
        <v>154</v>
      </c>
    </row>
    <row r="14" spans="1:7" hidden="1" x14ac:dyDescent="0.3">
      <c r="A14" s="104">
        <v>45930</v>
      </c>
      <c r="B14" s="104" t="s">
        <v>172</v>
      </c>
      <c r="C14" s="15" t="s">
        <v>13</v>
      </c>
      <c r="D14" s="21" t="s">
        <v>375</v>
      </c>
      <c r="E14" s="19">
        <v>-111.89</v>
      </c>
      <c r="F14" s="16" t="s">
        <v>8</v>
      </c>
      <c r="G14" s="6" t="s">
        <v>125</v>
      </c>
    </row>
    <row r="15" spans="1:7" hidden="1" x14ac:dyDescent="0.3">
      <c r="A15" s="104">
        <v>45930</v>
      </c>
      <c r="B15" s="104" t="s">
        <v>172</v>
      </c>
      <c r="C15" s="15" t="s">
        <v>43</v>
      </c>
      <c r="D15" s="17" t="s">
        <v>129</v>
      </c>
      <c r="E15" s="19">
        <v>-4000</v>
      </c>
      <c r="F15" s="16" t="s">
        <v>8</v>
      </c>
      <c r="G15" s="106" t="s">
        <v>105</v>
      </c>
    </row>
    <row r="16" spans="1:7" hidden="1" x14ac:dyDescent="0.3">
      <c r="A16" s="51">
        <v>45929</v>
      </c>
      <c r="B16" s="116" t="s">
        <v>172</v>
      </c>
      <c r="C16" s="114" t="s">
        <v>29</v>
      </c>
      <c r="D16" s="114" t="s">
        <v>330</v>
      </c>
      <c r="E16" s="115">
        <v>4935</v>
      </c>
      <c r="F16" s="53" t="s">
        <v>134</v>
      </c>
      <c r="G16" s="58" t="s">
        <v>135</v>
      </c>
    </row>
    <row r="17" spans="1:7" hidden="1" x14ac:dyDescent="0.3">
      <c r="A17" s="190">
        <v>45937</v>
      </c>
      <c r="B17" s="190" t="s">
        <v>175</v>
      </c>
      <c r="C17" s="187" t="s">
        <v>29</v>
      </c>
      <c r="D17" s="187" t="s">
        <v>330</v>
      </c>
      <c r="E17" s="205">
        <v>4935</v>
      </c>
      <c r="F17" s="59" t="s">
        <v>134</v>
      </c>
      <c r="G17" s="189" t="s">
        <v>135</v>
      </c>
    </row>
    <row r="18" spans="1:7" hidden="1" x14ac:dyDescent="0.3">
      <c r="A18" s="186">
        <v>45943</v>
      </c>
      <c r="B18" s="190" t="s">
        <v>175</v>
      </c>
      <c r="C18" s="187" t="s">
        <v>32</v>
      </c>
      <c r="D18" s="219" t="s">
        <v>331</v>
      </c>
      <c r="E18" s="205">
        <v>42921.04</v>
      </c>
      <c r="F18" s="207" t="s">
        <v>134</v>
      </c>
      <c r="G18" s="189" t="s">
        <v>135</v>
      </c>
    </row>
    <row r="19" spans="1:7" hidden="1" x14ac:dyDescent="0.3">
      <c r="A19" s="183">
        <v>45943</v>
      </c>
      <c r="B19" s="190" t="s">
        <v>175</v>
      </c>
      <c r="C19" s="187" t="s">
        <v>149</v>
      </c>
      <c r="D19" s="206" t="s">
        <v>201</v>
      </c>
      <c r="E19" s="188">
        <v>22930</v>
      </c>
      <c r="F19" s="59" t="s">
        <v>134</v>
      </c>
      <c r="G19" s="189" t="s">
        <v>135</v>
      </c>
    </row>
    <row r="20" spans="1:7" hidden="1" x14ac:dyDescent="0.3">
      <c r="A20" s="51">
        <v>45929</v>
      </c>
      <c r="B20" s="116" t="s">
        <v>172</v>
      </c>
      <c r="C20" s="114" t="s">
        <v>149</v>
      </c>
      <c r="D20" s="55" t="s">
        <v>332</v>
      </c>
      <c r="E20" s="56">
        <v>7440</v>
      </c>
      <c r="F20" s="53" t="s">
        <v>134</v>
      </c>
      <c r="G20" s="58" t="s">
        <v>135</v>
      </c>
    </row>
    <row r="21" spans="1:7" hidden="1" x14ac:dyDescent="0.3">
      <c r="A21" s="104">
        <v>45930</v>
      </c>
      <c r="B21" s="104" t="s">
        <v>172</v>
      </c>
      <c r="C21" s="15" t="s">
        <v>6</v>
      </c>
      <c r="D21" s="220" t="s">
        <v>162</v>
      </c>
      <c r="E21" s="110">
        <v>-1905.5</v>
      </c>
      <c r="F21" s="16" t="s">
        <v>8</v>
      </c>
      <c r="G21" s="6" t="s">
        <v>49</v>
      </c>
    </row>
    <row r="22" spans="1:7" hidden="1" x14ac:dyDescent="0.3">
      <c r="A22" s="104">
        <v>45930</v>
      </c>
      <c r="B22" s="104" t="s">
        <v>172</v>
      </c>
      <c r="C22" s="17" t="s">
        <v>43</v>
      </c>
      <c r="D22" s="17" t="s">
        <v>374</v>
      </c>
      <c r="E22" s="10">
        <v>-171000</v>
      </c>
      <c r="F22" s="16" t="s">
        <v>8</v>
      </c>
      <c r="G22" s="11" t="s">
        <v>44</v>
      </c>
    </row>
    <row r="23" spans="1:7" hidden="1" x14ac:dyDescent="0.3">
      <c r="A23" s="111">
        <v>45936</v>
      </c>
      <c r="B23" s="111" t="s">
        <v>175</v>
      </c>
      <c r="C23" s="17" t="s">
        <v>69</v>
      </c>
      <c r="D23" s="17" t="s">
        <v>169</v>
      </c>
      <c r="E23" s="10">
        <v>-2141.69</v>
      </c>
      <c r="F23" s="11" t="s">
        <v>8</v>
      </c>
      <c r="G23" s="11" t="s">
        <v>182</v>
      </c>
    </row>
    <row r="24" spans="1:7" hidden="1" x14ac:dyDescent="0.3">
      <c r="A24" s="111">
        <v>45938</v>
      </c>
      <c r="B24" s="111" t="s">
        <v>175</v>
      </c>
      <c r="C24" s="17" t="s">
        <v>69</v>
      </c>
      <c r="D24" s="17" t="s">
        <v>424</v>
      </c>
      <c r="E24" s="10">
        <v>-1000</v>
      </c>
      <c r="F24" s="11" t="s">
        <v>8</v>
      </c>
      <c r="G24" s="11" t="s">
        <v>154</v>
      </c>
    </row>
    <row r="25" spans="1:7" hidden="1" x14ac:dyDescent="0.3">
      <c r="A25" s="111">
        <v>45938</v>
      </c>
      <c r="B25" s="111" t="s">
        <v>175</v>
      </c>
      <c r="C25" s="17" t="s">
        <v>17</v>
      </c>
      <c r="D25" s="17" t="s">
        <v>425</v>
      </c>
      <c r="E25" s="10">
        <v>-1000</v>
      </c>
      <c r="F25" s="11" t="s">
        <v>8</v>
      </c>
      <c r="G25" s="11" t="s">
        <v>154</v>
      </c>
    </row>
    <row r="26" spans="1:7" hidden="1" x14ac:dyDescent="0.3">
      <c r="A26" s="111">
        <v>45938</v>
      </c>
      <c r="B26" s="111" t="s">
        <v>175</v>
      </c>
      <c r="C26" s="17" t="s">
        <v>25</v>
      </c>
      <c r="D26" s="17" t="s">
        <v>239</v>
      </c>
      <c r="E26" s="10">
        <v>-5600</v>
      </c>
      <c r="F26" s="11" t="s">
        <v>8</v>
      </c>
      <c r="G26" s="11" t="s">
        <v>154</v>
      </c>
    </row>
    <row r="27" spans="1:7" hidden="1" x14ac:dyDescent="0.3">
      <c r="A27" s="104">
        <v>45923</v>
      </c>
      <c r="B27" s="104" t="s">
        <v>172</v>
      </c>
      <c r="C27" s="9" t="s">
        <v>6</v>
      </c>
      <c r="D27" s="17" t="s">
        <v>341</v>
      </c>
      <c r="E27" s="10">
        <v>-4636.07</v>
      </c>
      <c r="F27" s="6" t="s">
        <v>8</v>
      </c>
      <c r="G27" s="11" t="s">
        <v>105</v>
      </c>
    </row>
    <row r="28" spans="1:7" hidden="1" x14ac:dyDescent="0.3">
      <c r="A28" s="104">
        <v>45923</v>
      </c>
      <c r="B28" s="104" t="s">
        <v>172</v>
      </c>
      <c r="C28" s="9" t="s">
        <v>6</v>
      </c>
      <c r="D28" s="17" t="s">
        <v>342</v>
      </c>
      <c r="E28" s="10">
        <v>-8011.38</v>
      </c>
      <c r="F28" s="6" t="s">
        <v>8</v>
      </c>
      <c r="G28" s="11" t="s">
        <v>105</v>
      </c>
    </row>
    <row r="29" spans="1:7" hidden="1" x14ac:dyDescent="0.3">
      <c r="A29" s="67">
        <v>45930</v>
      </c>
      <c r="B29" s="104" t="s">
        <v>172</v>
      </c>
      <c r="C29" s="17" t="s">
        <v>6</v>
      </c>
      <c r="D29" s="17" t="s">
        <v>337</v>
      </c>
      <c r="E29" s="10">
        <v>-2500</v>
      </c>
      <c r="F29" s="11" t="s">
        <v>8</v>
      </c>
      <c r="G29" s="11" t="s">
        <v>154</v>
      </c>
    </row>
    <row r="30" spans="1:7" hidden="1" x14ac:dyDescent="0.3">
      <c r="A30" s="104">
        <v>45923</v>
      </c>
      <c r="B30" s="104" t="s">
        <v>172</v>
      </c>
      <c r="C30" s="17" t="s">
        <v>43</v>
      </c>
      <c r="D30" s="17" t="s">
        <v>363</v>
      </c>
      <c r="E30" s="10">
        <v>-1000</v>
      </c>
      <c r="F30" s="16" t="s">
        <v>8</v>
      </c>
      <c r="G30" s="11" t="s">
        <v>182</v>
      </c>
    </row>
    <row r="31" spans="1:7" hidden="1" x14ac:dyDescent="0.3">
      <c r="A31" s="104">
        <v>45919</v>
      </c>
      <c r="B31" s="104" t="s">
        <v>172</v>
      </c>
      <c r="C31" s="17" t="s">
        <v>30</v>
      </c>
      <c r="D31" s="17" t="s">
        <v>347</v>
      </c>
      <c r="E31" s="10">
        <v>-353.3</v>
      </c>
      <c r="F31" s="16" t="s">
        <v>8</v>
      </c>
      <c r="G31" s="6" t="s">
        <v>49</v>
      </c>
    </row>
    <row r="32" spans="1:7" hidden="1" x14ac:dyDescent="0.3">
      <c r="A32" s="104">
        <v>45919</v>
      </c>
      <c r="B32" s="104" t="s">
        <v>172</v>
      </c>
      <c r="C32" s="17" t="s">
        <v>6</v>
      </c>
      <c r="D32" s="17" t="s">
        <v>347</v>
      </c>
      <c r="E32" s="10">
        <v>-812.59</v>
      </c>
      <c r="F32" s="16" t="s">
        <v>8</v>
      </c>
      <c r="G32" s="6" t="s">
        <v>49</v>
      </c>
    </row>
    <row r="33" spans="1:7" hidden="1" x14ac:dyDescent="0.3">
      <c r="A33" s="104">
        <v>45919</v>
      </c>
      <c r="B33" s="104" t="s">
        <v>172</v>
      </c>
      <c r="C33" s="17" t="s">
        <v>43</v>
      </c>
      <c r="D33" s="17" t="s">
        <v>347</v>
      </c>
      <c r="E33" s="10">
        <v>-847.92</v>
      </c>
      <c r="F33" s="16" t="s">
        <v>8</v>
      </c>
      <c r="G33" s="6" t="s">
        <v>49</v>
      </c>
    </row>
    <row r="34" spans="1:7" hidden="1" x14ac:dyDescent="0.3">
      <c r="A34" s="104">
        <v>45919</v>
      </c>
      <c r="B34" s="104" t="s">
        <v>172</v>
      </c>
      <c r="C34" s="17" t="s">
        <v>25</v>
      </c>
      <c r="D34" s="17" t="s">
        <v>347</v>
      </c>
      <c r="E34" s="10">
        <v>-1766.5</v>
      </c>
      <c r="F34" s="16" t="s">
        <v>8</v>
      </c>
      <c r="G34" s="6" t="s">
        <v>49</v>
      </c>
    </row>
    <row r="35" spans="1:7" hidden="1" x14ac:dyDescent="0.3">
      <c r="A35" s="104">
        <v>45919</v>
      </c>
      <c r="B35" s="104" t="s">
        <v>172</v>
      </c>
      <c r="C35" s="17" t="s">
        <v>32</v>
      </c>
      <c r="D35" s="17" t="s">
        <v>347</v>
      </c>
      <c r="E35" s="10">
        <v>-529.95000000000005</v>
      </c>
      <c r="F35" s="16" t="s">
        <v>8</v>
      </c>
      <c r="G35" s="6" t="s">
        <v>49</v>
      </c>
    </row>
    <row r="36" spans="1:7" hidden="1" x14ac:dyDescent="0.3">
      <c r="A36" s="104">
        <v>45919</v>
      </c>
      <c r="B36" s="104" t="s">
        <v>172</v>
      </c>
      <c r="C36" s="17" t="s">
        <v>94</v>
      </c>
      <c r="D36" s="17" t="s">
        <v>347</v>
      </c>
      <c r="E36" s="10">
        <v>-812.59</v>
      </c>
      <c r="F36" s="16" t="s">
        <v>8</v>
      </c>
      <c r="G36" s="6" t="s">
        <v>49</v>
      </c>
    </row>
    <row r="37" spans="1:7" hidden="1" x14ac:dyDescent="0.3">
      <c r="A37" s="104">
        <v>45919</v>
      </c>
      <c r="B37" s="104" t="s">
        <v>172</v>
      </c>
      <c r="C37" s="17" t="s">
        <v>31</v>
      </c>
      <c r="D37" s="17" t="s">
        <v>347</v>
      </c>
      <c r="E37" s="10">
        <v>-1589.85</v>
      </c>
      <c r="F37" s="16" t="s">
        <v>8</v>
      </c>
      <c r="G37" s="6" t="s">
        <v>49</v>
      </c>
    </row>
    <row r="38" spans="1:7" hidden="1" x14ac:dyDescent="0.3">
      <c r="A38" s="104">
        <v>45919</v>
      </c>
      <c r="B38" s="104" t="s">
        <v>172</v>
      </c>
      <c r="C38" s="17" t="s">
        <v>69</v>
      </c>
      <c r="D38" s="17" t="s">
        <v>347</v>
      </c>
      <c r="E38" s="10">
        <v>-918.58</v>
      </c>
      <c r="F38" s="16" t="s">
        <v>8</v>
      </c>
      <c r="G38" s="6" t="s">
        <v>49</v>
      </c>
    </row>
    <row r="39" spans="1:7" hidden="1" x14ac:dyDescent="0.3">
      <c r="A39" s="104">
        <v>45919</v>
      </c>
      <c r="B39" s="104" t="s">
        <v>172</v>
      </c>
      <c r="C39" s="17" t="s">
        <v>17</v>
      </c>
      <c r="D39" s="17" t="s">
        <v>347</v>
      </c>
      <c r="E39" s="10">
        <v>-989.24</v>
      </c>
      <c r="F39" s="16" t="s">
        <v>8</v>
      </c>
      <c r="G39" s="6" t="s">
        <v>49</v>
      </c>
    </row>
    <row r="40" spans="1:7" hidden="1" x14ac:dyDescent="0.3">
      <c r="A40" s="104">
        <v>45925</v>
      </c>
      <c r="B40" s="104" t="s">
        <v>172</v>
      </c>
      <c r="C40" s="15" t="s">
        <v>13</v>
      </c>
      <c r="D40" s="15" t="s">
        <v>382</v>
      </c>
      <c r="E40" s="19">
        <v>-1000</v>
      </c>
      <c r="F40" s="16" t="s">
        <v>8</v>
      </c>
      <c r="G40" s="6" t="s">
        <v>53</v>
      </c>
    </row>
    <row r="41" spans="1:7" hidden="1" x14ac:dyDescent="0.3">
      <c r="A41" s="104">
        <v>45923</v>
      </c>
      <c r="B41" s="104" t="s">
        <v>172</v>
      </c>
      <c r="C41" s="8" t="s">
        <v>69</v>
      </c>
      <c r="D41" s="17" t="s">
        <v>72</v>
      </c>
      <c r="E41" s="10">
        <v>-4375.75</v>
      </c>
      <c r="F41" s="16" t="s">
        <v>8</v>
      </c>
      <c r="G41" s="11" t="s">
        <v>71</v>
      </c>
    </row>
    <row r="42" spans="1:7" hidden="1" x14ac:dyDescent="0.3">
      <c r="A42" s="67">
        <v>45919</v>
      </c>
      <c r="B42" s="104" t="s">
        <v>172</v>
      </c>
      <c r="C42" s="8" t="s">
        <v>30</v>
      </c>
      <c r="D42" s="17" t="s">
        <v>163</v>
      </c>
      <c r="E42" s="10">
        <v>-3177.29</v>
      </c>
      <c r="F42" s="11" t="s">
        <v>8</v>
      </c>
      <c r="G42" s="11" t="s">
        <v>82</v>
      </c>
    </row>
    <row r="43" spans="1:7" hidden="1" x14ac:dyDescent="0.3">
      <c r="A43" s="67">
        <v>45919</v>
      </c>
      <c r="B43" s="104" t="s">
        <v>172</v>
      </c>
      <c r="C43" s="8" t="s">
        <v>6</v>
      </c>
      <c r="D43" s="17" t="s">
        <v>163</v>
      </c>
      <c r="E43" s="10">
        <v>-2247.35</v>
      </c>
      <c r="F43" s="11" t="s">
        <v>8</v>
      </c>
      <c r="G43" s="11" t="s">
        <v>82</v>
      </c>
    </row>
    <row r="44" spans="1:7" hidden="1" x14ac:dyDescent="0.3">
      <c r="A44" s="67">
        <v>45919</v>
      </c>
      <c r="B44" s="104" t="s">
        <v>172</v>
      </c>
      <c r="C44" s="8" t="s">
        <v>43</v>
      </c>
      <c r="D44" s="17" t="s">
        <v>163</v>
      </c>
      <c r="E44" s="10">
        <v>-1239.92</v>
      </c>
      <c r="F44" s="11" t="s">
        <v>8</v>
      </c>
      <c r="G44" s="11" t="s">
        <v>82</v>
      </c>
    </row>
    <row r="45" spans="1:7" hidden="1" x14ac:dyDescent="0.3">
      <c r="A45" s="67">
        <v>45919</v>
      </c>
      <c r="B45" s="104" t="s">
        <v>172</v>
      </c>
      <c r="C45" s="8" t="s">
        <v>43</v>
      </c>
      <c r="D45" s="17" t="s">
        <v>163</v>
      </c>
      <c r="E45" s="10">
        <v>-3409.78</v>
      </c>
      <c r="F45" s="11" t="s">
        <v>8</v>
      </c>
      <c r="G45" s="11" t="s">
        <v>82</v>
      </c>
    </row>
    <row r="46" spans="1:7" hidden="1" x14ac:dyDescent="0.3">
      <c r="A46" s="67">
        <v>45919</v>
      </c>
      <c r="B46" s="104" t="s">
        <v>172</v>
      </c>
      <c r="C46" s="8" t="s">
        <v>25</v>
      </c>
      <c r="D46" s="17" t="s">
        <v>163</v>
      </c>
      <c r="E46" s="10">
        <v>-3332.29</v>
      </c>
      <c r="F46" s="11" t="s">
        <v>8</v>
      </c>
      <c r="G46" s="11" t="s">
        <v>82</v>
      </c>
    </row>
    <row r="47" spans="1:7" hidden="1" x14ac:dyDescent="0.3">
      <c r="A47" s="67">
        <v>45919</v>
      </c>
      <c r="B47" s="104" t="s">
        <v>172</v>
      </c>
      <c r="C47" s="8" t="s">
        <v>32</v>
      </c>
      <c r="D47" s="17" t="s">
        <v>163</v>
      </c>
      <c r="E47" s="10">
        <v>-929.94</v>
      </c>
      <c r="F47" s="11" t="s">
        <v>8</v>
      </c>
      <c r="G47" s="11" t="s">
        <v>82</v>
      </c>
    </row>
    <row r="48" spans="1:7" hidden="1" x14ac:dyDescent="0.3">
      <c r="A48" s="67">
        <v>45919</v>
      </c>
      <c r="B48" s="104" t="s">
        <v>172</v>
      </c>
      <c r="C48" s="8" t="s">
        <v>94</v>
      </c>
      <c r="D48" s="17" t="s">
        <v>163</v>
      </c>
      <c r="E48" s="10">
        <v>-929.94</v>
      </c>
      <c r="F48" s="11" t="s">
        <v>8</v>
      </c>
      <c r="G48" s="11" t="s">
        <v>82</v>
      </c>
    </row>
    <row r="49" spans="1:7" hidden="1" x14ac:dyDescent="0.3">
      <c r="A49" s="67">
        <v>45919</v>
      </c>
      <c r="B49" s="104" t="s">
        <v>172</v>
      </c>
      <c r="C49" s="8" t="s">
        <v>31</v>
      </c>
      <c r="D49" s="17" t="s">
        <v>163</v>
      </c>
      <c r="E49" s="10">
        <v>-232.49</v>
      </c>
      <c r="F49" s="11" t="s">
        <v>8</v>
      </c>
      <c r="G49" s="11" t="s">
        <v>82</v>
      </c>
    </row>
    <row r="50" spans="1:7" hidden="1" x14ac:dyDescent="0.3">
      <c r="A50" s="67">
        <v>45919</v>
      </c>
      <c r="B50" s="104" t="s">
        <v>172</v>
      </c>
      <c r="C50" s="8" t="s">
        <v>69</v>
      </c>
      <c r="D50" s="17" t="s">
        <v>163</v>
      </c>
      <c r="E50" s="10">
        <v>-1084.93</v>
      </c>
      <c r="F50" s="11" t="s">
        <v>8</v>
      </c>
      <c r="G50" s="11" t="s">
        <v>82</v>
      </c>
    </row>
    <row r="51" spans="1:7" hidden="1" x14ac:dyDescent="0.3">
      <c r="A51" s="67">
        <v>45919</v>
      </c>
      <c r="B51" s="104" t="s">
        <v>172</v>
      </c>
      <c r="C51" s="8" t="s">
        <v>17</v>
      </c>
      <c r="D51" s="17" t="s">
        <v>163</v>
      </c>
      <c r="E51" s="10">
        <v>-154.99</v>
      </c>
      <c r="F51" s="11" t="s">
        <v>8</v>
      </c>
      <c r="G51" s="11" t="s">
        <v>82</v>
      </c>
    </row>
    <row r="52" spans="1:7" hidden="1" x14ac:dyDescent="0.3">
      <c r="A52" s="104">
        <v>45919</v>
      </c>
      <c r="B52" s="104" t="s">
        <v>172</v>
      </c>
      <c r="C52" s="78" t="s">
        <v>13</v>
      </c>
      <c r="D52" s="15" t="s">
        <v>376</v>
      </c>
      <c r="E52" s="19">
        <v>-5028.43</v>
      </c>
      <c r="F52" s="16" t="s">
        <v>8</v>
      </c>
      <c r="G52" s="11" t="s">
        <v>44</v>
      </c>
    </row>
    <row r="53" spans="1:7" hidden="1" x14ac:dyDescent="0.3">
      <c r="A53" s="104">
        <v>45922</v>
      </c>
      <c r="B53" s="104" t="s">
        <v>172</v>
      </c>
      <c r="C53" s="194" t="s">
        <v>6</v>
      </c>
      <c r="D53" s="15" t="s">
        <v>101</v>
      </c>
      <c r="E53" s="19">
        <v>-15860.65</v>
      </c>
      <c r="F53" s="16" t="s">
        <v>8</v>
      </c>
      <c r="G53" s="6" t="s">
        <v>102</v>
      </c>
    </row>
    <row r="54" spans="1:7" hidden="1" x14ac:dyDescent="0.3">
      <c r="A54" s="104">
        <v>45922</v>
      </c>
      <c r="B54" s="104" t="s">
        <v>172</v>
      </c>
      <c r="C54" s="194" t="s">
        <v>6</v>
      </c>
      <c r="D54" s="15" t="s">
        <v>103</v>
      </c>
      <c r="E54" s="10">
        <v>-1114.33</v>
      </c>
      <c r="F54" s="16" t="s">
        <v>8</v>
      </c>
      <c r="G54" s="6" t="s">
        <v>66</v>
      </c>
    </row>
    <row r="55" spans="1:7" hidden="1" x14ac:dyDescent="0.3">
      <c r="A55" s="104">
        <v>45922</v>
      </c>
      <c r="B55" s="104" t="s">
        <v>172</v>
      </c>
      <c r="C55" s="194" t="s">
        <v>6</v>
      </c>
      <c r="D55" s="15" t="s">
        <v>104</v>
      </c>
      <c r="E55" s="19">
        <v>-39.799999999999997</v>
      </c>
      <c r="F55" s="16" t="s">
        <v>8</v>
      </c>
      <c r="G55" s="6" t="s">
        <v>66</v>
      </c>
    </row>
    <row r="56" spans="1:7" hidden="1" x14ac:dyDescent="0.3">
      <c r="A56" s="120">
        <v>45922</v>
      </c>
      <c r="B56" s="104" t="s">
        <v>172</v>
      </c>
      <c r="C56" s="194" t="s">
        <v>43</v>
      </c>
      <c r="D56" s="15" t="s">
        <v>415</v>
      </c>
      <c r="E56" s="19">
        <v>-4492.67</v>
      </c>
      <c r="F56" s="16" t="s">
        <v>8</v>
      </c>
      <c r="G56" s="106" t="s">
        <v>105</v>
      </c>
    </row>
    <row r="57" spans="1:7" hidden="1" x14ac:dyDescent="0.3">
      <c r="A57" s="120">
        <v>45922</v>
      </c>
      <c r="B57" s="104" t="s">
        <v>172</v>
      </c>
      <c r="C57" s="194" t="s">
        <v>25</v>
      </c>
      <c r="D57" s="15" t="s">
        <v>416</v>
      </c>
      <c r="E57" s="19">
        <v>-1105.31</v>
      </c>
      <c r="F57" s="16" t="s">
        <v>8</v>
      </c>
      <c r="G57" s="106" t="s">
        <v>105</v>
      </c>
    </row>
    <row r="58" spans="1:7" hidden="1" x14ac:dyDescent="0.3">
      <c r="A58" s="120">
        <v>45922</v>
      </c>
      <c r="B58" s="104" t="s">
        <v>172</v>
      </c>
      <c r="C58" s="194" t="s">
        <v>30</v>
      </c>
      <c r="D58" s="15" t="s">
        <v>417</v>
      </c>
      <c r="E58" s="19">
        <v>-1375.8</v>
      </c>
      <c r="F58" s="16" t="s">
        <v>8</v>
      </c>
      <c r="G58" s="106" t="s">
        <v>105</v>
      </c>
    </row>
    <row r="59" spans="1:7" hidden="1" x14ac:dyDescent="0.3">
      <c r="A59" s="120">
        <v>45922</v>
      </c>
      <c r="B59" s="104" t="s">
        <v>172</v>
      </c>
      <c r="C59" s="194" t="s">
        <v>31</v>
      </c>
      <c r="D59" s="15" t="s">
        <v>418</v>
      </c>
      <c r="E59" s="19">
        <v>-1418.32</v>
      </c>
      <c r="F59" s="16" t="s">
        <v>8</v>
      </c>
      <c r="G59" s="106" t="s">
        <v>105</v>
      </c>
    </row>
    <row r="60" spans="1:7" hidden="1" x14ac:dyDescent="0.3">
      <c r="A60" s="120">
        <v>45922</v>
      </c>
      <c r="B60" s="104" t="s">
        <v>172</v>
      </c>
      <c r="C60" s="194" t="s">
        <v>32</v>
      </c>
      <c r="D60" s="15" t="s">
        <v>419</v>
      </c>
      <c r="E60" s="19">
        <v>-5040.0600000000004</v>
      </c>
      <c r="F60" s="16" t="s">
        <v>8</v>
      </c>
      <c r="G60" s="106" t="s">
        <v>105</v>
      </c>
    </row>
    <row r="61" spans="1:7" hidden="1" x14ac:dyDescent="0.3">
      <c r="A61" s="120">
        <v>45922</v>
      </c>
      <c r="B61" s="104" t="s">
        <v>172</v>
      </c>
      <c r="C61" s="194" t="s">
        <v>33</v>
      </c>
      <c r="D61" s="15" t="s">
        <v>420</v>
      </c>
      <c r="E61" s="19">
        <v>-5232.74</v>
      </c>
      <c r="F61" s="16" t="s">
        <v>8</v>
      </c>
      <c r="G61" s="106" t="s">
        <v>105</v>
      </c>
    </row>
    <row r="62" spans="1:7" hidden="1" x14ac:dyDescent="0.3">
      <c r="A62" s="120">
        <v>45922</v>
      </c>
      <c r="B62" s="104" t="s">
        <v>172</v>
      </c>
      <c r="C62" s="194" t="s">
        <v>29</v>
      </c>
      <c r="D62" s="15" t="s">
        <v>421</v>
      </c>
      <c r="E62" s="19">
        <v>-884.67</v>
      </c>
      <c r="F62" s="16" t="s">
        <v>8</v>
      </c>
      <c r="G62" s="106" t="s">
        <v>105</v>
      </c>
    </row>
    <row r="63" spans="1:7" hidden="1" x14ac:dyDescent="0.3">
      <c r="A63" s="120">
        <v>45922</v>
      </c>
      <c r="B63" s="104" t="s">
        <v>172</v>
      </c>
      <c r="C63" s="8" t="s">
        <v>17</v>
      </c>
      <c r="D63" s="17" t="s">
        <v>106</v>
      </c>
      <c r="E63" s="19">
        <v>-13668.57</v>
      </c>
      <c r="F63" s="16" t="s">
        <v>8</v>
      </c>
      <c r="G63" s="106" t="s">
        <v>105</v>
      </c>
    </row>
    <row r="64" spans="1:7" hidden="1" x14ac:dyDescent="0.3">
      <c r="A64" s="120">
        <v>45922</v>
      </c>
      <c r="B64" s="104" t="s">
        <v>172</v>
      </c>
      <c r="C64" s="17" t="s">
        <v>6</v>
      </c>
      <c r="D64" s="17" t="s">
        <v>107</v>
      </c>
      <c r="E64" s="19">
        <v>-3000</v>
      </c>
      <c r="F64" s="16" t="s">
        <v>8</v>
      </c>
      <c r="G64" s="106" t="s">
        <v>105</v>
      </c>
    </row>
    <row r="65" spans="1:7" hidden="1" x14ac:dyDescent="0.3">
      <c r="A65" s="104">
        <v>45919</v>
      </c>
      <c r="B65" s="104" t="s">
        <v>172</v>
      </c>
      <c r="C65" s="17" t="s">
        <v>30</v>
      </c>
      <c r="D65" s="17" t="s">
        <v>395</v>
      </c>
      <c r="E65" s="10">
        <v>-7240.94</v>
      </c>
      <c r="F65" s="16" t="s">
        <v>8</v>
      </c>
      <c r="G65" s="106" t="s">
        <v>105</v>
      </c>
    </row>
    <row r="66" spans="1:7" hidden="1" x14ac:dyDescent="0.3">
      <c r="A66" s="104">
        <v>45919</v>
      </c>
      <c r="B66" s="104" t="s">
        <v>172</v>
      </c>
      <c r="C66" s="17" t="s">
        <v>6</v>
      </c>
      <c r="D66" s="17" t="s">
        <v>396</v>
      </c>
      <c r="E66" s="10">
        <v>-10349.69</v>
      </c>
      <c r="F66" s="16" t="s">
        <v>8</v>
      </c>
      <c r="G66" s="106" t="s">
        <v>105</v>
      </c>
    </row>
    <row r="67" spans="1:7" hidden="1" x14ac:dyDescent="0.3">
      <c r="A67" s="104">
        <v>45919</v>
      </c>
      <c r="B67" s="104" t="s">
        <v>172</v>
      </c>
      <c r="C67" s="17" t="s">
        <v>43</v>
      </c>
      <c r="D67" s="17" t="s">
        <v>397</v>
      </c>
      <c r="E67" s="10">
        <v>-3877.89</v>
      </c>
      <c r="F67" s="16" t="s">
        <v>8</v>
      </c>
      <c r="G67" s="106" t="s">
        <v>105</v>
      </c>
    </row>
    <row r="68" spans="1:7" hidden="1" x14ac:dyDescent="0.3">
      <c r="A68" s="104">
        <v>45919</v>
      </c>
      <c r="B68" s="104" t="s">
        <v>172</v>
      </c>
      <c r="C68" s="17" t="s">
        <v>25</v>
      </c>
      <c r="D68" s="17" t="s">
        <v>398</v>
      </c>
      <c r="E68" s="10">
        <v>-6173.28</v>
      </c>
      <c r="F68" s="16" t="s">
        <v>8</v>
      </c>
      <c r="G68" s="106" t="s">
        <v>105</v>
      </c>
    </row>
    <row r="69" spans="1:7" hidden="1" x14ac:dyDescent="0.3">
      <c r="A69" s="104">
        <v>45919</v>
      </c>
      <c r="B69" s="104" t="s">
        <v>172</v>
      </c>
      <c r="C69" s="17" t="s">
        <v>32</v>
      </c>
      <c r="D69" s="17" t="s">
        <v>399</v>
      </c>
      <c r="E69" s="10">
        <v>-2131.9499999999998</v>
      </c>
      <c r="F69" s="16" t="s">
        <v>8</v>
      </c>
      <c r="G69" s="106" t="s">
        <v>105</v>
      </c>
    </row>
    <row r="70" spans="1:7" hidden="1" x14ac:dyDescent="0.3">
      <c r="A70" s="104">
        <v>45919</v>
      </c>
      <c r="B70" s="104" t="s">
        <v>172</v>
      </c>
      <c r="C70" s="17" t="s">
        <v>94</v>
      </c>
      <c r="D70" s="17" t="s">
        <v>400</v>
      </c>
      <c r="E70" s="10">
        <v>-54.75</v>
      </c>
      <c r="F70" s="16" t="s">
        <v>8</v>
      </c>
      <c r="G70" s="106" t="s">
        <v>105</v>
      </c>
    </row>
    <row r="71" spans="1:7" hidden="1" x14ac:dyDescent="0.3">
      <c r="A71" s="104">
        <v>45919</v>
      </c>
      <c r="B71" s="104" t="s">
        <v>172</v>
      </c>
      <c r="C71" s="17" t="s">
        <v>31</v>
      </c>
      <c r="D71" s="17" t="s">
        <v>401</v>
      </c>
      <c r="E71" s="10">
        <v>-7599.89</v>
      </c>
      <c r="F71" s="16" t="s">
        <v>8</v>
      </c>
      <c r="G71" s="106" t="s">
        <v>105</v>
      </c>
    </row>
    <row r="72" spans="1:7" hidden="1" x14ac:dyDescent="0.3">
      <c r="A72" s="104">
        <v>45919</v>
      </c>
      <c r="B72" s="104" t="s">
        <v>172</v>
      </c>
      <c r="C72" s="17" t="s">
        <v>69</v>
      </c>
      <c r="D72" s="95" t="s">
        <v>402</v>
      </c>
      <c r="E72" s="66">
        <v>-2851.4</v>
      </c>
      <c r="F72" s="37" t="s">
        <v>8</v>
      </c>
      <c r="G72" s="127" t="s">
        <v>105</v>
      </c>
    </row>
    <row r="73" spans="1:7" hidden="1" x14ac:dyDescent="0.3">
      <c r="A73" s="104">
        <v>45919</v>
      </c>
      <c r="B73" s="104" t="s">
        <v>172</v>
      </c>
      <c r="C73" s="17" t="s">
        <v>17</v>
      </c>
      <c r="D73" s="17" t="s">
        <v>403</v>
      </c>
      <c r="E73" s="10">
        <v>-16742.48</v>
      </c>
      <c r="F73" s="16" t="s">
        <v>8</v>
      </c>
      <c r="G73" s="106" t="s">
        <v>105</v>
      </c>
    </row>
    <row r="74" spans="1:7" hidden="1" x14ac:dyDescent="0.3">
      <c r="A74" s="104">
        <v>45919</v>
      </c>
      <c r="B74" s="104" t="s">
        <v>172</v>
      </c>
      <c r="C74" s="17" t="s">
        <v>30</v>
      </c>
      <c r="D74" s="17" t="s">
        <v>405</v>
      </c>
      <c r="E74" s="10">
        <v>-11538.22</v>
      </c>
      <c r="F74" s="16" t="s">
        <v>8</v>
      </c>
      <c r="G74" s="106" t="s">
        <v>105</v>
      </c>
    </row>
    <row r="75" spans="1:7" hidden="1" x14ac:dyDescent="0.3">
      <c r="A75" s="104">
        <v>45919</v>
      </c>
      <c r="B75" s="104" t="s">
        <v>172</v>
      </c>
      <c r="C75" s="17" t="s">
        <v>6</v>
      </c>
      <c r="D75" s="17" t="s">
        <v>406</v>
      </c>
      <c r="E75" s="10">
        <v>-5859.72</v>
      </c>
      <c r="F75" s="16" t="s">
        <v>8</v>
      </c>
      <c r="G75" s="106" t="s">
        <v>105</v>
      </c>
    </row>
    <row r="76" spans="1:7" hidden="1" x14ac:dyDescent="0.3">
      <c r="A76" s="104">
        <v>45919</v>
      </c>
      <c r="B76" s="104" t="s">
        <v>172</v>
      </c>
      <c r="C76" s="17" t="s">
        <v>43</v>
      </c>
      <c r="D76" s="17" t="s">
        <v>407</v>
      </c>
      <c r="E76" s="10">
        <v>-4698.51</v>
      </c>
      <c r="F76" s="16" t="s">
        <v>8</v>
      </c>
      <c r="G76" s="106" t="s">
        <v>105</v>
      </c>
    </row>
    <row r="77" spans="1:7" hidden="1" x14ac:dyDescent="0.3">
      <c r="A77" s="104">
        <v>45919</v>
      </c>
      <c r="B77" s="104" t="s">
        <v>172</v>
      </c>
      <c r="C77" s="17" t="s">
        <v>25</v>
      </c>
      <c r="D77" s="17" t="s">
        <v>408</v>
      </c>
      <c r="E77" s="10">
        <v>-8746.14</v>
      </c>
      <c r="F77" s="16" t="s">
        <v>8</v>
      </c>
      <c r="G77" s="106" t="s">
        <v>105</v>
      </c>
    </row>
    <row r="78" spans="1:7" hidden="1" x14ac:dyDescent="0.3">
      <c r="A78" s="104">
        <v>45919</v>
      </c>
      <c r="B78" s="104" t="s">
        <v>172</v>
      </c>
      <c r="C78" s="17" t="s">
        <v>32</v>
      </c>
      <c r="D78" s="17" t="s">
        <v>409</v>
      </c>
      <c r="E78" s="10">
        <v>-5082.6099999999997</v>
      </c>
      <c r="F78" s="16" t="s">
        <v>8</v>
      </c>
      <c r="G78" s="106" t="s">
        <v>105</v>
      </c>
    </row>
    <row r="79" spans="1:7" hidden="1" x14ac:dyDescent="0.3">
      <c r="A79" s="104">
        <v>45919</v>
      </c>
      <c r="B79" s="104" t="s">
        <v>172</v>
      </c>
      <c r="C79" s="17" t="s">
        <v>94</v>
      </c>
      <c r="D79" s="17" t="s">
        <v>410</v>
      </c>
      <c r="E79" s="10">
        <v>-2832.62</v>
      </c>
      <c r="F79" s="16" t="s">
        <v>8</v>
      </c>
      <c r="G79" s="106" t="s">
        <v>105</v>
      </c>
    </row>
    <row r="80" spans="1:7" hidden="1" x14ac:dyDescent="0.3">
      <c r="A80" s="104">
        <v>45919</v>
      </c>
      <c r="B80" s="104" t="s">
        <v>172</v>
      </c>
      <c r="C80" s="17" t="s">
        <v>31</v>
      </c>
      <c r="D80" s="17" t="s">
        <v>411</v>
      </c>
      <c r="E80" s="10">
        <v>-9064.18</v>
      </c>
      <c r="F80" s="16" t="s">
        <v>8</v>
      </c>
      <c r="G80" s="106" t="s">
        <v>105</v>
      </c>
    </row>
    <row r="81" spans="1:7" hidden="1" x14ac:dyDescent="0.3">
      <c r="A81" s="104">
        <v>45919</v>
      </c>
      <c r="B81" s="104" t="s">
        <v>172</v>
      </c>
      <c r="C81" s="17" t="s">
        <v>69</v>
      </c>
      <c r="D81" s="17" t="s">
        <v>412</v>
      </c>
      <c r="E81" s="10">
        <v>-3638.69</v>
      </c>
      <c r="F81" s="16" t="s">
        <v>8</v>
      </c>
      <c r="G81" s="106" t="s">
        <v>105</v>
      </c>
    </row>
    <row r="82" spans="1:7" hidden="1" x14ac:dyDescent="0.3">
      <c r="A82" s="104">
        <v>45919</v>
      </c>
      <c r="B82" s="104" t="s">
        <v>172</v>
      </c>
      <c r="C82" s="17" t="s">
        <v>17</v>
      </c>
      <c r="D82" s="17" t="s">
        <v>413</v>
      </c>
      <c r="E82" s="10">
        <v>-3544.6</v>
      </c>
      <c r="F82" s="16" t="s">
        <v>8</v>
      </c>
      <c r="G82" s="106" t="s">
        <v>105</v>
      </c>
    </row>
    <row r="83" spans="1:7" hidden="1" x14ac:dyDescent="0.3">
      <c r="A83" s="104">
        <v>45919</v>
      </c>
      <c r="B83" s="104" t="s">
        <v>172</v>
      </c>
      <c r="C83" s="17" t="s">
        <v>30</v>
      </c>
      <c r="D83" s="17" t="s">
        <v>404</v>
      </c>
      <c r="E83" s="10">
        <v>-184.78</v>
      </c>
      <c r="F83" s="16" t="s">
        <v>8</v>
      </c>
      <c r="G83" s="106" t="s">
        <v>105</v>
      </c>
    </row>
    <row r="84" spans="1:7" hidden="1" x14ac:dyDescent="0.3">
      <c r="A84" s="104">
        <v>45922</v>
      </c>
      <c r="B84" s="104" t="s">
        <v>172</v>
      </c>
      <c r="C84" s="212" t="s">
        <v>6</v>
      </c>
      <c r="D84" s="107" t="s">
        <v>377</v>
      </c>
      <c r="E84" s="223">
        <v>-72096.91</v>
      </c>
      <c r="F84" s="37" t="s">
        <v>8</v>
      </c>
      <c r="G84" s="46" t="s">
        <v>26</v>
      </c>
    </row>
    <row r="85" spans="1:7" hidden="1" x14ac:dyDescent="0.3">
      <c r="A85" s="104">
        <v>45922</v>
      </c>
      <c r="B85" s="104" t="s">
        <v>172</v>
      </c>
      <c r="C85" s="17" t="s">
        <v>6</v>
      </c>
      <c r="D85" s="17" t="s">
        <v>293</v>
      </c>
      <c r="E85" s="10">
        <v>-9186.57</v>
      </c>
      <c r="F85" s="16" t="s">
        <v>8</v>
      </c>
      <c r="G85" s="11" t="s">
        <v>79</v>
      </c>
    </row>
    <row r="86" spans="1:7" hidden="1" x14ac:dyDescent="0.3">
      <c r="A86" s="104">
        <v>45922</v>
      </c>
      <c r="B86" s="104" t="s">
        <v>172</v>
      </c>
      <c r="C86" s="17" t="s">
        <v>43</v>
      </c>
      <c r="D86" s="17" t="s">
        <v>293</v>
      </c>
      <c r="E86" s="10">
        <v>-1373.01</v>
      </c>
      <c r="F86" s="16" t="s">
        <v>8</v>
      </c>
      <c r="G86" s="11" t="s">
        <v>79</v>
      </c>
    </row>
    <row r="87" spans="1:7" hidden="1" x14ac:dyDescent="0.3">
      <c r="A87" s="104">
        <v>45922</v>
      </c>
      <c r="B87" s="104" t="s">
        <v>172</v>
      </c>
      <c r="C87" s="17" t="s">
        <v>32</v>
      </c>
      <c r="D87" s="17" t="s">
        <v>293</v>
      </c>
      <c r="E87" s="10">
        <v>-217.38</v>
      </c>
      <c r="F87" s="16" t="s">
        <v>8</v>
      </c>
      <c r="G87" s="11" t="s">
        <v>79</v>
      </c>
    </row>
    <row r="88" spans="1:7" hidden="1" x14ac:dyDescent="0.3">
      <c r="A88" s="104">
        <v>45922</v>
      </c>
      <c r="B88" s="104" t="s">
        <v>172</v>
      </c>
      <c r="C88" s="96" t="s">
        <v>94</v>
      </c>
      <c r="D88" s="17" t="s">
        <v>293</v>
      </c>
      <c r="E88" s="10">
        <v>-1366.4</v>
      </c>
      <c r="F88" s="16" t="s">
        <v>8</v>
      </c>
      <c r="G88" s="11" t="s">
        <v>79</v>
      </c>
    </row>
    <row r="89" spans="1:7" hidden="1" x14ac:dyDescent="0.3">
      <c r="A89" s="104">
        <v>45922</v>
      </c>
      <c r="B89" s="104" t="s">
        <v>172</v>
      </c>
      <c r="C89" s="96" t="s">
        <v>31</v>
      </c>
      <c r="D89" s="17" t="s">
        <v>293</v>
      </c>
      <c r="E89" s="10">
        <v>-3091.6</v>
      </c>
      <c r="F89" s="16" t="s">
        <v>8</v>
      </c>
      <c r="G89" s="11" t="s">
        <v>79</v>
      </c>
    </row>
    <row r="90" spans="1:7" hidden="1" x14ac:dyDescent="0.3">
      <c r="A90" s="104">
        <v>45922</v>
      </c>
      <c r="B90" s="104" t="s">
        <v>172</v>
      </c>
      <c r="C90" s="96" t="s">
        <v>69</v>
      </c>
      <c r="D90" s="17" t="s">
        <v>293</v>
      </c>
      <c r="E90" s="10">
        <v>-1565.84</v>
      </c>
      <c r="F90" s="16" t="s">
        <v>8</v>
      </c>
      <c r="G90" s="11" t="s">
        <v>79</v>
      </c>
    </row>
    <row r="91" spans="1:7" hidden="1" x14ac:dyDescent="0.3">
      <c r="A91" s="104">
        <v>45922</v>
      </c>
      <c r="B91" s="104" t="s">
        <v>172</v>
      </c>
      <c r="C91" s="96" t="s">
        <v>17</v>
      </c>
      <c r="D91" s="17" t="s">
        <v>293</v>
      </c>
      <c r="E91" s="10">
        <v>-16807.55</v>
      </c>
      <c r="F91" s="16" t="s">
        <v>8</v>
      </c>
      <c r="G91" s="11" t="s">
        <v>79</v>
      </c>
    </row>
    <row r="92" spans="1:7" hidden="1" x14ac:dyDescent="0.3">
      <c r="A92" s="104">
        <v>45922</v>
      </c>
      <c r="B92" s="104" t="s">
        <v>172</v>
      </c>
      <c r="C92" s="196" t="s">
        <v>25</v>
      </c>
      <c r="D92" s="17" t="s">
        <v>436</v>
      </c>
      <c r="E92" s="191">
        <v>-70</v>
      </c>
      <c r="F92" s="16" t="s">
        <v>8</v>
      </c>
      <c r="G92" s="11" t="s">
        <v>79</v>
      </c>
    </row>
    <row r="93" spans="1:7" hidden="1" x14ac:dyDescent="0.3">
      <c r="A93" s="104">
        <v>45922</v>
      </c>
      <c r="B93" s="104" t="s">
        <v>172</v>
      </c>
      <c r="C93" s="194" t="s">
        <v>6</v>
      </c>
      <c r="D93" s="15" t="s">
        <v>45</v>
      </c>
      <c r="E93" s="19">
        <v>-8000</v>
      </c>
      <c r="F93" s="16" t="s">
        <v>8</v>
      </c>
      <c r="G93" s="6" t="s">
        <v>26</v>
      </c>
    </row>
    <row r="94" spans="1:7" hidden="1" x14ac:dyDescent="0.3">
      <c r="A94" s="104">
        <v>45922</v>
      </c>
      <c r="B94" s="104" t="s">
        <v>172</v>
      </c>
      <c r="C94" s="194" t="s">
        <v>25</v>
      </c>
      <c r="D94" s="15" t="s">
        <v>385</v>
      </c>
      <c r="E94" s="19">
        <v>-3003.13</v>
      </c>
      <c r="F94" s="16" t="s">
        <v>8</v>
      </c>
      <c r="G94" s="72" t="s">
        <v>127</v>
      </c>
    </row>
    <row r="95" spans="1:7" hidden="1" x14ac:dyDescent="0.3">
      <c r="A95" s="67">
        <v>45922</v>
      </c>
      <c r="B95" s="104" t="s">
        <v>172</v>
      </c>
      <c r="C95" s="78" t="s">
        <v>17</v>
      </c>
      <c r="D95" s="15" t="s">
        <v>108</v>
      </c>
      <c r="E95" s="19">
        <v>-1700</v>
      </c>
      <c r="F95" s="16" t="s">
        <v>8</v>
      </c>
      <c r="G95" s="6" t="s">
        <v>109</v>
      </c>
    </row>
    <row r="96" spans="1:7" hidden="1" x14ac:dyDescent="0.3">
      <c r="A96" s="104">
        <v>45919</v>
      </c>
      <c r="B96" s="104" t="s">
        <v>172</v>
      </c>
      <c r="C96" s="15" t="s">
        <v>62</v>
      </c>
      <c r="D96" s="108" t="s">
        <v>110</v>
      </c>
      <c r="E96" s="105">
        <v>-8937.32</v>
      </c>
      <c r="F96" s="109" t="s">
        <v>8</v>
      </c>
      <c r="G96" s="34" t="s">
        <v>38</v>
      </c>
    </row>
    <row r="97" spans="1:7" hidden="1" x14ac:dyDescent="0.3">
      <c r="A97" s="104">
        <v>45919</v>
      </c>
      <c r="B97" s="104" t="s">
        <v>172</v>
      </c>
      <c r="C97" s="15" t="s">
        <v>17</v>
      </c>
      <c r="D97" s="15" t="s">
        <v>18</v>
      </c>
      <c r="E97" s="12">
        <v>-17235</v>
      </c>
      <c r="F97" s="16" t="s">
        <v>8</v>
      </c>
      <c r="G97" s="6" t="s">
        <v>19</v>
      </c>
    </row>
    <row r="98" spans="1:7" hidden="1" x14ac:dyDescent="0.3">
      <c r="A98" s="104">
        <v>45926</v>
      </c>
      <c r="B98" s="104" t="s">
        <v>172</v>
      </c>
      <c r="C98" s="15" t="s">
        <v>17</v>
      </c>
      <c r="D98" s="15" t="s">
        <v>18</v>
      </c>
      <c r="E98" s="12">
        <v>-17235</v>
      </c>
      <c r="F98" s="16" t="s">
        <v>8</v>
      </c>
      <c r="G98" s="6" t="s">
        <v>19</v>
      </c>
    </row>
    <row r="99" spans="1:7" hidden="1" x14ac:dyDescent="0.3">
      <c r="A99" s="67">
        <v>45925</v>
      </c>
      <c r="B99" s="104" t="s">
        <v>172</v>
      </c>
      <c r="C99" s="15" t="s">
        <v>43</v>
      </c>
      <c r="D99" s="108" t="s">
        <v>380</v>
      </c>
      <c r="E99" s="195">
        <v>-6379.82</v>
      </c>
      <c r="F99" s="16" t="s">
        <v>8</v>
      </c>
      <c r="G99" s="6" t="s">
        <v>61</v>
      </c>
    </row>
    <row r="100" spans="1:7" hidden="1" x14ac:dyDescent="0.3">
      <c r="A100" s="67">
        <v>45925</v>
      </c>
      <c r="B100" s="104" t="s">
        <v>172</v>
      </c>
      <c r="C100" s="15" t="s">
        <v>17</v>
      </c>
      <c r="D100" s="15" t="s">
        <v>111</v>
      </c>
      <c r="E100" s="10">
        <v>-84.3</v>
      </c>
      <c r="F100" s="16" t="s">
        <v>8</v>
      </c>
      <c r="G100" s="6" t="s">
        <v>66</v>
      </c>
    </row>
    <row r="101" spans="1:7" hidden="1" x14ac:dyDescent="0.3">
      <c r="A101" s="67">
        <v>45925</v>
      </c>
      <c r="B101" s="104" t="s">
        <v>172</v>
      </c>
      <c r="C101" s="17" t="s">
        <v>6</v>
      </c>
      <c r="D101" s="17" t="s">
        <v>242</v>
      </c>
      <c r="E101" s="10">
        <v>-2688.37</v>
      </c>
      <c r="F101" s="16" t="s">
        <v>8</v>
      </c>
      <c r="G101" s="11" t="s">
        <v>154</v>
      </c>
    </row>
    <row r="102" spans="1:7" hidden="1" x14ac:dyDescent="0.3">
      <c r="A102" s="67">
        <v>45925</v>
      </c>
      <c r="B102" s="104" t="s">
        <v>172</v>
      </c>
      <c r="C102" s="15" t="s">
        <v>6</v>
      </c>
      <c r="D102" s="15" t="s">
        <v>383</v>
      </c>
      <c r="E102" s="19">
        <v>-294.8</v>
      </c>
      <c r="F102" s="16" t="s">
        <v>8</v>
      </c>
      <c r="G102" s="6" t="s">
        <v>112</v>
      </c>
    </row>
    <row r="103" spans="1:7" hidden="1" x14ac:dyDescent="0.3">
      <c r="A103" s="67">
        <v>45925</v>
      </c>
      <c r="B103" s="104" t="s">
        <v>172</v>
      </c>
      <c r="C103" s="17" t="s">
        <v>43</v>
      </c>
      <c r="D103" s="17" t="s">
        <v>168</v>
      </c>
      <c r="E103" s="10">
        <v>-4484.68</v>
      </c>
      <c r="F103" s="16" t="s">
        <v>8</v>
      </c>
      <c r="G103" s="6" t="s">
        <v>182</v>
      </c>
    </row>
    <row r="104" spans="1:7" hidden="1" x14ac:dyDescent="0.3">
      <c r="A104" s="67">
        <v>45925</v>
      </c>
      <c r="B104" s="104" t="s">
        <v>172</v>
      </c>
      <c r="C104" s="17" t="s">
        <v>69</v>
      </c>
      <c r="D104" s="17" t="s">
        <v>166</v>
      </c>
      <c r="E104" s="10">
        <v>-886.67</v>
      </c>
      <c r="F104" s="16" t="s">
        <v>8</v>
      </c>
      <c r="G104" s="6" t="s">
        <v>167</v>
      </c>
    </row>
    <row r="105" spans="1:7" hidden="1" x14ac:dyDescent="0.3">
      <c r="A105" s="67">
        <v>45925</v>
      </c>
      <c r="B105" s="104" t="s">
        <v>172</v>
      </c>
      <c r="C105" s="17" t="s">
        <v>32</v>
      </c>
      <c r="D105" s="17" t="s">
        <v>442</v>
      </c>
      <c r="E105" s="191">
        <v>-636.88</v>
      </c>
      <c r="F105" s="16" t="s">
        <v>8</v>
      </c>
      <c r="G105" s="11" t="s">
        <v>73</v>
      </c>
    </row>
    <row r="106" spans="1:7" hidden="1" x14ac:dyDescent="0.3">
      <c r="A106" s="67">
        <v>45925</v>
      </c>
      <c r="B106" s="104" t="s">
        <v>172</v>
      </c>
      <c r="C106" s="17" t="s">
        <v>6</v>
      </c>
      <c r="D106" s="17" t="s">
        <v>366</v>
      </c>
      <c r="E106" s="10">
        <v>-2000</v>
      </c>
      <c r="F106" s="16" t="s">
        <v>8</v>
      </c>
      <c r="G106" s="11" t="s">
        <v>154</v>
      </c>
    </row>
    <row r="107" spans="1:7" hidden="1" x14ac:dyDescent="0.3">
      <c r="A107" s="67">
        <v>45925</v>
      </c>
      <c r="B107" s="104" t="s">
        <v>172</v>
      </c>
      <c r="C107" s="15" t="s">
        <v>25</v>
      </c>
      <c r="D107" s="15" t="s">
        <v>386</v>
      </c>
      <c r="E107" s="19">
        <v>-1956.28</v>
      </c>
      <c r="F107" s="16" t="s">
        <v>8</v>
      </c>
      <c r="G107" s="72" t="s">
        <v>127</v>
      </c>
    </row>
    <row r="108" spans="1:7" hidden="1" x14ac:dyDescent="0.3">
      <c r="A108" s="104">
        <v>45922</v>
      </c>
      <c r="B108" s="104" t="s">
        <v>172</v>
      </c>
      <c r="C108" s="15" t="s">
        <v>17</v>
      </c>
      <c r="D108" s="15" t="s">
        <v>115</v>
      </c>
      <c r="E108" s="19">
        <v>-19960</v>
      </c>
      <c r="F108" s="16" t="s">
        <v>8</v>
      </c>
      <c r="G108" s="6" t="s">
        <v>56</v>
      </c>
    </row>
    <row r="109" spans="1:7" hidden="1" x14ac:dyDescent="0.3">
      <c r="A109" s="67">
        <v>45929</v>
      </c>
      <c r="B109" s="104" t="s">
        <v>172</v>
      </c>
      <c r="C109" s="17" t="s">
        <v>43</v>
      </c>
      <c r="D109" s="17" t="s">
        <v>113</v>
      </c>
      <c r="E109" s="10">
        <v>-536.6</v>
      </c>
      <c r="F109" s="16" t="s">
        <v>8</v>
      </c>
      <c r="G109" s="11" t="s">
        <v>114</v>
      </c>
    </row>
    <row r="110" spans="1:7" hidden="1" x14ac:dyDescent="0.3">
      <c r="A110" s="67">
        <v>45929</v>
      </c>
      <c r="B110" s="104" t="s">
        <v>172</v>
      </c>
      <c r="C110" s="15" t="s">
        <v>17</v>
      </c>
      <c r="D110" s="15" t="s">
        <v>116</v>
      </c>
      <c r="E110" s="19">
        <v>-500</v>
      </c>
      <c r="F110" s="16" t="s">
        <v>8</v>
      </c>
      <c r="G110" s="6" t="s">
        <v>66</v>
      </c>
    </row>
    <row r="111" spans="1:7" hidden="1" x14ac:dyDescent="0.3">
      <c r="A111" s="67">
        <v>45930</v>
      </c>
      <c r="B111" s="104" t="s">
        <v>172</v>
      </c>
      <c r="C111" s="18" t="s">
        <v>62</v>
      </c>
      <c r="D111" s="15" t="s">
        <v>90</v>
      </c>
      <c r="E111" s="19">
        <v>-5000</v>
      </c>
      <c r="F111" s="6" t="s">
        <v>8</v>
      </c>
      <c r="G111" s="6" t="s">
        <v>38</v>
      </c>
    </row>
    <row r="112" spans="1:7" hidden="1" x14ac:dyDescent="0.3">
      <c r="A112" s="67">
        <v>45930</v>
      </c>
      <c r="B112" s="104" t="s">
        <v>172</v>
      </c>
      <c r="C112" s="8" t="s">
        <v>17</v>
      </c>
      <c r="D112" s="17" t="s">
        <v>117</v>
      </c>
      <c r="E112" s="10">
        <v>-3002.16</v>
      </c>
      <c r="F112" s="16" t="s">
        <v>8</v>
      </c>
      <c r="G112" s="6" t="s">
        <v>66</v>
      </c>
    </row>
    <row r="113" spans="1:7" hidden="1" x14ac:dyDescent="0.3">
      <c r="A113" s="67">
        <v>45930</v>
      </c>
      <c r="B113" s="104" t="s">
        <v>172</v>
      </c>
      <c r="C113" s="8" t="s">
        <v>17</v>
      </c>
      <c r="D113" s="17" t="s">
        <v>117</v>
      </c>
      <c r="E113" s="10">
        <v>-1576.11</v>
      </c>
      <c r="F113" s="16" t="s">
        <v>8</v>
      </c>
      <c r="G113" s="6" t="s">
        <v>66</v>
      </c>
    </row>
    <row r="114" spans="1:7" hidden="1" x14ac:dyDescent="0.3">
      <c r="A114" s="67">
        <v>45930</v>
      </c>
      <c r="B114" s="104" t="s">
        <v>172</v>
      </c>
      <c r="C114" s="15" t="s">
        <v>77</v>
      </c>
      <c r="D114" s="15" t="s">
        <v>78</v>
      </c>
      <c r="E114" s="19">
        <v>-15000</v>
      </c>
      <c r="F114" s="16" t="s">
        <v>8</v>
      </c>
      <c r="G114" s="6" t="s">
        <v>79</v>
      </c>
    </row>
    <row r="115" spans="1:7" hidden="1" x14ac:dyDescent="0.3">
      <c r="A115" s="104">
        <v>45926</v>
      </c>
      <c r="B115" s="104" t="s">
        <v>172</v>
      </c>
      <c r="C115" s="17" t="s">
        <v>43</v>
      </c>
      <c r="D115" s="17" t="s">
        <v>229</v>
      </c>
      <c r="E115" s="10">
        <v>-371.04</v>
      </c>
      <c r="F115" s="16" t="s">
        <v>8</v>
      </c>
      <c r="G115" s="6" t="s">
        <v>167</v>
      </c>
    </row>
    <row r="116" spans="1:7" hidden="1" x14ac:dyDescent="0.3">
      <c r="A116" s="104">
        <v>45929</v>
      </c>
      <c r="B116" s="104" t="s">
        <v>172</v>
      </c>
      <c r="C116" s="15" t="s">
        <v>17</v>
      </c>
      <c r="D116" s="15" t="s">
        <v>115</v>
      </c>
      <c r="E116" s="19">
        <v>-13251.8</v>
      </c>
      <c r="F116" s="16" t="s">
        <v>8</v>
      </c>
      <c r="G116" s="6" t="s">
        <v>56</v>
      </c>
    </row>
    <row r="117" spans="1:7" hidden="1" x14ac:dyDescent="0.3">
      <c r="A117" s="67">
        <v>45930</v>
      </c>
      <c r="B117" s="104" t="s">
        <v>172</v>
      </c>
      <c r="C117" s="15" t="s">
        <v>6</v>
      </c>
      <c r="D117" s="15" t="s">
        <v>119</v>
      </c>
      <c r="E117" s="19">
        <v>-35000</v>
      </c>
      <c r="F117" s="16" t="s">
        <v>8</v>
      </c>
      <c r="G117" s="106" t="s">
        <v>105</v>
      </c>
    </row>
    <row r="118" spans="1:7" hidden="1" x14ac:dyDescent="0.3">
      <c r="A118" s="67">
        <v>45930</v>
      </c>
      <c r="B118" s="104" t="s">
        <v>172</v>
      </c>
      <c r="C118" s="15" t="s">
        <v>6</v>
      </c>
      <c r="D118" s="15" t="s">
        <v>120</v>
      </c>
      <c r="E118" s="19">
        <v>-8000</v>
      </c>
      <c r="F118" s="16" t="s">
        <v>8</v>
      </c>
      <c r="G118" s="6" t="s">
        <v>92</v>
      </c>
    </row>
    <row r="119" spans="1:7" hidden="1" x14ac:dyDescent="0.3">
      <c r="A119" s="67">
        <v>45930</v>
      </c>
      <c r="B119" s="104" t="s">
        <v>172</v>
      </c>
      <c r="C119" s="15" t="s">
        <v>17</v>
      </c>
      <c r="D119" s="17" t="s">
        <v>121</v>
      </c>
      <c r="E119" s="19">
        <v>-1500</v>
      </c>
      <c r="F119" s="16" t="s">
        <v>8</v>
      </c>
      <c r="G119" s="6" t="s">
        <v>122</v>
      </c>
    </row>
    <row r="120" spans="1:7" hidden="1" x14ac:dyDescent="0.3">
      <c r="A120" s="67">
        <v>45930</v>
      </c>
      <c r="B120" s="104" t="s">
        <v>172</v>
      </c>
      <c r="C120" s="15" t="s">
        <v>17</v>
      </c>
      <c r="D120" s="17" t="s">
        <v>123</v>
      </c>
      <c r="E120" s="19">
        <v>-100</v>
      </c>
      <c r="F120" s="16" t="s">
        <v>8</v>
      </c>
      <c r="G120" s="6" t="s">
        <v>122</v>
      </c>
    </row>
    <row r="121" spans="1:7" hidden="1" x14ac:dyDescent="0.3">
      <c r="A121" s="67">
        <v>45930</v>
      </c>
      <c r="B121" s="104" t="s">
        <v>172</v>
      </c>
      <c r="C121" s="15" t="s">
        <v>13</v>
      </c>
      <c r="D121" s="15" t="s">
        <v>124</v>
      </c>
      <c r="E121" s="19">
        <v>-800</v>
      </c>
      <c r="F121" s="16" t="s">
        <v>8</v>
      </c>
      <c r="G121" s="6" t="s">
        <v>125</v>
      </c>
    </row>
    <row r="122" spans="1:7" hidden="1" x14ac:dyDescent="0.3">
      <c r="A122" s="67">
        <v>45930</v>
      </c>
      <c r="B122" s="104" t="s">
        <v>172</v>
      </c>
      <c r="C122" s="17" t="s">
        <v>17</v>
      </c>
      <c r="D122" s="17" t="s">
        <v>202</v>
      </c>
      <c r="E122" s="10">
        <v>-3256.25</v>
      </c>
      <c r="F122" s="16" t="s">
        <v>8</v>
      </c>
      <c r="G122" s="16" t="s">
        <v>126</v>
      </c>
    </row>
    <row r="123" spans="1:7" hidden="1" x14ac:dyDescent="0.3">
      <c r="A123" s="67">
        <v>45930</v>
      </c>
      <c r="B123" s="104" t="s">
        <v>172</v>
      </c>
      <c r="C123" s="17" t="s">
        <v>69</v>
      </c>
      <c r="D123" s="17" t="s">
        <v>169</v>
      </c>
      <c r="E123" s="10">
        <v>-2141.69</v>
      </c>
      <c r="F123" s="16" t="s">
        <v>8</v>
      </c>
      <c r="G123" s="17" t="s">
        <v>182</v>
      </c>
    </row>
    <row r="124" spans="1:7" hidden="1" x14ac:dyDescent="0.3">
      <c r="A124" s="67">
        <v>45932</v>
      </c>
      <c r="B124" s="104" t="s">
        <v>175</v>
      </c>
      <c r="C124" s="17" t="s">
        <v>43</v>
      </c>
      <c r="D124" s="96" t="s">
        <v>181</v>
      </c>
      <c r="E124" s="10">
        <v>-390</v>
      </c>
      <c r="F124" s="16" t="s">
        <v>8</v>
      </c>
      <c r="G124" s="11" t="s">
        <v>182</v>
      </c>
    </row>
    <row r="125" spans="1:7" hidden="1" x14ac:dyDescent="0.3">
      <c r="A125" s="67">
        <v>45932</v>
      </c>
      <c r="B125" s="104" t="s">
        <v>175</v>
      </c>
      <c r="C125" s="96" t="s">
        <v>43</v>
      </c>
      <c r="D125" s="17" t="s">
        <v>168</v>
      </c>
      <c r="E125" s="10">
        <v>-4484.68</v>
      </c>
      <c r="F125" s="16" t="s">
        <v>8</v>
      </c>
      <c r="G125" s="11" t="s">
        <v>182</v>
      </c>
    </row>
    <row r="126" spans="1:7" hidden="1" x14ac:dyDescent="0.3">
      <c r="A126" s="67">
        <v>45932</v>
      </c>
      <c r="B126" s="104" t="s">
        <v>175</v>
      </c>
      <c r="C126" s="96" t="s">
        <v>43</v>
      </c>
      <c r="D126" s="17" t="s">
        <v>181</v>
      </c>
      <c r="E126" s="10">
        <v>-1456</v>
      </c>
      <c r="F126" s="16" t="s">
        <v>8</v>
      </c>
      <c r="G126" s="11" t="s">
        <v>182</v>
      </c>
    </row>
    <row r="127" spans="1:7" hidden="1" x14ac:dyDescent="0.3">
      <c r="A127" s="67">
        <v>45932</v>
      </c>
      <c r="B127" s="104" t="s">
        <v>175</v>
      </c>
      <c r="C127" s="17" t="s">
        <v>30</v>
      </c>
      <c r="D127" s="17" t="s">
        <v>443</v>
      </c>
      <c r="E127" s="10">
        <v>-2152.61</v>
      </c>
      <c r="F127" s="16" t="s">
        <v>8</v>
      </c>
      <c r="G127" s="16" t="s">
        <v>126</v>
      </c>
    </row>
    <row r="128" spans="1:7" hidden="1" x14ac:dyDescent="0.3">
      <c r="A128" s="67">
        <v>45932</v>
      </c>
      <c r="B128" s="104" t="s">
        <v>175</v>
      </c>
      <c r="C128" s="17" t="s">
        <v>6</v>
      </c>
      <c r="D128" s="17" t="s">
        <v>388</v>
      </c>
      <c r="E128" s="10">
        <v>-2666.08</v>
      </c>
      <c r="F128" s="16" t="s">
        <v>8</v>
      </c>
      <c r="G128" s="16" t="s">
        <v>126</v>
      </c>
    </row>
    <row r="129" spans="1:7" hidden="1" x14ac:dyDescent="0.3">
      <c r="A129" s="67">
        <v>45932</v>
      </c>
      <c r="B129" s="104" t="s">
        <v>175</v>
      </c>
      <c r="C129" s="17" t="s">
        <v>6</v>
      </c>
      <c r="D129" s="17" t="s">
        <v>361</v>
      </c>
      <c r="E129" s="10">
        <v>-2675.88</v>
      </c>
      <c r="F129" s="16" t="s">
        <v>8</v>
      </c>
      <c r="G129" s="16" t="s">
        <v>126</v>
      </c>
    </row>
    <row r="130" spans="1:7" hidden="1" x14ac:dyDescent="0.3">
      <c r="A130" s="67">
        <v>45932</v>
      </c>
      <c r="B130" s="104" t="s">
        <v>175</v>
      </c>
      <c r="C130" s="17" t="s">
        <v>6</v>
      </c>
      <c r="D130" s="17" t="s">
        <v>359</v>
      </c>
      <c r="E130" s="10">
        <v>-2315.3000000000002</v>
      </c>
      <c r="F130" s="16" t="s">
        <v>8</v>
      </c>
      <c r="G130" s="16" t="s">
        <v>126</v>
      </c>
    </row>
    <row r="131" spans="1:7" hidden="1" x14ac:dyDescent="0.3">
      <c r="A131" s="67">
        <v>45932</v>
      </c>
      <c r="B131" s="104" t="s">
        <v>175</v>
      </c>
      <c r="C131" s="17" t="s">
        <v>6</v>
      </c>
      <c r="D131" s="17" t="s">
        <v>204</v>
      </c>
      <c r="E131" s="10">
        <v>-2287.7399999999998</v>
      </c>
      <c r="F131" s="16" t="s">
        <v>8</v>
      </c>
      <c r="G131" s="16" t="s">
        <v>126</v>
      </c>
    </row>
    <row r="132" spans="1:7" hidden="1" x14ac:dyDescent="0.3">
      <c r="A132" s="67">
        <v>45932</v>
      </c>
      <c r="B132" s="104" t="s">
        <v>175</v>
      </c>
      <c r="C132" s="17" t="s">
        <v>25</v>
      </c>
      <c r="D132" s="17" t="s">
        <v>394</v>
      </c>
      <c r="E132" s="10">
        <v>-2187.38</v>
      </c>
      <c r="F132" s="16" t="s">
        <v>8</v>
      </c>
      <c r="G132" s="16" t="s">
        <v>126</v>
      </c>
    </row>
    <row r="133" spans="1:7" hidden="1" x14ac:dyDescent="0.3">
      <c r="A133" s="67">
        <v>45932</v>
      </c>
      <c r="B133" s="104" t="s">
        <v>175</v>
      </c>
      <c r="C133" s="17" t="s">
        <v>25</v>
      </c>
      <c r="D133" s="17" t="s">
        <v>444</v>
      </c>
      <c r="E133" s="10">
        <v>-2643.56</v>
      </c>
      <c r="F133" s="16" t="s">
        <v>8</v>
      </c>
      <c r="G133" s="16" t="s">
        <v>126</v>
      </c>
    </row>
    <row r="134" spans="1:7" hidden="1" x14ac:dyDescent="0.3">
      <c r="A134" s="67">
        <v>45932</v>
      </c>
      <c r="B134" s="104" t="s">
        <v>175</v>
      </c>
      <c r="C134" s="17" t="s">
        <v>32</v>
      </c>
      <c r="D134" s="17" t="s">
        <v>445</v>
      </c>
      <c r="E134" s="10">
        <v>-2754.27</v>
      </c>
      <c r="F134" s="16" t="s">
        <v>8</v>
      </c>
      <c r="G134" s="16" t="s">
        <v>126</v>
      </c>
    </row>
    <row r="135" spans="1:7" hidden="1" x14ac:dyDescent="0.3">
      <c r="A135" s="67">
        <v>45932</v>
      </c>
      <c r="B135" s="104" t="s">
        <v>175</v>
      </c>
      <c r="C135" s="17" t="s">
        <v>32</v>
      </c>
      <c r="D135" s="17" t="s">
        <v>446</v>
      </c>
      <c r="E135" s="10">
        <v>-2684.2</v>
      </c>
      <c r="F135" s="16" t="s">
        <v>8</v>
      </c>
      <c r="G135" s="16" t="s">
        <v>126</v>
      </c>
    </row>
    <row r="136" spans="1:7" hidden="1" x14ac:dyDescent="0.3">
      <c r="A136" s="67">
        <v>45932</v>
      </c>
      <c r="B136" s="104" t="s">
        <v>175</v>
      </c>
      <c r="C136" s="17" t="s">
        <v>94</v>
      </c>
      <c r="D136" s="17" t="s">
        <v>447</v>
      </c>
      <c r="E136" s="10">
        <v>-2117.89</v>
      </c>
      <c r="F136" s="16" t="s">
        <v>8</v>
      </c>
      <c r="G136" s="16" t="s">
        <v>126</v>
      </c>
    </row>
    <row r="137" spans="1:7" hidden="1" x14ac:dyDescent="0.3">
      <c r="A137" s="67">
        <v>45932</v>
      </c>
      <c r="B137" s="104" t="s">
        <v>175</v>
      </c>
      <c r="C137" s="17" t="s">
        <v>94</v>
      </c>
      <c r="D137" s="17" t="s">
        <v>448</v>
      </c>
      <c r="E137" s="10">
        <v>-2720.59</v>
      </c>
      <c r="F137" s="16" t="s">
        <v>8</v>
      </c>
      <c r="G137" s="16" t="s">
        <v>126</v>
      </c>
    </row>
    <row r="138" spans="1:7" hidden="1" x14ac:dyDescent="0.3">
      <c r="A138" s="67">
        <v>45932</v>
      </c>
      <c r="B138" s="104" t="s">
        <v>175</v>
      </c>
      <c r="C138" s="17" t="s">
        <v>31</v>
      </c>
      <c r="D138" s="17" t="s">
        <v>449</v>
      </c>
      <c r="E138" s="10">
        <v>-2221.88</v>
      </c>
      <c r="F138" s="16" t="s">
        <v>8</v>
      </c>
      <c r="G138" s="16" t="s">
        <v>126</v>
      </c>
    </row>
    <row r="139" spans="1:7" hidden="1" x14ac:dyDescent="0.3">
      <c r="A139" s="67">
        <v>45932</v>
      </c>
      <c r="B139" s="104" t="s">
        <v>175</v>
      </c>
      <c r="C139" s="17" t="s">
        <v>69</v>
      </c>
      <c r="D139" s="17" t="s">
        <v>450</v>
      </c>
      <c r="E139" s="10">
        <v>-3584.26</v>
      </c>
      <c r="F139" s="16" t="s">
        <v>8</v>
      </c>
      <c r="G139" s="16" t="s">
        <v>126</v>
      </c>
    </row>
    <row r="140" spans="1:7" hidden="1" x14ac:dyDescent="0.3">
      <c r="A140" s="67">
        <v>45932</v>
      </c>
      <c r="B140" s="104" t="s">
        <v>175</v>
      </c>
      <c r="C140" s="17" t="s">
        <v>69</v>
      </c>
      <c r="D140" s="17" t="s">
        <v>451</v>
      </c>
      <c r="E140" s="10">
        <v>-2106.31</v>
      </c>
      <c r="F140" s="16" t="s">
        <v>8</v>
      </c>
      <c r="G140" s="16" t="s">
        <v>126</v>
      </c>
    </row>
    <row r="141" spans="1:7" hidden="1" x14ac:dyDescent="0.3">
      <c r="A141" s="67">
        <v>45932</v>
      </c>
      <c r="B141" s="104" t="s">
        <v>175</v>
      </c>
      <c r="C141" s="17" t="s">
        <v>69</v>
      </c>
      <c r="D141" s="17" t="s">
        <v>194</v>
      </c>
      <c r="E141" s="10">
        <v>-2570.3200000000002</v>
      </c>
      <c r="F141" s="16" t="s">
        <v>8</v>
      </c>
      <c r="G141" s="16" t="s">
        <v>126</v>
      </c>
    </row>
    <row r="142" spans="1:7" hidden="1" x14ac:dyDescent="0.3">
      <c r="A142" s="67">
        <v>45932</v>
      </c>
      <c r="B142" s="104" t="s">
        <v>175</v>
      </c>
      <c r="C142" s="17" t="s">
        <v>30</v>
      </c>
      <c r="D142" s="17" t="s">
        <v>452</v>
      </c>
      <c r="E142" s="10">
        <v>-2187.34</v>
      </c>
      <c r="F142" s="16" t="s">
        <v>8</v>
      </c>
      <c r="G142" s="16" t="s">
        <v>126</v>
      </c>
    </row>
    <row r="143" spans="1:7" hidden="1" x14ac:dyDescent="0.3">
      <c r="A143" s="67">
        <v>45932</v>
      </c>
      <c r="B143" s="104" t="s">
        <v>175</v>
      </c>
      <c r="C143" s="15" t="s">
        <v>6</v>
      </c>
      <c r="D143" s="17" t="s">
        <v>126</v>
      </c>
      <c r="E143" s="19">
        <v>-37688.269999999997</v>
      </c>
      <c r="F143" s="16" t="s">
        <v>8</v>
      </c>
      <c r="G143" s="16" t="s">
        <v>126</v>
      </c>
    </row>
    <row r="144" spans="1:7" hidden="1" x14ac:dyDescent="0.3">
      <c r="A144" s="67">
        <v>45930</v>
      </c>
      <c r="B144" s="104" t="s">
        <v>172</v>
      </c>
      <c r="C144" s="15" t="s">
        <v>17</v>
      </c>
      <c r="D144" s="17" t="s">
        <v>128</v>
      </c>
      <c r="E144" s="19">
        <v>-7000</v>
      </c>
      <c r="F144" s="16" t="s">
        <v>8</v>
      </c>
      <c r="G144" s="106" t="s">
        <v>105</v>
      </c>
    </row>
    <row r="145" spans="1:7" hidden="1" x14ac:dyDescent="0.3">
      <c r="A145" s="67">
        <v>45930</v>
      </c>
      <c r="B145" s="104" t="s">
        <v>172</v>
      </c>
      <c r="C145" s="15" t="s">
        <v>43</v>
      </c>
      <c r="D145" s="17" t="s">
        <v>129</v>
      </c>
      <c r="E145" s="19">
        <v>-4000</v>
      </c>
      <c r="F145" s="16" t="s">
        <v>8</v>
      </c>
      <c r="G145" s="106" t="s">
        <v>105</v>
      </c>
    </row>
    <row r="146" spans="1:7" hidden="1" x14ac:dyDescent="0.3">
      <c r="A146" s="67">
        <v>45930</v>
      </c>
      <c r="B146" s="104" t="s">
        <v>172</v>
      </c>
      <c r="C146" s="15" t="s">
        <v>77</v>
      </c>
      <c r="D146" s="15" t="s">
        <v>130</v>
      </c>
      <c r="E146" s="19">
        <v>-2700</v>
      </c>
      <c r="F146" s="16" t="s">
        <v>8</v>
      </c>
      <c r="G146" s="106" t="s">
        <v>105</v>
      </c>
    </row>
    <row r="147" spans="1:7" hidden="1" x14ac:dyDescent="0.3">
      <c r="A147" s="67">
        <v>45930</v>
      </c>
      <c r="B147" s="104" t="s">
        <v>172</v>
      </c>
      <c r="C147" s="15" t="s">
        <v>43</v>
      </c>
      <c r="D147" s="15" t="s">
        <v>131</v>
      </c>
      <c r="E147" s="19">
        <v>-1719.53</v>
      </c>
      <c r="F147" s="16" t="s">
        <v>8</v>
      </c>
      <c r="G147" s="16" t="s">
        <v>86</v>
      </c>
    </row>
    <row r="148" spans="1:7" hidden="1" x14ac:dyDescent="0.3">
      <c r="A148" s="67">
        <v>45930</v>
      </c>
      <c r="B148" s="104" t="s">
        <v>172</v>
      </c>
      <c r="C148" s="15" t="s">
        <v>6</v>
      </c>
      <c r="D148" s="15" t="s">
        <v>131</v>
      </c>
      <c r="E148" s="19">
        <v>-1392.65</v>
      </c>
      <c r="F148" s="16" t="s">
        <v>8</v>
      </c>
      <c r="G148" s="16" t="s">
        <v>86</v>
      </c>
    </row>
    <row r="149" spans="1:7" hidden="1" x14ac:dyDescent="0.3">
      <c r="A149" s="116">
        <v>45924</v>
      </c>
      <c r="B149" s="116" t="s">
        <v>172</v>
      </c>
      <c r="C149" s="114" t="s">
        <v>138</v>
      </c>
      <c r="D149" s="218" t="s">
        <v>387</v>
      </c>
      <c r="E149" s="224">
        <v>11225.96</v>
      </c>
      <c r="F149" s="53" t="s">
        <v>134</v>
      </c>
      <c r="G149" s="58" t="s">
        <v>135</v>
      </c>
    </row>
    <row r="150" spans="1:7" hidden="1" x14ac:dyDescent="0.3">
      <c r="A150" s="51">
        <v>45924</v>
      </c>
      <c r="B150" s="116" t="s">
        <v>172</v>
      </c>
      <c r="C150" s="114" t="s">
        <v>146</v>
      </c>
      <c r="D150" s="218" t="s">
        <v>148</v>
      </c>
      <c r="E150" s="115">
        <v>680.03</v>
      </c>
      <c r="F150" s="53" t="s">
        <v>134</v>
      </c>
      <c r="G150" s="58" t="s">
        <v>135</v>
      </c>
    </row>
    <row r="151" spans="1:7" hidden="1" x14ac:dyDescent="0.3">
      <c r="A151" s="104">
        <v>45924</v>
      </c>
      <c r="B151" s="104" t="s">
        <v>172</v>
      </c>
      <c r="C151" s="225" t="s">
        <v>17</v>
      </c>
      <c r="D151" s="231" t="s">
        <v>441</v>
      </c>
      <c r="E151" s="217">
        <v>-2500</v>
      </c>
      <c r="F151" s="16" t="s">
        <v>8</v>
      </c>
      <c r="G151" s="128" t="s">
        <v>105</v>
      </c>
    </row>
    <row r="152" spans="1:7" hidden="1" x14ac:dyDescent="0.3">
      <c r="A152" s="104">
        <v>45924</v>
      </c>
      <c r="B152" s="104" t="s">
        <v>172</v>
      </c>
      <c r="C152" s="8" t="s">
        <v>25</v>
      </c>
      <c r="D152" s="96" t="s">
        <v>169</v>
      </c>
      <c r="E152" s="10">
        <v>-985.45</v>
      </c>
      <c r="F152" s="16" t="s">
        <v>8</v>
      </c>
      <c r="G152" s="17" t="s">
        <v>182</v>
      </c>
    </row>
    <row r="153" spans="1:7" hidden="1" x14ac:dyDescent="0.3">
      <c r="A153" s="50">
        <v>45926</v>
      </c>
      <c r="B153" s="116" t="s">
        <v>172</v>
      </c>
      <c r="C153" s="114" t="s">
        <v>149</v>
      </c>
      <c r="D153" s="55" t="s">
        <v>153</v>
      </c>
      <c r="E153" s="56">
        <v>2373.8200000000002</v>
      </c>
      <c r="F153" s="53" t="s">
        <v>134</v>
      </c>
      <c r="G153" s="58" t="s">
        <v>135</v>
      </c>
    </row>
    <row r="154" spans="1:7" hidden="1" x14ac:dyDescent="0.3">
      <c r="A154" s="50">
        <v>45926</v>
      </c>
      <c r="B154" s="116" t="s">
        <v>172</v>
      </c>
      <c r="C154" s="114" t="s">
        <v>149</v>
      </c>
      <c r="D154" s="55" t="s">
        <v>153</v>
      </c>
      <c r="E154" s="56">
        <v>5823.82</v>
      </c>
      <c r="F154" s="53" t="s">
        <v>134</v>
      </c>
      <c r="G154" s="58" t="s">
        <v>135</v>
      </c>
    </row>
    <row r="155" spans="1:7" hidden="1" x14ac:dyDescent="0.3">
      <c r="A155" s="50">
        <v>45926</v>
      </c>
      <c r="B155" s="116" t="s">
        <v>172</v>
      </c>
      <c r="C155" s="114" t="s">
        <v>149</v>
      </c>
      <c r="D155" s="55" t="s">
        <v>153</v>
      </c>
      <c r="E155" s="56">
        <v>7526.95</v>
      </c>
      <c r="F155" s="53" t="s">
        <v>134</v>
      </c>
      <c r="G155" s="58" t="s">
        <v>135</v>
      </c>
    </row>
    <row r="156" spans="1:7" hidden="1" x14ac:dyDescent="0.3">
      <c r="A156" s="50">
        <v>45926</v>
      </c>
      <c r="B156" s="116" t="s">
        <v>172</v>
      </c>
      <c r="C156" s="114" t="s">
        <v>149</v>
      </c>
      <c r="D156" s="55" t="s">
        <v>153</v>
      </c>
      <c r="E156" s="56">
        <v>25756.63</v>
      </c>
      <c r="F156" s="53" t="s">
        <v>134</v>
      </c>
      <c r="G156" s="58" t="s">
        <v>135</v>
      </c>
    </row>
    <row r="157" spans="1:7" hidden="1" x14ac:dyDescent="0.3">
      <c r="A157" s="51">
        <v>45930</v>
      </c>
      <c r="B157" s="116" t="s">
        <v>172</v>
      </c>
      <c r="C157" s="114" t="s">
        <v>142</v>
      </c>
      <c r="D157" s="55" t="s">
        <v>391</v>
      </c>
      <c r="E157" s="119">
        <v>269278.32</v>
      </c>
      <c r="F157" s="53" t="s">
        <v>134</v>
      </c>
      <c r="G157" s="58" t="s">
        <v>135</v>
      </c>
    </row>
    <row r="158" spans="1:7" hidden="1" x14ac:dyDescent="0.3">
      <c r="A158" s="104">
        <v>45923</v>
      </c>
      <c r="B158" s="104" t="s">
        <v>172</v>
      </c>
      <c r="C158" s="17" t="s">
        <v>69</v>
      </c>
      <c r="D158" s="17" t="s">
        <v>169</v>
      </c>
      <c r="E158" s="10">
        <v>-2141.69</v>
      </c>
      <c r="F158" s="16" t="s">
        <v>8</v>
      </c>
      <c r="G158" s="11" t="s">
        <v>182</v>
      </c>
    </row>
    <row r="159" spans="1:7" hidden="1" x14ac:dyDescent="0.3">
      <c r="A159" s="104">
        <v>45923</v>
      </c>
      <c r="B159" s="104" t="s">
        <v>172</v>
      </c>
      <c r="C159" s="17" t="s">
        <v>17</v>
      </c>
      <c r="D159" s="17" t="s">
        <v>191</v>
      </c>
      <c r="E159" s="10">
        <v>-84.56</v>
      </c>
      <c r="F159" s="16" t="s">
        <v>8</v>
      </c>
      <c r="G159" s="11" t="s">
        <v>182</v>
      </c>
    </row>
    <row r="160" spans="1:7" hidden="1" x14ac:dyDescent="0.3">
      <c r="A160" s="197">
        <v>45923</v>
      </c>
      <c r="B160" s="197" t="s">
        <v>172</v>
      </c>
      <c r="C160" s="112" t="s">
        <v>25</v>
      </c>
      <c r="D160" s="112" t="s">
        <v>389</v>
      </c>
      <c r="E160" s="113">
        <v>-2574.0700000000002</v>
      </c>
      <c r="F160" s="16" t="s">
        <v>8</v>
      </c>
      <c r="G160" s="124" t="s">
        <v>105</v>
      </c>
    </row>
    <row r="161" spans="1:7" hidden="1" x14ac:dyDescent="0.3">
      <c r="A161" s="197">
        <v>45923</v>
      </c>
      <c r="B161" s="197" t="s">
        <v>172</v>
      </c>
      <c r="C161" s="112" t="s">
        <v>17</v>
      </c>
      <c r="D161" s="112" t="s">
        <v>390</v>
      </c>
      <c r="E161" s="113">
        <v>-2669.79</v>
      </c>
      <c r="F161" s="16" t="s">
        <v>8</v>
      </c>
      <c r="G161" s="124" t="s">
        <v>105</v>
      </c>
    </row>
    <row r="162" spans="1:7" hidden="1" x14ac:dyDescent="0.3">
      <c r="A162" s="197">
        <v>45923</v>
      </c>
      <c r="B162" s="197" t="s">
        <v>172</v>
      </c>
      <c r="C162" s="17" t="s">
        <v>17</v>
      </c>
      <c r="D162" s="17" t="s">
        <v>437</v>
      </c>
      <c r="E162" s="10">
        <v>-250.23</v>
      </c>
      <c r="F162" s="16" t="s">
        <v>8</v>
      </c>
      <c r="G162" s="124" t="s">
        <v>105</v>
      </c>
    </row>
    <row r="163" spans="1:7" hidden="1" x14ac:dyDescent="0.3">
      <c r="A163" s="197">
        <v>45923</v>
      </c>
      <c r="B163" s="197" t="s">
        <v>172</v>
      </c>
      <c r="C163" s="17" t="s">
        <v>25</v>
      </c>
      <c r="D163" s="17" t="s">
        <v>438</v>
      </c>
      <c r="E163" s="10">
        <v>-86.1</v>
      </c>
      <c r="F163" s="16" t="s">
        <v>8</v>
      </c>
      <c r="G163" s="11" t="s">
        <v>79</v>
      </c>
    </row>
    <row r="164" spans="1:7" hidden="1" x14ac:dyDescent="0.3">
      <c r="A164" s="197">
        <v>45923</v>
      </c>
      <c r="B164" s="197" t="s">
        <v>172</v>
      </c>
      <c r="C164" s="17" t="s">
        <v>25</v>
      </c>
      <c r="D164" s="17" t="s">
        <v>439</v>
      </c>
      <c r="E164" s="10">
        <v>-86.1</v>
      </c>
      <c r="F164" s="16" t="s">
        <v>8</v>
      </c>
      <c r="G164" s="11" t="s">
        <v>79</v>
      </c>
    </row>
    <row r="165" spans="1:7" hidden="1" x14ac:dyDescent="0.3">
      <c r="A165" s="197">
        <v>45923</v>
      </c>
      <c r="B165" s="197" t="s">
        <v>172</v>
      </c>
      <c r="C165" s="17" t="s">
        <v>69</v>
      </c>
      <c r="D165" s="17" t="s">
        <v>440</v>
      </c>
      <c r="E165" s="10">
        <v>-40</v>
      </c>
      <c r="F165" s="16" t="s">
        <v>8</v>
      </c>
      <c r="G165" s="11" t="s">
        <v>79</v>
      </c>
    </row>
    <row r="166" spans="1:7" hidden="1" x14ac:dyDescent="0.3">
      <c r="A166" s="67">
        <v>45923</v>
      </c>
      <c r="B166" s="104" t="s">
        <v>172</v>
      </c>
      <c r="C166" s="15" t="s">
        <v>30</v>
      </c>
      <c r="D166" s="15" t="s">
        <v>378</v>
      </c>
      <c r="E166" s="19">
        <v>-7000</v>
      </c>
      <c r="F166" s="16" t="s">
        <v>8</v>
      </c>
      <c r="G166" s="11" t="s">
        <v>44</v>
      </c>
    </row>
    <row r="167" spans="1:7" hidden="1" x14ac:dyDescent="0.3">
      <c r="A167" s="67">
        <v>45923</v>
      </c>
      <c r="B167" s="104" t="s">
        <v>172</v>
      </c>
      <c r="C167" s="15" t="s">
        <v>25</v>
      </c>
      <c r="D167" s="15" t="s">
        <v>379</v>
      </c>
      <c r="E167" s="19">
        <v>-7000</v>
      </c>
      <c r="F167" s="16" t="s">
        <v>8</v>
      </c>
      <c r="G167" s="11" t="s">
        <v>44</v>
      </c>
    </row>
    <row r="168" spans="1:7" hidden="1" x14ac:dyDescent="0.3">
      <c r="A168" s="104">
        <v>45919</v>
      </c>
      <c r="B168" s="104" t="s">
        <v>172</v>
      </c>
      <c r="C168" s="17" t="s">
        <v>69</v>
      </c>
      <c r="D168" s="17" t="s">
        <v>465</v>
      </c>
      <c r="E168" s="19">
        <v>-2298.27</v>
      </c>
      <c r="F168" s="16" t="s">
        <v>8</v>
      </c>
      <c r="G168" s="11" t="s">
        <v>127</v>
      </c>
    </row>
    <row r="169" spans="1:7" hidden="1" x14ac:dyDescent="0.3">
      <c r="A169" s="104">
        <v>45930</v>
      </c>
      <c r="B169" s="104" t="s">
        <v>172</v>
      </c>
      <c r="C169" s="17" t="s">
        <v>69</v>
      </c>
      <c r="D169" s="17" t="s">
        <v>466</v>
      </c>
      <c r="E169" s="10">
        <v>-2873</v>
      </c>
      <c r="F169" s="16" t="s">
        <v>8</v>
      </c>
      <c r="G169" s="6" t="s">
        <v>127</v>
      </c>
    </row>
    <row r="170" spans="1:7" hidden="1" x14ac:dyDescent="0.3">
      <c r="A170" s="104">
        <v>45919</v>
      </c>
      <c r="B170" s="104" t="s">
        <v>172</v>
      </c>
      <c r="C170" s="215" t="s">
        <v>30</v>
      </c>
      <c r="D170" s="15" t="s">
        <v>434</v>
      </c>
      <c r="E170" s="217">
        <v>-159.6</v>
      </c>
      <c r="F170" s="16" t="s">
        <v>8</v>
      </c>
      <c r="G170" s="6" t="s">
        <v>49</v>
      </c>
    </row>
    <row r="171" spans="1:7" hidden="1" x14ac:dyDescent="0.3">
      <c r="A171" s="104">
        <v>45919</v>
      </c>
      <c r="B171" s="104" t="s">
        <v>172</v>
      </c>
      <c r="C171" s="215" t="s">
        <v>6</v>
      </c>
      <c r="D171" s="15" t="s">
        <v>434</v>
      </c>
      <c r="E171" s="217">
        <v>-399</v>
      </c>
      <c r="F171" s="16" t="s">
        <v>8</v>
      </c>
      <c r="G171" s="6" t="s">
        <v>49</v>
      </c>
    </row>
    <row r="172" spans="1:7" hidden="1" x14ac:dyDescent="0.3">
      <c r="A172" s="104">
        <v>45919</v>
      </c>
      <c r="B172" s="104" t="s">
        <v>172</v>
      </c>
      <c r="C172" s="215" t="s">
        <v>43</v>
      </c>
      <c r="D172" s="15" t="s">
        <v>434</v>
      </c>
      <c r="E172" s="217">
        <v>-383.04</v>
      </c>
      <c r="F172" s="16" t="s">
        <v>8</v>
      </c>
      <c r="G172" s="6" t="s">
        <v>49</v>
      </c>
    </row>
    <row r="173" spans="1:7" hidden="1" x14ac:dyDescent="0.3">
      <c r="A173" s="104">
        <v>45919</v>
      </c>
      <c r="B173" s="104" t="s">
        <v>172</v>
      </c>
      <c r="C173" s="215" t="s">
        <v>25</v>
      </c>
      <c r="D173" s="15" t="s">
        <v>434</v>
      </c>
      <c r="E173" s="217">
        <v>-845.88</v>
      </c>
      <c r="F173" s="16" t="s">
        <v>8</v>
      </c>
      <c r="G173" s="6" t="s">
        <v>49</v>
      </c>
    </row>
    <row r="174" spans="1:7" hidden="1" x14ac:dyDescent="0.3">
      <c r="A174" s="104">
        <v>45919</v>
      </c>
      <c r="B174" s="104" t="s">
        <v>172</v>
      </c>
      <c r="C174" s="215" t="s">
        <v>32</v>
      </c>
      <c r="D174" s="15" t="s">
        <v>434</v>
      </c>
      <c r="E174" s="217">
        <v>-271.32</v>
      </c>
      <c r="F174" s="16" t="s">
        <v>8</v>
      </c>
      <c r="G174" s="6" t="s">
        <v>49</v>
      </c>
    </row>
    <row r="175" spans="1:7" hidden="1" x14ac:dyDescent="0.3">
      <c r="A175" s="104">
        <v>45919</v>
      </c>
      <c r="B175" s="104" t="s">
        <v>172</v>
      </c>
      <c r="C175" s="215" t="s">
        <v>94</v>
      </c>
      <c r="D175" s="15" t="s">
        <v>434</v>
      </c>
      <c r="E175" s="217">
        <v>-287.27999999999997</v>
      </c>
      <c r="F175" s="16" t="s">
        <v>8</v>
      </c>
      <c r="G175" s="6" t="s">
        <v>49</v>
      </c>
    </row>
    <row r="176" spans="1:7" hidden="1" x14ac:dyDescent="0.3">
      <c r="A176" s="104">
        <v>45919</v>
      </c>
      <c r="B176" s="104" t="s">
        <v>172</v>
      </c>
      <c r="C176" s="215" t="s">
        <v>31</v>
      </c>
      <c r="D176" s="15" t="s">
        <v>434</v>
      </c>
      <c r="E176" s="217">
        <v>-702.24</v>
      </c>
      <c r="F176" s="16" t="s">
        <v>8</v>
      </c>
      <c r="G176" s="6" t="s">
        <v>49</v>
      </c>
    </row>
    <row r="177" spans="1:7" hidden="1" x14ac:dyDescent="0.3">
      <c r="A177" s="104">
        <v>45919</v>
      </c>
      <c r="B177" s="104" t="s">
        <v>172</v>
      </c>
      <c r="C177" s="215" t="s">
        <v>69</v>
      </c>
      <c r="D177" s="15" t="s">
        <v>434</v>
      </c>
      <c r="E177" s="217">
        <v>-383.04</v>
      </c>
      <c r="F177" s="16" t="s">
        <v>8</v>
      </c>
      <c r="G177" s="6" t="s">
        <v>49</v>
      </c>
    </row>
    <row r="178" spans="1:7" hidden="1" x14ac:dyDescent="0.3">
      <c r="A178" s="104">
        <v>45919</v>
      </c>
      <c r="B178" s="104" t="s">
        <v>172</v>
      </c>
      <c r="C178" s="215" t="s">
        <v>17</v>
      </c>
      <c r="D178" s="15" t="s">
        <v>434</v>
      </c>
      <c r="E178" s="217">
        <v>-510.72</v>
      </c>
      <c r="F178" s="16" t="s">
        <v>8</v>
      </c>
      <c r="G178" s="6" t="s">
        <v>49</v>
      </c>
    </row>
    <row r="179" spans="1:7" hidden="1" x14ac:dyDescent="0.3">
      <c r="A179" s="104">
        <v>45930</v>
      </c>
      <c r="B179" s="104" t="s">
        <v>172</v>
      </c>
      <c r="C179" s="15" t="s">
        <v>30</v>
      </c>
      <c r="D179" s="220" t="s">
        <v>161</v>
      </c>
      <c r="E179" s="110">
        <v>-630</v>
      </c>
      <c r="F179" s="16" t="s">
        <v>8</v>
      </c>
      <c r="G179" s="6" t="s">
        <v>49</v>
      </c>
    </row>
    <row r="180" spans="1:7" hidden="1" x14ac:dyDescent="0.3">
      <c r="A180" s="67">
        <v>45922</v>
      </c>
      <c r="B180" s="104" t="s">
        <v>172</v>
      </c>
      <c r="C180" s="196" t="s">
        <v>30</v>
      </c>
      <c r="D180" s="17" t="s">
        <v>188</v>
      </c>
      <c r="E180" s="191">
        <v>-539.76</v>
      </c>
      <c r="F180" s="16" t="s">
        <v>8</v>
      </c>
      <c r="G180" s="226" t="s">
        <v>190</v>
      </c>
    </row>
    <row r="181" spans="1:7" hidden="1" x14ac:dyDescent="0.3">
      <c r="A181" s="67">
        <v>45922</v>
      </c>
      <c r="B181" s="104" t="s">
        <v>172</v>
      </c>
      <c r="C181" s="196" t="s">
        <v>30</v>
      </c>
      <c r="D181" s="90" t="s">
        <v>435</v>
      </c>
      <c r="E181" s="227">
        <v>-249.12</v>
      </c>
      <c r="F181" s="109" t="s">
        <v>8</v>
      </c>
      <c r="G181" s="228" t="s">
        <v>190</v>
      </c>
    </row>
    <row r="182" spans="1:7" hidden="1" x14ac:dyDescent="0.3">
      <c r="A182" s="61">
        <v>45922</v>
      </c>
      <c r="B182" s="209" t="s">
        <v>172</v>
      </c>
      <c r="C182" s="229" t="s">
        <v>17</v>
      </c>
      <c r="D182" s="47" t="s">
        <v>189</v>
      </c>
      <c r="E182" s="48">
        <v>-762.72</v>
      </c>
      <c r="F182" s="16" t="s">
        <v>8</v>
      </c>
      <c r="G182" s="230" t="s">
        <v>190</v>
      </c>
    </row>
    <row r="183" spans="1:7" hidden="1" x14ac:dyDescent="0.3">
      <c r="A183" s="67">
        <v>45922</v>
      </c>
      <c r="B183" s="104" t="s">
        <v>172</v>
      </c>
      <c r="C183" s="96" t="s">
        <v>43</v>
      </c>
      <c r="D183" s="17" t="s">
        <v>181</v>
      </c>
      <c r="E183" s="10">
        <v>-2510.4499999999998</v>
      </c>
      <c r="F183" s="16" t="s">
        <v>8</v>
      </c>
      <c r="G183" s="11" t="s">
        <v>182</v>
      </c>
    </row>
    <row r="184" spans="1:7" hidden="1" x14ac:dyDescent="0.3">
      <c r="A184" s="67">
        <v>45922</v>
      </c>
      <c r="B184" s="104" t="s">
        <v>172</v>
      </c>
      <c r="C184" s="96" t="s">
        <v>69</v>
      </c>
      <c r="D184" s="17" t="s">
        <v>365</v>
      </c>
      <c r="E184" s="10">
        <v>-1101.8399999999999</v>
      </c>
      <c r="F184" s="16" t="s">
        <v>8</v>
      </c>
      <c r="G184" s="6" t="s">
        <v>82</v>
      </c>
    </row>
    <row r="185" spans="1:7" hidden="1" x14ac:dyDescent="0.3">
      <c r="A185" s="67">
        <v>45930</v>
      </c>
      <c r="B185" s="104" t="s">
        <v>172</v>
      </c>
      <c r="C185" s="96" t="s">
        <v>30</v>
      </c>
      <c r="D185" s="17" t="s">
        <v>163</v>
      </c>
      <c r="E185" s="10">
        <v>-852.45</v>
      </c>
      <c r="F185" s="6" t="s">
        <v>8</v>
      </c>
      <c r="G185" s="6" t="s">
        <v>82</v>
      </c>
    </row>
    <row r="186" spans="1:7" hidden="1" x14ac:dyDescent="0.3">
      <c r="A186" s="67">
        <v>45930</v>
      </c>
      <c r="B186" s="104" t="s">
        <v>172</v>
      </c>
      <c r="C186" s="96" t="s">
        <v>6</v>
      </c>
      <c r="D186" s="17" t="s">
        <v>163</v>
      </c>
      <c r="E186" s="10">
        <v>-1549.9</v>
      </c>
      <c r="F186" s="6" t="s">
        <v>8</v>
      </c>
      <c r="G186" s="6" t="s">
        <v>82</v>
      </c>
    </row>
    <row r="187" spans="1:7" hidden="1" x14ac:dyDescent="0.3">
      <c r="A187" s="67">
        <v>45930</v>
      </c>
      <c r="B187" s="104" t="s">
        <v>172</v>
      </c>
      <c r="C187" s="96" t="s">
        <v>43</v>
      </c>
      <c r="D187" s="17" t="s">
        <v>163</v>
      </c>
      <c r="E187" s="10">
        <v>-1007.44</v>
      </c>
      <c r="F187" s="6" t="s">
        <v>8</v>
      </c>
      <c r="G187" s="6" t="s">
        <v>82</v>
      </c>
    </row>
    <row r="188" spans="1:7" hidden="1" x14ac:dyDescent="0.3">
      <c r="A188" s="67">
        <v>45930</v>
      </c>
      <c r="B188" s="104" t="s">
        <v>172</v>
      </c>
      <c r="C188" s="96" t="s">
        <v>43</v>
      </c>
      <c r="D188" s="17" t="s">
        <v>163</v>
      </c>
      <c r="E188" s="10">
        <v>-4882.1899999999996</v>
      </c>
      <c r="F188" s="6" t="s">
        <v>8</v>
      </c>
      <c r="G188" s="6" t="s">
        <v>82</v>
      </c>
    </row>
    <row r="189" spans="1:7" hidden="1" x14ac:dyDescent="0.3">
      <c r="A189" s="67">
        <v>45930</v>
      </c>
      <c r="B189" s="104" t="s">
        <v>172</v>
      </c>
      <c r="C189" s="96" t="s">
        <v>25</v>
      </c>
      <c r="D189" s="17" t="s">
        <v>163</v>
      </c>
      <c r="E189" s="10">
        <v>-2557.34</v>
      </c>
      <c r="F189" s="6" t="s">
        <v>8</v>
      </c>
      <c r="G189" s="6" t="s">
        <v>82</v>
      </c>
    </row>
    <row r="190" spans="1:7" hidden="1" x14ac:dyDescent="0.3">
      <c r="A190" s="67">
        <v>45930</v>
      </c>
      <c r="B190" s="104" t="s">
        <v>172</v>
      </c>
      <c r="C190" s="96" t="s">
        <v>32</v>
      </c>
      <c r="D190" s="17" t="s">
        <v>163</v>
      </c>
      <c r="E190" s="10">
        <v>-852.45</v>
      </c>
      <c r="F190" s="6" t="s">
        <v>8</v>
      </c>
      <c r="G190" s="6" t="s">
        <v>82</v>
      </c>
    </row>
    <row r="191" spans="1:7" hidden="1" x14ac:dyDescent="0.3">
      <c r="A191" s="67">
        <v>45930</v>
      </c>
      <c r="B191" s="104" t="s">
        <v>172</v>
      </c>
      <c r="C191" s="96" t="s">
        <v>94</v>
      </c>
      <c r="D191" s="17" t="s">
        <v>163</v>
      </c>
      <c r="E191" s="10">
        <v>-697.46</v>
      </c>
      <c r="F191" s="6" t="s">
        <v>8</v>
      </c>
      <c r="G191" s="6" t="s">
        <v>82</v>
      </c>
    </row>
    <row r="192" spans="1:7" hidden="1" x14ac:dyDescent="0.3">
      <c r="A192" s="67">
        <v>45930</v>
      </c>
      <c r="B192" s="104" t="s">
        <v>172</v>
      </c>
      <c r="C192" s="96" t="s">
        <v>31</v>
      </c>
      <c r="D192" s="17" t="s">
        <v>163</v>
      </c>
      <c r="E192" s="10">
        <v>-2092.37</v>
      </c>
      <c r="F192" s="6" t="s">
        <v>8</v>
      </c>
      <c r="G192" s="6" t="s">
        <v>82</v>
      </c>
    </row>
    <row r="193" spans="1:7" hidden="1" x14ac:dyDescent="0.3">
      <c r="A193" s="67">
        <v>45930</v>
      </c>
      <c r="B193" s="104" t="s">
        <v>172</v>
      </c>
      <c r="C193" s="96" t="s">
        <v>69</v>
      </c>
      <c r="D193" s="17" t="s">
        <v>163</v>
      </c>
      <c r="E193" s="10">
        <v>-1084.93</v>
      </c>
      <c r="F193" s="6" t="s">
        <v>8</v>
      </c>
      <c r="G193" s="6" t="s">
        <v>82</v>
      </c>
    </row>
    <row r="194" spans="1:7" hidden="1" x14ac:dyDescent="0.3">
      <c r="A194" s="67">
        <v>45930</v>
      </c>
      <c r="B194" s="104" t="s">
        <v>172</v>
      </c>
      <c r="C194" s="17" t="s">
        <v>17</v>
      </c>
      <c r="D194" s="17" t="s">
        <v>163</v>
      </c>
      <c r="E194" s="10">
        <v>-309.98</v>
      </c>
      <c r="F194" s="6" t="s">
        <v>8</v>
      </c>
      <c r="G194" s="6" t="s">
        <v>82</v>
      </c>
    </row>
    <row r="195" spans="1:7" hidden="1" x14ac:dyDescent="0.3">
      <c r="A195" s="67">
        <v>45930</v>
      </c>
      <c r="B195" s="104" t="s">
        <v>172</v>
      </c>
      <c r="C195" s="17" t="s">
        <v>6</v>
      </c>
      <c r="D195" s="17" t="s">
        <v>372</v>
      </c>
      <c r="E195" s="10">
        <v>-3000</v>
      </c>
      <c r="F195" s="11" t="s">
        <v>8</v>
      </c>
      <c r="G195" s="11" t="s">
        <v>154</v>
      </c>
    </row>
    <row r="196" spans="1:7" hidden="1" x14ac:dyDescent="0.3">
      <c r="A196" s="67">
        <v>45930</v>
      </c>
      <c r="B196" s="104" t="s">
        <v>172</v>
      </c>
      <c r="C196" s="17" t="s">
        <v>17</v>
      </c>
      <c r="D196" s="17" t="s">
        <v>373</v>
      </c>
      <c r="E196" s="10">
        <v>-2000</v>
      </c>
      <c r="F196" s="11" t="s">
        <v>8</v>
      </c>
      <c r="G196" s="11" t="s">
        <v>154</v>
      </c>
    </row>
    <row r="197" spans="1:7" hidden="1" x14ac:dyDescent="0.3">
      <c r="A197" s="67">
        <v>45930</v>
      </c>
      <c r="B197" s="104" t="s">
        <v>172</v>
      </c>
      <c r="C197" s="17" t="s">
        <v>6</v>
      </c>
      <c r="D197" s="17" t="s">
        <v>155</v>
      </c>
      <c r="E197" s="10">
        <v>-2000</v>
      </c>
      <c r="F197" s="11" t="s">
        <v>8</v>
      </c>
      <c r="G197" s="11" t="s">
        <v>154</v>
      </c>
    </row>
    <row r="198" spans="1:7" hidden="1" x14ac:dyDescent="0.3">
      <c r="A198" s="67">
        <v>45930</v>
      </c>
      <c r="B198" s="104" t="s">
        <v>172</v>
      </c>
      <c r="C198" s="17" t="s">
        <v>6</v>
      </c>
      <c r="D198" s="17" t="s">
        <v>233</v>
      </c>
      <c r="E198" s="10">
        <v>-1465</v>
      </c>
      <c r="F198" s="11" t="s">
        <v>8</v>
      </c>
      <c r="G198" s="11" t="s">
        <v>154</v>
      </c>
    </row>
    <row r="199" spans="1:7" hidden="1" x14ac:dyDescent="0.3">
      <c r="A199" s="67">
        <v>45930</v>
      </c>
      <c r="B199" s="104" t="s">
        <v>172</v>
      </c>
      <c r="C199" s="17" t="s">
        <v>6</v>
      </c>
      <c r="D199" s="17" t="s">
        <v>234</v>
      </c>
      <c r="E199" s="10">
        <v>-3836.54</v>
      </c>
      <c r="F199" s="11" t="s">
        <v>8</v>
      </c>
      <c r="G199" s="11" t="s">
        <v>154</v>
      </c>
    </row>
    <row r="200" spans="1:7" hidden="1" x14ac:dyDescent="0.3">
      <c r="A200" s="67">
        <v>45930</v>
      </c>
      <c r="B200" s="104" t="s">
        <v>172</v>
      </c>
      <c r="C200" s="17" t="s">
        <v>6</v>
      </c>
      <c r="D200" s="17" t="s">
        <v>235</v>
      </c>
      <c r="E200" s="10">
        <v>-3200</v>
      </c>
      <c r="F200" s="11" t="s">
        <v>8</v>
      </c>
      <c r="G200" s="11" t="s">
        <v>154</v>
      </c>
    </row>
    <row r="201" spans="1:7" hidden="1" x14ac:dyDescent="0.3">
      <c r="A201" s="67">
        <v>45930</v>
      </c>
      <c r="B201" s="104" t="s">
        <v>172</v>
      </c>
      <c r="C201" s="17" t="s">
        <v>43</v>
      </c>
      <c r="D201" s="17" t="s">
        <v>157</v>
      </c>
      <c r="E201" s="10">
        <v>-2500</v>
      </c>
      <c r="F201" s="11" t="s">
        <v>8</v>
      </c>
      <c r="G201" s="11" t="s">
        <v>154</v>
      </c>
    </row>
    <row r="202" spans="1:7" hidden="1" x14ac:dyDescent="0.3">
      <c r="A202" s="67">
        <v>45930</v>
      </c>
      <c r="B202" s="104" t="s">
        <v>172</v>
      </c>
      <c r="C202" s="17" t="s">
        <v>32</v>
      </c>
      <c r="D202" s="17" t="s">
        <v>236</v>
      </c>
      <c r="E202" s="10">
        <v>-1000</v>
      </c>
      <c r="F202" s="11" t="s">
        <v>8</v>
      </c>
      <c r="G202" s="11" t="s">
        <v>154</v>
      </c>
    </row>
    <row r="203" spans="1:7" hidden="1" x14ac:dyDescent="0.3">
      <c r="A203" s="67">
        <v>45930</v>
      </c>
      <c r="B203" s="104" t="s">
        <v>172</v>
      </c>
      <c r="C203" s="17" t="s">
        <v>17</v>
      </c>
      <c r="D203" s="17" t="s">
        <v>237</v>
      </c>
      <c r="E203" s="10">
        <v>-2864.92</v>
      </c>
      <c r="F203" s="11" t="s">
        <v>8</v>
      </c>
      <c r="G203" s="11" t="s">
        <v>154</v>
      </c>
    </row>
    <row r="204" spans="1:7" hidden="1" x14ac:dyDescent="0.3">
      <c r="A204" s="67">
        <v>45930</v>
      </c>
      <c r="B204" s="104" t="s">
        <v>172</v>
      </c>
      <c r="C204" s="17" t="s">
        <v>17</v>
      </c>
      <c r="D204" s="17" t="s">
        <v>160</v>
      </c>
      <c r="E204" s="10">
        <v>-1400</v>
      </c>
      <c r="F204" s="11" t="s">
        <v>8</v>
      </c>
      <c r="G204" s="11" t="s">
        <v>154</v>
      </c>
    </row>
    <row r="205" spans="1:7" hidden="1" x14ac:dyDescent="0.3">
      <c r="A205" s="67">
        <v>45930</v>
      </c>
      <c r="B205" s="104" t="s">
        <v>172</v>
      </c>
      <c r="C205" s="17" t="s">
        <v>17</v>
      </c>
      <c r="D205" s="17" t="s">
        <v>158</v>
      </c>
      <c r="E205" s="10">
        <v>-1916.67</v>
      </c>
      <c r="F205" s="11" t="s">
        <v>8</v>
      </c>
      <c r="G205" s="11" t="s">
        <v>154</v>
      </c>
    </row>
    <row r="206" spans="1:7" hidden="1" x14ac:dyDescent="0.3">
      <c r="A206" s="111">
        <v>45931</v>
      </c>
      <c r="B206" s="111" t="s">
        <v>175</v>
      </c>
      <c r="C206" s="95" t="s">
        <v>43</v>
      </c>
      <c r="D206" s="95" t="s">
        <v>243</v>
      </c>
      <c r="E206" s="66">
        <v>-3968.99</v>
      </c>
      <c r="F206" s="37" t="s">
        <v>8</v>
      </c>
      <c r="G206" s="84" t="s">
        <v>154</v>
      </c>
    </row>
    <row r="207" spans="1:7" hidden="1" x14ac:dyDescent="0.3">
      <c r="A207" s="123">
        <v>45945</v>
      </c>
      <c r="B207" s="123" t="s">
        <v>175</v>
      </c>
      <c r="C207" s="108" t="s">
        <v>6</v>
      </c>
      <c r="D207" s="108" t="s">
        <v>74</v>
      </c>
      <c r="E207" s="105">
        <v>-75000</v>
      </c>
      <c r="F207" s="34" t="s">
        <v>8</v>
      </c>
      <c r="G207" s="34" t="s">
        <v>40</v>
      </c>
    </row>
    <row r="208" spans="1:7" hidden="1" x14ac:dyDescent="0.3">
      <c r="A208" s="104">
        <v>45936</v>
      </c>
      <c r="B208" s="104" t="s">
        <v>175</v>
      </c>
      <c r="C208" s="15" t="s">
        <v>6</v>
      </c>
      <c r="D208" s="15" t="s">
        <v>42</v>
      </c>
      <c r="E208" s="19">
        <v>-17000</v>
      </c>
      <c r="F208" s="16" t="s">
        <v>8</v>
      </c>
      <c r="G208" s="6" t="s">
        <v>40</v>
      </c>
    </row>
    <row r="209" spans="1:7" hidden="1" x14ac:dyDescent="0.3">
      <c r="A209" s="67">
        <v>45932</v>
      </c>
      <c r="B209" s="104" t="s">
        <v>175</v>
      </c>
      <c r="C209" s="17" t="s">
        <v>17</v>
      </c>
      <c r="D209" s="17" t="s">
        <v>191</v>
      </c>
      <c r="E209" s="10">
        <v>-107.14</v>
      </c>
      <c r="F209" s="16" t="s">
        <v>8</v>
      </c>
      <c r="G209" s="11" t="s">
        <v>182</v>
      </c>
    </row>
    <row r="210" spans="1:7" hidden="1" x14ac:dyDescent="0.3">
      <c r="A210" s="67">
        <v>45932</v>
      </c>
      <c r="B210" s="104" t="s">
        <v>175</v>
      </c>
      <c r="C210" s="17" t="s">
        <v>69</v>
      </c>
      <c r="D210" s="17" t="s">
        <v>169</v>
      </c>
      <c r="E210" s="10">
        <v>-827.13995</v>
      </c>
      <c r="F210" s="16" t="s">
        <v>8</v>
      </c>
      <c r="G210" s="11" t="s">
        <v>182</v>
      </c>
    </row>
    <row r="211" spans="1:7" x14ac:dyDescent="0.3">
      <c r="A211" s="104">
        <v>45932</v>
      </c>
      <c r="B211" s="104" t="s">
        <v>175</v>
      </c>
      <c r="C211" s="8" t="s">
        <v>20</v>
      </c>
      <c r="D211" s="96" t="s">
        <v>21</v>
      </c>
      <c r="E211" s="19">
        <v>-900</v>
      </c>
      <c r="F211" s="16" t="s">
        <v>8</v>
      </c>
      <c r="G211" s="6" t="s">
        <v>22</v>
      </c>
    </row>
    <row r="212" spans="1:7" hidden="1" x14ac:dyDescent="0.3">
      <c r="A212" s="104">
        <v>45945</v>
      </c>
      <c r="B212" s="104" t="s">
        <v>175</v>
      </c>
      <c r="C212" s="15" t="s">
        <v>6</v>
      </c>
      <c r="D212" s="15" t="s">
        <v>75</v>
      </c>
      <c r="E212" s="19">
        <v>-47000</v>
      </c>
      <c r="F212" s="16" t="s">
        <v>8</v>
      </c>
      <c r="G212" s="6" t="s">
        <v>75</v>
      </c>
    </row>
    <row r="213" spans="1:7" hidden="1" x14ac:dyDescent="0.3">
      <c r="A213" s="104">
        <v>45919</v>
      </c>
      <c r="B213" s="104" t="s">
        <v>172</v>
      </c>
      <c r="C213" s="17" t="s">
        <v>69</v>
      </c>
      <c r="D213" s="17" t="s">
        <v>352</v>
      </c>
      <c r="E213" s="10">
        <v>-1400</v>
      </c>
      <c r="F213" s="16" t="s">
        <v>8</v>
      </c>
      <c r="G213" s="6" t="s">
        <v>182</v>
      </c>
    </row>
    <row r="214" spans="1:7" hidden="1" x14ac:dyDescent="0.3">
      <c r="A214" s="111">
        <v>45919</v>
      </c>
      <c r="B214" s="111" t="s">
        <v>172</v>
      </c>
      <c r="C214" s="95" t="s">
        <v>69</v>
      </c>
      <c r="D214" s="95" t="s">
        <v>185</v>
      </c>
      <c r="E214" s="66">
        <v>-35.299999999999997</v>
      </c>
      <c r="F214" s="37" t="s">
        <v>8</v>
      </c>
      <c r="G214" s="84" t="s">
        <v>186</v>
      </c>
    </row>
    <row r="215" spans="1:7" hidden="1" x14ac:dyDescent="0.3">
      <c r="A215" s="104">
        <v>45919</v>
      </c>
      <c r="B215" s="104" t="s">
        <v>172</v>
      </c>
      <c r="C215" s="17" t="s">
        <v>25</v>
      </c>
      <c r="D215" s="17" t="s">
        <v>197</v>
      </c>
      <c r="E215" s="10">
        <v>-168</v>
      </c>
      <c r="F215" s="16" t="s">
        <v>8</v>
      </c>
      <c r="G215" s="11" t="s">
        <v>79</v>
      </c>
    </row>
    <row r="216" spans="1:7" hidden="1" x14ac:dyDescent="0.3">
      <c r="A216" s="104">
        <v>45919</v>
      </c>
      <c r="B216" s="104" t="s">
        <v>172</v>
      </c>
      <c r="C216" s="17" t="s">
        <v>25</v>
      </c>
      <c r="D216" s="17" t="s">
        <v>432</v>
      </c>
      <c r="E216" s="10">
        <v>-220</v>
      </c>
      <c r="F216" s="16" t="s">
        <v>8</v>
      </c>
      <c r="G216" s="11" t="s">
        <v>79</v>
      </c>
    </row>
    <row r="217" spans="1:7" hidden="1" x14ac:dyDescent="0.3">
      <c r="A217" s="104">
        <v>45919</v>
      </c>
      <c r="B217" s="104" t="s">
        <v>172</v>
      </c>
      <c r="C217" s="17" t="s">
        <v>25</v>
      </c>
      <c r="D217" s="17" t="s">
        <v>356</v>
      </c>
      <c r="E217" s="10">
        <v>-180</v>
      </c>
      <c r="F217" s="16" t="s">
        <v>8</v>
      </c>
      <c r="G217" s="11" t="s">
        <v>79</v>
      </c>
    </row>
    <row r="218" spans="1:7" hidden="1" x14ac:dyDescent="0.3">
      <c r="A218" s="104">
        <v>45919</v>
      </c>
      <c r="B218" s="104" t="s">
        <v>172</v>
      </c>
      <c r="C218" s="17" t="s">
        <v>25</v>
      </c>
      <c r="D218" s="17" t="s">
        <v>433</v>
      </c>
      <c r="E218" s="10">
        <v>-147</v>
      </c>
      <c r="F218" s="16" t="s">
        <v>8</v>
      </c>
      <c r="G218" s="11" t="s">
        <v>79</v>
      </c>
    </row>
    <row r="219" spans="1:7" hidden="1" x14ac:dyDescent="0.3">
      <c r="A219" s="104">
        <v>45919</v>
      </c>
      <c r="B219" s="104" t="s">
        <v>172</v>
      </c>
      <c r="C219" s="17" t="s">
        <v>25</v>
      </c>
      <c r="D219" s="17" t="s">
        <v>362</v>
      </c>
      <c r="E219" s="10">
        <v>-163.19999999999999</v>
      </c>
      <c r="F219" s="16" t="s">
        <v>8</v>
      </c>
      <c r="G219" s="11" t="s">
        <v>79</v>
      </c>
    </row>
    <row r="220" spans="1:7" hidden="1" x14ac:dyDescent="0.3">
      <c r="A220" s="123">
        <v>45919</v>
      </c>
      <c r="B220" s="211" t="s">
        <v>172</v>
      </c>
      <c r="C220" s="47" t="s">
        <v>69</v>
      </c>
      <c r="D220" s="47" t="s">
        <v>392</v>
      </c>
      <c r="E220" s="192">
        <v>-3410.83</v>
      </c>
      <c r="F220" s="16" t="s">
        <v>8</v>
      </c>
      <c r="G220" s="11" t="s">
        <v>73</v>
      </c>
    </row>
    <row r="221" spans="1:7" hidden="1" x14ac:dyDescent="0.3">
      <c r="A221" s="123">
        <v>45919</v>
      </c>
      <c r="B221" s="123" t="s">
        <v>172</v>
      </c>
      <c r="C221" s="17" t="s">
        <v>17</v>
      </c>
      <c r="D221" s="17" t="s">
        <v>188</v>
      </c>
      <c r="E221" s="10">
        <v>-290.64</v>
      </c>
      <c r="F221" s="16" t="s">
        <v>8</v>
      </c>
      <c r="G221" s="11" t="s">
        <v>190</v>
      </c>
    </row>
    <row r="222" spans="1:7" hidden="1" x14ac:dyDescent="0.3">
      <c r="A222" s="104">
        <v>45919</v>
      </c>
      <c r="B222" s="209" t="s">
        <v>172</v>
      </c>
      <c r="C222" s="47" t="s">
        <v>17</v>
      </c>
      <c r="D222" s="47" t="s">
        <v>393</v>
      </c>
      <c r="E222" s="10">
        <v>-1759.52</v>
      </c>
      <c r="F222" s="16" t="s">
        <v>8</v>
      </c>
      <c r="G222" s="11" t="s">
        <v>73</v>
      </c>
    </row>
    <row r="223" spans="1:7" hidden="1" x14ac:dyDescent="0.3">
      <c r="A223" s="104">
        <v>45919</v>
      </c>
      <c r="B223" s="209" t="s">
        <v>172</v>
      </c>
      <c r="C223" s="47" t="s">
        <v>17</v>
      </c>
      <c r="D223" s="47" t="s">
        <v>422</v>
      </c>
      <c r="E223" s="10">
        <v>-101.87</v>
      </c>
      <c r="F223" s="16" t="s">
        <v>8</v>
      </c>
      <c r="G223" s="11" t="s">
        <v>73</v>
      </c>
    </row>
    <row r="224" spans="1:7" hidden="1" x14ac:dyDescent="0.3">
      <c r="A224" s="104">
        <v>45929</v>
      </c>
      <c r="B224" s="209" t="s">
        <v>172</v>
      </c>
      <c r="C224" s="210" t="s">
        <v>6</v>
      </c>
      <c r="D224" s="210" t="s">
        <v>414</v>
      </c>
      <c r="E224" s="19">
        <v>-4500</v>
      </c>
      <c r="F224" s="16" t="s">
        <v>8</v>
      </c>
      <c r="G224" s="6" t="s">
        <v>100</v>
      </c>
    </row>
    <row r="225" spans="1:7" hidden="1" x14ac:dyDescent="0.3">
      <c r="A225" s="104">
        <v>45940</v>
      </c>
      <c r="B225" s="104" t="s">
        <v>175</v>
      </c>
      <c r="C225" s="15" t="s">
        <v>6</v>
      </c>
      <c r="D225" s="15" t="s">
        <v>60</v>
      </c>
      <c r="E225" s="19">
        <v>-9500</v>
      </c>
      <c r="F225" s="16" t="s">
        <v>8</v>
      </c>
      <c r="G225" s="6" t="s">
        <v>61</v>
      </c>
    </row>
    <row r="226" spans="1:7" hidden="1" x14ac:dyDescent="0.3">
      <c r="A226" s="116">
        <v>45933</v>
      </c>
      <c r="B226" s="116" t="s">
        <v>175</v>
      </c>
      <c r="C226" s="114" t="s">
        <v>17</v>
      </c>
      <c r="D226" s="55" t="s">
        <v>152</v>
      </c>
      <c r="E226" s="115">
        <v>345280</v>
      </c>
      <c r="F226" s="53" t="s">
        <v>134</v>
      </c>
      <c r="G226" s="58" t="s">
        <v>135</v>
      </c>
    </row>
    <row r="227" spans="1:7" hidden="1" x14ac:dyDescent="0.3">
      <c r="A227" s="104">
        <v>45936</v>
      </c>
      <c r="B227" s="104" t="s">
        <v>175</v>
      </c>
      <c r="C227" s="18" t="s">
        <v>6</v>
      </c>
      <c r="D227" s="15" t="s">
        <v>23</v>
      </c>
      <c r="E227" s="19">
        <v>-3809.98</v>
      </c>
      <c r="F227" s="16" t="s">
        <v>8</v>
      </c>
      <c r="G227" s="6" t="s">
        <v>24</v>
      </c>
    </row>
    <row r="228" spans="1:7" hidden="1" x14ac:dyDescent="0.3">
      <c r="A228" s="104">
        <v>45945</v>
      </c>
      <c r="B228" s="104" t="s">
        <v>175</v>
      </c>
      <c r="C228" s="15" t="s">
        <v>17</v>
      </c>
      <c r="D228" s="15" t="s">
        <v>80</v>
      </c>
      <c r="E228" s="19">
        <v>-21000</v>
      </c>
      <c r="F228" s="16" t="s">
        <v>8</v>
      </c>
      <c r="G228" s="6" t="s">
        <v>56</v>
      </c>
    </row>
    <row r="229" spans="1:7" hidden="1" x14ac:dyDescent="0.3">
      <c r="A229" s="67">
        <v>45929</v>
      </c>
      <c r="B229" s="104" t="s">
        <v>172</v>
      </c>
      <c r="C229" s="17" t="s">
        <v>30</v>
      </c>
      <c r="D229" s="17" t="s">
        <v>367</v>
      </c>
      <c r="E229" s="10">
        <v>-1500</v>
      </c>
      <c r="F229" s="16" t="s">
        <v>8</v>
      </c>
      <c r="G229" s="11" t="s">
        <v>154</v>
      </c>
    </row>
    <row r="230" spans="1:7" hidden="1" x14ac:dyDescent="0.3">
      <c r="A230" s="67">
        <v>45929</v>
      </c>
      <c r="B230" s="104" t="s">
        <v>172</v>
      </c>
      <c r="C230" s="17" t="s">
        <v>6</v>
      </c>
      <c r="D230" s="17" t="s">
        <v>370</v>
      </c>
      <c r="E230" s="10">
        <v>-1000</v>
      </c>
      <c r="F230" s="16" t="s">
        <v>8</v>
      </c>
      <c r="G230" s="11" t="s">
        <v>154</v>
      </c>
    </row>
    <row r="231" spans="1:7" hidden="1" x14ac:dyDescent="0.3">
      <c r="A231" s="67">
        <v>45929</v>
      </c>
      <c r="B231" s="104" t="s">
        <v>172</v>
      </c>
      <c r="C231" s="17" t="s">
        <v>43</v>
      </c>
      <c r="D231" s="17" t="s">
        <v>369</v>
      </c>
      <c r="E231" s="10">
        <v>-3800</v>
      </c>
      <c r="F231" s="16" t="s">
        <v>8</v>
      </c>
      <c r="G231" s="11" t="s">
        <v>154</v>
      </c>
    </row>
    <row r="232" spans="1:7" hidden="1" x14ac:dyDescent="0.3">
      <c r="A232" s="67">
        <v>45929</v>
      </c>
      <c r="B232" s="104" t="s">
        <v>172</v>
      </c>
      <c r="C232" s="17" t="s">
        <v>30</v>
      </c>
      <c r="D232" s="17" t="s">
        <v>368</v>
      </c>
      <c r="E232" s="10">
        <v>-1000</v>
      </c>
      <c r="F232" s="16" t="s">
        <v>8</v>
      </c>
      <c r="G232" s="11" t="s">
        <v>154</v>
      </c>
    </row>
    <row r="233" spans="1:7" hidden="1" x14ac:dyDescent="0.3">
      <c r="A233" s="67">
        <v>45929</v>
      </c>
      <c r="B233" s="104" t="s">
        <v>172</v>
      </c>
      <c r="C233" s="17" t="s">
        <v>17</v>
      </c>
      <c r="D233" s="17" t="s">
        <v>191</v>
      </c>
      <c r="E233" s="10">
        <v>-136.44</v>
      </c>
      <c r="F233" s="16" t="s">
        <v>8</v>
      </c>
      <c r="G233" s="6" t="s">
        <v>182</v>
      </c>
    </row>
    <row r="234" spans="1:7" hidden="1" x14ac:dyDescent="0.3">
      <c r="A234" s="67">
        <v>45929</v>
      </c>
      <c r="B234" s="104" t="s">
        <v>172</v>
      </c>
      <c r="C234" s="17" t="s">
        <v>69</v>
      </c>
      <c r="D234" s="17" t="s">
        <v>371</v>
      </c>
      <c r="E234" s="10">
        <v>-1101.8399999999999</v>
      </c>
      <c r="F234" s="16" t="s">
        <v>8</v>
      </c>
      <c r="G234" s="6" t="s">
        <v>182</v>
      </c>
    </row>
    <row r="235" spans="1:7" hidden="1" x14ac:dyDescent="0.3">
      <c r="A235" s="67">
        <v>45929</v>
      </c>
      <c r="B235" s="104" t="s">
        <v>172</v>
      </c>
      <c r="C235" s="17" t="s">
        <v>43</v>
      </c>
      <c r="D235" s="17" t="s">
        <v>181</v>
      </c>
      <c r="E235" s="10">
        <v>-2510.4499999999998</v>
      </c>
      <c r="F235" s="16" t="s">
        <v>8</v>
      </c>
      <c r="G235" s="6" t="s">
        <v>182</v>
      </c>
    </row>
    <row r="236" spans="1:7" hidden="1" x14ac:dyDescent="0.3">
      <c r="A236" s="67">
        <v>45929</v>
      </c>
      <c r="B236" s="104" t="s">
        <v>172</v>
      </c>
      <c r="C236" s="17" t="s">
        <v>69</v>
      </c>
      <c r="D236" s="17" t="s">
        <v>183</v>
      </c>
      <c r="E236" s="10">
        <v>-354.28</v>
      </c>
      <c r="F236" s="16" t="s">
        <v>8</v>
      </c>
      <c r="G236" s="6" t="s">
        <v>182</v>
      </c>
    </row>
    <row r="237" spans="1:7" hidden="1" x14ac:dyDescent="0.3">
      <c r="A237" s="67">
        <v>45929</v>
      </c>
      <c r="B237" s="104" t="s">
        <v>172</v>
      </c>
      <c r="C237" s="17" t="s">
        <v>25</v>
      </c>
      <c r="D237" s="17" t="s">
        <v>203</v>
      </c>
      <c r="E237" s="10">
        <v>-61.28</v>
      </c>
      <c r="F237" s="16" t="s">
        <v>8</v>
      </c>
      <c r="G237" s="6" t="s">
        <v>182</v>
      </c>
    </row>
    <row r="238" spans="1:7" x14ac:dyDescent="0.3">
      <c r="A238" s="67">
        <v>45929</v>
      </c>
      <c r="B238" s="104" t="s">
        <v>172</v>
      </c>
      <c r="C238" s="18" t="s">
        <v>6</v>
      </c>
      <c r="D238" s="15" t="s">
        <v>384</v>
      </c>
      <c r="E238" s="19">
        <v>-35714.57</v>
      </c>
      <c r="F238" s="6" t="s">
        <v>8</v>
      </c>
      <c r="G238" s="11" t="s">
        <v>44</v>
      </c>
    </row>
    <row r="239" spans="1:7" x14ac:dyDescent="0.3">
      <c r="A239" s="104">
        <v>45940</v>
      </c>
      <c r="B239" s="104" t="s">
        <v>175</v>
      </c>
      <c r="C239" s="8" t="s">
        <v>6</v>
      </c>
      <c r="D239" s="17" t="s">
        <v>67</v>
      </c>
      <c r="E239" s="10">
        <v>-545.78</v>
      </c>
      <c r="F239" s="16" t="s">
        <v>8</v>
      </c>
      <c r="G239" s="11" t="s">
        <v>68</v>
      </c>
    </row>
    <row r="240" spans="1:7" hidden="1" x14ac:dyDescent="0.3">
      <c r="A240" s="104">
        <v>45940</v>
      </c>
      <c r="B240" s="104" t="s">
        <v>175</v>
      </c>
      <c r="C240" s="15" t="s">
        <v>13</v>
      </c>
      <c r="D240" s="15" t="s">
        <v>48</v>
      </c>
      <c r="E240" s="19">
        <v>-9000</v>
      </c>
      <c r="F240" s="16" t="s">
        <v>8</v>
      </c>
      <c r="G240" s="6" t="s">
        <v>49</v>
      </c>
    </row>
    <row r="241" spans="1:7" hidden="1" x14ac:dyDescent="0.3">
      <c r="A241" s="104">
        <v>45931</v>
      </c>
      <c r="B241" s="104" t="s">
        <v>175</v>
      </c>
      <c r="C241" s="15" t="s">
        <v>13</v>
      </c>
      <c r="D241" s="15" t="s">
        <v>16</v>
      </c>
      <c r="E241" s="19">
        <v>-1500</v>
      </c>
      <c r="F241" s="16" t="s">
        <v>8</v>
      </c>
      <c r="G241" s="6" t="s">
        <v>15</v>
      </c>
    </row>
    <row r="242" spans="1:7" hidden="1" x14ac:dyDescent="0.3">
      <c r="A242" s="104">
        <v>45931</v>
      </c>
      <c r="B242" s="104" t="s">
        <v>175</v>
      </c>
      <c r="C242" s="15" t="s">
        <v>13</v>
      </c>
      <c r="D242" s="15" t="s">
        <v>14</v>
      </c>
      <c r="E242" s="19">
        <v>-1500</v>
      </c>
      <c r="F242" s="16" t="s">
        <v>8</v>
      </c>
      <c r="G242" s="6" t="s">
        <v>15</v>
      </c>
    </row>
    <row r="243" spans="1:7" hidden="1" x14ac:dyDescent="0.3">
      <c r="A243" s="104">
        <v>45945</v>
      </c>
      <c r="B243" s="104" t="s">
        <v>175</v>
      </c>
      <c r="C243" s="8" t="s">
        <v>30</v>
      </c>
      <c r="D243" s="13" t="s">
        <v>86</v>
      </c>
      <c r="E243" s="19">
        <v>-2302.0500000000002</v>
      </c>
      <c r="F243" s="16" t="s">
        <v>8</v>
      </c>
      <c r="G243" s="6" t="s">
        <v>86</v>
      </c>
    </row>
    <row r="244" spans="1:7" hidden="1" x14ac:dyDescent="0.3">
      <c r="A244" s="104">
        <v>45945</v>
      </c>
      <c r="B244" s="104" t="s">
        <v>175</v>
      </c>
      <c r="C244" s="18" t="s">
        <v>25</v>
      </c>
      <c r="D244" s="13" t="s">
        <v>86</v>
      </c>
      <c r="E244" s="19">
        <v>-1248.99</v>
      </c>
      <c r="F244" s="16" t="s">
        <v>8</v>
      </c>
      <c r="G244" s="6" t="s">
        <v>86</v>
      </c>
    </row>
    <row r="245" spans="1:7" hidden="1" x14ac:dyDescent="0.3">
      <c r="A245" s="104">
        <v>45945</v>
      </c>
      <c r="B245" s="104" t="s">
        <v>175</v>
      </c>
      <c r="C245" s="15" t="s">
        <v>17</v>
      </c>
      <c r="D245" s="15" t="s">
        <v>85</v>
      </c>
      <c r="E245" s="19">
        <v>-12000</v>
      </c>
      <c r="F245" s="16" t="s">
        <v>8</v>
      </c>
      <c r="G245" s="6" t="s">
        <v>86</v>
      </c>
    </row>
    <row r="246" spans="1:7" hidden="1" x14ac:dyDescent="0.3">
      <c r="A246" s="104">
        <v>45940</v>
      </c>
      <c r="B246" s="104" t="s">
        <v>175</v>
      </c>
      <c r="C246" s="15" t="s">
        <v>30</v>
      </c>
      <c r="D246" s="15" t="s">
        <v>57</v>
      </c>
      <c r="E246" s="19">
        <v>-9000</v>
      </c>
      <c r="F246" s="16" t="s">
        <v>8</v>
      </c>
      <c r="G246" s="6" t="s">
        <v>56</v>
      </c>
    </row>
    <row r="247" spans="1:7" hidden="1" x14ac:dyDescent="0.3">
      <c r="A247" s="104">
        <v>45945</v>
      </c>
      <c r="B247" s="104" t="s">
        <v>175</v>
      </c>
      <c r="C247" s="18" t="s">
        <v>62</v>
      </c>
      <c r="D247" s="15" t="s">
        <v>90</v>
      </c>
      <c r="E247" s="19">
        <v>-877.96</v>
      </c>
      <c r="F247" s="6" t="s">
        <v>8</v>
      </c>
      <c r="G247" s="6" t="s">
        <v>38</v>
      </c>
    </row>
    <row r="248" spans="1:7" hidden="1" x14ac:dyDescent="0.3">
      <c r="A248" s="104">
        <v>45936</v>
      </c>
      <c r="B248" s="104" t="s">
        <v>175</v>
      </c>
      <c r="C248" s="8" t="s">
        <v>30</v>
      </c>
      <c r="D248" s="17" t="s">
        <v>37</v>
      </c>
      <c r="E248" s="19">
        <v>-760</v>
      </c>
      <c r="F248" s="16" t="s">
        <v>8</v>
      </c>
      <c r="G248" s="11" t="s">
        <v>38</v>
      </c>
    </row>
    <row r="249" spans="1:7" hidden="1" x14ac:dyDescent="0.3">
      <c r="A249" s="116">
        <v>45943</v>
      </c>
      <c r="B249" s="116" t="s">
        <v>175</v>
      </c>
      <c r="C249" s="114" t="s">
        <v>142</v>
      </c>
      <c r="D249" s="55" t="s">
        <v>144</v>
      </c>
      <c r="E249" s="115">
        <v>4880.1400000000003</v>
      </c>
      <c r="F249" s="53" t="s">
        <v>134</v>
      </c>
      <c r="G249" s="58" t="s">
        <v>135</v>
      </c>
    </row>
    <row r="250" spans="1:7" hidden="1" x14ac:dyDescent="0.3">
      <c r="A250" s="104">
        <v>45936</v>
      </c>
      <c r="B250" s="104" t="s">
        <v>175</v>
      </c>
      <c r="C250" s="18" t="s">
        <v>34</v>
      </c>
      <c r="D250" s="15" t="s">
        <v>35</v>
      </c>
      <c r="E250" s="19">
        <v>-3000</v>
      </c>
      <c r="F250" s="16" t="s">
        <v>8</v>
      </c>
      <c r="G250" s="6" t="s">
        <v>36</v>
      </c>
    </row>
    <row r="251" spans="1:7" hidden="1" x14ac:dyDescent="0.3">
      <c r="A251" s="116">
        <v>45943</v>
      </c>
      <c r="B251" s="116" t="s">
        <v>175</v>
      </c>
      <c r="C251" s="114" t="s">
        <v>146</v>
      </c>
      <c r="D251" s="55" t="s">
        <v>147</v>
      </c>
      <c r="E251" s="56">
        <v>257.81</v>
      </c>
      <c r="F251" s="53" t="s">
        <v>134</v>
      </c>
      <c r="G251" s="58" t="s">
        <v>135</v>
      </c>
    </row>
    <row r="252" spans="1:7" hidden="1" x14ac:dyDescent="0.3">
      <c r="A252" s="116">
        <v>45931</v>
      </c>
      <c r="B252" s="116" t="s">
        <v>175</v>
      </c>
      <c r="C252" s="114" t="s">
        <v>136</v>
      </c>
      <c r="D252" s="55" t="s">
        <v>137</v>
      </c>
      <c r="E252" s="52">
        <v>799.2</v>
      </c>
      <c r="F252" s="53" t="s">
        <v>134</v>
      </c>
      <c r="G252" s="58" t="s">
        <v>135</v>
      </c>
    </row>
    <row r="253" spans="1:7" hidden="1" x14ac:dyDescent="0.3">
      <c r="A253" s="116">
        <v>45931</v>
      </c>
      <c r="B253" s="116" t="s">
        <v>175</v>
      </c>
      <c r="C253" s="114" t="s">
        <v>136</v>
      </c>
      <c r="D253" s="55" t="s">
        <v>137</v>
      </c>
      <c r="E253" s="52">
        <v>18532.8</v>
      </c>
      <c r="F253" s="53" t="s">
        <v>134</v>
      </c>
      <c r="G253" s="58" t="s">
        <v>135</v>
      </c>
    </row>
    <row r="254" spans="1:7" hidden="1" x14ac:dyDescent="0.3">
      <c r="A254" s="123">
        <v>45931</v>
      </c>
      <c r="B254" s="123" t="s">
        <v>175</v>
      </c>
      <c r="C254" s="108" t="s">
        <v>6</v>
      </c>
      <c r="D254" s="108" t="s">
        <v>12</v>
      </c>
      <c r="E254" s="105">
        <v>-201</v>
      </c>
      <c r="F254" s="109" t="s">
        <v>8</v>
      </c>
      <c r="G254" s="34" t="s">
        <v>9</v>
      </c>
    </row>
    <row r="255" spans="1:7" hidden="1" x14ac:dyDescent="0.3">
      <c r="A255" s="104">
        <v>45931</v>
      </c>
      <c r="B255" s="104" t="s">
        <v>175</v>
      </c>
      <c r="C255" s="18" t="s">
        <v>6</v>
      </c>
      <c r="D255" s="15" t="s">
        <v>7</v>
      </c>
      <c r="E255" s="19">
        <v>-650</v>
      </c>
      <c r="F255" s="16" t="s">
        <v>8</v>
      </c>
      <c r="G255" s="6" t="s">
        <v>9</v>
      </c>
    </row>
    <row r="256" spans="1:7" hidden="1" x14ac:dyDescent="0.3">
      <c r="A256" s="104">
        <v>45931</v>
      </c>
      <c r="B256" s="104" t="s">
        <v>175</v>
      </c>
      <c r="C256" s="18" t="s">
        <v>6</v>
      </c>
      <c r="D256" s="15" t="s">
        <v>10</v>
      </c>
      <c r="E256" s="19">
        <v>-320</v>
      </c>
      <c r="F256" s="16" t="s">
        <v>8</v>
      </c>
      <c r="G256" s="6" t="s">
        <v>9</v>
      </c>
    </row>
    <row r="257" spans="1:7" hidden="1" x14ac:dyDescent="0.3">
      <c r="A257" s="104">
        <v>45931</v>
      </c>
      <c r="B257" s="104" t="s">
        <v>175</v>
      </c>
      <c r="C257" s="18" t="s">
        <v>6</v>
      </c>
      <c r="D257" s="15" t="s">
        <v>11</v>
      </c>
      <c r="E257" s="19">
        <v>-350</v>
      </c>
      <c r="F257" s="16" t="s">
        <v>8</v>
      </c>
      <c r="G257" s="6" t="s">
        <v>9</v>
      </c>
    </row>
    <row r="258" spans="1:7" x14ac:dyDescent="0.3">
      <c r="A258" s="104">
        <v>45945</v>
      </c>
      <c r="B258" s="104" t="s">
        <v>175</v>
      </c>
      <c r="C258" s="8" t="s">
        <v>43</v>
      </c>
      <c r="D258" s="17" t="s">
        <v>173</v>
      </c>
      <c r="E258" s="10">
        <v>-5523.75</v>
      </c>
      <c r="F258" s="16" t="s">
        <v>8</v>
      </c>
      <c r="G258" s="11" t="s">
        <v>44</v>
      </c>
    </row>
    <row r="259" spans="1:7" hidden="1" x14ac:dyDescent="0.3">
      <c r="A259" s="104">
        <v>45945</v>
      </c>
      <c r="B259" s="104" t="s">
        <v>175</v>
      </c>
      <c r="C259" s="15" t="s">
        <v>13</v>
      </c>
      <c r="D259" s="15" t="s">
        <v>83</v>
      </c>
      <c r="E259" s="19">
        <v>-1375</v>
      </c>
      <c r="F259" s="6" t="s">
        <v>8</v>
      </c>
      <c r="G259" s="6" t="s">
        <v>40</v>
      </c>
    </row>
    <row r="260" spans="1:7" hidden="1" x14ac:dyDescent="0.3">
      <c r="A260" s="104">
        <v>45936</v>
      </c>
      <c r="B260" s="104" t="s">
        <v>175</v>
      </c>
      <c r="C260" s="15" t="s">
        <v>6</v>
      </c>
      <c r="D260" s="15" t="s">
        <v>41</v>
      </c>
      <c r="E260" s="19">
        <v>-500</v>
      </c>
      <c r="F260" s="16" t="s">
        <v>8</v>
      </c>
      <c r="G260" s="6" t="s">
        <v>40</v>
      </c>
    </row>
    <row r="261" spans="1:7" hidden="1" x14ac:dyDescent="0.3">
      <c r="A261" s="104">
        <v>45945</v>
      </c>
      <c r="B261" s="104" t="s">
        <v>175</v>
      </c>
      <c r="C261" s="8" t="s">
        <v>17</v>
      </c>
      <c r="D261" s="17" t="s">
        <v>81</v>
      </c>
      <c r="E261" s="19">
        <v>-145</v>
      </c>
      <c r="F261" s="6" t="s">
        <v>8</v>
      </c>
      <c r="G261" s="6" t="s">
        <v>82</v>
      </c>
    </row>
    <row r="262" spans="1:7" hidden="1" x14ac:dyDescent="0.3">
      <c r="A262" s="104">
        <v>45940</v>
      </c>
      <c r="B262" s="104" t="s">
        <v>175</v>
      </c>
      <c r="C262" s="18" t="s">
        <v>62</v>
      </c>
      <c r="D262" s="15" t="s">
        <v>63</v>
      </c>
      <c r="E262" s="19">
        <v>-432</v>
      </c>
      <c r="F262" s="16" t="s">
        <v>8</v>
      </c>
      <c r="G262" s="6" t="s">
        <v>38</v>
      </c>
    </row>
    <row r="263" spans="1:7" hidden="1" x14ac:dyDescent="0.3">
      <c r="A263" s="104">
        <v>45940</v>
      </c>
      <c r="B263" s="104" t="s">
        <v>175</v>
      </c>
      <c r="C263" s="15" t="s">
        <v>13</v>
      </c>
      <c r="D263" s="17" t="s">
        <v>174</v>
      </c>
      <c r="E263" s="10">
        <v>-50000</v>
      </c>
      <c r="F263" s="16" t="s">
        <v>8</v>
      </c>
      <c r="G263" s="11" t="s">
        <v>26</v>
      </c>
    </row>
    <row r="264" spans="1:7" hidden="1" x14ac:dyDescent="0.3">
      <c r="A264" s="104">
        <v>45936</v>
      </c>
      <c r="B264" s="104" t="s">
        <v>175</v>
      </c>
      <c r="C264" s="8" t="s">
        <v>13</v>
      </c>
      <c r="D264" s="15" t="s">
        <v>45</v>
      </c>
      <c r="E264" s="19">
        <v>-7000</v>
      </c>
      <c r="F264" s="16" t="s">
        <v>8</v>
      </c>
      <c r="G264" s="6" t="s">
        <v>26</v>
      </c>
    </row>
    <row r="265" spans="1:7" hidden="1" x14ac:dyDescent="0.3">
      <c r="A265" s="116">
        <v>45943</v>
      </c>
      <c r="B265" s="116" t="s">
        <v>175</v>
      </c>
      <c r="C265" s="114" t="s">
        <v>146</v>
      </c>
      <c r="D265" s="55" t="s">
        <v>148</v>
      </c>
      <c r="E265" s="115">
        <v>680.03</v>
      </c>
      <c r="F265" s="53" t="s">
        <v>134</v>
      </c>
      <c r="G265" s="58" t="s">
        <v>135</v>
      </c>
    </row>
    <row r="266" spans="1:7" hidden="1" x14ac:dyDescent="0.3">
      <c r="A266" s="116">
        <v>45943</v>
      </c>
      <c r="B266" s="116" t="s">
        <v>175</v>
      </c>
      <c r="C266" s="114" t="s">
        <v>136</v>
      </c>
      <c r="D266" s="204" t="s">
        <v>151</v>
      </c>
      <c r="E266" s="117">
        <v>7850</v>
      </c>
      <c r="F266" s="118" t="s">
        <v>134</v>
      </c>
      <c r="G266" s="58" t="s">
        <v>135</v>
      </c>
    </row>
    <row r="267" spans="1:7" hidden="1" x14ac:dyDescent="0.3">
      <c r="A267" s="116">
        <v>45931</v>
      </c>
      <c r="B267" s="116" t="s">
        <v>175</v>
      </c>
      <c r="C267" s="114" t="s">
        <v>132</v>
      </c>
      <c r="D267" s="55" t="s">
        <v>133</v>
      </c>
      <c r="E267" s="52">
        <v>23638.67</v>
      </c>
      <c r="F267" s="53" t="s">
        <v>134</v>
      </c>
      <c r="G267" s="58" t="s">
        <v>135</v>
      </c>
    </row>
    <row r="268" spans="1:7" hidden="1" x14ac:dyDescent="0.3">
      <c r="A268" s="123">
        <v>45940</v>
      </c>
      <c r="B268" s="123" t="s">
        <v>175</v>
      </c>
      <c r="C268" s="108" t="s">
        <v>43</v>
      </c>
      <c r="D268" s="108" t="s">
        <v>58</v>
      </c>
      <c r="E268" s="105">
        <v>-9146.82</v>
      </c>
      <c r="F268" s="34" t="s">
        <v>8</v>
      </c>
      <c r="G268" s="34" t="s">
        <v>59</v>
      </c>
    </row>
    <row r="269" spans="1:7" hidden="1" x14ac:dyDescent="0.3">
      <c r="A269" s="104">
        <v>45940</v>
      </c>
      <c r="B269" s="104" t="s">
        <v>175</v>
      </c>
      <c r="C269" s="15" t="s">
        <v>13</v>
      </c>
      <c r="D269" s="15" t="s">
        <v>52</v>
      </c>
      <c r="E269" s="19">
        <v>-1000</v>
      </c>
      <c r="F269" s="16" t="s">
        <v>8</v>
      </c>
      <c r="G269" s="6" t="s">
        <v>53</v>
      </c>
    </row>
    <row r="270" spans="1:7" hidden="1" x14ac:dyDescent="0.3">
      <c r="A270" s="111">
        <v>45940</v>
      </c>
      <c r="B270" s="111" t="s">
        <v>175</v>
      </c>
      <c r="C270" s="107" t="s">
        <v>13</v>
      </c>
      <c r="D270" s="107" t="s">
        <v>55</v>
      </c>
      <c r="E270" s="122">
        <v>-1000</v>
      </c>
      <c r="F270" s="37" t="s">
        <v>8</v>
      </c>
      <c r="G270" s="46" t="s">
        <v>53</v>
      </c>
    </row>
    <row r="271" spans="1:7" hidden="1" x14ac:dyDescent="0.3">
      <c r="A271" s="104">
        <v>45940</v>
      </c>
      <c r="B271" s="104" t="s">
        <v>175</v>
      </c>
      <c r="C271" s="15" t="s">
        <v>17</v>
      </c>
      <c r="D271" s="15" t="s">
        <v>198</v>
      </c>
      <c r="E271" s="19">
        <v>-10500</v>
      </c>
      <c r="F271" s="16" t="s">
        <v>8</v>
      </c>
      <c r="G271" s="6" t="s">
        <v>54</v>
      </c>
    </row>
    <row r="272" spans="1:7" hidden="1" x14ac:dyDescent="0.3">
      <c r="A272" s="123">
        <v>45943</v>
      </c>
      <c r="B272" s="123" t="s">
        <v>175</v>
      </c>
      <c r="C272" s="215" t="s">
        <v>43</v>
      </c>
      <c r="D272" s="215" t="s">
        <v>168</v>
      </c>
      <c r="E272" s="216">
        <v>-2808.81</v>
      </c>
      <c r="F272" s="109" t="s">
        <v>8</v>
      </c>
      <c r="G272" s="34" t="s">
        <v>360</v>
      </c>
    </row>
    <row r="273" spans="1:7" hidden="1" x14ac:dyDescent="0.3">
      <c r="A273" s="123">
        <v>45943</v>
      </c>
      <c r="B273" s="123" t="s">
        <v>175</v>
      </c>
      <c r="C273" s="215" t="s">
        <v>43</v>
      </c>
      <c r="D273" s="215" t="s">
        <v>113</v>
      </c>
      <c r="E273" s="216">
        <v>-832.4</v>
      </c>
      <c r="F273" s="109" t="s">
        <v>8</v>
      </c>
      <c r="G273" s="34" t="s">
        <v>427</v>
      </c>
    </row>
    <row r="274" spans="1:7" hidden="1" x14ac:dyDescent="0.3">
      <c r="A274" s="104">
        <v>45940</v>
      </c>
      <c r="B274" s="104" t="s">
        <v>175</v>
      </c>
      <c r="C274" s="8" t="s">
        <v>69</v>
      </c>
      <c r="D274" s="17" t="s">
        <v>70</v>
      </c>
      <c r="E274" s="10">
        <v>-4347.01</v>
      </c>
      <c r="F274" s="16" t="s">
        <v>8</v>
      </c>
      <c r="G274" s="11" t="s">
        <v>71</v>
      </c>
    </row>
    <row r="275" spans="1:7" hidden="1" x14ac:dyDescent="0.3">
      <c r="A275" s="104">
        <v>45940</v>
      </c>
      <c r="B275" s="104" t="s">
        <v>175</v>
      </c>
      <c r="C275" s="8" t="s">
        <v>69</v>
      </c>
      <c r="D275" s="17" t="s">
        <v>70</v>
      </c>
      <c r="E275" s="10">
        <v>-2173.96</v>
      </c>
      <c r="F275" s="16" t="s">
        <v>8</v>
      </c>
      <c r="G275" s="11" t="s">
        <v>71</v>
      </c>
    </row>
    <row r="276" spans="1:7" hidden="1" x14ac:dyDescent="0.3">
      <c r="A276" s="104">
        <v>45945</v>
      </c>
      <c r="B276" s="104" t="s">
        <v>175</v>
      </c>
      <c r="C276" s="18" t="s">
        <v>31</v>
      </c>
      <c r="D276" s="15" t="s">
        <v>93</v>
      </c>
      <c r="E276" s="19">
        <v>-244.5</v>
      </c>
      <c r="F276" s="6" t="s">
        <v>8</v>
      </c>
      <c r="G276" s="6" t="s">
        <v>66</v>
      </c>
    </row>
    <row r="277" spans="1:7" hidden="1" x14ac:dyDescent="0.3">
      <c r="A277" s="104">
        <v>45945</v>
      </c>
      <c r="B277" s="104" t="s">
        <v>175</v>
      </c>
      <c r="C277" s="18" t="s">
        <v>94</v>
      </c>
      <c r="D277" s="15" t="s">
        <v>93</v>
      </c>
      <c r="E277" s="19">
        <v>-300</v>
      </c>
      <c r="F277" s="6" t="s">
        <v>8</v>
      </c>
      <c r="G277" s="6" t="s">
        <v>66</v>
      </c>
    </row>
    <row r="278" spans="1:7" hidden="1" x14ac:dyDescent="0.3">
      <c r="A278" s="104">
        <v>45945</v>
      </c>
      <c r="B278" s="104" t="s">
        <v>175</v>
      </c>
      <c r="C278" s="18" t="s">
        <v>34</v>
      </c>
      <c r="D278" s="15" t="s">
        <v>93</v>
      </c>
      <c r="E278" s="19">
        <v>-300</v>
      </c>
      <c r="F278" s="6" t="s">
        <v>8</v>
      </c>
      <c r="G278" s="6" t="s">
        <v>66</v>
      </c>
    </row>
    <row r="279" spans="1:7" hidden="1" x14ac:dyDescent="0.3">
      <c r="A279" s="104">
        <v>45945</v>
      </c>
      <c r="B279" s="104" t="s">
        <v>175</v>
      </c>
      <c r="C279" s="18" t="s">
        <v>95</v>
      </c>
      <c r="D279" s="15" t="s">
        <v>93</v>
      </c>
      <c r="E279" s="19">
        <v>-300</v>
      </c>
      <c r="F279" s="6" t="s">
        <v>8</v>
      </c>
      <c r="G279" s="6" t="s">
        <v>66</v>
      </c>
    </row>
    <row r="280" spans="1:7" hidden="1" x14ac:dyDescent="0.3">
      <c r="A280" s="104">
        <v>45945</v>
      </c>
      <c r="B280" s="104" t="s">
        <v>175</v>
      </c>
      <c r="C280" s="18" t="s">
        <v>96</v>
      </c>
      <c r="D280" s="15" t="s">
        <v>93</v>
      </c>
      <c r="E280" s="19">
        <v>-275</v>
      </c>
      <c r="F280" s="6" t="s">
        <v>8</v>
      </c>
      <c r="G280" s="6" t="s">
        <v>66</v>
      </c>
    </row>
    <row r="281" spans="1:7" hidden="1" x14ac:dyDescent="0.3">
      <c r="A281" s="104">
        <v>45945</v>
      </c>
      <c r="B281" s="104" t="s">
        <v>175</v>
      </c>
      <c r="C281" s="18" t="s">
        <v>69</v>
      </c>
      <c r="D281" s="15" t="s">
        <v>93</v>
      </c>
      <c r="E281" s="19">
        <v>-300</v>
      </c>
      <c r="F281" s="6" t="s">
        <v>8</v>
      </c>
      <c r="G281" s="6" t="s">
        <v>66</v>
      </c>
    </row>
    <row r="282" spans="1:7" hidden="1" x14ac:dyDescent="0.3">
      <c r="A282" s="104">
        <v>45945</v>
      </c>
      <c r="B282" s="104" t="s">
        <v>175</v>
      </c>
      <c r="C282" s="18" t="s">
        <v>97</v>
      </c>
      <c r="D282" s="15" t="s">
        <v>93</v>
      </c>
      <c r="E282" s="19">
        <v>-300</v>
      </c>
      <c r="F282" s="6" t="s">
        <v>8</v>
      </c>
      <c r="G282" s="6" t="s">
        <v>66</v>
      </c>
    </row>
    <row r="283" spans="1:7" hidden="1" x14ac:dyDescent="0.3">
      <c r="A283" s="104">
        <v>45945</v>
      </c>
      <c r="B283" s="104" t="s">
        <v>175</v>
      </c>
      <c r="C283" s="18" t="s">
        <v>98</v>
      </c>
      <c r="D283" s="15" t="s">
        <v>93</v>
      </c>
      <c r="E283" s="19">
        <v>-350</v>
      </c>
      <c r="F283" s="6" t="s">
        <v>8</v>
      </c>
      <c r="G283" s="6" t="s">
        <v>66</v>
      </c>
    </row>
    <row r="284" spans="1:7" hidden="1" x14ac:dyDescent="0.3">
      <c r="A284" s="104">
        <v>45945</v>
      </c>
      <c r="B284" s="104" t="s">
        <v>175</v>
      </c>
      <c r="C284" s="18" t="s">
        <v>99</v>
      </c>
      <c r="D284" s="15" t="s">
        <v>93</v>
      </c>
      <c r="E284" s="19">
        <v>-373.51</v>
      </c>
      <c r="F284" s="6" t="s">
        <v>8</v>
      </c>
      <c r="G284" s="6" t="s">
        <v>66</v>
      </c>
    </row>
    <row r="285" spans="1:7" hidden="1" x14ac:dyDescent="0.3">
      <c r="A285" s="67">
        <v>45940</v>
      </c>
      <c r="B285" s="104" t="s">
        <v>175</v>
      </c>
      <c r="C285" s="8" t="s">
        <v>31</v>
      </c>
      <c r="D285" s="17" t="s">
        <v>46</v>
      </c>
      <c r="E285" s="10">
        <v>-700</v>
      </c>
      <c r="F285" s="16" t="s">
        <v>8</v>
      </c>
      <c r="G285" s="11" t="s">
        <v>47</v>
      </c>
    </row>
    <row r="286" spans="1:7" hidden="1" x14ac:dyDescent="0.3">
      <c r="A286" s="123">
        <v>45940</v>
      </c>
      <c r="B286" s="123" t="s">
        <v>175</v>
      </c>
      <c r="C286" s="108" t="s">
        <v>30</v>
      </c>
      <c r="D286" s="15" t="s">
        <v>340</v>
      </c>
      <c r="E286" s="105">
        <v>-3000</v>
      </c>
      <c r="F286" s="109" t="s">
        <v>8</v>
      </c>
      <c r="G286" s="34" t="s">
        <v>56</v>
      </c>
    </row>
    <row r="287" spans="1:7" hidden="1" x14ac:dyDescent="0.3">
      <c r="A287" s="190">
        <v>45943</v>
      </c>
      <c r="B287" s="190" t="s">
        <v>175</v>
      </c>
      <c r="C287" s="187" t="s">
        <v>149</v>
      </c>
      <c r="D287" s="219" t="s">
        <v>150</v>
      </c>
      <c r="E287" s="184">
        <v>24988.71</v>
      </c>
      <c r="F287" s="59" t="s">
        <v>134</v>
      </c>
      <c r="G287" s="189" t="s">
        <v>135</v>
      </c>
    </row>
    <row r="288" spans="1:7" hidden="1" x14ac:dyDescent="0.3">
      <c r="A288" s="116">
        <v>45943</v>
      </c>
      <c r="B288" s="116" t="s">
        <v>175</v>
      </c>
      <c r="C288" s="114" t="s">
        <v>149</v>
      </c>
      <c r="D288" s="221" t="s">
        <v>150</v>
      </c>
      <c r="E288" s="52">
        <v>16834.330000000002</v>
      </c>
      <c r="F288" s="53" t="s">
        <v>134</v>
      </c>
      <c r="G288" s="58" t="s">
        <v>135</v>
      </c>
    </row>
    <row r="289" spans="1:7" hidden="1" x14ac:dyDescent="0.3">
      <c r="A289" s="116">
        <v>45943</v>
      </c>
      <c r="B289" s="116" t="s">
        <v>175</v>
      </c>
      <c r="C289" s="114" t="s">
        <v>149</v>
      </c>
      <c r="D289" s="221" t="s">
        <v>150</v>
      </c>
      <c r="E289" s="52">
        <v>268.13</v>
      </c>
      <c r="F289" s="53" t="s">
        <v>134</v>
      </c>
      <c r="G289" s="58" t="s">
        <v>135</v>
      </c>
    </row>
    <row r="290" spans="1:7" hidden="1" x14ac:dyDescent="0.3">
      <c r="A290" s="123">
        <v>45940</v>
      </c>
      <c r="B290" s="123" t="s">
        <v>175</v>
      </c>
      <c r="C290" s="129" t="s">
        <v>64</v>
      </c>
      <c r="D290" s="108" t="s">
        <v>65</v>
      </c>
      <c r="E290" s="192">
        <v>-395.73</v>
      </c>
      <c r="F290" s="109" t="s">
        <v>8</v>
      </c>
      <c r="G290" s="34" t="s">
        <v>66</v>
      </c>
    </row>
    <row r="291" spans="1:7" hidden="1" x14ac:dyDescent="0.3">
      <c r="A291" s="104">
        <v>45936</v>
      </c>
      <c r="B291" s="104" t="s">
        <v>175</v>
      </c>
      <c r="C291" s="15" t="s">
        <v>6</v>
      </c>
      <c r="D291" s="15" t="s">
        <v>39</v>
      </c>
      <c r="E291" s="12">
        <v>-483000</v>
      </c>
      <c r="F291" s="16" t="s">
        <v>8</v>
      </c>
      <c r="G291" s="6" t="s">
        <v>40</v>
      </c>
    </row>
    <row r="292" spans="1:7" hidden="1" x14ac:dyDescent="0.3">
      <c r="A292" s="104">
        <v>45945</v>
      </c>
      <c r="B292" s="104" t="s">
        <v>175</v>
      </c>
      <c r="C292" s="15" t="s">
        <v>6</v>
      </c>
      <c r="D292" s="15" t="s">
        <v>84</v>
      </c>
      <c r="E292" s="19">
        <v>-6500</v>
      </c>
      <c r="F292" s="6" t="s">
        <v>8</v>
      </c>
      <c r="G292" s="6" t="s">
        <v>61</v>
      </c>
    </row>
    <row r="293" spans="1:7" hidden="1" x14ac:dyDescent="0.3">
      <c r="A293" s="104">
        <v>45940</v>
      </c>
      <c r="B293" s="104" t="s">
        <v>175</v>
      </c>
      <c r="C293" s="15" t="s">
        <v>6</v>
      </c>
      <c r="D293" s="15" t="s">
        <v>50</v>
      </c>
      <c r="E293" s="19">
        <v>-290</v>
      </c>
      <c r="F293" s="16" t="s">
        <v>8</v>
      </c>
      <c r="G293" s="6" t="s">
        <v>51</v>
      </c>
    </row>
    <row r="294" spans="1:7" hidden="1" x14ac:dyDescent="0.3">
      <c r="A294" s="104">
        <v>45944</v>
      </c>
      <c r="B294" s="104" t="s">
        <v>175</v>
      </c>
      <c r="C294" s="15" t="s">
        <v>6</v>
      </c>
      <c r="D294" s="15" t="s">
        <v>230</v>
      </c>
      <c r="E294" s="19">
        <v>-2012.45</v>
      </c>
      <c r="F294" s="16" t="s">
        <v>8</v>
      </c>
      <c r="G294" s="11" t="s">
        <v>44</v>
      </c>
    </row>
    <row r="295" spans="1:7" hidden="1" x14ac:dyDescent="0.3">
      <c r="A295" s="104">
        <v>45936</v>
      </c>
      <c r="B295" s="104" t="s">
        <v>175</v>
      </c>
      <c r="C295" s="15" t="s">
        <v>6</v>
      </c>
      <c r="D295" s="15" t="s">
        <v>27</v>
      </c>
      <c r="E295" s="19">
        <v>-349</v>
      </c>
      <c r="F295" s="16" t="s">
        <v>8</v>
      </c>
      <c r="G295" s="6" t="s">
        <v>28</v>
      </c>
    </row>
    <row r="296" spans="1:7" hidden="1" x14ac:dyDescent="0.3">
      <c r="A296" s="104">
        <v>45936</v>
      </c>
      <c r="B296" s="104" t="s">
        <v>175</v>
      </c>
      <c r="C296" s="15" t="s">
        <v>29</v>
      </c>
      <c r="D296" s="15" t="s">
        <v>27</v>
      </c>
      <c r="E296" s="19">
        <v>-389</v>
      </c>
      <c r="F296" s="16" t="s">
        <v>8</v>
      </c>
      <c r="G296" s="6" t="s">
        <v>28</v>
      </c>
    </row>
    <row r="297" spans="1:7" hidden="1" x14ac:dyDescent="0.3">
      <c r="A297" s="104">
        <v>45936</v>
      </c>
      <c r="B297" s="104" t="s">
        <v>175</v>
      </c>
      <c r="C297" s="15" t="s">
        <v>25</v>
      </c>
      <c r="D297" s="15" t="s">
        <v>27</v>
      </c>
      <c r="E297" s="19">
        <v>-349</v>
      </c>
      <c r="F297" s="16" t="s">
        <v>8</v>
      </c>
      <c r="G297" s="6" t="s">
        <v>28</v>
      </c>
    </row>
    <row r="298" spans="1:7" hidden="1" x14ac:dyDescent="0.3">
      <c r="A298" s="104">
        <v>45936</v>
      </c>
      <c r="B298" s="104" t="s">
        <v>175</v>
      </c>
      <c r="C298" s="15" t="s">
        <v>30</v>
      </c>
      <c r="D298" s="15" t="s">
        <v>27</v>
      </c>
      <c r="E298" s="19">
        <v>-349</v>
      </c>
      <c r="F298" s="16" t="s">
        <v>8</v>
      </c>
      <c r="G298" s="6" t="s">
        <v>28</v>
      </c>
    </row>
    <row r="299" spans="1:7" hidden="1" x14ac:dyDescent="0.3">
      <c r="A299" s="104">
        <v>45936</v>
      </c>
      <c r="B299" s="104" t="s">
        <v>175</v>
      </c>
      <c r="C299" s="15" t="s">
        <v>31</v>
      </c>
      <c r="D299" s="15" t="s">
        <v>27</v>
      </c>
      <c r="E299" s="19">
        <v>-389</v>
      </c>
      <c r="F299" s="16" t="s">
        <v>8</v>
      </c>
      <c r="G299" s="6" t="s">
        <v>28</v>
      </c>
    </row>
    <row r="300" spans="1:7" hidden="1" x14ac:dyDescent="0.3">
      <c r="A300" s="104">
        <v>45936</v>
      </c>
      <c r="B300" s="104" t="s">
        <v>175</v>
      </c>
      <c r="C300" s="15" t="s">
        <v>32</v>
      </c>
      <c r="D300" s="15" t="s">
        <v>27</v>
      </c>
      <c r="E300" s="19">
        <v>-389</v>
      </c>
      <c r="F300" s="16" t="s">
        <v>8</v>
      </c>
      <c r="G300" s="6" t="s">
        <v>28</v>
      </c>
    </row>
    <row r="301" spans="1:7" hidden="1" x14ac:dyDescent="0.3">
      <c r="A301" s="104">
        <v>45936</v>
      </c>
      <c r="B301" s="104" t="s">
        <v>175</v>
      </c>
      <c r="C301" s="15" t="s">
        <v>33</v>
      </c>
      <c r="D301" s="15" t="s">
        <v>27</v>
      </c>
      <c r="E301" s="19">
        <v>-389</v>
      </c>
      <c r="F301" s="16" t="s">
        <v>8</v>
      </c>
      <c r="G301" s="6" t="s">
        <v>28</v>
      </c>
    </row>
    <row r="302" spans="1:7" hidden="1" x14ac:dyDescent="0.3">
      <c r="A302" s="104">
        <v>45945</v>
      </c>
      <c r="B302" s="104" t="s">
        <v>175</v>
      </c>
      <c r="C302" s="15" t="s">
        <v>6</v>
      </c>
      <c r="D302" s="15" t="s">
        <v>87</v>
      </c>
      <c r="E302" s="19">
        <v>-171.1</v>
      </c>
      <c r="F302" s="16" t="s">
        <v>8</v>
      </c>
      <c r="G302" s="6" t="s">
        <v>28</v>
      </c>
    </row>
    <row r="303" spans="1:7" hidden="1" x14ac:dyDescent="0.3">
      <c r="A303" s="104">
        <v>45945</v>
      </c>
      <c r="B303" s="104" t="s">
        <v>175</v>
      </c>
      <c r="C303" s="15" t="s">
        <v>43</v>
      </c>
      <c r="D303" s="15" t="s">
        <v>87</v>
      </c>
      <c r="E303" s="19">
        <v>-171.1</v>
      </c>
      <c r="F303" s="16" t="s">
        <v>8</v>
      </c>
      <c r="G303" s="6" t="s">
        <v>28</v>
      </c>
    </row>
    <row r="304" spans="1:7" hidden="1" x14ac:dyDescent="0.3">
      <c r="A304" s="104">
        <v>45945</v>
      </c>
      <c r="B304" s="104" t="s">
        <v>175</v>
      </c>
      <c r="C304" s="15" t="s">
        <v>13</v>
      </c>
      <c r="D304" s="15" t="s">
        <v>87</v>
      </c>
      <c r="E304" s="19">
        <v>-171.1</v>
      </c>
      <c r="F304" s="16" t="s">
        <v>8</v>
      </c>
      <c r="G304" s="6" t="s">
        <v>28</v>
      </c>
    </row>
    <row r="305" spans="1:7" hidden="1" x14ac:dyDescent="0.3">
      <c r="A305" s="104">
        <v>45945</v>
      </c>
      <c r="B305" s="104" t="s">
        <v>175</v>
      </c>
      <c r="C305" s="15" t="s">
        <v>247</v>
      </c>
      <c r="D305" s="15" t="s">
        <v>87</v>
      </c>
      <c r="E305" s="19">
        <v>-171.1</v>
      </c>
      <c r="F305" s="16" t="s">
        <v>8</v>
      </c>
      <c r="G305" s="6" t="s">
        <v>28</v>
      </c>
    </row>
    <row r="306" spans="1:7" hidden="1" x14ac:dyDescent="0.3">
      <c r="A306" s="104">
        <v>45945</v>
      </c>
      <c r="B306" s="104" t="s">
        <v>175</v>
      </c>
      <c r="C306" s="15" t="s">
        <v>30</v>
      </c>
      <c r="D306" s="15" t="s">
        <v>87</v>
      </c>
      <c r="E306" s="19">
        <v>-171.1</v>
      </c>
      <c r="F306" s="16" t="s">
        <v>8</v>
      </c>
      <c r="G306" s="6" t="s">
        <v>28</v>
      </c>
    </row>
    <row r="307" spans="1:7" hidden="1" x14ac:dyDescent="0.3">
      <c r="A307" s="104">
        <v>45945</v>
      </c>
      <c r="B307" s="104" t="s">
        <v>175</v>
      </c>
      <c r="C307" s="15" t="s">
        <v>62</v>
      </c>
      <c r="D307" s="15" t="s">
        <v>87</v>
      </c>
      <c r="E307" s="19">
        <v>-171.1</v>
      </c>
      <c r="F307" s="16" t="s">
        <v>8</v>
      </c>
      <c r="G307" s="6" t="s">
        <v>28</v>
      </c>
    </row>
    <row r="308" spans="1:7" hidden="1" x14ac:dyDescent="0.3">
      <c r="A308" s="104">
        <v>45945</v>
      </c>
      <c r="B308" s="104" t="s">
        <v>175</v>
      </c>
      <c r="C308" s="8" t="s">
        <v>17</v>
      </c>
      <c r="D308" s="15" t="s">
        <v>87</v>
      </c>
      <c r="E308" s="19">
        <v>-171.1</v>
      </c>
      <c r="F308" s="16" t="s">
        <v>8</v>
      </c>
      <c r="G308" s="6" t="s">
        <v>28</v>
      </c>
    </row>
    <row r="309" spans="1:7" hidden="1" x14ac:dyDescent="0.3">
      <c r="A309" s="104">
        <v>45945</v>
      </c>
      <c r="B309" s="104" t="s">
        <v>175</v>
      </c>
      <c r="C309" s="8" t="s">
        <v>246</v>
      </c>
      <c r="D309" s="15" t="s">
        <v>87</v>
      </c>
      <c r="E309" s="19">
        <v>-171.1</v>
      </c>
      <c r="F309" s="16" t="s">
        <v>8</v>
      </c>
      <c r="G309" s="6" t="s">
        <v>28</v>
      </c>
    </row>
    <row r="310" spans="1:7" hidden="1" x14ac:dyDescent="0.3">
      <c r="A310" s="104">
        <v>45945</v>
      </c>
      <c r="B310" s="104" t="s">
        <v>175</v>
      </c>
      <c r="C310" s="8" t="s">
        <v>29</v>
      </c>
      <c r="D310" s="15" t="s">
        <v>87</v>
      </c>
      <c r="E310" s="19">
        <v>-171.1</v>
      </c>
      <c r="F310" s="16" t="s">
        <v>8</v>
      </c>
      <c r="G310" s="6" t="s">
        <v>28</v>
      </c>
    </row>
    <row r="311" spans="1:7" hidden="1" x14ac:dyDescent="0.3">
      <c r="A311" s="104">
        <v>45945</v>
      </c>
      <c r="B311" s="104" t="s">
        <v>175</v>
      </c>
      <c r="C311" s="8" t="s">
        <v>88</v>
      </c>
      <c r="D311" s="15" t="s">
        <v>87</v>
      </c>
      <c r="E311" s="19">
        <v>-171.1</v>
      </c>
      <c r="F311" s="16" t="s">
        <v>8</v>
      </c>
      <c r="G311" s="6" t="s">
        <v>28</v>
      </c>
    </row>
    <row r="312" spans="1:7" hidden="1" x14ac:dyDescent="0.3">
      <c r="A312" s="104">
        <v>45945</v>
      </c>
      <c r="B312" s="104" t="s">
        <v>175</v>
      </c>
      <c r="C312" s="8" t="s">
        <v>32</v>
      </c>
      <c r="D312" s="194" t="s">
        <v>87</v>
      </c>
      <c r="E312" s="19">
        <v>-171.1</v>
      </c>
      <c r="F312" s="16" t="s">
        <v>8</v>
      </c>
      <c r="G312" s="6" t="s">
        <v>28</v>
      </c>
    </row>
    <row r="313" spans="1:7" hidden="1" x14ac:dyDescent="0.3">
      <c r="A313" s="104">
        <v>45945</v>
      </c>
      <c r="B313" s="104" t="s">
        <v>175</v>
      </c>
      <c r="C313" s="8" t="s">
        <v>89</v>
      </c>
      <c r="D313" s="194" t="s">
        <v>87</v>
      </c>
      <c r="E313" s="19">
        <v>-171.1</v>
      </c>
      <c r="F313" s="16" t="s">
        <v>8</v>
      </c>
      <c r="G313" s="6" t="s">
        <v>28</v>
      </c>
    </row>
    <row r="314" spans="1:7" hidden="1" x14ac:dyDescent="0.3">
      <c r="A314" s="104">
        <v>45945</v>
      </c>
      <c r="B314" s="104" t="s">
        <v>175</v>
      </c>
      <c r="C314" s="8" t="s">
        <v>31</v>
      </c>
      <c r="D314" s="194" t="s">
        <v>87</v>
      </c>
      <c r="E314" s="19">
        <v>-171.1</v>
      </c>
      <c r="F314" s="16" t="s">
        <v>8</v>
      </c>
      <c r="G314" s="6" t="s">
        <v>28</v>
      </c>
    </row>
    <row r="315" spans="1:7" hidden="1" x14ac:dyDescent="0.3">
      <c r="A315" s="111">
        <v>45945</v>
      </c>
      <c r="B315" s="111" t="s">
        <v>175</v>
      </c>
      <c r="C315" s="65" t="s">
        <v>33</v>
      </c>
      <c r="D315" s="212" t="s">
        <v>87</v>
      </c>
      <c r="E315" s="19">
        <v>-171.1</v>
      </c>
      <c r="F315" s="16" t="s">
        <v>8</v>
      </c>
      <c r="G315" s="6" t="s">
        <v>28</v>
      </c>
    </row>
    <row r="316" spans="1:7" hidden="1" x14ac:dyDescent="0.3">
      <c r="A316" s="116">
        <v>45931</v>
      </c>
      <c r="B316" s="116" t="s">
        <v>175</v>
      </c>
      <c r="C316" s="114" t="s">
        <v>138</v>
      </c>
      <c r="D316" s="55" t="s">
        <v>139</v>
      </c>
      <c r="E316" s="52">
        <v>22451.91</v>
      </c>
      <c r="F316" s="53" t="s">
        <v>134</v>
      </c>
      <c r="G316" s="58" t="s">
        <v>135</v>
      </c>
    </row>
    <row r="317" spans="1:7" hidden="1" x14ac:dyDescent="0.3">
      <c r="A317" s="116">
        <v>45940</v>
      </c>
      <c r="B317" s="116" t="s">
        <v>175</v>
      </c>
      <c r="C317" s="114" t="s">
        <v>142</v>
      </c>
      <c r="D317" s="114" t="s">
        <v>143</v>
      </c>
      <c r="E317" s="115">
        <v>11000</v>
      </c>
      <c r="F317" s="53" t="s">
        <v>134</v>
      </c>
      <c r="G317" s="58" t="s">
        <v>135</v>
      </c>
    </row>
    <row r="318" spans="1:7" hidden="1" x14ac:dyDescent="0.3">
      <c r="A318" s="116">
        <v>45943</v>
      </c>
      <c r="B318" s="116" t="s">
        <v>175</v>
      </c>
      <c r="C318" s="114" t="s">
        <v>140</v>
      </c>
      <c r="D318" s="55" t="s">
        <v>145</v>
      </c>
      <c r="E318" s="115">
        <v>603.26</v>
      </c>
      <c r="F318" s="53" t="s">
        <v>134</v>
      </c>
      <c r="G318" s="58" t="s">
        <v>135</v>
      </c>
    </row>
    <row r="319" spans="1:7" hidden="1" x14ac:dyDescent="0.3">
      <c r="A319" s="116">
        <v>45943</v>
      </c>
      <c r="B319" s="116" t="s">
        <v>175</v>
      </c>
      <c r="C319" s="114" t="s">
        <v>140</v>
      </c>
      <c r="D319" s="55" t="s">
        <v>145</v>
      </c>
      <c r="E319" s="115">
        <v>1106.1400000000001</v>
      </c>
      <c r="F319" s="53" t="s">
        <v>134</v>
      </c>
      <c r="G319" s="58" t="s">
        <v>135</v>
      </c>
    </row>
    <row r="320" spans="1:7" hidden="1" x14ac:dyDescent="0.3">
      <c r="A320" s="116">
        <v>45943</v>
      </c>
      <c r="B320" s="116" t="s">
        <v>175</v>
      </c>
      <c r="C320" s="114" t="s">
        <v>140</v>
      </c>
      <c r="D320" s="55" t="s">
        <v>145</v>
      </c>
      <c r="E320" s="115">
        <v>9631</v>
      </c>
      <c r="F320" s="53" t="s">
        <v>134</v>
      </c>
      <c r="G320" s="58" t="s">
        <v>135</v>
      </c>
    </row>
    <row r="321" spans="1:7" hidden="1" x14ac:dyDescent="0.3">
      <c r="A321" s="104">
        <v>45945</v>
      </c>
      <c r="B321" s="104" t="s">
        <v>175</v>
      </c>
      <c r="C321" s="17" t="s">
        <v>25</v>
      </c>
      <c r="D321" s="17" t="s">
        <v>202</v>
      </c>
      <c r="E321" s="10">
        <v>-1139.25</v>
      </c>
      <c r="F321" s="16" t="s">
        <v>8</v>
      </c>
      <c r="G321" s="11" t="s">
        <v>455</v>
      </c>
    </row>
    <row r="322" spans="1:7" hidden="1" x14ac:dyDescent="0.3">
      <c r="A322" s="123">
        <v>45945</v>
      </c>
      <c r="B322" s="123" t="s">
        <v>175</v>
      </c>
      <c r="C322" s="108" t="s">
        <v>6</v>
      </c>
      <c r="D322" s="222" t="s">
        <v>76</v>
      </c>
      <c r="E322" s="105">
        <v>-91000</v>
      </c>
      <c r="F322" s="109" t="s">
        <v>8</v>
      </c>
      <c r="G322" s="34" t="s">
        <v>19</v>
      </c>
    </row>
    <row r="323" spans="1:7" hidden="1" x14ac:dyDescent="0.3">
      <c r="A323" s="104">
        <v>45945</v>
      </c>
      <c r="B323" s="104" t="s">
        <v>175</v>
      </c>
      <c r="C323" s="15" t="s">
        <v>6</v>
      </c>
      <c r="D323" s="194" t="s">
        <v>91</v>
      </c>
      <c r="E323" s="19">
        <v>-8000</v>
      </c>
      <c r="F323" s="16" t="s">
        <v>8</v>
      </c>
      <c r="G323" s="6" t="s">
        <v>92</v>
      </c>
    </row>
    <row r="324" spans="1:7" hidden="1" x14ac:dyDescent="0.3">
      <c r="A324" s="104">
        <v>45936</v>
      </c>
      <c r="B324" s="104" t="s">
        <v>175</v>
      </c>
      <c r="C324" s="17" t="s">
        <v>43</v>
      </c>
      <c r="D324" s="17" t="s">
        <v>181</v>
      </c>
      <c r="E324" s="10">
        <v>-2510.44</v>
      </c>
      <c r="F324" s="16" t="s">
        <v>8</v>
      </c>
      <c r="G324" s="11" t="s">
        <v>182</v>
      </c>
    </row>
    <row r="325" spans="1:7" hidden="1" x14ac:dyDescent="0.3">
      <c r="A325" s="104">
        <v>45936</v>
      </c>
      <c r="B325" s="104" t="s">
        <v>175</v>
      </c>
      <c r="C325" s="17" t="s">
        <v>69</v>
      </c>
      <c r="D325" s="17" t="s">
        <v>184</v>
      </c>
      <c r="E325" s="10">
        <v>-725.7</v>
      </c>
      <c r="F325" s="16" t="s">
        <v>8</v>
      </c>
      <c r="G325" s="11" t="s">
        <v>182</v>
      </c>
    </row>
    <row r="326" spans="1:7" hidden="1" x14ac:dyDescent="0.3">
      <c r="A326" s="104">
        <v>45936</v>
      </c>
      <c r="B326" s="104" t="s">
        <v>175</v>
      </c>
      <c r="C326" s="17" t="s">
        <v>69</v>
      </c>
      <c r="D326" s="17" t="s">
        <v>365</v>
      </c>
      <c r="E326" s="10">
        <v>-1101.8399999999999</v>
      </c>
      <c r="F326" s="16" t="s">
        <v>8</v>
      </c>
      <c r="G326" s="11" t="s">
        <v>182</v>
      </c>
    </row>
    <row r="327" spans="1:7" hidden="1" x14ac:dyDescent="0.3">
      <c r="A327" s="104">
        <v>45936</v>
      </c>
      <c r="B327" s="104" t="s">
        <v>175</v>
      </c>
      <c r="C327" s="17" t="s">
        <v>17</v>
      </c>
      <c r="D327" s="17" t="s">
        <v>191</v>
      </c>
      <c r="E327" s="10">
        <v>-59.35</v>
      </c>
      <c r="F327" s="16" t="s">
        <v>8</v>
      </c>
      <c r="G327" s="11" t="s">
        <v>182</v>
      </c>
    </row>
    <row r="328" spans="1:7" hidden="1" x14ac:dyDescent="0.3">
      <c r="A328" s="104">
        <v>45936</v>
      </c>
      <c r="B328" s="104" t="s">
        <v>175</v>
      </c>
      <c r="C328" s="15" t="s">
        <v>77</v>
      </c>
      <c r="D328" s="15" t="s">
        <v>118</v>
      </c>
      <c r="E328" s="19">
        <v>-5000</v>
      </c>
      <c r="F328" s="16" t="s">
        <v>8</v>
      </c>
      <c r="G328" s="6" t="s">
        <v>79</v>
      </c>
    </row>
    <row r="329" spans="1:7" hidden="1" x14ac:dyDescent="0.3">
      <c r="A329" s="104">
        <v>45945</v>
      </c>
      <c r="B329" s="104" t="s">
        <v>175</v>
      </c>
      <c r="C329" s="15" t="s">
        <v>77</v>
      </c>
      <c r="D329" s="15" t="s">
        <v>78</v>
      </c>
      <c r="E329" s="19">
        <v>-10000</v>
      </c>
      <c r="F329" s="16" t="s">
        <v>8</v>
      </c>
      <c r="G329" s="6" t="s">
        <v>79</v>
      </c>
    </row>
    <row r="330" spans="1:7" hidden="1" x14ac:dyDescent="0.3">
      <c r="A330" s="116">
        <v>45931</v>
      </c>
      <c r="B330" s="116" t="s">
        <v>175</v>
      </c>
      <c r="C330" s="114" t="s">
        <v>140</v>
      </c>
      <c r="D330" s="55" t="s">
        <v>141</v>
      </c>
      <c r="E330" s="52">
        <v>14482.07</v>
      </c>
      <c r="F330" s="53" t="s">
        <v>134</v>
      </c>
      <c r="G330" s="58" t="s">
        <v>135</v>
      </c>
    </row>
    <row r="331" spans="1:7" hidden="1" x14ac:dyDescent="0.3">
      <c r="A331" s="116">
        <v>45931</v>
      </c>
      <c r="B331" s="116" t="s">
        <v>175</v>
      </c>
      <c r="C331" s="114" t="s">
        <v>140</v>
      </c>
      <c r="D331" s="55" t="s">
        <v>141</v>
      </c>
      <c r="E331" s="52">
        <v>23943.3</v>
      </c>
      <c r="F331" s="53" t="s">
        <v>134</v>
      </c>
      <c r="G331" s="58" t="s">
        <v>135</v>
      </c>
    </row>
    <row r="332" spans="1:7" hidden="1" x14ac:dyDescent="0.3">
      <c r="A332" s="116">
        <v>45931</v>
      </c>
      <c r="B332" s="116" t="s">
        <v>175</v>
      </c>
      <c r="C332" s="114" t="s">
        <v>140</v>
      </c>
      <c r="D332" s="55" t="s">
        <v>141</v>
      </c>
      <c r="E332" s="52">
        <v>21852.37</v>
      </c>
      <c r="F332" s="53" t="s">
        <v>134</v>
      </c>
      <c r="G332" s="58" t="s">
        <v>135</v>
      </c>
    </row>
    <row r="333" spans="1:7" hidden="1" x14ac:dyDescent="0.3">
      <c r="A333" s="116">
        <v>45931</v>
      </c>
      <c r="B333" s="116" t="s">
        <v>175</v>
      </c>
      <c r="C333" s="114" t="s">
        <v>140</v>
      </c>
      <c r="D333" s="55" t="s">
        <v>141</v>
      </c>
      <c r="E333" s="39">
        <v>4683.53</v>
      </c>
      <c r="F333" s="53" t="s">
        <v>134</v>
      </c>
      <c r="G333" s="58" t="s">
        <v>135</v>
      </c>
    </row>
    <row r="334" spans="1:7" hidden="1" x14ac:dyDescent="0.3">
      <c r="A334" s="123">
        <v>45933</v>
      </c>
      <c r="B334" s="123" t="s">
        <v>175</v>
      </c>
      <c r="C334" s="47" t="s">
        <v>43</v>
      </c>
      <c r="D334" s="47" t="s">
        <v>168</v>
      </c>
      <c r="E334" s="48">
        <v>-2045.3</v>
      </c>
      <c r="F334" s="214" t="s">
        <v>8</v>
      </c>
      <c r="G334" s="226" t="s">
        <v>182</v>
      </c>
    </row>
    <row r="335" spans="1:7" hidden="1" x14ac:dyDescent="0.3">
      <c r="A335" s="123">
        <v>45933</v>
      </c>
      <c r="B335" s="123" t="s">
        <v>175</v>
      </c>
      <c r="C335" s="193" t="s">
        <v>17</v>
      </c>
      <c r="D335" s="193" t="s">
        <v>453</v>
      </c>
      <c r="E335" s="192">
        <v>-1846.33</v>
      </c>
      <c r="F335" s="214" t="s">
        <v>8</v>
      </c>
      <c r="G335" s="11" t="s">
        <v>454</v>
      </c>
    </row>
    <row r="336" spans="1:7" hidden="1" x14ac:dyDescent="0.3">
      <c r="A336" s="123">
        <v>45933</v>
      </c>
      <c r="B336" s="123" t="s">
        <v>175</v>
      </c>
      <c r="C336" s="47" t="s">
        <v>6</v>
      </c>
      <c r="D336" s="47" t="s">
        <v>423</v>
      </c>
      <c r="E336" s="48">
        <v>-2000</v>
      </c>
      <c r="F336" s="214" t="s">
        <v>8</v>
      </c>
      <c r="G336" s="226" t="s">
        <v>154</v>
      </c>
    </row>
    <row r="337" spans="1:8" hidden="1" x14ac:dyDescent="0.3">
      <c r="A337" s="116">
        <v>45931</v>
      </c>
      <c r="B337" s="116" t="s">
        <v>175</v>
      </c>
      <c r="C337" s="114" t="s">
        <v>140</v>
      </c>
      <c r="D337" s="55" t="s">
        <v>141</v>
      </c>
      <c r="E337" s="52">
        <v>196</v>
      </c>
      <c r="F337" s="53" t="s">
        <v>134</v>
      </c>
      <c r="G337" s="58" t="s">
        <v>135</v>
      </c>
    </row>
    <row r="338" spans="1:8" hidden="1" x14ac:dyDescent="0.3">
      <c r="A338" s="123">
        <v>45933</v>
      </c>
      <c r="B338" s="123" t="s">
        <v>175</v>
      </c>
      <c r="C338" s="210" t="s">
        <v>17</v>
      </c>
      <c r="D338" s="210" t="s">
        <v>18</v>
      </c>
      <c r="E338" s="213">
        <v>-17235</v>
      </c>
      <c r="F338" s="214" t="s">
        <v>8</v>
      </c>
      <c r="G338" s="34" t="s">
        <v>19</v>
      </c>
    </row>
    <row r="339" spans="1:8" hidden="1" x14ac:dyDescent="0.3">
      <c r="A339" s="104">
        <v>45940</v>
      </c>
      <c r="B339" s="104" t="s">
        <v>175</v>
      </c>
      <c r="C339" s="17" t="s">
        <v>25</v>
      </c>
      <c r="D339" s="17" t="s">
        <v>428</v>
      </c>
      <c r="E339" s="10">
        <v>-2365.2199999999998</v>
      </c>
      <c r="F339" s="16" t="s">
        <v>8</v>
      </c>
      <c r="G339" s="11" t="s">
        <v>73</v>
      </c>
    </row>
    <row r="340" spans="1:8" hidden="1" x14ac:dyDescent="0.3">
      <c r="A340" s="104">
        <v>45940</v>
      </c>
      <c r="B340" s="104" t="s">
        <v>175</v>
      </c>
      <c r="C340" s="17" t="s">
        <v>25</v>
      </c>
      <c r="D340" s="17" t="s">
        <v>357</v>
      </c>
      <c r="E340" s="10">
        <v>-6999.49</v>
      </c>
      <c r="F340" s="16" t="s">
        <v>8</v>
      </c>
      <c r="G340" s="11" t="s">
        <v>73</v>
      </c>
    </row>
    <row r="341" spans="1:8" hidden="1" x14ac:dyDescent="0.3">
      <c r="A341" s="104">
        <v>45940</v>
      </c>
      <c r="B341" s="104" t="s">
        <v>175</v>
      </c>
      <c r="C341" s="17" t="s">
        <v>25</v>
      </c>
      <c r="D341" s="17" t="s">
        <v>429</v>
      </c>
      <c r="E341" s="10">
        <v>-1986</v>
      </c>
      <c r="F341" s="16" t="s">
        <v>8</v>
      </c>
      <c r="G341" s="6" t="s">
        <v>105</v>
      </c>
    </row>
    <row r="342" spans="1:8" hidden="1" x14ac:dyDescent="0.3">
      <c r="A342" s="104">
        <v>45940</v>
      </c>
      <c r="B342" s="104" t="s">
        <v>175</v>
      </c>
      <c r="C342" s="17" t="s">
        <v>31</v>
      </c>
      <c r="D342" s="17" t="s">
        <v>358</v>
      </c>
      <c r="E342" s="10">
        <v>-7009.1</v>
      </c>
      <c r="F342" s="16" t="s">
        <v>8</v>
      </c>
      <c r="G342" s="11" t="s">
        <v>73</v>
      </c>
    </row>
    <row r="343" spans="1:8" hidden="1" x14ac:dyDescent="0.3">
      <c r="A343" s="104">
        <v>45940</v>
      </c>
      <c r="B343" s="104" t="s">
        <v>175</v>
      </c>
      <c r="C343" s="17" t="s">
        <v>31</v>
      </c>
      <c r="D343" s="17" t="s">
        <v>430</v>
      </c>
      <c r="E343" s="10">
        <v>-1321.77</v>
      </c>
      <c r="F343" s="16" t="s">
        <v>8</v>
      </c>
      <c r="G343" s="11" t="s">
        <v>73</v>
      </c>
    </row>
    <row r="344" spans="1:8" hidden="1" x14ac:dyDescent="0.3">
      <c r="A344" s="104">
        <v>45940</v>
      </c>
      <c r="B344" s="104" t="s">
        <v>175</v>
      </c>
      <c r="C344" s="17" t="s">
        <v>17</v>
      </c>
      <c r="D344" s="17" t="s">
        <v>191</v>
      </c>
      <c r="E344" s="10">
        <v>-81.635803999999993</v>
      </c>
      <c r="F344" s="16" t="s">
        <v>8</v>
      </c>
      <c r="G344" s="6" t="s">
        <v>427</v>
      </c>
    </row>
    <row r="345" spans="1:8" hidden="1" x14ac:dyDescent="0.3">
      <c r="A345" s="104">
        <v>45940</v>
      </c>
      <c r="B345" s="104" t="s">
        <v>175</v>
      </c>
      <c r="C345" s="17" t="s">
        <v>17</v>
      </c>
      <c r="D345" s="17" t="s">
        <v>191</v>
      </c>
      <c r="E345" s="10">
        <v>-97.33</v>
      </c>
      <c r="F345" s="16" t="s">
        <v>8</v>
      </c>
      <c r="G345" s="6" t="s">
        <v>427</v>
      </c>
    </row>
    <row r="346" spans="1:8" hidden="1" x14ac:dyDescent="0.3">
      <c r="A346" s="104">
        <v>45940</v>
      </c>
      <c r="B346" s="104" t="s">
        <v>175</v>
      </c>
      <c r="C346" s="17" t="s">
        <v>17</v>
      </c>
      <c r="D346" s="17" t="s">
        <v>191</v>
      </c>
      <c r="E346" s="10">
        <v>-15.694193</v>
      </c>
      <c r="F346" s="16" t="s">
        <v>8</v>
      </c>
      <c r="G346" s="6" t="s">
        <v>427</v>
      </c>
    </row>
    <row r="347" spans="1:8" hidden="1" x14ac:dyDescent="0.3">
      <c r="A347" s="104">
        <v>45940</v>
      </c>
      <c r="B347" s="104" t="s">
        <v>175</v>
      </c>
      <c r="C347" s="15" t="s">
        <v>17</v>
      </c>
      <c r="D347" s="15" t="s">
        <v>18</v>
      </c>
      <c r="E347" s="12">
        <v>-17235</v>
      </c>
      <c r="F347" s="16" t="s">
        <v>8</v>
      </c>
      <c r="G347" s="6" t="s">
        <v>19</v>
      </c>
    </row>
    <row r="348" spans="1:8" hidden="1" x14ac:dyDescent="0.3">
      <c r="A348" s="79">
        <v>45940</v>
      </c>
      <c r="B348" s="123" t="s">
        <v>175</v>
      </c>
      <c r="C348" s="89" t="s">
        <v>30</v>
      </c>
      <c r="D348" s="90" t="s">
        <v>241</v>
      </c>
      <c r="E348" s="81">
        <v>-1000</v>
      </c>
      <c r="F348" s="62" t="s">
        <v>8</v>
      </c>
      <c r="G348" s="62" t="s">
        <v>154</v>
      </c>
    </row>
    <row r="349" spans="1:8" s="121" customFormat="1" ht="13.8" hidden="1" x14ac:dyDescent="0.3">
      <c r="A349" s="51">
        <v>45945</v>
      </c>
      <c r="B349" s="50" t="s">
        <v>175</v>
      </c>
      <c r="C349" s="55" t="s">
        <v>29</v>
      </c>
      <c r="D349" s="60" t="s">
        <v>431</v>
      </c>
      <c r="E349" s="56">
        <v>15077.75</v>
      </c>
      <c r="F349" s="53" t="s">
        <v>134</v>
      </c>
      <c r="G349" s="58" t="s">
        <v>135</v>
      </c>
      <c r="H349" s="69"/>
    </row>
    <row r="350" spans="1:8" s="121" customFormat="1" ht="13.8" hidden="1" x14ac:dyDescent="0.3">
      <c r="A350" s="51">
        <v>45945</v>
      </c>
      <c r="B350" s="50" t="s">
        <v>175</v>
      </c>
      <c r="C350" s="55" t="s">
        <v>29</v>
      </c>
      <c r="D350" s="60" t="s">
        <v>456</v>
      </c>
      <c r="E350" s="56">
        <v>15077.75</v>
      </c>
      <c r="F350" s="53" t="s">
        <v>134</v>
      </c>
      <c r="G350" s="58" t="s">
        <v>135</v>
      </c>
      <c r="H350" s="69"/>
    </row>
    <row r="351" spans="1:8" hidden="1" x14ac:dyDescent="0.3">
      <c r="A351" s="67">
        <v>45945</v>
      </c>
      <c r="B351" s="104" t="s">
        <v>175</v>
      </c>
      <c r="C351" s="8" t="s">
        <v>6</v>
      </c>
      <c r="D351" s="17" t="s">
        <v>244</v>
      </c>
      <c r="E351" s="10">
        <v>-10000</v>
      </c>
      <c r="F351" s="11" t="s">
        <v>8</v>
      </c>
      <c r="G351" s="11" t="s">
        <v>154</v>
      </c>
    </row>
    <row r="352" spans="1:8" hidden="1" x14ac:dyDescent="0.3">
      <c r="A352" s="67">
        <v>45939</v>
      </c>
      <c r="B352" s="104" t="s">
        <v>175</v>
      </c>
      <c r="C352" s="17" t="s">
        <v>43</v>
      </c>
      <c r="D352" s="17" t="s">
        <v>168</v>
      </c>
      <c r="E352" s="10">
        <v>-4484.6899999999996</v>
      </c>
      <c r="F352" s="11" t="s">
        <v>8</v>
      </c>
      <c r="G352" s="11" t="s">
        <v>182</v>
      </c>
    </row>
    <row r="353" spans="1:7" hidden="1" x14ac:dyDescent="0.3">
      <c r="A353" s="67">
        <v>45939</v>
      </c>
      <c r="B353" s="104" t="s">
        <v>175</v>
      </c>
      <c r="C353" s="17" t="s">
        <v>43</v>
      </c>
      <c r="D353" s="17" t="s">
        <v>426</v>
      </c>
      <c r="E353" s="10">
        <v>-139.53</v>
      </c>
      <c r="F353" s="11" t="s">
        <v>8</v>
      </c>
      <c r="G353" s="11" t="s">
        <v>355</v>
      </c>
    </row>
    <row r="354" spans="1:7" hidden="1" x14ac:dyDescent="0.3">
      <c r="A354" s="67">
        <v>45939</v>
      </c>
      <c r="B354" s="104" t="s">
        <v>175</v>
      </c>
      <c r="C354" s="17" t="s">
        <v>69</v>
      </c>
      <c r="D354" s="17" t="s">
        <v>169</v>
      </c>
      <c r="E354" s="10">
        <v>-827.13</v>
      </c>
      <c r="F354" s="11" t="s">
        <v>8</v>
      </c>
      <c r="G354" s="11" t="s">
        <v>182</v>
      </c>
    </row>
    <row r="355" spans="1:7" hidden="1" x14ac:dyDescent="0.3">
      <c r="A355" s="67">
        <v>45939</v>
      </c>
      <c r="B355" s="104" t="s">
        <v>175</v>
      </c>
      <c r="C355" s="17" t="s">
        <v>69</v>
      </c>
      <c r="D355" s="17" t="s">
        <v>166</v>
      </c>
      <c r="E355" s="10">
        <v>-886.66</v>
      </c>
      <c r="F355" s="11" t="s">
        <v>8</v>
      </c>
      <c r="G355" s="11" t="s">
        <v>355</v>
      </c>
    </row>
    <row r="356" spans="1:7" hidden="1" x14ac:dyDescent="0.3">
      <c r="A356" s="67">
        <v>45939</v>
      </c>
      <c r="B356" s="104" t="s">
        <v>175</v>
      </c>
      <c r="C356" s="17" t="s">
        <v>17</v>
      </c>
      <c r="D356" s="17" t="s">
        <v>165</v>
      </c>
      <c r="E356" s="10">
        <v>-372</v>
      </c>
      <c r="F356" s="11" t="s">
        <v>8</v>
      </c>
      <c r="G356" s="11" t="s">
        <v>427</v>
      </c>
    </row>
    <row r="357" spans="1:7" hidden="1" x14ac:dyDescent="0.3">
      <c r="A357" s="67">
        <v>45939</v>
      </c>
      <c r="B357" s="104" t="s">
        <v>175</v>
      </c>
      <c r="C357" s="78" t="s">
        <v>94</v>
      </c>
      <c r="D357" s="17" t="s">
        <v>240</v>
      </c>
      <c r="E357" s="10">
        <v>-2000</v>
      </c>
      <c r="F357" s="11" t="s">
        <v>8</v>
      </c>
      <c r="G357" s="11" t="s">
        <v>154</v>
      </c>
    </row>
    <row r="358" spans="1:7" hidden="1" x14ac:dyDescent="0.3">
      <c r="A358" s="67">
        <v>45945</v>
      </c>
      <c r="B358" s="104" t="s">
        <v>175</v>
      </c>
      <c r="C358" s="8" t="s">
        <v>94</v>
      </c>
      <c r="D358" s="21" t="s">
        <v>245</v>
      </c>
      <c r="E358" s="10">
        <v>-2000</v>
      </c>
      <c r="F358" s="11" t="s">
        <v>8</v>
      </c>
      <c r="G358" s="11" t="s">
        <v>154</v>
      </c>
    </row>
    <row r="359" spans="1:7" hidden="1" x14ac:dyDescent="0.3">
      <c r="A359" s="104">
        <v>45931</v>
      </c>
      <c r="B359" s="104" t="s">
        <v>175</v>
      </c>
      <c r="C359" s="17" t="s">
        <v>69</v>
      </c>
      <c r="D359" s="17" t="s">
        <v>169</v>
      </c>
      <c r="E359" s="10">
        <v>-985.45</v>
      </c>
      <c r="F359" s="11" t="s">
        <v>8</v>
      </c>
      <c r="G359" s="11" t="s">
        <v>360</v>
      </c>
    </row>
    <row r="360" spans="1:7" hidden="1" x14ac:dyDescent="0.3">
      <c r="A360" s="67">
        <v>45931</v>
      </c>
      <c r="B360" s="104" t="s">
        <v>175</v>
      </c>
      <c r="C360" s="8" t="s">
        <v>17</v>
      </c>
      <c r="D360" s="17" t="s">
        <v>238</v>
      </c>
      <c r="E360" s="10">
        <v>-1848.63</v>
      </c>
      <c r="F360" s="11" t="s">
        <v>8</v>
      </c>
      <c r="G360" s="11" t="s">
        <v>154</v>
      </c>
    </row>
  </sheetData>
  <autoFilter ref="A1:G360" xr:uid="{CA4D276C-15A5-4555-85FA-B790D3AC69A0}">
    <filterColumn colId="3">
      <filters>
        <filter val="_x0009_ENCARGOS LIMITE DE CRED- HSERV TERCERIZADOS BRADESCO"/>
        <filter val="BRADESCO -RENEGOCIAÇÃO DO EMPRESTIMO"/>
        <filter val="BRADESCO SEGUROS - QUY9F13- DEBITO AUTOMATICO HSERV CABREUVA BRADESCO"/>
        <filter val="EMPRESTIMO HSERV CLEAN BRADESCO -PARCELA MENSAL"/>
      </filters>
    </filterColumn>
    <filterColumn colId="5">
      <filters>
        <filter val="DESPESAS"/>
      </filters>
    </filterColumn>
  </autoFilter>
  <conditionalFormatting sqref="E47">
    <cfRule type="colorScale" priority="76">
      <colorScale>
        <cfvo type="min"/>
        <cfvo type="max"/>
        <color rgb="FFF8696B"/>
        <color rgb="FFFCFCFF"/>
      </colorScale>
    </cfRule>
  </conditionalFormatting>
  <conditionalFormatting sqref="E147">
    <cfRule type="colorScale" priority="63">
      <colorScale>
        <cfvo type="min"/>
        <cfvo type="max"/>
        <color rgb="FFF8696B"/>
        <color rgb="FFFCFCFF"/>
      </colorScale>
    </cfRule>
  </conditionalFormatting>
  <conditionalFormatting sqref="E238">
    <cfRule type="colorScale" priority="28">
      <colorScale>
        <cfvo type="min"/>
        <cfvo type="max"/>
        <color rgb="FFF8696B"/>
        <color rgb="FFFCFCFF"/>
      </colorScale>
    </cfRule>
  </conditionalFormatting>
  <conditionalFormatting sqref="E269">
    <cfRule type="colorScale" priority="19">
      <colorScale>
        <cfvo type="min"/>
        <cfvo type="max"/>
        <color rgb="FFF8696B"/>
        <color rgb="FFFCFCFF"/>
      </colorScale>
    </cfRule>
  </conditionalFormatting>
  <conditionalFormatting sqref="E290">
    <cfRule type="colorScale" priority="16">
      <colorScale>
        <cfvo type="min"/>
        <cfvo type="max"/>
        <color rgb="FFF8696B"/>
        <color rgb="FFFCFCFF"/>
      </colorScale>
    </cfRule>
  </conditionalFormatting>
  <conditionalFormatting sqref="F7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1">
    <cfRule type="colorScale" priority="98">
      <colorScale>
        <cfvo type="min"/>
        <cfvo type="max"/>
        <color rgb="FFF8696B"/>
        <color rgb="FFFCFCFF"/>
      </colorScale>
    </cfRule>
  </conditionalFormatting>
  <conditionalFormatting sqref="F12">
    <cfRule type="colorScale" priority="94">
      <colorScale>
        <cfvo type="min"/>
        <cfvo type="max"/>
        <color rgb="FFF8696B"/>
        <color rgb="FFFCFCFF"/>
      </colorScale>
    </cfRule>
  </conditionalFormatting>
  <conditionalFormatting sqref="F13">
    <cfRule type="colorScale" priority="95">
      <colorScale>
        <cfvo type="min"/>
        <cfvo type="max"/>
        <color rgb="FFF8696B"/>
        <color rgb="FFFCFCFF"/>
      </colorScale>
    </cfRule>
  </conditionalFormatting>
  <conditionalFormatting sqref="F15">
    <cfRule type="colorScale" priority="91">
      <colorScale>
        <cfvo type="min"/>
        <cfvo type="max"/>
        <color rgb="FFF8696B"/>
        <color rgb="FFFCFCFF"/>
      </colorScale>
    </cfRule>
  </conditionalFormatting>
  <conditionalFormatting sqref="F16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7">
    <cfRule type="colorScale" priority="89">
      <colorScale>
        <cfvo type="min"/>
        <cfvo type="max"/>
        <color rgb="FFF8696B"/>
        <color rgb="FFFCFCFF"/>
      </colorScale>
    </cfRule>
  </conditionalFormatting>
  <conditionalFormatting sqref="F18">
    <cfRule type="colorScale" priority="88">
      <colorScale>
        <cfvo type="min"/>
        <cfvo type="max"/>
        <color rgb="FFF8696B"/>
        <color rgb="FFFCFCFF"/>
      </colorScale>
    </cfRule>
  </conditionalFormatting>
  <conditionalFormatting sqref="F19">
    <cfRule type="colorScale" priority="87">
      <colorScale>
        <cfvo type="min"/>
        <cfvo type="max"/>
        <color rgb="FFF8696B"/>
        <color rgb="FFFCFCFF"/>
      </colorScale>
    </cfRule>
  </conditionalFormatting>
  <conditionalFormatting sqref="F20:F22 F14">
    <cfRule type="colorScale" priority="92">
      <colorScale>
        <cfvo type="min"/>
        <cfvo type="max"/>
        <color rgb="FFF8696B"/>
        <color rgb="FFFCFCFF"/>
      </colorScale>
    </cfRule>
  </conditionalFormatting>
  <conditionalFormatting sqref="F27">
    <cfRule type="colorScale" priority="84">
      <colorScale>
        <cfvo type="min"/>
        <cfvo type="max"/>
        <color rgb="FFF8696B"/>
        <color rgb="FFFCFCFF"/>
      </colorScale>
    </cfRule>
  </conditionalFormatting>
  <conditionalFormatting sqref="F28">
    <cfRule type="colorScale" priority="82">
      <colorScale>
        <cfvo type="min"/>
        <cfvo type="max"/>
        <color rgb="FFF8696B"/>
        <color rgb="FFFCFCFF"/>
      </colorScale>
    </cfRule>
  </conditionalFormatting>
  <conditionalFormatting sqref="F41">
    <cfRule type="colorScale" priority="78">
      <colorScale>
        <cfvo type="min"/>
        <cfvo type="max"/>
        <color rgb="FFF8696B"/>
        <color rgb="FFFCFCFF"/>
      </colorScale>
    </cfRule>
  </conditionalFormatting>
  <conditionalFormatting sqref="F101">
    <cfRule type="colorScale" priority="72">
      <colorScale>
        <cfvo type="min"/>
        <cfvo type="max"/>
        <color rgb="FFF8696B"/>
        <color rgb="FFFCFCFF"/>
      </colorScale>
    </cfRule>
  </conditionalFormatting>
  <conditionalFormatting sqref="F106">
    <cfRule type="colorScale" priority="70">
      <colorScale>
        <cfvo type="min"/>
        <cfvo type="max"/>
        <color rgb="FFF8696B"/>
        <color rgb="FFFCFCFF"/>
      </colorScale>
    </cfRule>
  </conditionalFormatting>
  <conditionalFormatting sqref="F122:F143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44:F145">
    <cfRule type="colorScale" priority="65">
      <colorScale>
        <cfvo type="min"/>
        <cfvo type="max"/>
        <color rgb="FFF8696B"/>
        <color rgb="FFFCFCFF"/>
      </colorScale>
    </cfRule>
  </conditionalFormatting>
  <conditionalFormatting sqref="F146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51:F152">
    <cfRule type="colorScale" priority="60">
      <colorScale>
        <cfvo type="min"/>
        <cfvo type="max"/>
        <color rgb="FFF8696B"/>
        <color rgb="FFFCFCFF"/>
      </colorScale>
    </cfRule>
  </conditionalFormatting>
  <conditionalFormatting sqref="F168:F169 F1:F6 F8:F10">
    <cfRule type="colorScale" priority="105">
      <colorScale>
        <cfvo type="min"/>
        <cfvo type="max"/>
        <color rgb="FFF8696B"/>
        <color rgb="FFFCFCFF"/>
      </colorScale>
    </cfRule>
  </conditionalFormatting>
  <conditionalFormatting sqref="F170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71">
    <cfRule type="colorScale" priority="53">
      <colorScale>
        <cfvo type="min"/>
        <cfvo type="max"/>
        <color rgb="FFF8696B"/>
        <color rgb="FFFCFCFF"/>
      </colorScale>
    </cfRule>
  </conditionalFormatting>
  <conditionalFormatting sqref="F172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73">
    <cfRule type="colorScale" priority="51">
      <colorScale>
        <cfvo type="min"/>
        <cfvo type="max"/>
        <color rgb="FFF8696B"/>
        <color rgb="FFFCFCFF"/>
      </colorScale>
    </cfRule>
  </conditionalFormatting>
  <conditionalFormatting sqref="F174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75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76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77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46">
      <colorScale>
        <cfvo type="min"/>
        <cfvo type="max"/>
        <color rgb="FFF8696B"/>
        <color rgb="FFFCFCFF"/>
      </colorScale>
    </cfRule>
  </conditionalFormatting>
  <conditionalFormatting sqref="F179:F194 F153:F167 F147:F150 F107:F121 F102:F105 F42:F100 F30:F40">
    <cfRule type="colorScale" priority="81">
      <colorScale>
        <cfvo type="min"/>
        <cfvo type="max"/>
        <color rgb="FFF8696B"/>
        <color rgb="FFFCFCFF"/>
      </colorScale>
    </cfRule>
  </conditionalFormatting>
  <conditionalFormatting sqref="F206">
    <cfRule type="colorScale" priority="44">
      <colorScale>
        <cfvo type="min"/>
        <cfvo type="max"/>
        <color rgb="FFF8696B"/>
        <color rgb="FFFCFCFF"/>
      </colorScale>
    </cfRule>
  </conditionalFormatting>
  <conditionalFormatting sqref="F20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{4621F9D4-EF4C-40C4-ACF8-E60F5008A449}</x14:id>
        </ext>
      </extLst>
    </cfRule>
  </conditionalFormatting>
  <conditionalFormatting sqref="F209">
    <cfRule type="colorScale" priority="39">
      <colorScale>
        <cfvo type="min"/>
        <cfvo type="max"/>
        <color rgb="FFF8696B"/>
        <color rgb="FFFCFCFF"/>
      </colorScale>
    </cfRule>
  </conditionalFormatting>
  <conditionalFormatting sqref="F210">
    <cfRule type="colorScale" priority="41">
      <colorScale>
        <cfvo type="min"/>
        <cfvo type="max"/>
        <color rgb="FFF8696B"/>
        <color rgb="FFFCFCFF"/>
      </colorScale>
    </cfRule>
  </conditionalFormatting>
  <conditionalFormatting sqref="F213:F223">
    <cfRule type="colorScale" priority="36">
      <colorScale>
        <cfvo type="min"/>
        <cfvo type="max"/>
        <color rgb="FFF8696B"/>
        <color rgb="FFFCFCFF"/>
      </colorScale>
    </cfRule>
  </conditionalFormatting>
  <conditionalFormatting sqref="F229:F237">
    <cfRule type="colorScale" priority="29">
      <colorScale>
        <cfvo type="min"/>
        <cfvo type="max"/>
        <color rgb="FFF8696B"/>
        <color rgb="FFFCFCFF"/>
      </colorScale>
    </cfRule>
  </conditionalFormatting>
  <conditionalFormatting sqref="F238">
    <cfRule type="colorScale" priority="27">
      <colorScale>
        <cfvo type="min"/>
        <cfvo type="max"/>
        <color rgb="FFF8696B"/>
        <color rgb="FFFCFCFF"/>
      </colorScale>
    </cfRule>
  </conditionalFormatting>
  <conditionalFormatting sqref="F241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49:F250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54">
    <cfRule type="colorScale" priority="20">
      <colorScale>
        <cfvo type="min"/>
        <cfvo type="max"/>
        <color rgb="FFF8696B"/>
        <color rgb="FFFCFCFF"/>
      </colorScale>
    </cfRule>
  </conditionalFormatting>
  <conditionalFormatting sqref="F287:F289">
    <cfRule type="colorScale" priority="17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13">
      <colorScale>
        <cfvo type="min"/>
        <cfvo type="max"/>
        <color rgb="FFF8696B"/>
        <color rgb="FFFCFCFF"/>
      </colorScale>
    </cfRule>
  </conditionalFormatting>
  <conditionalFormatting sqref="F302">
    <cfRule type="colorScale" priority="11">
      <colorScale>
        <cfvo type="min"/>
        <cfvo type="max"/>
        <color rgb="FFF8696B"/>
        <color rgb="FFFCFCFF"/>
      </colorScale>
    </cfRule>
  </conditionalFormatting>
  <conditionalFormatting sqref="F310:F313">
    <cfRule type="colorScale" priority="12">
      <colorScale>
        <cfvo type="min"/>
        <cfvo type="max"/>
        <color rgb="FFF8696B"/>
        <color rgb="FFFCFCFF"/>
      </colorScale>
    </cfRule>
  </conditionalFormatting>
  <conditionalFormatting sqref="F324:F327">
    <cfRule type="colorScale" priority="8">
      <colorScale>
        <cfvo type="min"/>
        <cfvo type="max"/>
        <color rgb="FFF8696B"/>
        <color rgb="FFFCFCFF"/>
      </colorScale>
    </cfRule>
  </conditionalFormatting>
  <conditionalFormatting sqref="F328:F347 F303:F309 F314:F323 F255:F286 F290:F300 F242:F248 F251:F253 F239:F240 F207:F208 F224:F228 F211:F212">
    <cfRule type="colorScale" priority="43">
      <colorScale>
        <cfvo type="min"/>
        <cfvo type="max"/>
        <color rgb="FFF8696B"/>
        <color rgb="FFFCFCFF"/>
      </colorScale>
    </cfRule>
  </conditionalFormatting>
  <conditionalFormatting sqref="F349:F350">
    <cfRule type="colorScale" priority="1">
      <colorScale>
        <cfvo type="min"/>
        <cfvo type="max"/>
        <color rgb="FFF8696B"/>
        <color rgb="FFFCFCFF"/>
      </colorScale>
    </cfRule>
  </conditionalFormatting>
  <conditionalFormatting sqref="G2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5">
    <cfRule type="colorScale" priority="103">
      <colorScale>
        <cfvo type="min"/>
        <cfvo type="max"/>
        <color rgb="FFF8696B"/>
        <color rgb="FFFCFCFF"/>
      </colorScale>
    </cfRule>
  </conditionalFormatting>
  <conditionalFormatting sqref="G6">
    <cfRule type="colorScale" priority="102">
      <colorScale>
        <cfvo type="min"/>
        <cfvo type="max"/>
        <color rgb="FFF8696B"/>
        <color rgb="FFFCFCFF"/>
      </colorScale>
    </cfRule>
  </conditionalFormatting>
  <conditionalFormatting sqref="G8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0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1">
    <cfRule type="colorScale" priority="97">
      <colorScale>
        <cfvo type="min"/>
        <cfvo type="max"/>
        <color rgb="FFF8696B"/>
        <color rgb="FFFCFCFF"/>
      </colorScale>
    </cfRule>
  </conditionalFormatting>
  <conditionalFormatting sqref="G12">
    <cfRule type="colorScale" priority="93">
      <colorScale>
        <cfvo type="min"/>
        <cfvo type="max"/>
        <color rgb="FFF8696B"/>
        <color rgb="FFFCFCFF"/>
      </colorScale>
    </cfRule>
  </conditionalFormatting>
  <conditionalFormatting sqref="G13">
    <cfRule type="colorScale" priority="96">
      <colorScale>
        <cfvo type="min"/>
        <cfvo type="max"/>
        <color rgb="FFF8696B"/>
        <color rgb="FFFCFCFF"/>
      </colorScale>
    </cfRule>
  </conditionalFormatting>
  <conditionalFormatting sqref="G22">
    <cfRule type="colorScale" priority="86">
      <colorScale>
        <cfvo type="min"/>
        <cfvo type="max"/>
        <color rgb="FFF8696B"/>
        <color rgb="FFFCFCFF"/>
      </colorScale>
    </cfRule>
  </conditionalFormatting>
  <conditionalFormatting sqref="G27">
    <cfRule type="colorScale" priority="85">
      <colorScale>
        <cfvo type="min"/>
        <cfvo type="max"/>
        <color rgb="FFF8696B"/>
        <color rgb="FFFCFCFF"/>
      </colorScale>
    </cfRule>
  </conditionalFormatting>
  <conditionalFormatting sqref="G28">
    <cfRule type="colorScale" priority="83">
      <colorScale>
        <cfvo type="min"/>
        <cfvo type="max"/>
        <color rgb="FFF8696B"/>
        <color rgb="FFFCFCFF"/>
      </colorScale>
    </cfRule>
  </conditionalFormatting>
  <conditionalFormatting sqref="G30">
    <cfRule type="colorScale" priority="80">
      <colorScale>
        <cfvo type="min"/>
        <cfvo type="max"/>
        <color rgb="FFF8696B"/>
        <color rgb="FFFCFCFF"/>
      </colorScale>
    </cfRule>
  </conditionalFormatting>
  <conditionalFormatting sqref="G41">
    <cfRule type="colorScale" priority="79">
      <colorScale>
        <cfvo type="min"/>
        <cfvo type="max"/>
        <color rgb="FFF8696B"/>
        <color rgb="FFFCFCFF"/>
      </colorScale>
    </cfRule>
  </conditionalFormatting>
  <conditionalFormatting sqref="G42:G51">
    <cfRule type="colorScale" priority="77">
      <colorScale>
        <cfvo type="min"/>
        <cfvo type="max"/>
        <color rgb="FFF8696B"/>
        <color rgb="FFFCFCFF"/>
      </colorScale>
    </cfRule>
  </conditionalFormatting>
  <conditionalFormatting sqref="G85:G92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01">
    <cfRule type="colorScale" priority="71">
      <colorScale>
        <cfvo type="min"/>
        <cfvo type="max"/>
        <color rgb="FFF8696B"/>
        <color rgb="FFFCFCFF"/>
      </colorScale>
    </cfRule>
  </conditionalFormatting>
  <conditionalFormatting sqref="G105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06">
    <cfRule type="colorScale" priority="69">
      <colorScale>
        <cfvo type="min"/>
        <cfvo type="max"/>
        <color rgb="FFF8696B"/>
        <color rgb="FFFCFCFF"/>
      </colorScale>
    </cfRule>
  </conditionalFormatting>
  <conditionalFormatting sqref="G109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23">
    <cfRule type="colorScale" priority="62">
      <colorScale>
        <cfvo type="min"/>
        <cfvo type="max"/>
        <color rgb="FFF8696B"/>
        <color rgb="FFFCFCFF"/>
      </colorScale>
    </cfRule>
  </conditionalFormatting>
  <conditionalFormatting sqref="G124:G1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52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58:G162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63:G165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66:G168 G294 G258 G238 G52">
    <cfRule type="colorScale" priority="75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45">
      <colorScale>
        <cfvo type="min"/>
        <cfvo type="max"/>
        <color rgb="FFF8696B"/>
        <color rgb="FFFCFCFF"/>
      </colorScale>
    </cfRule>
  </conditionalFormatting>
  <conditionalFormatting sqref="G181:G182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83">
    <cfRule type="colorScale" priority="56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38">
      <colorScale>
        <cfvo type="min"/>
        <cfvo type="max"/>
        <color rgb="FFF8696B"/>
        <color rgb="FFFCFCFF"/>
      </colorScale>
    </cfRule>
  </conditionalFormatting>
  <conditionalFormatting sqref="G210">
    <cfRule type="colorScale" priority="40">
      <colorScale>
        <cfvo type="min"/>
        <cfvo type="max"/>
        <color rgb="FFF8696B"/>
        <color rgb="FFFCFCFF"/>
      </colorScale>
    </cfRule>
  </conditionalFormatting>
  <conditionalFormatting sqref="G215">
    <cfRule type="colorScale" priority="33">
      <colorScale>
        <cfvo type="min"/>
        <cfvo type="max"/>
        <color rgb="FFF8696B"/>
        <color rgb="FFFCFCFF"/>
      </colorScale>
    </cfRule>
  </conditionalFormatting>
  <conditionalFormatting sqref="G216">
    <cfRule type="colorScale" priority="32">
      <colorScale>
        <cfvo type="min"/>
        <cfvo type="max"/>
        <color rgb="FFF8696B"/>
        <color rgb="FFFCFCFF"/>
      </colorScale>
    </cfRule>
  </conditionalFormatting>
  <conditionalFormatting sqref="G217">
    <cfRule type="colorScale" priority="31">
      <colorScale>
        <cfvo type="min"/>
        <cfvo type="max"/>
        <color rgb="FFF8696B"/>
        <color rgb="FFFCFCFF"/>
      </colorScale>
    </cfRule>
  </conditionalFormatting>
  <conditionalFormatting sqref="G218:G219">
    <cfRule type="colorScale" priority="34">
      <colorScale>
        <cfvo type="min"/>
        <cfvo type="max"/>
        <color rgb="FFF8696B"/>
        <color rgb="FFFCFCFF"/>
      </colorScale>
    </cfRule>
  </conditionalFormatting>
  <conditionalFormatting sqref="G214 G220 G222:G223">
    <cfRule type="colorScale" priority="35">
      <colorScale>
        <cfvo type="min"/>
        <cfvo type="max"/>
        <color rgb="FFF8696B"/>
        <color rgb="FFFCFCFF"/>
      </colorScale>
    </cfRule>
  </conditionalFormatting>
  <conditionalFormatting sqref="G221">
    <cfRule type="colorScale" priority="30">
      <colorScale>
        <cfvo type="min"/>
        <cfvo type="max"/>
        <color rgb="FFF8696B"/>
        <color rgb="FFFCFCFF"/>
      </colorScale>
    </cfRule>
  </conditionalFormatting>
  <conditionalFormatting sqref="G224">
    <cfRule type="colorScale" priority="37">
      <colorScale>
        <cfvo type="min"/>
        <cfvo type="max"/>
        <color rgb="FFF8696B"/>
        <color rgb="FFFCFCFF"/>
      </colorScale>
    </cfRule>
  </conditionalFormatting>
  <conditionalFormatting sqref="G229:G232">
    <cfRule type="colorScale" priority="26">
      <colorScale>
        <cfvo type="min"/>
        <cfvo type="max"/>
        <color rgb="FFF8696B"/>
        <color rgb="FFFCFCFF"/>
      </colorScale>
    </cfRule>
  </conditionalFormatting>
  <conditionalFormatting sqref="G241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44">
    <cfRule type="colorScale" priority="25">
      <colorScale>
        <cfvo type="min"/>
        <cfvo type="max"/>
        <color rgb="FFF8696B"/>
        <color rgb="FFFCFCFF"/>
      </colorScale>
    </cfRule>
  </conditionalFormatting>
  <conditionalFormatting sqref="G250">
    <cfRule type="colorScale" priority="21">
      <colorScale>
        <cfvo type="min"/>
        <cfvo type="max"/>
        <color rgb="FFF8696B"/>
        <color rgb="FFFCFCFF"/>
      </colorScale>
    </cfRule>
  </conditionalFormatting>
  <conditionalFormatting sqref="G285">
    <cfRule type="colorScale" priority="18">
      <colorScale>
        <cfvo type="min"/>
        <cfvo type="max"/>
        <color rgb="FFF8696B"/>
        <color rgb="FFFCFCFF"/>
      </colorScale>
    </cfRule>
  </conditionalFormatting>
  <conditionalFormatting sqref="G306:G307">
    <cfRule type="colorScale" priority="14">
      <colorScale>
        <cfvo type="min"/>
        <cfvo type="max"/>
        <color rgb="FFF8696B"/>
        <color rgb="FFFCFCFF"/>
      </colorScale>
    </cfRule>
  </conditionalFormatting>
  <conditionalFormatting sqref="G321">
    <cfRule type="colorScale" priority="10">
      <colorScale>
        <cfvo type="min"/>
        <cfvo type="max"/>
        <color rgb="FFF8696B"/>
        <color rgb="FFFCFCFF"/>
      </colorScale>
    </cfRule>
  </conditionalFormatting>
  <conditionalFormatting sqref="G324:G327">
    <cfRule type="colorScale" priority="9">
      <colorScale>
        <cfvo type="min"/>
        <cfvo type="max"/>
        <color rgb="FFF8696B"/>
        <color rgb="FFFCFCFF"/>
      </colorScale>
    </cfRule>
  </conditionalFormatting>
  <conditionalFormatting sqref="G334:G335">
    <cfRule type="colorScale" priority="7">
      <colorScale>
        <cfvo type="min"/>
        <cfvo type="max"/>
        <color rgb="FFF8696B"/>
        <color rgb="FFFCFCFF"/>
      </colorScale>
    </cfRule>
  </conditionalFormatting>
  <conditionalFormatting sqref="G336">
    <cfRule type="colorScale" priority="6">
      <colorScale>
        <cfvo type="min"/>
        <cfvo type="max"/>
        <color rgb="FFF8696B"/>
        <color rgb="FFFCFCFF"/>
      </colorScale>
    </cfRule>
  </conditionalFormatting>
  <conditionalFormatting sqref="G339:G340">
    <cfRule type="colorScale" priority="5">
      <colorScale>
        <cfvo type="min"/>
        <cfvo type="max"/>
        <color rgb="FFF8696B"/>
        <color rgb="FFFCFCFF"/>
      </colorScale>
    </cfRule>
  </conditionalFormatting>
  <conditionalFormatting sqref="G338 G341 G344:G346 G328:G329 G322:G323">
    <cfRule type="colorScale" priority="15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4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3">
      <colorScale>
        <cfvo type="min"/>
        <cfvo type="max"/>
        <color rgb="FFF8696B"/>
        <color rgb="FFFCFCFF"/>
      </colorScale>
    </cfRule>
  </conditionalFormatting>
  <conditionalFormatting sqref="G352:G356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1F9D4-EF4C-40C4-ACF8-E60F5008A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B72E-EFFB-4A85-A69B-378F26BB83B1}">
  <dimension ref="A1:I33"/>
  <sheetViews>
    <sheetView showGridLines="0" tabSelected="1" workbookViewId="0">
      <selection activeCell="E11" sqref="E11:E18"/>
    </sheetView>
  </sheetViews>
  <sheetFormatPr defaultRowHeight="14.4" x14ac:dyDescent="0.3"/>
  <cols>
    <col min="1" max="1" width="12.6640625" bestFit="1" customWidth="1"/>
    <col min="2" max="2" width="10.109375" bestFit="1" customWidth="1"/>
    <col min="3" max="3" width="22" bestFit="1" customWidth="1"/>
    <col min="4" max="4" width="68.33203125" bestFit="1" customWidth="1"/>
    <col min="5" max="5" width="14" bestFit="1" customWidth="1"/>
    <col min="6" max="6" width="65.44140625" bestFit="1" customWidth="1"/>
  </cols>
  <sheetData>
    <row r="1" spans="1:6" s="235" customFormat="1" x14ac:dyDescent="0.3">
      <c r="A1" s="259" t="s">
        <v>458</v>
      </c>
      <c r="B1" s="259" t="s">
        <v>170</v>
      </c>
      <c r="C1" s="259" t="s">
        <v>1</v>
      </c>
      <c r="D1" s="259" t="s">
        <v>459</v>
      </c>
      <c r="E1" s="259" t="s">
        <v>3</v>
      </c>
      <c r="F1" s="259" t="s">
        <v>460</v>
      </c>
    </row>
    <row r="2" spans="1:6" ht="28.8" x14ac:dyDescent="0.3">
      <c r="A2" s="239">
        <v>45919</v>
      </c>
      <c r="B2" s="239" t="s">
        <v>172</v>
      </c>
      <c r="C2" s="240" t="s">
        <v>30</v>
      </c>
      <c r="D2" s="240" t="s">
        <v>461</v>
      </c>
      <c r="E2" s="241">
        <v>-353.3</v>
      </c>
      <c r="F2" s="237" t="s">
        <v>462</v>
      </c>
    </row>
    <row r="3" spans="1:6" x14ac:dyDescent="0.3">
      <c r="A3" s="239">
        <v>45919</v>
      </c>
      <c r="B3" s="242" t="s">
        <v>172</v>
      </c>
      <c r="C3" s="240" t="s">
        <v>6</v>
      </c>
      <c r="D3" s="243" t="s">
        <v>347</v>
      </c>
      <c r="E3" s="241">
        <v>-812.59</v>
      </c>
      <c r="F3" s="237" t="s">
        <v>462</v>
      </c>
    </row>
    <row r="4" spans="1:6" x14ac:dyDescent="0.3">
      <c r="A4" s="239">
        <v>45919</v>
      </c>
      <c r="B4" s="242" t="s">
        <v>172</v>
      </c>
      <c r="C4" s="240" t="s">
        <v>43</v>
      </c>
      <c r="D4" s="243" t="s">
        <v>347</v>
      </c>
      <c r="E4" s="241">
        <v>-847.92</v>
      </c>
      <c r="F4" s="237" t="s">
        <v>462</v>
      </c>
    </row>
    <row r="5" spans="1:6" x14ac:dyDescent="0.3">
      <c r="A5" s="239">
        <v>45919</v>
      </c>
      <c r="B5" s="242" t="s">
        <v>172</v>
      </c>
      <c r="C5" s="240" t="s">
        <v>25</v>
      </c>
      <c r="D5" s="243" t="s">
        <v>347</v>
      </c>
      <c r="E5" s="241">
        <v>-1766.5</v>
      </c>
      <c r="F5" s="237" t="s">
        <v>462</v>
      </c>
    </row>
    <row r="6" spans="1:6" x14ac:dyDescent="0.3">
      <c r="A6" s="239">
        <v>45919</v>
      </c>
      <c r="B6" s="242" t="s">
        <v>172</v>
      </c>
      <c r="C6" s="240" t="s">
        <v>32</v>
      </c>
      <c r="D6" s="243" t="s">
        <v>347</v>
      </c>
      <c r="E6" s="241">
        <v>-529.95000000000005</v>
      </c>
      <c r="F6" s="237" t="s">
        <v>462</v>
      </c>
    </row>
    <row r="7" spans="1:6" x14ac:dyDescent="0.3">
      <c r="A7" s="239">
        <v>45919</v>
      </c>
      <c r="B7" s="242" t="s">
        <v>172</v>
      </c>
      <c r="C7" s="240" t="s">
        <v>94</v>
      </c>
      <c r="D7" s="243" t="s">
        <v>347</v>
      </c>
      <c r="E7" s="241">
        <v>-812.59</v>
      </c>
      <c r="F7" s="237" t="s">
        <v>462</v>
      </c>
    </row>
    <row r="8" spans="1:6" x14ac:dyDescent="0.3">
      <c r="A8" s="239">
        <v>45919</v>
      </c>
      <c r="B8" s="242" t="s">
        <v>172</v>
      </c>
      <c r="C8" s="240" t="s">
        <v>31</v>
      </c>
      <c r="D8" s="243" t="s">
        <v>347</v>
      </c>
      <c r="E8" s="241">
        <v>-1589.85</v>
      </c>
      <c r="F8" s="237" t="s">
        <v>462</v>
      </c>
    </row>
    <row r="9" spans="1:6" x14ac:dyDescent="0.3">
      <c r="A9" s="239">
        <v>45919</v>
      </c>
      <c r="B9" s="242" t="s">
        <v>172</v>
      </c>
      <c r="C9" s="240" t="s">
        <v>69</v>
      </c>
      <c r="D9" s="243" t="s">
        <v>347</v>
      </c>
      <c r="E9" s="241">
        <v>-918.58</v>
      </c>
      <c r="F9" s="237" t="s">
        <v>462</v>
      </c>
    </row>
    <row r="10" spans="1:6" x14ac:dyDescent="0.3">
      <c r="A10" s="239">
        <v>45919</v>
      </c>
      <c r="B10" s="242" t="s">
        <v>172</v>
      </c>
      <c r="C10" s="240" t="s">
        <v>17</v>
      </c>
      <c r="D10" s="243" t="s">
        <v>347</v>
      </c>
      <c r="E10" s="241">
        <v>-989.24</v>
      </c>
      <c r="F10" s="237" t="s">
        <v>462</v>
      </c>
    </row>
    <row r="11" spans="1:6" x14ac:dyDescent="0.3">
      <c r="A11" s="239">
        <v>45919</v>
      </c>
      <c r="B11" s="242" t="s">
        <v>172</v>
      </c>
      <c r="C11" s="244" t="s">
        <v>43</v>
      </c>
      <c r="D11" s="237" t="s">
        <v>415</v>
      </c>
      <c r="E11" s="245">
        <v>-4492.67</v>
      </c>
      <c r="F11" s="237" t="s">
        <v>462</v>
      </c>
    </row>
    <row r="12" spans="1:6" x14ac:dyDescent="0.3">
      <c r="A12" s="239">
        <v>45919</v>
      </c>
      <c r="B12" s="242" t="s">
        <v>172</v>
      </c>
      <c r="C12" s="244" t="s">
        <v>25</v>
      </c>
      <c r="D12" s="237" t="s">
        <v>416</v>
      </c>
      <c r="E12" s="245">
        <v>-1105.31</v>
      </c>
      <c r="F12" s="237" t="s">
        <v>462</v>
      </c>
    </row>
    <row r="13" spans="1:6" x14ac:dyDescent="0.3">
      <c r="A13" s="239">
        <v>45919</v>
      </c>
      <c r="B13" s="242" t="s">
        <v>172</v>
      </c>
      <c r="C13" s="244" t="s">
        <v>30</v>
      </c>
      <c r="D13" s="237" t="s">
        <v>417</v>
      </c>
      <c r="E13" s="245">
        <v>-1375.8</v>
      </c>
      <c r="F13" s="237" t="s">
        <v>462</v>
      </c>
    </row>
    <row r="14" spans="1:6" x14ac:dyDescent="0.3">
      <c r="A14" s="239">
        <v>45919</v>
      </c>
      <c r="B14" s="242" t="s">
        <v>172</v>
      </c>
      <c r="C14" s="244" t="s">
        <v>31</v>
      </c>
      <c r="D14" s="237" t="s">
        <v>418</v>
      </c>
      <c r="E14" s="245">
        <v>-1418.32</v>
      </c>
      <c r="F14" s="237" t="s">
        <v>462</v>
      </c>
    </row>
    <row r="15" spans="1:6" x14ac:dyDescent="0.3">
      <c r="A15" s="239">
        <v>45919</v>
      </c>
      <c r="B15" s="242" t="s">
        <v>172</v>
      </c>
      <c r="C15" s="244" t="s">
        <v>32</v>
      </c>
      <c r="D15" s="237" t="s">
        <v>419</v>
      </c>
      <c r="E15" s="245">
        <v>-5040.0600000000004</v>
      </c>
      <c r="F15" s="237" t="s">
        <v>462</v>
      </c>
    </row>
    <row r="16" spans="1:6" x14ac:dyDescent="0.3">
      <c r="A16" s="239">
        <v>45919</v>
      </c>
      <c r="B16" s="242" t="s">
        <v>172</v>
      </c>
      <c r="C16" s="244" t="s">
        <v>33</v>
      </c>
      <c r="D16" s="237" t="s">
        <v>420</v>
      </c>
      <c r="E16" s="245">
        <v>-5232.74</v>
      </c>
      <c r="F16" s="237" t="s">
        <v>462</v>
      </c>
    </row>
    <row r="17" spans="1:9" x14ac:dyDescent="0.3">
      <c r="A17" s="239">
        <v>45919</v>
      </c>
      <c r="B17" s="242" t="s">
        <v>172</v>
      </c>
      <c r="C17" s="244" t="s">
        <v>29</v>
      </c>
      <c r="D17" s="237" t="s">
        <v>421</v>
      </c>
      <c r="E17" s="245">
        <v>-884.67</v>
      </c>
      <c r="F17" s="237" t="s">
        <v>462</v>
      </c>
    </row>
    <row r="18" spans="1:9" x14ac:dyDescent="0.3">
      <c r="A18" s="239">
        <v>45919</v>
      </c>
      <c r="B18" s="242" t="s">
        <v>172</v>
      </c>
      <c r="C18" s="246" t="s">
        <v>17</v>
      </c>
      <c r="D18" s="243" t="s">
        <v>475</v>
      </c>
      <c r="E18" s="245">
        <v>-13668.57</v>
      </c>
      <c r="F18" s="237" t="s">
        <v>463</v>
      </c>
    </row>
    <row r="19" spans="1:9" x14ac:dyDescent="0.3">
      <c r="A19" s="239"/>
      <c r="B19" s="242"/>
      <c r="C19" s="246"/>
      <c r="D19" s="243"/>
      <c r="E19" s="276">
        <f>SUM(E11:E18)</f>
        <v>-33218.14</v>
      </c>
      <c r="F19" s="237"/>
    </row>
    <row r="20" spans="1:9" x14ac:dyDescent="0.3">
      <c r="A20" s="239">
        <v>45919</v>
      </c>
      <c r="B20" s="242" t="s">
        <v>172</v>
      </c>
      <c r="C20" s="240" t="s">
        <v>30</v>
      </c>
      <c r="D20" s="243" t="s">
        <v>395</v>
      </c>
      <c r="E20" s="241">
        <v>-7240.94</v>
      </c>
      <c r="F20" s="237" t="s">
        <v>464</v>
      </c>
    </row>
    <row r="21" spans="1:9" x14ac:dyDescent="0.3">
      <c r="A21" s="239">
        <v>45919</v>
      </c>
      <c r="B21" s="242" t="s">
        <v>172</v>
      </c>
      <c r="C21" s="240" t="s">
        <v>6</v>
      </c>
      <c r="D21" s="243" t="s">
        <v>396</v>
      </c>
      <c r="E21" s="241">
        <v>-10349.69</v>
      </c>
      <c r="F21" s="237" t="s">
        <v>472</v>
      </c>
    </row>
    <row r="22" spans="1:9" x14ac:dyDescent="0.3">
      <c r="A22" s="247">
        <v>45919</v>
      </c>
      <c r="B22" s="248" t="s">
        <v>172</v>
      </c>
      <c r="C22" s="249" t="s">
        <v>43</v>
      </c>
      <c r="D22" s="250" t="s">
        <v>397</v>
      </c>
      <c r="E22" s="251">
        <v>-3877.89</v>
      </c>
      <c r="F22" s="238" t="s">
        <v>467</v>
      </c>
      <c r="G22" s="68"/>
      <c r="H22" s="68"/>
      <c r="I22" s="68"/>
    </row>
    <row r="23" spans="1:9" x14ac:dyDescent="0.3">
      <c r="A23" s="247">
        <v>45919</v>
      </c>
      <c r="B23" s="248" t="s">
        <v>172</v>
      </c>
      <c r="C23" s="249" t="s">
        <v>25</v>
      </c>
      <c r="D23" s="250" t="s">
        <v>398</v>
      </c>
      <c r="E23" s="251">
        <v>-6173.28</v>
      </c>
      <c r="F23" s="238" t="s">
        <v>468</v>
      </c>
      <c r="G23" s="68"/>
      <c r="H23" s="68"/>
      <c r="I23" s="68"/>
    </row>
    <row r="24" spans="1:9" x14ac:dyDescent="0.3">
      <c r="A24" s="239">
        <v>45919</v>
      </c>
      <c r="B24" s="242" t="s">
        <v>172</v>
      </c>
      <c r="C24" s="240" t="s">
        <v>32</v>
      </c>
      <c r="D24" s="243" t="s">
        <v>399</v>
      </c>
      <c r="E24" s="241">
        <v>-2131.9499999999998</v>
      </c>
      <c r="F24" s="237" t="s">
        <v>469</v>
      </c>
    </row>
    <row r="25" spans="1:9" x14ac:dyDescent="0.3">
      <c r="A25" s="247">
        <v>45919</v>
      </c>
      <c r="B25" s="248" t="s">
        <v>172</v>
      </c>
      <c r="C25" s="249" t="s">
        <v>94</v>
      </c>
      <c r="D25" s="250" t="s">
        <v>400</v>
      </c>
      <c r="E25" s="251">
        <v>-54.75</v>
      </c>
      <c r="F25" s="238" t="s">
        <v>470</v>
      </c>
      <c r="G25" s="68"/>
      <c r="H25" s="68"/>
      <c r="I25" s="68"/>
    </row>
    <row r="26" spans="1:9" x14ac:dyDescent="0.3">
      <c r="A26" s="239">
        <v>45919</v>
      </c>
      <c r="B26" s="242" t="s">
        <v>172</v>
      </c>
      <c r="C26" s="240" t="s">
        <v>31</v>
      </c>
      <c r="D26" s="243" t="s">
        <v>401</v>
      </c>
      <c r="E26" s="241">
        <v>-7599.89</v>
      </c>
      <c r="F26" s="237" t="s">
        <v>464</v>
      </c>
    </row>
    <row r="27" spans="1:9" x14ac:dyDescent="0.3">
      <c r="A27" s="239">
        <v>45919</v>
      </c>
      <c r="B27" s="242" t="s">
        <v>172</v>
      </c>
      <c r="C27" s="240" t="s">
        <v>69</v>
      </c>
      <c r="D27" s="252" t="s">
        <v>402</v>
      </c>
      <c r="E27" s="253">
        <v>-2851.4</v>
      </c>
      <c r="F27" s="237" t="s">
        <v>471</v>
      </c>
    </row>
    <row r="28" spans="1:9" x14ac:dyDescent="0.3">
      <c r="A28" s="239">
        <v>45919</v>
      </c>
      <c r="B28" s="242" t="s">
        <v>172</v>
      </c>
      <c r="C28" s="240" t="s">
        <v>17</v>
      </c>
      <c r="D28" s="243" t="s">
        <v>403</v>
      </c>
      <c r="E28" s="241">
        <v>-16742.48</v>
      </c>
      <c r="F28" s="237" t="s">
        <v>464</v>
      </c>
    </row>
    <row r="29" spans="1:9" x14ac:dyDescent="0.3">
      <c r="D29" s="254" t="s">
        <v>473</v>
      </c>
      <c r="E29" s="236">
        <f>SUM(E2:E28)</f>
        <v>-132079.06999999998</v>
      </c>
    </row>
    <row r="31" spans="1:9" x14ac:dyDescent="0.3">
      <c r="D31" s="258" t="s">
        <v>474</v>
      </c>
      <c r="E31" s="255">
        <f>SUM(E22,E23,E25)</f>
        <v>-10105.92</v>
      </c>
    </row>
    <row r="33" spans="4:5" x14ac:dyDescent="0.3">
      <c r="D33" s="256" t="s">
        <v>180</v>
      </c>
      <c r="E33" s="257">
        <f>SUM(E29-E31)</f>
        <v>-121973.14999999998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198" t="s">
        <v>259</v>
      </c>
      <c r="B1" s="199">
        <v>756</v>
      </c>
      <c r="C1" s="198" t="s">
        <v>259</v>
      </c>
      <c r="D1" t="s">
        <v>249</v>
      </c>
      <c r="E1" s="150" t="s">
        <v>259</v>
      </c>
      <c r="F1" s="26" t="s">
        <v>249</v>
      </c>
      <c r="G1" s="155">
        <v>515</v>
      </c>
      <c r="H1" s="155">
        <v>581.89</v>
      </c>
    </row>
    <row r="2" spans="1:8" ht="15.6" x14ac:dyDescent="0.3">
      <c r="A2" s="201"/>
      <c r="B2" s="202"/>
      <c r="C2" s="203" t="s">
        <v>261</v>
      </c>
      <c r="D2" s="201">
        <v>756</v>
      </c>
      <c r="E2" s="145" t="s">
        <v>261</v>
      </c>
      <c r="F2" s="26" t="s">
        <v>249</v>
      </c>
      <c r="G2" s="156">
        <v>380</v>
      </c>
      <c r="H2" s="156">
        <v>429.35</v>
      </c>
    </row>
    <row r="3" spans="1:8" ht="15.6" x14ac:dyDescent="0.3">
      <c r="A3" s="199"/>
      <c r="B3" s="200"/>
      <c r="C3" s="198" t="s">
        <v>263</v>
      </c>
      <c r="D3" s="199">
        <v>756</v>
      </c>
      <c r="E3" s="150" t="s">
        <v>263</v>
      </c>
      <c r="F3" s="26" t="s">
        <v>249</v>
      </c>
      <c r="G3" s="155">
        <v>410</v>
      </c>
      <c r="H3" s="155">
        <v>463.25</v>
      </c>
    </row>
    <row r="4" spans="1:8" ht="23.4" x14ac:dyDescent="0.3">
      <c r="A4" s="201"/>
      <c r="B4" s="202"/>
      <c r="C4" s="203" t="s">
        <v>265</v>
      </c>
      <c r="D4" s="201">
        <v>756</v>
      </c>
      <c r="E4" s="145" t="s">
        <v>265</v>
      </c>
      <c r="F4" s="26" t="s">
        <v>249</v>
      </c>
      <c r="G4" s="156">
        <v>410</v>
      </c>
      <c r="H4" s="156">
        <v>463.25</v>
      </c>
    </row>
    <row r="5" spans="1:8" ht="23.4" x14ac:dyDescent="0.3">
      <c r="A5" s="199"/>
      <c r="B5" s="200"/>
      <c r="C5" s="198" t="s">
        <v>248</v>
      </c>
      <c r="D5" s="199">
        <v>756</v>
      </c>
      <c r="E5" s="150" t="s">
        <v>248</v>
      </c>
      <c r="F5" s="26" t="s">
        <v>249</v>
      </c>
      <c r="G5" s="155">
        <v>179.04</v>
      </c>
      <c r="H5" s="155">
        <v>202.29</v>
      </c>
    </row>
    <row r="6" spans="1:8" ht="15.6" x14ac:dyDescent="0.3">
      <c r="A6" s="201"/>
      <c r="B6" s="202"/>
      <c r="C6" s="203" t="s">
        <v>253</v>
      </c>
      <c r="D6" s="201">
        <v>756</v>
      </c>
      <c r="E6" s="145" t="s">
        <v>253</v>
      </c>
      <c r="F6" s="26" t="s">
        <v>249</v>
      </c>
      <c r="G6" s="156">
        <v>114.12</v>
      </c>
      <c r="H6" s="156">
        <v>128.94</v>
      </c>
    </row>
    <row r="7" spans="1:8" ht="15.6" x14ac:dyDescent="0.3">
      <c r="A7" s="199"/>
      <c r="B7" s="200"/>
      <c r="C7" s="198" t="s">
        <v>255</v>
      </c>
      <c r="D7" s="199">
        <v>756</v>
      </c>
      <c r="E7" s="150" t="s">
        <v>255</v>
      </c>
      <c r="F7" s="26" t="s">
        <v>249</v>
      </c>
      <c r="G7" s="155">
        <v>171.18</v>
      </c>
      <c r="H7" s="155">
        <v>193.41</v>
      </c>
    </row>
    <row r="8" spans="1:8" ht="15.6" x14ac:dyDescent="0.3">
      <c r="A8" s="201"/>
      <c r="B8" s="202"/>
      <c r="C8" s="203" t="s">
        <v>257</v>
      </c>
      <c r="D8" s="201">
        <v>756</v>
      </c>
      <c r="E8" s="145" t="s">
        <v>257</v>
      </c>
      <c r="F8" s="26" t="s">
        <v>249</v>
      </c>
      <c r="G8" s="156">
        <v>457.94</v>
      </c>
      <c r="H8" s="156">
        <v>517.41</v>
      </c>
    </row>
    <row r="9" spans="1:8" ht="23.4" x14ac:dyDescent="0.3">
      <c r="A9" s="199"/>
      <c r="B9" s="200"/>
      <c r="C9" s="198" t="s">
        <v>267</v>
      </c>
      <c r="D9" s="199">
        <v>756</v>
      </c>
      <c r="E9" s="150" t="s">
        <v>267</v>
      </c>
      <c r="F9" s="26" t="s">
        <v>249</v>
      </c>
      <c r="G9" s="155">
        <v>690.98</v>
      </c>
      <c r="H9" s="155">
        <v>780.72</v>
      </c>
    </row>
    <row r="15" spans="1:8" x14ac:dyDescent="0.3">
      <c r="E15" s="150" t="s">
        <v>259</v>
      </c>
      <c r="F15" s="26" t="s">
        <v>249</v>
      </c>
      <c r="G15" s="155">
        <v>581.89</v>
      </c>
    </row>
    <row r="16" spans="1:8" x14ac:dyDescent="0.3">
      <c r="E16" s="145" t="s">
        <v>261</v>
      </c>
      <c r="F16" s="26" t="s">
        <v>249</v>
      </c>
      <c r="G16" s="156">
        <v>429.35</v>
      </c>
    </row>
    <row r="17" spans="5:7" x14ac:dyDescent="0.3">
      <c r="E17" s="150" t="s">
        <v>263</v>
      </c>
      <c r="F17" s="26" t="s">
        <v>249</v>
      </c>
      <c r="G17" s="155">
        <v>463.25</v>
      </c>
    </row>
    <row r="18" spans="5:7" x14ac:dyDescent="0.3">
      <c r="E18" s="145" t="s">
        <v>265</v>
      </c>
      <c r="F18" s="26" t="s">
        <v>249</v>
      </c>
      <c r="G18" s="156">
        <v>463.25</v>
      </c>
    </row>
    <row r="19" spans="5:7" x14ac:dyDescent="0.3">
      <c r="E19" s="150" t="s">
        <v>248</v>
      </c>
      <c r="F19" s="26" t="s">
        <v>249</v>
      </c>
      <c r="G19" s="155">
        <v>202.29</v>
      </c>
    </row>
    <row r="20" spans="5:7" x14ac:dyDescent="0.3">
      <c r="E20" s="145" t="s">
        <v>253</v>
      </c>
      <c r="F20" s="26" t="s">
        <v>249</v>
      </c>
      <c r="G20" s="156">
        <v>128.94</v>
      </c>
    </row>
    <row r="21" spans="5:7" x14ac:dyDescent="0.3">
      <c r="E21" s="150" t="s">
        <v>255</v>
      </c>
      <c r="F21" s="26" t="s">
        <v>249</v>
      </c>
      <c r="G21" s="155">
        <v>193.41</v>
      </c>
    </row>
    <row r="22" spans="5:7" x14ac:dyDescent="0.3">
      <c r="E22" s="145" t="s">
        <v>257</v>
      </c>
      <c r="F22" s="26" t="s">
        <v>249</v>
      </c>
      <c r="G22" s="156">
        <v>517.41</v>
      </c>
    </row>
    <row r="23" spans="5:7" x14ac:dyDescent="0.3">
      <c r="E23" s="150" t="s">
        <v>267</v>
      </c>
      <c r="F23" s="26" t="s">
        <v>249</v>
      </c>
      <c r="G23" s="155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32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3" name="Control 8"/>
      </mc:Fallback>
    </mc:AlternateContent>
    <mc:AlternateContent xmlns:mc="http://schemas.openxmlformats.org/markup-compatibility/2006">
      <mc:Choice Requires="x14">
        <control shapeId="26631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5" name="Control 7"/>
      </mc:Fallback>
    </mc:AlternateContent>
    <mc:AlternateContent xmlns:mc="http://schemas.openxmlformats.org/markup-compatibility/2006">
      <mc:Choice Requires="x14">
        <control shapeId="26630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6" name="Control 6"/>
      </mc:Fallback>
    </mc:AlternateContent>
    <mc:AlternateContent xmlns:mc="http://schemas.openxmlformats.org/markup-compatibility/2006">
      <mc:Choice Requires="x14">
        <control shapeId="26629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7" name="Control 5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7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9" name="Control 3"/>
      </mc:Fallback>
    </mc:AlternateContent>
    <mc:AlternateContent xmlns:mc="http://schemas.openxmlformats.org/markup-compatibility/2006">
      <mc:Choice Requires="x14">
        <control shapeId="26626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10" name="Control 2"/>
      </mc:Fallback>
    </mc:AlternateContent>
    <mc:AlternateContent xmlns:mc="http://schemas.openxmlformats.org/markup-compatibility/2006">
      <mc:Choice Requires="x14">
        <control shapeId="26625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11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sheetPr codeName="Planilha8"/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1" bestFit="1" customWidth="1"/>
  </cols>
  <sheetData>
    <row r="2" spans="2:3" x14ac:dyDescent="0.3">
      <c r="B2" s="261" t="s">
        <v>351</v>
      </c>
      <c r="C2" s="261"/>
    </row>
    <row r="3" spans="2:3" x14ac:dyDescent="0.3">
      <c r="B3" s="29" t="s">
        <v>348</v>
      </c>
      <c r="C3" s="31">
        <v>468130.29</v>
      </c>
    </row>
    <row r="4" spans="2:3" x14ac:dyDescent="0.3">
      <c r="B4" s="29" t="s">
        <v>349</v>
      </c>
      <c r="C4" s="31">
        <v>2727.23</v>
      </c>
    </row>
    <row r="5" spans="2:3" x14ac:dyDescent="0.3">
      <c r="B5" s="29" t="s">
        <v>350</v>
      </c>
      <c r="C5" s="31">
        <v>460</v>
      </c>
    </row>
    <row r="6" spans="2:3" x14ac:dyDescent="0.3">
      <c r="C6" s="31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sheetPr codeName="Planilha9"/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35" bestFit="1" customWidth="1"/>
    <col min="4" max="4" width="11.88671875" bestFit="1" customWidth="1"/>
  </cols>
  <sheetData>
    <row r="1" spans="1:5" x14ac:dyDescent="0.3">
      <c r="A1" s="21" t="s">
        <v>317</v>
      </c>
      <c r="B1" s="194" t="s">
        <v>316</v>
      </c>
      <c r="C1">
        <v>367.08</v>
      </c>
      <c r="D1" s="185">
        <v>-411.22</v>
      </c>
      <c r="E1">
        <v>367.08</v>
      </c>
    </row>
    <row r="2" spans="1:5" x14ac:dyDescent="0.3">
      <c r="A2" s="21" t="s">
        <v>269</v>
      </c>
      <c r="B2" s="194" t="s">
        <v>316</v>
      </c>
      <c r="C2">
        <v>303.24</v>
      </c>
      <c r="D2" s="185">
        <v>-339.76</v>
      </c>
      <c r="E2">
        <v>303.24</v>
      </c>
    </row>
    <row r="3" spans="1:5" x14ac:dyDescent="0.3">
      <c r="A3" s="21" t="s">
        <v>318</v>
      </c>
      <c r="B3" s="194" t="s">
        <v>316</v>
      </c>
      <c r="C3">
        <v>845.88</v>
      </c>
      <c r="D3" s="185">
        <v>-947.82</v>
      </c>
      <c r="E3">
        <v>845.88</v>
      </c>
    </row>
    <row r="4" spans="1:5" x14ac:dyDescent="0.3">
      <c r="A4" s="21" t="s">
        <v>319</v>
      </c>
      <c r="B4" s="194" t="s">
        <v>316</v>
      </c>
      <c r="C4">
        <v>143.63999999999999</v>
      </c>
      <c r="D4" s="185">
        <v>-160.79</v>
      </c>
      <c r="E4">
        <v>143.63999999999999</v>
      </c>
    </row>
    <row r="5" spans="1:5" x14ac:dyDescent="0.3">
      <c r="A5" s="21" t="s">
        <v>6</v>
      </c>
      <c r="B5" s="194" t="s">
        <v>316</v>
      </c>
      <c r="C5">
        <v>63.84</v>
      </c>
      <c r="D5" s="185">
        <v>-518.41999999999996</v>
      </c>
      <c r="E5">
        <v>63.84</v>
      </c>
    </row>
    <row r="6" spans="1:5" x14ac:dyDescent="0.3">
      <c r="A6" s="21" t="s">
        <v>320</v>
      </c>
      <c r="B6" s="194" t="s">
        <v>316</v>
      </c>
      <c r="C6">
        <v>95.76</v>
      </c>
      <c r="D6" s="185">
        <v>-107.19</v>
      </c>
      <c r="E6">
        <v>95.76</v>
      </c>
    </row>
    <row r="7" spans="1:5" x14ac:dyDescent="0.3">
      <c r="A7" s="21" t="s">
        <v>321</v>
      </c>
      <c r="B7" s="194" t="s">
        <v>316</v>
      </c>
      <c r="C7">
        <v>957.6</v>
      </c>
      <c r="D7" s="185">
        <v>-1072.8900000000001</v>
      </c>
      <c r="E7">
        <v>957.6</v>
      </c>
    </row>
    <row r="8" spans="1:5" x14ac:dyDescent="0.3">
      <c r="A8" s="21" t="s">
        <v>270</v>
      </c>
      <c r="B8" s="194" t="s">
        <v>316</v>
      </c>
      <c r="C8">
        <v>63.84</v>
      </c>
      <c r="D8" s="185">
        <v>-71.459999999999994</v>
      </c>
      <c r="E8">
        <v>63.84</v>
      </c>
    </row>
    <row r="9" spans="1:5" x14ac:dyDescent="0.3">
      <c r="A9" s="21" t="s">
        <v>322</v>
      </c>
      <c r="B9" s="194" t="s">
        <v>316</v>
      </c>
      <c r="C9">
        <v>223.44</v>
      </c>
      <c r="D9" s="185">
        <v>-250.12</v>
      </c>
      <c r="E9">
        <v>223.44</v>
      </c>
    </row>
    <row r="10" spans="1:5" x14ac:dyDescent="0.3">
      <c r="C10">
        <f>SUM(C1:C9)</f>
        <v>3064.3199999999997</v>
      </c>
      <c r="D10" s="1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codeName="Planilha12"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35" customWidth="1"/>
    <col min="3" max="3" width="24" style="35" customWidth="1"/>
    <col min="4" max="4" width="108.109375" style="35" customWidth="1"/>
    <col min="5" max="5" width="12.109375" customWidth="1"/>
    <col min="6" max="6" width="13.21875" customWidth="1"/>
    <col min="7" max="7" width="21.77734375" customWidth="1"/>
  </cols>
  <sheetData>
    <row r="2" spans="1:7" s="102" customFormat="1" ht="12" customHeight="1" x14ac:dyDescent="0.3">
      <c r="A2" s="102" t="s">
        <v>0</v>
      </c>
      <c r="B2" s="103" t="s">
        <v>170</v>
      </c>
      <c r="C2" s="103" t="s">
        <v>1</v>
      </c>
      <c r="D2" s="103" t="s">
        <v>231</v>
      </c>
      <c r="E2" s="102" t="s">
        <v>232</v>
      </c>
      <c r="F2" s="102" t="s">
        <v>4</v>
      </c>
      <c r="G2" s="102" t="s">
        <v>5</v>
      </c>
    </row>
    <row r="3" spans="1:7" hidden="1" x14ac:dyDescent="0.3">
      <c r="A3" s="97">
        <v>45859</v>
      </c>
      <c r="B3" s="71" t="s">
        <v>171</v>
      </c>
      <c r="C3" s="98" t="s">
        <v>6</v>
      </c>
      <c r="D3" s="99" t="s">
        <v>212</v>
      </c>
      <c r="E3" s="100">
        <v>-50000</v>
      </c>
      <c r="F3" s="42" t="s">
        <v>8</v>
      </c>
      <c r="G3" s="101" t="s">
        <v>154</v>
      </c>
    </row>
    <row r="4" spans="1:7" ht="27.6" hidden="1" x14ac:dyDescent="0.3">
      <c r="A4" s="67">
        <v>45848</v>
      </c>
      <c r="B4" s="2" t="s">
        <v>171</v>
      </c>
      <c r="C4" s="8" t="s">
        <v>30</v>
      </c>
      <c r="D4" s="17" t="s">
        <v>200</v>
      </c>
      <c r="E4" s="10">
        <v>-2333</v>
      </c>
      <c r="F4" s="11" t="s">
        <v>8</v>
      </c>
      <c r="G4" s="11" t="s">
        <v>154</v>
      </c>
    </row>
    <row r="5" spans="1:7" ht="27.6" hidden="1" x14ac:dyDescent="0.3">
      <c r="A5" s="67">
        <v>45848</v>
      </c>
      <c r="B5" s="2" t="s">
        <v>171</v>
      </c>
      <c r="C5" s="8" t="s">
        <v>30</v>
      </c>
      <c r="D5" s="17" t="s">
        <v>199</v>
      </c>
      <c r="E5" s="10">
        <v>-1000</v>
      </c>
      <c r="F5" s="11" t="s">
        <v>8</v>
      </c>
      <c r="G5" s="11" t="s">
        <v>154</v>
      </c>
    </row>
    <row r="6" spans="1:7" x14ac:dyDescent="0.3">
      <c r="A6" s="79">
        <v>45853</v>
      </c>
      <c r="B6" s="33" t="s">
        <v>171</v>
      </c>
      <c r="C6" s="80" t="s">
        <v>30</v>
      </c>
      <c r="D6" s="90" t="s">
        <v>208</v>
      </c>
      <c r="E6" s="81">
        <v>-1000</v>
      </c>
      <c r="F6" s="62" t="s">
        <v>8</v>
      </c>
      <c r="G6" s="62" t="s">
        <v>154</v>
      </c>
    </row>
    <row r="7" spans="1:7" ht="27.6" hidden="1" x14ac:dyDescent="0.3">
      <c r="A7" s="67">
        <v>45868</v>
      </c>
      <c r="B7" s="2" t="s">
        <v>171</v>
      </c>
      <c r="C7" s="8" t="s">
        <v>6</v>
      </c>
      <c r="D7" s="17" t="s">
        <v>218</v>
      </c>
      <c r="E7" s="10">
        <v>-6298.6</v>
      </c>
      <c r="F7" s="73" t="s">
        <v>8</v>
      </c>
      <c r="G7" s="82" t="s">
        <v>154</v>
      </c>
    </row>
    <row r="8" spans="1:7" x14ac:dyDescent="0.3">
      <c r="A8" s="64">
        <v>45853</v>
      </c>
      <c r="B8" s="36" t="s">
        <v>171</v>
      </c>
      <c r="C8" s="83" t="s">
        <v>6</v>
      </c>
      <c r="D8" s="95" t="s">
        <v>207</v>
      </c>
      <c r="E8" s="66">
        <v>-10000</v>
      </c>
      <c r="F8" s="84" t="s">
        <v>8</v>
      </c>
      <c r="G8" s="84" t="s">
        <v>154</v>
      </c>
    </row>
    <row r="9" spans="1:7" hidden="1" x14ac:dyDescent="0.3">
      <c r="A9" s="67">
        <v>45845</v>
      </c>
      <c r="B9" s="2" t="s">
        <v>171</v>
      </c>
      <c r="C9" s="8" t="s">
        <v>6</v>
      </c>
      <c r="D9" s="17" t="s">
        <v>156</v>
      </c>
      <c r="E9" s="10">
        <v>-1000</v>
      </c>
      <c r="F9" s="11" t="s">
        <v>8</v>
      </c>
      <c r="G9" s="11" t="s">
        <v>154</v>
      </c>
    </row>
    <row r="10" spans="1:7" x14ac:dyDescent="0.3">
      <c r="A10" s="67">
        <v>45853</v>
      </c>
      <c r="B10" s="2" t="s">
        <v>171</v>
      </c>
      <c r="C10" s="78" t="s">
        <v>6</v>
      </c>
      <c r="D10" s="17" t="s">
        <v>205</v>
      </c>
      <c r="E10" s="10">
        <v>-2644</v>
      </c>
      <c r="F10" s="11" t="s">
        <v>8</v>
      </c>
      <c r="G10" s="11" t="s">
        <v>154</v>
      </c>
    </row>
    <row r="11" spans="1:7" ht="27.6" hidden="1" x14ac:dyDescent="0.3">
      <c r="A11" s="67">
        <v>45860</v>
      </c>
      <c r="B11" s="2" t="s">
        <v>171</v>
      </c>
      <c r="C11" s="8" t="s">
        <v>6</v>
      </c>
      <c r="D11" s="17" t="s">
        <v>211</v>
      </c>
      <c r="E11" s="10">
        <v>-960</v>
      </c>
      <c r="F11" s="11" t="s">
        <v>8</v>
      </c>
      <c r="G11" s="11" t="s">
        <v>154</v>
      </c>
    </row>
    <row r="12" spans="1:7" ht="27.6" hidden="1" x14ac:dyDescent="0.3">
      <c r="A12" s="67">
        <v>45866</v>
      </c>
      <c r="B12" s="2" t="s">
        <v>171</v>
      </c>
      <c r="C12" s="8" t="s">
        <v>6</v>
      </c>
      <c r="D12" s="96" t="s">
        <v>214</v>
      </c>
      <c r="E12" s="10">
        <v>-2000</v>
      </c>
      <c r="F12" s="11" t="s">
        <v>8</v>
      </c>
      <c r="G12" s="11" t="s">
        <v>154</v>
      </c>
    </row>
    <row r="13" spans="1:7" ht="27.6" hidden="1" x14ac:dyDescent="0.3">
      <c r="A13" s="67">
        <v>45854</v>
      </c>
      <c r="B13" s="2" t="s">
        <v>171</v>
      </c>
      <c r="C13" s="78" t="s">
        <v>6</v>
      </c>
      <c r="D13" s="17" t="s">
        <v>210</v>
      </c>
      <c r="E13" s="10">
        <v>-1551.29</v>
      </c>
      <c r="F13" s="11" t="s">
        <v>8</v>
      </c>
      <c r="G13" s="11" t="s">
        <v>154</v>
      </c>
    </row>
    <row r="14" spans="1:7" ht="28.8" hidden="1" x14ac:dyDescent="0.3">
      <c r="A14" s="61">
        <v>45868</v>
      </c>
      <c r="B14" s="25" t="s">
        <v>171</v>
      </c>
      <c r="C14" s="47" t="s">
        <v>6</v>
      </c>
      <c r="D14" s="47" t="s">
        <v>222</v>
      </c>
      <c r="E14" s="48">
        <v>-1000</v>
      </c>
      <c r="F14" s="73" t="s">
        <v>8</v>
      </c>
      <c r="G14" s="82" t="s">
        <v>154</v>
      </c>
    </row>
    <row r="15" spans="1:7" ht="27.6" hidden="1" x14ac:dyDescent="0.3">
      <c r="A15" s="67">
        <v>45868</v>
      </c>
      <c r="B15" s="2" t="s">
        <v>171</v>
      </c>
      <c r="C15" s="8" t="s">
        <v>6</v>
      </c>
      <c r="D15" s="17" t="s">
        <v>223</v>
      </c>
      <c r="E15" s="10">
        <v>-501.54</v>
      </c>
      <c r="F15" s="85" t="s">
        <v>8</v>
      </c>
      <c r="G15" s="82" t="s">
        <v>154</v>
      </c>
    </row>
    <row r="16" spans="1:7" ht="27.6" hidden="1" x14ac:dyDescent="0.3">
      <c r="A16" s="67">
        <v>45868</v>
      </c>
      <c r="B16" s="2" t="s">
        <v>171</v>
      </c>
      <c r="C16" s="8" t="s">
        <v>43</v>
      </c>
      <c r="D16" s="17" t="s">
        <v>224</v>
      </c>
      <c r="E16" s="10">
        <v>-2500</v>
      </c>
      <c r="F16" s="85" t="s">
        <v>8</v>
      </c>
      <c r="G16" s="82" t="s">
        <v>154</v>
      </c>
    </row>
    <row r="17" spans="1:7" x14ac:dyDescent="0.3">
      <c r="A17" s="2">
        <v>45853</v>
      </c>
      <c r="B17" s="2" t="s">
        <v>171</v>
      </c>
      <c r="C17" s="86" t="s">
        <v>94</v>
      </c>
      <c r="D17" s="21" t="s">
        <v>209</v>
      </c>
      <c r="E17" s="87">
        <v>-2000</v>
      </c>
      <c r="F17" s="88" t="s">
        <v>8</v>
      </c>
      <c r="G17" s="88" t="s">
        <v>154</v>
      </c>
    </row>
    <row r="18" spans="1:7" ht="27.6" hidden="1" x14ac:dyDescent="0.3">
      <c r="A18" s="67">
        <v>45846</v>
      </c>
      <c r="B18" s="2" t="s">
        <v>171</v>
      </c>
      <c r="C18" s="8" t="s">
        <v>94</v>
      </c>
      <c r="D18" s="17" t="s">
        <v>196</v>
      </c>
      <c r="E18" s="10">
        <v>-2000</v>
      </c>
      <c r="F18" s="11" t="s">
        <v>8</v>
      </c>
      <c r="G18" s="11" t="s">
        <v>154</v>
      </c>
    </row>
    <row r="19" spans="1:7" ht="27.6" hidden="1" x14ac:dyDescent="0.3">
      <c r="A19" s="67">
        <v>45868</v>
      </c>
      <c r="B19" s="2" t="s">
        <v>171</v>
      </c>
      <c r="C19" s="8" t="s">
        <v>17</v>
      </c>
      <c r="D19" s="17" t="s">
        <v>228</v>
      </c>
      <c r="E19" s="10">
        <v>-1916.67</v>
      </c>
      <c r="F19" s="85" t="s">
        <v>8</v>
      </c>
      <c r="G19" s="11" t="s">
        <v>154</v>
      </c>
    </row>
    <row r="20" spans="1:7" ht="27.6" hidden="1" x14ac:dyDescent="0.3">
      <c r="A20" s="67">
        <v>45868</v>
      </c>
      <c r="B20" s="2" t="s">
        <v>171</v>
      </c>
      <c r="C20" s="17" t="s">
        <v>6</v>
      </c>
      <c r="D20" s="17" t="s">
        <v>219</v>
      </c>
      <c r="E20" s="10">
        <v>-2200</v>
      </c>
      <c r="F20" s="85" t="s">
        <v>8</v>
      </c>
      <c r="G20" s="11" t="s">
        <v>154</v>
      </c>
    </row>
    <row r="21" spans="1:7" ht="27.6" hidden="1" x14ac:dyDescent="0.3">
      <c r="A21" s="67">
        <v>45868</v>
      </c>
      <c r="B21" s="2" t="s">
        <v>171</v>
      </c>
      <c r="C21" s="17" t="s">
        <v>6</v>
      </c>
      <c r="D21" s="17" t="s">
        <v>216</v>
      </c>
      <c r="E21" s="10">
        <v>-3836.54</v>
      </c>
      <c r="F21" s="85" t="s">
        <v>8</v>
      </c>
      <c r="G21" s="11" t="s">
        <v>154</v>
      </c>
    </row>
    <row r="22" spans="1:7" ht="27.6" hidden="1" x14ac:dyDescent="0.3">
      <c r="A22" s="67">
        <v>45868</v>
      </c>
      <c r="B22" s="2" t="s">
        <v>171</v>
      </c>
      <c r="C22" s="17" t="s">
        <v>6</v>
      </c>
      <c r="D22" s="17" t="s">
        <v>220</v>
      </c>
      <c r="E22" s="10">
        <v>-3200</v>
      </c>
      <c r="F22" s="85" t="s">
        <v>8</v>
      </c>
      <c r="G22" s="11" t="s">
        <v>154</v>
      </c>
    </row>
    <row r="23" spans="1:7" ht="27.6" hidden="1" x14ac:dyDescent="0.3">
      <c r="A23" s="67">
        <v>45868</v>
      </c>
      <c r="B23" s="2" t="s">
        <v>171</v>
      </c>
      <c r="C23" s="17" t="s">
        <v>6</v>
      </c>
      <c r="D23" s="17" t="s">
        <v>217</v>
      </c>
      <c r="E23" s="10">
        <v>-2000</v>
      </c>
      <c r="F23" s="11" t="s">
        <v>8</v>
      </c>
      <c r="G23" s="11" t="s">
        <v>154</v>
      </c>
    </row>
    <row r="24" spans="1:7" ht="27.6" hidden="1" x14ac:dyDescent="0.3">
      <c r="A24" s="67">
        <v>45868</v>
      </c>
      <c r="B24" s="2" t="s">
        <v>171</v>
      </c>
      <c r="C24" s="17" t="s">
        <v>17</v>
      </c>
      <c r="D24" s="17" t="s">
        <v>227</v>
      </c>
      <c r="E24" s="10">
        <v>-2864.92</v>
      </c>
      <c r="F24" s="11" t="s">
        <v>8</v>
      </c>
      <c r="G24" s="11" t="s">
        <v>154</v>
      </c>
    </row>
    <row r="25" spans="1:7" ht="27.6" hidden="1" x14ac:dyDescent="0.3">
      <c r="A25" s="67">
        <v>45868</v>
      </c>
      <c r="B25" s="2" t="s">
        <v>171</v>
      </c>
      <c r="C25" s="43" t="s">
        <v>6</v>
      </c>
      <c r="D25" s="43" t="s">
        <v>221</v>
      </c>
      <c r="E25" s="45">
        <v>-2500</v>
      </c>
      <c r="F25" s="11" t="s">
        <v>8</v>
      </c>
      <c r="G25" s="11" t="s">
        <v>154</v>
      </c>
    </row>
    <row r="26" spans="1:7" ht="27.6" hidden="1" x14ac:dyDescent="0.3">
      <c r="A26" s="67">
        <v>45868</v>
      </c>
      <c r="B26" s="2" t="s">
        <v>171</v>
      </c>
      <c r="C26" s="43" t="s">
        <v>32</v>
      </c>
      <c r="D26" s="43" t="s">
        <v>225</v>
      </c>
      <c r="E26" s="45">
        <v>-1000</v>
      </c>
      <c r="F26" s="11" t="s">
        <v>8</v>
      </c>
      <c r="G26" s="11" t="s">
        <v>154</v>
      </c>
    </row>
    <row r="27" spans="1:7" ht="27.6" hidden="1" x14ac:dyDescent="0.3">
      <c r="A27" s="79">
        <v>45868</v>
      </c>
      <c r="B27" s="33" t="s">
        <v>171</v>
      </c>
      <c r="C27" s="89" t="s">
        <v>17</v>
      </c>
      <c r="D27" s="90" t="s">
        <v>226</v>
      </c>
      <c r="E27" s="81">
        <v>-1400</v>
      </c>
      <c r="F27" s="62" t="s">
        <v>8</v>
      </c>
      <c r="G27" s="62" t="s">
        <v>154</v>
      </c>
    </row>
    <row r="28" spans="1:7" hidden="1" x14ac:dyDescent="0.3">
      <c r="A28" s="64">
        <v>45839</v>
      </c>
      <c r="B28" s="36" t="s">
        <v>171</v>
      </c>
      <c r="C28" s="65" t="s">
        <v>17</v>
      </c>
      <c r="D28" s="95" t="s">
        <v>159</v>
      </c>
      <c r="E28" s="66">
        <v>-1848.63</v>
      </c>
      <c r="F28" s="84" t="s">
        <v>8</v>
      </c>
      <c r="G28" s="84" t="s">
        <v>154</v>
      </c>
    </row>
    <row r="29" spans="1:7" ht="27.6" hidden="1" x14ac:dyDescent="0.3">
      <c r="A29" s="76">
        <v>45863</v>
      </c>
      <c r="B29" s="32" t="s">
        <v>171</v>
      </c>
      <c r="C29" s="20" t="s">
        <v>6</v>
      </c>
      <c r="D29" s="20" t="s">
        <v>213</v>
      </c>
      <c r="E29" s="77">
        <v>-2688.37</v>
      </c>
      <c r="F29" s="14" t="s">
        <v>8</v>
      </c>
      <c r="G29" s="7" t="s">
        <v>154</v>
      </c>
    </row>
    <row r="30" spans="1:7" x14ac:dyDescent="0.3">
      <c r="A30" s="27">
        <v>45853</v>
      </c>
      <c r="B30" s="27" t="s">
        <v>171</v>
      </c>
      <c r="C30" s="91" t="s">
        <v>6</v>
      </c>
      <c r="D30" s="92" t="s">
        <v>206</v>
      </c>
      <c r="E30" s="93">
        <v>-3500</v>
      </c>
      <c r="F30" s="88" t="s">
        <v>8</v>
      </c>
      <c r="G30" s="94" t="s">
        <v>154</v>
      </c>
    </row>
    <row r="31" spans="1:7" ht="27.6" hidden="1" x14ac:dyDescent="0.3">
      <c r="A31" s="75">
        <v>45839</v>
      </c>
      <c r="B31" s="70" t="s">
        <v>171</v>
      </c>
      <c r="C31" s="20" t="s">
        <v>43</v>
      </c>
      <c r="D31" s="20" t="s">
        <v>192</v>
      </c>
      <c r="E31" s="77">
        <v>-6069.71</v>
      </c>
      <c r="F31" s="84" t="s">
        <v>8</v>
      </c>
      <c r="G31" s="84" t="s">
        <v>154</v>
      </c>
    </row>
    <row r="32" spans="1:7" ht="27.6" hidden="1" x14ac:dyDescent="0.3">
      <c r="A32" s="75">
        <v>45839</v>
      </c>
      <c r="B32" s="70" t="s">
        <v>171</v>
      </c>
      <c r="C32" s="20" t="s">
        <v>43</v>
      </c>
      <c r="D32" s="20" t="s">
        <v>193</v>
      </c>
      <c r="E32" s="77">
        <v>3968.99</v>
      </c>
      <c r="F32" s="84" t="s">
        <v>8</v>
      </c>
      <c r="G32" s="84" t="s">
        <v>154</v>
      </c>
    </row>
    <row r="33" spans="1:7" ht="27.6" hidden="1" x14ac:dyDescent="0.3">
      <c r="A33" s="75">
        <v>45846</v>
      </c>
      <c r="B33" s="32" t="s">
        <v>171</v>
      </c>
      <c r="C33" s="43" t="s">
        <v>25</v>
      </c>
      <c r="D33" s="43" t="s">
        <v>187</v>
      </c>
      <c r="E33" s="45">
        <v>-5600</v>
      </c>
      <c r="F33" s="41" t="s">
        <v>8</v>
      </c>
      <c r="G33" s="7" t="s">
        <v>154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sheetPr codeName="Planilha13"/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215</v>
      </c>
      <c r="B3" s="3">
        <v>-2530.4299999999998</v>
      </c>
    </row>
    <row r="4" spans="1:2" x14ac:dyDescent="0.3">
      <c r="A4" t="s">
        <v>215</v>
      </c>
      <c r="B4" s="3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23"/>
      <c r="D5" s="273"/>
      <c r="E5" s="263" t="s">
        <v>271</v>
      </c>
      <c r="F5" s="264" t="s">
        <v>272</v>
      </c>
      <c r="G5" s="263" t="s">
        <v>273</v>
      </c>
      <c r="H5" s="263" t="s">
        <v>274</v>
      </c>
      <c r="I5" s="263" t="s">
        <v>275</v>
      </c>
      <c r="J5" s="263" t="s">
        <v>276</v>
      </c>
      <c r="K5" s="23" t="s">
        <v>277</v>
      </c>
      <c r="L5" s="264" t="s">
        <v>280</v>
      </c>
      <c r="M5" s="265"/>
      <c r="N5" s="266"/>
    </row>
    <row r="6" spans="3:15" x14ac:dyDescent="0.3">
      <c r="C6" s="23"/>
      <c r="D6" s="274"/>
      <c r="E6" s="263"/>
      <c r="F6" s="267"/>
      <c r="G6" s="263"/>
      <c r="H6" s="263"/>
      <c r="I6" s="263"/>
      <c r="J6" s="263"/>
      <c r="K6" s="23" t="s">
        <v>278</v>
      </c>
      <c r="L6" s="267"/>
      <c r="M6" s="268"/>
      <c r="N6" s="269"/>
    </row>
    <row r="7" spans="3:15" ht="15" thickBot="1" x14ac:dyDescent="0.35">
      <c r="C7" s="23"/>
      <c r="D7" s="274"/>
      <c r="E7" s="263"/>
      <c r="F7" s="270"/>
      <c r="G7" s="263"/>
      <c r="H7" s="263"/>
      <c r="I7" s="263"/>
      <c r="J7" s="263"/>
      <c r="K7" s="135" t="s">
        <v>279</v>
      </c>
      <c r="L7" s="270"/>
      <c r="M7" s="271"/>
      <c r="N7" s="272"/>
    </row>
    <row r="8" spans="3:15" x14ac:dyDescent="0.3">
      <c r="C8" s="23"/>
      <c r="D8" s="274"/>
      <c r="E8" s="263"/>
      <c r="F8" s="263" t="s">
        <v>281</v>
      </c>
      <c r="G8" s="263"/>
      <c r="H8" s="263"/>
      <c r="I8" s="263"/>
      <c r="J8" s="263"/>
      <c r="K8" s="135"/>
      <c r="L8" s="263" t="s">
        <v>282</v>
      </c>
      <c r="M8" s="263" t="s">
        <v>283</v>
      </c>
      <c r="N8" s="134"/>
    </row>
    <row r="9" spans="3:15" ht="15" thickBot="1" x14ac:dyDescent="0.35">
      <c r="C9" s="23"/>
      <c r="D9" s="275"/>
      <c r="E9" s="263"/>
      <c r="F9" s="263"/>
      <c r="G9" s="263"/>
      <c r="H9" s="263"/>
      <c r="I9" s="263"/>
      <c r="J9" s="263"/>
      <c r="K9" s="136"/>
      <c r="L9" s="263"/>
      <c r="M9" s="263"/>
      <c r="N9" s="134"/>
    </row>
    <row r="10" spans="3:15" s="68" customFormat="1" x14ac:dyDescent="0.3">
      <c r="C10" s="26"/>
      <c r="D10" s="152"/>
      <c r="E10" s="151"/>
      <c r="F10" s="150" t="s">
        <v>284</v>
      </c>
      <c r="G10" s="26" t="s">
        <v>285</v>
      </c>
      <c r="H10" s="151">
        <v>47209318000140</v>
      </c>
      <c r="I10" s="152" t="s">
        <v>251</v>
      </c>
      <c r="J10" s="150" t="s">
        <v>252</v>
      </c>
      <c r="K10" s="153">
        <v>45787</v>
      </c>
      <c r="L10" s="153">
        <v>45862</v>
      </c>
      <c r="M10" s="154">
        <v>8231.36</v>
      </c>
      <c r="N10" s="155">
        <v>0</v>
      </c>
    </row>
    <row r="11" spans="3:15" x14ac:dyDescent="0.3">
      <c r="C11" s="23"/>
      <c r="D11" s="141"/>
      <c r="E11" s="142"/>
      <c r="F11" s="157" t="s">
        <v>248</v>
      </c>
      <c r="G11" s="24" t="s">
        <v>286</v>
      </c>
      <c r="H11" s="158">
        <v>91315184</v>
      </c>
      <c r="I11" s="159" t="s">
        <v>251</v>
      </c>
      <c r="J11" s="157" t="s">
        <v>252</v>
      </c>
      <c r="K11" s="160">
        <v>45789</v>
      </c>
      <c r="L11" s="160">
        <v>49441</v>
      </c>
      <c r="M11" s="161">
        <v>367.08</v>
      </c>
      <c r="N11" s="161">
        <v>418.18</v>
      </c>
      <c r="O11" t="s">
        <v>315</v>
      </c>
    </row>
    <row r="12" spans="3:15" x14ac:dyDescent="0.3">
      <c r="C12" s="23"/>
      <c r="D12" s="137"/>
      <c r="E12" s="138"/>
      <c r="F12" s="157" t="s">
        <v>253</v>
      </c>
      <c r="G12" s="24" t="s">
        <v>286</v>
      </c>
      <c r="H12" s="158">
        <v>70308918</v>
      </c>
      <c r="I12" s="159" t="s">
        <v>251</v>
      </c>
      <c r="J12" s="157" t="s">
        <v>252</v>
      </c>
      <c r="K12" s="160">
        <v>45789</v>
      </c>
      <c r="L12" s="160">
        <v>49441</v>
      </c>
      <c r="M12" s="161">
        <v>845.88</v>
      </c>
      <c r="N12" s="161">
        <v>964.06</v>
      </c>
      <c r="O12" t="s">
        <v>315</v>
      </c>
    </row>
    <row r="13" spans="3:15" x14ac:dyDescent="0.3">
      <c r="C13" s="23"/>
      <c r="D13" s="141"/>
      <c r="E13" s="142"/>
      <c r="F13" s="157" t="s">
        <v>259</v>
      </c>
      <c r="G13" s="24" t="s">
        <v>286</v>
      </c>
      <c r="H13" s="158">
        <v>55917047</v>
      </c>
      <c r="I13" s="159" t="s">
        <v>251</v>
      </c>
      <c r="J13" s="157" t="s">
        <v>252</v>
      </c>
      <c r="K13" s="160">
        <v>45789</v>
      </c>
      <c r="L13" s="160">
        <v>49441</v>
      </c>
      <c r="M13" s="161">
        <v>303.24</v>
      </c>
      <c r="N13" s="161">
        <v>345.56</v>
      </c>
      <c r="O13" t="s">
        <v>315</v>
      </c>
    </row>
    <row r="14" spans="3:15" x14ac:dyDescent="0.3">
      <c r="C14" s="23"/>
      <c r="D14" s="137"/>
      <c r="E14" s="138"/>
      <c r="F14" s="157" t="s">
        <v>267</v>
      </c>
      <c r="G14" s="24" t="s">
        <v>286</v>
      </c>
      <c r="H14" s="158">
        <v>54121761</v>
      </c>
      <c r="I14" s="159" t="s">
        <v>251</v>
      </c>
      <c r="J14" s="157" t="s">
        <v>252</v>
      </c>
      <c r="K14" s="160">
        <v>45789</v>
      </c>
      <c r="L14" s="160">
        <v>49441</v>
      </c>
      <c r="M14" s="161">
        <v>143.63999999999999</v>
      </c>
      <c r="N14" s="161">
        <v>163.4</v>
      </c>
      <c r="O14" t="s">
        <v>315</v>
      </c>
    </row>
    <row r="15" spans="3:15" x14ac:dyDescent="0.3">
      <c r="C15" s="23"/>
      <c r="D15" s="141"/>
      <c r="E15" s="142"/>
      <c r="F15" s="157" t="s">
        <v>263</v>
      </c>
      <c r="G15" s="24" t="s">
        <v>286</v>
      </c>
      <c r="H15" s="158">
        <v>58596579</v>
      </c>
      <c r="I15" s="159" t="s">
        <v>251</v>
      </c>
      <c r="J15" s="157" t="s">
        <v>252</v>
      </c>
      <c r="K15" s="160">
        <v>45789</v>
      </c>
      <c r="L15" s="160">
        <v>49441</v>
      </c>
      <c r="M15" s="161">
        <v>95.76</v>
      </c>
      <c r="N15" s="161">
        <v>108.93</v>
      </c>
      <c r="O15" t="s">
        <v>315</v>
      </c>
    </row>
    <row r="16" spans="3:15" x14ac:dyDescent="0.3">
      <c r="C16" s="23"/>
      <c r="D16" s="137"/>
      <c r="E16" s="138"/>
      <c r="F16" s="157" t="s">
        <v>255</v>
      </c>
      <c r="G16" s="24" t="s">
        <v>286</v>
      </c>
      <c r="H16" s="158">
        <v>88955286</v>
      </c>
      <c r="I16" s="159" t="s">
        <v>251</v>
      </c>
      <c r="J16" s="157" t="s">
        <v>252</v>
      </c>
      <c r="K16" s="160">
        <v>45789</v>
      </c>
      <c r="L16" s="160">
        <v>49441</v>
      </c>
      <c r="M16" s="161">
        <v>462.84</v>
      </c>
      <c r="N16" s="161">
        <v>527.12</v>
      </c>
      <c r="O16" t="s">
        <v>315</v>
      </c>
    </row>
    <row r="17" spans="3:15" x14ac:dyDescent="0.3">
      <c r="C17" s="23"/>
      <c r="D17" s="141"/>
      <c r="E17" s="142"/>
      <c r="F17" s="157" t="s">
        <v>257</v>
      </c>
      <c r="G17" s="24" t="s">
        <v>286</v>
      </c>
      <c r="H17" s="158">
        <v>24399254</v>
      </c>
      <c r="I17" s="159" t="s">
        <v>251</v>
      </c>
      <c r="J17" s="157" t="s">
        <v>252</v>
      </c>
      <c r="K17" s="160">
        <v>45789</v>
      </c>
      <c r="L17" s="160">
        <v>49441</v>
      </c>
      <c r="M17" s="161">
        <v>957.6</v>
      </c>
      <c r="N17" s="163">
        <v>1091.1600000000001</v>
      </c>
      <c r="O17" t="s">
        <v>315</v>
      </c>
    </row>
    <row r="18" spans="3:15" x14ac:dyDescent="0.3">
      <c r="C18" s="23"/>
      <c r="D18" s="137"/>
      <c r="E18" s="138"/>
      <c r="F18" s="157" t="s">
        <v>265</v>
      </c>
      <c r="G18" s="24" t="s">
        <v>286</v>
      </c>
      <c r="H18" s="158">
        <v>23521375</v>
      </c>
      <c r="I18" s="159" t="s">
        <v>251</v>
      </c>
      <c r="J18" s="157" t="s">
        <v>252</v>
      </c>
      <c r="K18" s="160">
        <v>45789</v>
      </c>
      <c r="L18" s="160">
        <v>49441</v>
      </c>
      <c r="M18" s="161">
        <v>63.84</v>
      </c>
      <c r="N18" s="161">
        <v>72.62</v>
      </c>
      <c r="O18" t="s">
        <v>315</v>
      </c>
    </row>
    <row r="19" spans="3:15" x14ac:dyDescent="0.3">
      <c r="C19" s="23"/>
      <c r="D19" s="141"/>
      <c r="E19" s="142"/>
      <c r="F19" s="157" t="s">
        <v>261</v>
      </c>
      <c r="G19" s="24" t="s">
        <v>286</v>
      </c>
      <c r="H19" s="158">
        <v>34374596</v>
      </c>
      <c r="I19" s="159" t="s">
        <v>251</v>
      </c>
      <c r="J19" s="157" t="s">
        <v>252</v>
      </c>
      <c r="K19" s="160">
        <v>45789</v>
      </c>
      <c r="L19" s="160">
        <v>49441</v>
      </c>
      <c r="M19" s="161">
        <v>223.44</v>
      </c>
      <c r="N19" s="161">
        <v>254.18</v>
      </c>
      <c r="O19" t="s">
        <v>315</v>
      </c>
    </row>
    <row r="20" spans="3:15" s="68" customFormat="1" x14ac:dyDescent="0.3">
      <c r="C20" s="26"/>
      <c r="D20" s="152"/>
      <c r="E20" s="151"/>
      <c r="F20" s="150" t="s">
        <v>43</v>
      </c>
      <c r="G20" s="26" t="s">
        <v>287</v>
      </c>
      <c r="H20" s="151">
        <v>40398</v>
      </c>
      <c r="I20" s="152" t="s">
        <v>251</v>
      </c>
      <c r="J20" s="150" t="s">
        <v>252</v>
      </c>
      <c r="K20" s="153">
        <v>45797</v>
      </c>
      <c r="L20" s="153">
        <v>49439</v>
      </c>
      <c r="M20" s="155">
        <v>40</v>
      </c>
      <c r="N20" s="155">
        <v>41.32</v>
      </c>
    </row>
    <row r="21" spans="3:15" s="68" customFormat="1" x14ac:dyDescent="0.3">
      <c r="C21" s="26"/>
      <c r="D21" s="147"/>
      <c r="E21" s="146"/>
      <c r="F21" s="145" t="s">
        <v>267</v>
      </c>
      <c r="G21" s="26" t="s">
        <v>288</v>
      </c>
      <c r="H21" s="146">
        <v>30271314</v>
      </c>
      <c r="I21" s="147" t="s">
        <v>251</v>
      </c>
      <c r="J21" s="145" t="s">
        <v>252</v>
      </c>
      <c r="K21" s="148">
        <v>45797</v>
      </c>
      <c r="L21" s="148">
        <v>45857</v>
      </c>
      <c r="M21" s="156">
        <v>89</v>
      </c>
      <c r="N21" s="156">
        <v>90.79</v>
      </c>
    </row>
    <row r="22" spans="3:15" x14ac:dyDescent="0.3">
      <c r="C22" s="23"/>
      <c r="D22" s="137"/>
      <c r="E22" s="138"/>
      <c r="F22" s="132" t="s">
        <v>259</v>
      </c>
      <c r="G22" s="23" t="s">
        <v>249</v>
      </c>
      <c r="H22" s="138" t="s">
        <v>289</v>
      </c>
      <c r="I22" s="137" t="s">
        <v>251</v>
      </c>
      <c r="J22" s="132" t="s">
        <v>252</v>
      </c>
      <c r="K22" s="139">
        <v>45797</v>
      </c>
      <c r="L22" s="139">
        <v>45976</v>
      </c>
      <c r="M22" s="140">
        <v>6095</v>
      </c>
      <c r="N22" s="140">
        <v>7272.31</v>
      </c>
    </row>
    <row r="23" spans="3:15" s="68" customFormat="1" x14ac:dyDescent="0.3">
      <c r="C23" s="26"/>
      <c r="D23" s="147"/>
      <c r="E23" s="146"/>
      <c r="F23" s="145" t="s">
        <v>265</v>
      </c>
      <c r="G23" s="26" t="s">
        <v>290</v>
      </c>
      <c r="H23" s="146"/>
      <c r="I23" s="147" t="s">
        <v>251</v>
      </c>
      <c r="J23" s="145" t="s">
        <v>252</v>
      </c>
      <c r="K23" s="147" t="s">
        <v>291</v>
      </c>
      <c r="L23" s="148">
        <v>45897</v>
      </c>
      <c r="M23" s="156">
        <v>615.39</v>
      </c>
      <c r="N23" s="156">
        <v>660.19</v>
      </c>
      <c r="O23" s="68" t="s">
        <v>313</v>
      </c>
    </row>
    <row r="24" spans="3:15" s="68" customFormat="1" x14ac:dyDescent="0.3">
      <c r="C24" s="26"/>
      <c r="D24" s="152"/>
      <c r="E24" s="151"/>
      <c r="F24" s="150" t="s">
        <v>292</v>
      </c>
      <c r="G24" s="26" t="s">
        <v>288</v>
      </c>
      <c r="H24" s="151">
        <v>29994091</v>
      </c>
      <c r="I24" s="152" t="s">
        <v>251</v>
      </c>
      <c r="J24" s="150" t="s">
        <v>252</v>
      </c>
      <c r="K24" s="153">
        <v>45813</v>
      </c>
      <c r="L24" s="153">
        <v>45873</v>
      </c>
      <c r="M24" s="155">
        <v>89</v>
      </c>
      <c r="N24" s="155">
        <v>90.79</v>
      </c>
      <c r="O24" s="68" t="s">
        <v>313</v>
      </c>
    </row>
    <row r="25" spans="3:15" s="68" customFormat="1" x14ac:dyDescent="0.3">
      <c r="C25" s="26"/>
      <c r="D25" s="147"/>
      <c r="E25" s="146"/>
      <c r="F25" s="145" t="s">
        <v>292</v>
      </c>
      <c r="G25" s="26" t="s">
        <v>288</v>
      </c>
      <c r="H25" s="146">
        <v>29994103</v>
      </c>
      <c r="I25" s="147" t="s">
        <v>251</v>
      </c>
      <c r="J25" s="145" t="s">
        <v>252</v>
      </c>
      <c r="K25" s="148">
        <v>45813</v>
      </c>
      <c r="L25" s="148">
        <v>45873</v>
      </c>
      <c r="M25" s="156">
        <v>89</v>
      </c>
      <c r="N25" s="156">
        <v>90.79</v>
      </c>
      <c r="O25" s="68" t="s">
        <v>313</v>
      </c>
    </row>
    <row r="26" spans="3:15" s="68" customFormat="1" x14ac:dyDescent="0.3">
      <c r="C26" s="26"/>
      <c r="D26" s="152"/>
      <c r="E26" s="151"/>
      <c r="F26" s="150" t="s">
        <v>292</v>
      </c>
      <c r="G26" s="26" t="s">
        <v>288</v>
      </c>
      <c r="H26" s="151">
        <v>29994115</v>
      </c>
      <c r="I26" s="152" t="s">
        <v>251</v>
      </c>
      <c r="J26" s="150" t="s">
        <v>252</v>
      </c>
      <c r="K26" s="153">
        <v>45813</v>
      </c>
      <c r="L26" s="153">
        <v>45873</v>
      </c>
      <c r="M26" s="155">
        <v>89</v>
      </c>
      <c r="N26" s="155">
        <v>90.79</v>
      </c>
      <c r="O26" s="68" t="s">
        <v>313</v>
      </c>
    </row>
    <row r="27" spans="3:15" s="68" customFormat="1" x14ac:dyDescent="0.3">
      <c r="C27" s="26"/>
      <c r="D27" s="147"/>
      <c r="E27" s="146"/>
      <c r="F27" s="145" t="s">
        <v>292</v>
      </c>
      <c r="G27" s="26" t="s">
        <v>288</v>
      </c>
      <c r="H27" s="146">
        <v>29994139</v>
      </c>
      <c r="I27" s="147" t="s">
        <v>251</v>
      </c>
      <c r="J27" s="145" t="s">
        <v>252</v>
      </c>
      <c r="K27" s="148">
        <v>45813</v>
      </c>
      <c r="L27" s="148">
        <v>45873</v>
      </c>
      <c r="M27" s="156">
        <v>89</v>
      </c>
      <c r="N27" s="156">
        <v>90.79</v>
      </c>
      <c r="O27" s="68" t="s">
        <v>313</v>
      </c>
    </row>
    <row r="28" spans="3:15" s="68" customFormat="1" x14ac:dyDescent="0.3">
      <c r="C28" s="26"/>
      <c r="D28" s="152"/>
      <c r="E28" s="151"/>
      <c r="F28" s="150" t="s">
        <v>292</v>
      </c>
      <c r="G28" s="26" t="s">
        <v>288</v>
      </c>
      <c r="H28" s="151">
        <v>29994151</v>
      </c>
      <c r="I28" s="152" t="s">
        <v>251</v>
      </c>
      <c r="J28" s="150" t="s">
        <v>252</v>
      </c>
      <c r="K28" s="153">
        <v>45813</v>
      </c>
      <c r="L28" s="153">
        <v>45873</v>
      </c>
      <c r="M28" s="155">
        <v>89</v>
      </c>
      <c r="N28" s="155">
        <v>90.79</v>
      </c>
      <c r="O28" s="68" t="s">
        <v>313</v>
      </c>
    </row>
    <row r="29" spans="3:15" s="68" customFormat="1" x14ac:dyDescent="0.3">
      <c r="C29" s="26"/>
      <c r="D29" s="147"/>
      <c r="E29" s="146"/>
      <c r="F29" s="145" t="s">
        <v>292</v>
      </c>
      <c r="G29" s="26" t="s">
        <v>288</v>
      </c>
      <c r="H29" s="146">
        <v>29994163</v>
      </c>
      <c r="I29" s="147" t="s">
        <v>251</v>
      </c>
      <c r="J29" s="145" t="s">
        <v>252</v>
      </c>
      <c r="K29" s="148">
        <v>45813</v>
      </c>
      <c r="L29" s="148">
        <v>45873</v>
      </c>
      <c r="M29" s="156">
        <v>89</v>
      </c>
      <c r="N29" s="156">
        <v>90.79</v>
      </c>
      <c r="O29" s="68" t="s">
        <v>313</v>
      </c>
    </row>
    <row r="30" spans="3:15" s="68" customFormat="1" x14ac:dyDescent="0.3">
      <c r="C30" s="26"/>
      <c r="D30" s="152"/>
      <c r="E30" s="151"/>
      <c r="F30" s="150" t="s">
        <v>292</v>
      </c>
      <c r="G30" s="26" t="s">
        <v>288</v>
      </c>
      <c r="H30" s="151">
        <v>29994175</v>
      </c>
      <c r="I30" s="152" t="s">
        <v>251</v>
      </c>
      <c r="J30" s="150" t="s">
        <v>252</v>
      </c>
      <c r="K30" s="153">
        <v>45813</v>
      </c>
      <c r="L30" s="153">
        <v>45873</v>
      </c>
      <c r="M30" s="155">
        <v>89</v>
      </c>
      <c r="N30" s="155">
        <v>90.79</v>
      </c>
      <c r="O30" s="68" t="s">
        <v>313</v>
      </c>
    </row>
    <row r="31" spans="3:15" s="68" customFormat="1" x14ac:dyDescent="0.3">
      <c r="C31" s="26"/>
      <c r="D31" s="147"/>
      <c r="E31" s="146"/>
      <c r="F31" s="145" t="s">
        <v>292</v>
      </c>
      <c r="G31" s="26" t="s">
        <v>288</v>
      </c>
      <c r="H31" s="146">
        <v>29994127</v>
      </c>
      <c r="I31" s="147" t="s">
        <v>251</v>
      </c>
      <c r="J31" s="145" t="s">
        <v>252</v>
      </c>
      <c r="K31" s="148">
        <v>45813</v>
      </c>
      <c r="L31" s="148">
        <v>45873</v>
      </c>
      <c r="M31" s="156">
        <v>89</v>
      </c>
      <c r="N31" s="156">
        <v>90.79</v>
      </c>
      <c r="O31" s="68" t="s">
        <v>313</v>
      </c>
    </row>
    <row r="32" spans="3:15" s="68" customFormat="1" x14ac:dyDescent="0.3">
      <c r="C32" s="26"/>
      <c r="D32" s="152"/>
      <c r="E32" s="151"/>
      <c r="F32" s="150" t="s">
        <v>292</v>
      </c>
      <c r="G32" s="26" t="s">
        <v>288</v>
      </c>
      <c r="H32" s="151">
        <v>29994187</v>
      </c>
      <c r="I32" s="152" t="s">
        <v>251</v>
      </c>
      <c r="J32" s="150" t="s">
        <v>252</v>
      </c>
      <c r="K32" s="153">
        <v>45813</v>
      </c>
      <c r="L32" s="153">
        <v>45873</v>
      </c>
      <c r="M32" s="155">
        <v>89</v>
      </c>
      <c r="N32" s="155">
        <v>90.79</v>
      </c>
      <c r="O32" s="68" t="s">
        <v>313</v>
      </c>
    </row>
    <row r="33" spans="3:15" s="68" customFormat="1" x14ac:dyDescent="0.3">
      <c r="C33" s="26"/>
      <c r="D33" s="147"/>
      <c r="E33" s="146"/>
      <c r="F33" s="145" t="s">
        <v>265</v>
      </c>
      <c r="G33" s="26" t="s">
        <v>293</v>
      </c>
      <c r="H33" s="146">
        <v>15743853</v>
      </c>
      <c r="I33" s="147" t="s">
        <v>251</v>
      </c>
      <c r="J33" s="145" t="s">
        <v>252</v>
      </c>
      <c r="K33" s="148">
        <v>45813</v>
      </c>
      <c r="L33" s="148">
        <v>45842</v>
      </c>
      <c r="M33" s="149">
        <v>1807.87</v>
      </c>
      <c r="N33" s="147" t="s">
        <v>195</v>
      </c>
      <c r="O33" s="68" t="s">
        <v>313</v>
      </c>
    </row>
    <row r="34" spans="3:15" s="68" customFormat="1" x14ac:dyDescent="0.3">
      <c r="C34" s="26"/>
      <c r="D34" s="152"/>
      <c r="E34" s="151"/>
      <c r="F34" s="150" t="s">
        <v>265</v>
      </c>
      <c r="G34" s="26" t="s">
        <v>293</v>
      </c>
      <c r="H34" s="151">
        <v>15743853</v>
      </c>
      <c r="I34" s="152" t="s">
        <v>251</v>
      </c>
      <c r="J34" s="150" t="s">
        <v>252</v>
      </c>
      <c r="K34" s="153">
        <v>45813</v>
      </c>
      <c r="L34" s="153">
        <v>45842</v>
      </c>
      <c r="M34" s="154">
        <v>1807.87</v>
      </c>
      <c r="N34" s="152" t="s">
        <v>195</v>
      </c>
      <c r="O34" s="68" t="s">
        <v>313</v>
      </c>
    </row>
    <row r="35" spans="3:15" s="68" customFormat="1" x14ac:dyDescent="0.3">
      <c r="C35" s="26"/>
      <c r="D35" s="147"/>
      <c r="E35" s="146"/>
      <c r="F35" s="145" t="s">
        <v>265</v>
      </c>
      <c r="G35" s="26" t="s">
        <v>293</v>
      </c>
      <c r="H35" s="146">
        <v>15743853</v>
      </c>
      <c r="I35" s="147" t="s">
        <v>251</v>
      </c>
      <c r="J35" s="145" t="s">
        <v>252</v>
      </c>
      <c r="K35" s="148">
        <v>45813</v>
      </c>
      <c r="L35" s="148">
        <v>45842</v>
      </c>
      <c r="M35" s="149">
        <v>1807.87</v>
      </c>
      <c r="N35" s="147" t="s">
        <v>195</v>
      </c>
      <c r="O35" s="68" t="s">
        <v>313</v>
      </c>
    </row>
    <row r="36" spans="3:15" s="68" customFormat="1" x14ac:dyDescent="0.3">
      <c r="C36" s="26"/>
      <c r="D36" s="152"/>
      <c r="E36" s="151"/>
      <c r="F36" s="150" t="s">
        <v>265</v>
      </c>
      <c r="G36" s="26" t="s">
        <v>293</v>
      </c>
      <c r="H36" s="151">
        <v>15743853</v>
      </c>
      <c r="I36" s="152" t="s">
        <v>251</v>
      </c>
      <c r="J36" s="150" t="s">
        <v>252</v>
      </c>
      <c r="K36" s="153">
        <v>45813</v>
      </c>
      <c r="L36" s="153">
        <v>45842</v>
      </c>
      <c r="M36" s="154">
        <v>1807.87</v>
      </c>
      <c r="N36" s="152" t="s">
        <v>195</v>
      </c>
      <c r="O36" s="68" t="s">
        <v>313</v>
      </c>
    </row>
    <row r="37" spans="3:15" s="68" customFormat="1" x14ac:dyDescent="0.3">
      <c r="C37" s="26"/>
      <c r="D37" s="147"/>
      <c r="E37" s="146"/>
      <c r="F37" s="145" t="s">
        <v>265</v>
      </c>
      <c r="G37" s="26" t="s">
        <v>293</v>
      </c>
      <c r="H37" s="146">
        <v>15743853</v>
      </c>
      <c r="I37" s="147" t="s">
        <v>251</v>
      </c>
      <c r="J37" s="145" t="s">
        <v>252</v>
      </c>
      <c r="K37" s="148">
        <v>45813</v>
      </c>
      <c r="L37" s="148">
        <v>45842</v>
      </c>
      <c r="M37" s="149">
        <v>1807.87</v>
      </c>
      <c r="N37" s="147" t="s">
        <v>195</v>
      </c>
      <c r="O37" s="68" t="s">
        <v>313</v>
      </c>
    </row>
    <row r="38" spans="3:15" s="68" customFormat="1" x14ac:dyDescent="0.3">
      <c r="C38" s="26"/>
      <c r="D38" s="152"/>
      <c r="E38" s="151"/>
      <c r="F38" s="150" t="s">
        <v>265</v>
      </c>
      <c r="G38" s="26" t="s">
        <v>293</v>
      </c>
      <c r="H38" s="151">
        <v>15743853</v>
      </c>
      <c r="I38" s="152" t="s">
        <v>251</v>
      </c>
      <c r="J38" s="150" t="s">
        <v>252</v>
      </c>
      <c r="K38" s="153">
        <v>45813</v>
      </c>
      <c r="L38" s="153">
        <v>45842</v>
      </c>
      <c r="M38" s="154">
        <v>1807.87</v>
      </c>
      <c r="N38" s="152" t="s">
        <v>195</v>
      </c>
      <c r="O38" s="68" t="s">
        <v>313</v>
      </c>
    </row>
    <row r="39" spans="3:15" s="68" customFormat="1" x14ac:dyDescent="0.3">
      <c r="C39" s="26"/>
      <c r="D39" s="147"/>
      <c r="E39" s="146"/>
      <c r="F39" s="145" t="s">
        <v>265</v>
      </c>
      <c r="G39" s="26" t="s">
        <v>293</v>
      </c>
      <c r="H39" s="146">
        <v>15743853</v>
      </c>
      <c r="I39" s="147" t="s">
        <v>251</v>
      </c>
      <c r="J39" s="145" t="s">
        <v>252</v>
      </c>
      <c r="K39" s="148">
        <v>45813</v>
      </c>
      <c r="L39" s="148">
        <v>45842</v>
      </c>
      <c r="M39" s="149">
        <v>1807.87</v>
      </c>
      <c r="N39" s="147" t="s">
        <v>195</v>
      </c>
      <c r="O39" s="68" t="s">
        <v>313</v>
      </c>
    </row>
    <row r="40" spans="3:15" s="68" customFormat="1" x14ac:dyDescent="0.3">
      <c r="C40" s="26"/>
      <c r="D40" s="152"/>
      <c r="E40" s="151"/>
      <c r="F40" s="150" t="s">
        <v>265</v>
      </c>
      <c r="G40" s="26" t="s">
        <v>293</v>
      </c>
      <c r="H40" s="151">
        <v>15743853</v>
      </c>
      <c r="I40" s="152" t="s">
        <v>251</v>
      </c>
      <c r="J40" s="150" t="s">
        <v>252</v>
      </c>
      <c r="K40" s="153">
        <v>45813</v>
      </c>
      <c r="L40" s="153">
        <v>45842</v>
      </c>
      <c r="M40" s="154">
        <v>1807.87</v>
      </c>
      <c r="N40" s="152" t="s">
        <v>195</v>
      </c>
      <c r="O40" s="68" t="s">
        <v>313</v>
      </c>
    </row>
    <row r="41" spans="3:15" s="68" customFormat="1" x14ac:dyDescent="0.3">
      <c r="C41" s="26"/>
      <c r="D41" s="147"/>
      <c r="E41" s="146"/>
      <c r="F41" s="145" t="s">
        <v>265</v>
      </c>
      <c r="G41" s="26" t="s">
        <v>293</v>
      </c>
      <c r="H41" s="146">
        <v>15743853</v>
      </c>
      <c r="I41" s="147" t="s">
        <v>251</v>
      </c>
      <c r="J41" s="145" t="s">
        <v>252</v>
      </c>
      <c r="K41" s="148">
        <v>45813</v>
      </c>
      <c r="L41" s="148">
        <v>45842</v>
      </c>
      <c r="M41" s="149">
        <v>1807.87</v>
      </c>
      <c r="N41" s="147" t="s">
        <v>195</v>
      </c>
      <c r="O41" s="68" t="s">
        <v>313</v>
      </c>
    </row>
    <row r="42" spans="3:15" s="68" customFormat="1" x14ac:dyDescent="0.3">
      <c r="C42" s="26"/>
      <c r="D42" s="152"/>
      <c r="E42" s="151"/>
      <c r="F42" s="150" t="s">
        <v>265</v>
      </c>
      <c r="G42" s="26" t="s">
        <v>293</v>
      </c>
      <c r="H42" s="151">
        <v>15743853</v>
      </c>
      <c r="I42" s="152" t="s">
        <v>251</v>
      </c>
      <c r="J42" s="150" t="s">
        <v>252</v>
      </c>
      <c r="K42" s="153">
        <v>45813</v>
      </c>
      <c r="L42" s="153">
        <v>45842</v>
      </c>
      <c r="M42" s="154">
        <v>1807.87</v>
      </c>
      <c r="N42" s="152" t="s">
        <v>195</v>
      </c>
      <c r="O42" s="68" t="s">
        <v>313</v>
      </c>
    </row>
    <row r="43" spans="3:15" s="68" customFormat="1" x14ac:dyDescent="0.3">
      <c r="C43" s="26"/>
      <c r="D43" s="147"/>
      <c r="E43" s="146"/>
      <c r="F43" s="145" t="s">
        <v>265</v>
      </c>
      <c r="G43" s="26" t="s">
        <v>293</v>
      </c>
      <c r="H43" s="146">
        <v>15743853</v>
      </c>
      <c r="I43" s="147" t="s">
        <v>251</v>
      </c>
      <c r="J43" s="145" t="s">
        <v>252</v>
      </c>
      <c r="K43" s="148">
        <v>45813</v>
      </c>
      <c r="L43" s="148">
        <v>45842</v>
      </c>
      <c r="M43" s="149">
        <v>1807.87</v>
      </c>
      <c r="N43" s="147" t="s">
        <v>195</v>
      </c>
      <c r="O43" s="68" t="s">
        <v>313</v>
      </c>
    </row>
    <row r="44" spans="3:15" s="68" customFormat="1" x14ac:dyDescent="0.3">
      <c r="C44" s="26"/>
      <c r="D44" s="152"/>
      <c r="E44" s="151"/>
      <c r="F44" s="150" t="s">
        <v>265</v>
      </c>
      <c r="G44" s="26" t="s">
        <v>293</v>
      </c>
      <c r="H44" s="151">
        <v>15743853</v>
      </c>
      <c r="I44" s="152" t="s">
        <v>251</v>
      </c>
      <c r="J44" s="150" t="s">
        <v>252</v>
      </c>
      <c r="K44" s="153">
        <v>45813</v>
      </c>
      <c r="L44" s="153">
        <v>45842</v>
      </c>
      <c r="M44" s="154">
        <v>1807.87</v>
      </c>
      <c r="N44" s="152" t="s">
        <v>195</v>
      </c>
      <c r="O44" s="68" t="s">
        <v>313</v>
      </c>
    </row>
    <row r="45" spans="3:15" s="68" customFormat="1" x14ac:dyDescent="0.3">
      <c r="C45" s="26"/>
      <c r="D45" s="147"/>
      <c r="E45" s="146"/>
      <c r="F45" s="145" t="s">
        <v>265</v>
      </c>
      <c r="G45" s="26" t="s">
        <v>293</v>
      </c>
      <c r="H45" s="146">
        <v>15743853</v>
      </c>
      <c r="I45" s="147" t="s">
        <v>251</v>
      </c>
      <c r="J45" s="145" t="s">
        <v>252</v>
      </c>
      <c r="K45" s="148">
        <v>45813</v>
      </c>
      <c r="L45" s="148">
        <v>45842</v>
      </c>
      <c r="M45" s="149">
        <v>1807.87</v>
      </c>
      <c r="N45" s="147" t="s">
        <v>195</v>
      </c>
      <c r="O45" s="68" t="s">
        <v>313</v>
      </c>
    </row>
    <row r="46" spans="3:15" s="68" customFormat="1" x14ac:dyDescent="0.3">
      <c r="C46" s="26"/>
      <c r="D46" s="152"/>
      <c r="E46" s="151"/>
      <c r="F46" s="150" t="s">
        <v>265</v>
      </c>
      <c r="G46" s="26" t="s">
        <v>293</v>
      </c>
      <c r="H46" s="151">
        <v>15743853</v>
      </c>
      <c r="I46" s="152" t="s">
        <v>251</v>
      </c>
      <c r="J46" s="150" t="s">
        <v>252</v>
      </c>
      <c r="K46" s="153">
        <v>45813</v>
      </c>
      <c r="L46" s="153">
        <v>45842</v>
      </c>
      <c r="M46" s="154">
        <v>1807.87</v>
      </c>
      <c r="N46" s="152" t="s">
        <v>195</v>
      </c>
      <c r="O46" s="68" t="s">
        <v>313</v>
      </c>
    </row>
    <row r="47" spans="3:15" s="68" customFormat="1" x14ac:dyDescent="0.3">
      <c r="C47" s="26"/>
      <c r="D47" s="147"/>
      <c r="E47" s="146"/>
      <c r="F47" s="145" t="s">
        <v>265</v>
      </c>
      <c r="G47" s="26" t="s">
        <v>293</v>
      </c>
      <c r="H47" s="146">
        <v>15743853</v>
      </c>
      <c r="I47" s="147" t="s">
        <v>251</v>
      </c>
      <c r="J47" s="145" t="s">
        <v>252</v>
      </c>
      <c r="K47" s="148">
        <v>45813</v>
      </c>
      <c r="L47" s="148">
        <v>45842</v>
      </c>
      <c r="M47" s="149">
        <v>1807.87</v>
      </c>
      <c r="N47" s="147" t="s">
        <v>195</v>
      </c>
      <c r="O47" s="68" t="s">
        <v>313</v>
      </c>
    </row>
    <row r="48" spans="3:15" s="68" customFormat="1" x14ac:dyDescent="0.3">
      <c r="C48" s="26"/>
      <c r="D48" s="152"/>
      <c r="E48" s="151"/>
      <c r="F48" s="150" t="s">
        <v>265</v>
      </c>
      <c r="G48" s="26" t="s">
        <v>293</v>
      </c>
      <c r="H48" s="151">
        <v>15743853</v>
      </c>
      <c r="I48" s="152" t="s">
        <v>251</v>
      </c>
      <c r="J48" s="150" t="s">
        <v>252</v>
      </c>
      <c r="K48" s="153">
        <v>45813</v>
      </c>
      <c r="L48" s="153">
        <v>45842</v>
      </c>
      <c r="M48" s="154">
        <v>1807.87</v>
      </c>
      <c r="N48" s="152" t="s">
        <v>195</v>
      </c>
      <c r="O48" s="68" t="s">
        <v>313</v>
      </c>
    </row>
    <row r="49" spans="3:15" s="68" customFormat="1" x14ac:dyDescent="0.3">
      <c r="C49" s="26"/>
      <c r="D49" s="147"/>
      <c r="E49" s="146"/>
      <c r="F49" s="145" t="s">
        <v>265</v>
      </c>
      <c r="G49" s="26" t="s">
        <v>293</v>
      </c>
      <c r="H49" s="146">
        <v>15743853</v>
      </c>
      <c r="I49" s="147" t="s">
        <v>251</v>
      </c>
      <c r="J49" s="145" t="s">
        <v>252</v>
      </c>
      <c r="K49" s="148">
        <v>45813</v>
      </c>
      <c r="L49" s="148">
        <v>45842</v>
      </c>
      <c r="M49" s="149">
        <v>1807.87</v>
      </c>
      <c r="N49" s="147" t="s">
        <v>195</v>
      </c>
      <c r="O49" s="68" t="s">
        <v>313</v>
      </c>
    </row>
    <row r="50" spans="3:15" s="68" customFormat="1" x14ac:dyDescent="0.3">
      <c r="C50" s="26"/>
      <c r="D50" s="152"/>
      <c r="E50" s="151"/>
      <c r="F50" s="150" t="s">
        <v>265</v>
      </c>
      <c r="G50" s="26" t="s">
        <v>293</v>
      </c>
      <c r="H50" s="151">
        <v>15743853</v>
      </c>
      <c r="I50" s="152" t="s">
        <v>251</v>
      </c>
      <c r="J50" s="150" t="s">
        <v>252</v>
      </c>
      <c r="K50" s="153">
        <v>45813</v>
      </c>
      <c r="L50" s="153">
        <v>45842</v>
      </c>
      <c r="M50" s="154">
        <v>1807.87</v>
      </c>
      <c r="N50" s="152" t="s">
        <v>195</v>
      </c>
      <c r="O50" s="68" t="s">
        <v>313</v>
      </c>
    </row>
    <row r="51" spans="3:15" s="68" customFormat="1" x14ac:dyDescent="0.3">
      <c r="C51" s="26"/>
      <c r="D51" s="147"/>
      <c r="E51" s="146"/>
      <c r="F51" s="145" t="s">
        <v>265</v>
      </c>
      <c r="G51" s="26" t="s">
        <v>293</v>
      </c>
      <c r="H51" s="146">
        <v>15743853</v>
      </c>
      <c r="I51" s="147" t="s">
        <v>251</v>
      </c>
      <c r="J51" s="145" t="s">
        <v>252</v>
      </c>
      <c r="K51" s="148">
        <v>45813</v>
      </c>
      <c r="L51" s="148">
        <v>45842</v>
      </c>
      <c r="M51" s="149">
        <v>1807.87</v>
      </c>
      <c r="N51" s="147" t="s">
        <v>195</v>
      </c>
      <c r="O51" s="68" t="s">
        <v>313</v>
      </c>
    </row>
    <row r="52" spans="3:15" s="68" customFormat="1" x14ac:dyDescent="0.3">
      <c r="C52" s="26"/>
      <c r="D52" s="152"/>
      <c r="E52" s="151"/>
      <c r="F52" s="150" t="s">
        <v>265</v>
      </c>
      <c r="G52" s="26" t="s">
        <v>293</v>
      </c>
      <c r="H52" s="151">
        <v>15743853</v>
      </c>
      <c r="I52" s="152" t="s">
        <v>251</v>
      </c>
      <c r="J52" s="150" t="s">
        <v>252</v>
      </c>
      <c r="K52" s="153">
        <v>45813</v>
      </c>
      <c r="L52" s="153">
        <v>45842</v>
      </c>
      <c r="M52" s="154">
        <v>1807.87</v>
      </c>
      <c r="N52" s="152" t="s">
        <v>195</v>
      </c>
      <c r="O52" s="68" t="s">
        <v>313</v>
      </c>
    </row>
    <row r="53" spans="3:15" s="68" customFormat="1" x14ac:dyDescent="0.3">
      <c r="C53" s="26"/>
      <c r="D53" s="147"/>
      <c r="E53" s="146"/>
      <c r="F53" s="145" t="s">
        <v>265</v>
      </c>
      <c r="G53" s="26" t="s">
        <v>293</v>
      </c>
      <c r="H53" s="146">
        <v>15743853</v>
      </c>
      <c r="I53" s="147" t="s">
        <v>251</v>
      </c>
      <c r="J53" s="145" t="s">
        <v>252</v>
      </c>
      <c r="K53" s="148">
        <v>45813</v>
      </c>
      <c r="L53" s="148">
        <v>45842</v>
      </c>
      <c r="M53" s="149">
        <v>1807.87</v>
      </c>
      <c r="N53" s="147" t="s">
        <v>195</v>
      </c>
      <c r="O53" s="68" t="s">
        <v>313</v>
      </c>
    </row>
    <row r="54" spans="3:15" s="68" customFormat="1" x14ac:dyDescent="0.3">
      <c r="C54" s="26"/>
      <c r="D54" s="152"/>
      <c r="E54" s="151"/>
      <c r="F54" s="150" t="s">
        <v>265</v>
      </c>
      <c r="G54" s="26" t="s">
        <v>293</v>
      </c>
      <c r="H54" s="151">
        <v>15743853</v>
      </c>
      <c r="I54" s="152" t="s">
        <v>251</v>
      </c>
      <c r="J54" s="150" t="s">
        <v>252</v>
      </c>
      <c r="K54" s="153">
        <v>45813</v>
      </c>
      <c r="L54" s="153">
        <v>45842</v>
      </c>
      <c r="M54" s="154">
        <v>1807.87</v>
      </c>
      <c r="N54" s="152" t="s">
        <v>195</v>
      </c>
      <c r="O54" s="68" t="s">
        <v>313</v>
      </c>
    </row>
    <row r="55" spans="3:15" s="68" customFormat="1" x14ac:dyDescent="0.3">
      <c r="C55" s="26"/>
      <c r="D55" s="147"/>
      <c r="E55" s="146"/>
      <c r="F55" s="145" t="s">
        <v>265</v>
      </c>
      <c r="G55" s="26" t="s">
        <v>293</v>
      </c>
      <c r="H55" s="146">
        <v>15743853</v>
      </c>
      <c r="I55" s="147" t="s">
        <v>251</v>
      </c>
      <c r="J55" s="145" t="s">
        <v>252</v>
      </c>
      <c r="K55" s="148">
        <v>45813</v>
      </c>
      <c r="L55" s="148">
        <v>45842</v>
      </c>
      <c r="M55" s="149">
        <v>1807.87</v>
      </c>
      <c r="N55" s="147" t="s">
        <v>195</v>
      </c>
      <c r="O55" s="68" t="s">
        <v>313</v>
      </c>
    </row>
    <row r="56" spans="3:15" s="68" customFormat="1" x14ac:dyDescent="0.3">
      <c r="C56" s="26"/>
      <c r="D56" s="152"/>
      <c r="E56" s="151"/>
      <c r="F56" s="150" t="s">
        <v>265</v>
      </c>
      <c r="G56" s="26" t="s">
        <v>293</v>
      </c>
      <c r="H56" s="151">
        <v>15743853</v>
      </c>
      <c r="I56" s="152" t="s">
        <v>251</v>
      </c>
      <c r="J56" s="150" t="s">
        <v>252</v>
      </c>
      <c r="K56" s="153">
        <v>45813</v>
      </c>
      <c r="L56" s="153">
        <v>45842</v>
      </c>
      <c r="M56" s="154">
        <v>1807.87</v>
      </c>
      <c r="N56" s="152" t="s">
        <v>195</v>
      </c>
      <c r="O56" s="68" t="s">
        <v>313</v>
      </c>
    </row>
    <row r="57" spans="3:15" s="68" customFormat="1" x14ac:dyDescent="0.3">
      <c r="C57" s="26"/>
      <c r="D57" s="147"/>
      <c r="E57" s="146"/>
      <c r="F57" s="145" t="s">
        <v>265</v>
      </c>
      <c r="G57" s="26" t="s">
        <v>293</v>
      </c>
      <c r="H57" s="146">
        <v>15743853</v>
      </c>
      <c r="I57" s="147" t="s">
        <v>251</v>
      </c>
      <c r="J57" s="145" t="s">
        <v>252</v>
      </c>
      <c r="K57" s="148">
        <v>45813</v>
      </c>
      <c r="L57" s="148">
        <v>45842</v>
      </c>
      <c r="M57" s="149">
        <v>1807.87</v>
      </c>
      <c r="N57" s="147" t="s">
        <v>195</v>
      </c>
      <c r="O57" s="68" t="s">
        <v>313</v>
      </c>
    </row>
    <row r="58" spans="3:15" x14ac:dyDescent="0.3">
      <c r="C58" s="23"/>
      <c r="D58" s="137"/>
      <c r="E58" s="138"/>
      <c r="F58" s="157" t="s">
        <v>248</v>
      </c>
      <c r="G58" s="24" t="s">
        <v>286</v>
      </c>
      <c r="H58" s="158">
        <v>9059440</v>
      </c>
      <c r="I58" s="159" t="s">
        <v>251</v>
      </c>
      <c r="J58" s="157" t="s">
        <v>252</v>
      </c>
      <c r="K58" s="160">
        <v>45818</v>
      </c>
      <c r="L58" s="160">
        <v>49470</v>
      </c>
      <c r="M58" s="161">
        <v>367.08</v>
      </c>
      <c r="N58" s="161">
        <v>411.22</v>
      </c>
      <c r="O58" s="171" t="s">
        <v>323</v>
      </c>
    </row>
    <row r="59" spans="3:15" x14ac:dyDescent="0.3">
      <c r="C59" s="23"/>
      <c r="D59" s="141"/>
      <c r="E59" s="142"/>
      <c r="F59" s="157" t="s">
        <v>259</v>
      </c>
      <c r="G59" s="24" t="s">
        <v>286</v>
      </c>
      <c r="H59" s="158">
        <v>54010552</v>
      </c>
      <c r="I59" s="159" t="s">
        <v>251</v>
      </c>
      <c r="J59" s="157" t="s">
        <v>252</v>
      </c>
      <c r="K59" s="160">
        <v>45818</v>
      </c>
      <c r="L59" s="160">
        <v>49470</v>
      </c>
      <c r="M59" s="161">
        <v>303.24</v>
      </c>
      <c r="N59" s="161">
        <v>339.76</v>
      </c>
      <c r="O59" s="171" t="s">
        <v>323</v>
      </c>
    </row>
    <row r="60" spans="3:15" x14ac:dyDescent="0.3">
      <c r="C60" s="23"/>
      <c r="D60" s="137"/>
      <c r="E60" s="138"/>
      <c r="F60" s="157" t="s">
        <v>253</v>
      </c>
      <c r="G60" s="24" t="s">
        <v>286</v>
      </c>
      <c r="H60" s="158">
        <v>1895930</v>
      </c>
      <c r="I60" s="159" t="s">
        <v>251</v>
      </c>
      <c r="J60" s="157" t="s">
        <v>252</v>
      </c>
      <c r="K60" s="160">
        <v>45818</v>
      </c>
      <c r="L60" s="160">
        <v>49470</v>
      </c>
      <c r="M60" s="161">
        <v>845.88</v>
      </c>
      <c r="N60" s="161">
        <v>947.82</v>
      </c>
      <c r="O60" s="171" t="s">
        <v>323</v>
      </c>
    </row>
    <row r="61" spans="3:15" x14ac:dyDescent="0.3">
      <c r="C61" s="23"/>
      <c r="D61" s="141"/>
      <c r="E61" s="142"/>
      <c r="F61" s="157" t="s">
        <v>267</v>
      </c>
      <c r="G61" s="24" t="s">
        <v>286</v>
      </c>
      <c r="H61" s="158">
        <v>24693737</v>
      </c>
      <c r="I61" s="159" t="s">
        <v>251</v>
      </c>
      <c r="J61" s="157" t="s">
        <v>252</v>
      </c>
      <c r="K61" s="160">
        <v>45818</v>
      </c>
      <c r="L61" s="160">
        <v>49470</v>
      </c>
      <c r="M61" s="161">
        <v>143.63999999999999</v>
      </c>
      <c r="N61" s="161">
        <v>160.79</v>
      </c>
      <c r="O61" s="171" t="s">
        <v>323</v>
      </c>
    </row>
    <row r="62" spans="3:15" x14ac:dyDescent="0.3">
      <c r="C62" s="23"/>
      <c r="D62" s="137"/>
      <c r="E62" s="138"/>
      <c r="F62" s="157" t="s">
        <v>255</v>
      </c>
      <c r="G62" s="24" t="s">
        <v>286</v>
      </c>
      <c r="H62" s="158">
        <v>52953672</v>
      </c>
      <c r="I62" s="159" t="s">
        <v>251</v>
      </c>
      <c r="J62" s="157" t="s">
        <v>252</v>
      </c>
      <c r="K62" s="160">
        <v>45818</v>
      </c>
      <c r="L62" s="160">
        <v>49470</v>
      </c>
      <c r="M62" s="161">
        <v>462.84</v>
      </c>
      <c r="N62" s="161">
        <v>518.41999999999996</v>
      </c>
      <c r="O62" s="171" t="s">
        <v>323</v>
      </c>
    </row>
    <row r="63" spans="3:15" x14ac:dyDescent="0.3">
      <c r="C63" s="23"/>
      <c r="D63" s="141"/>
      <c r="E63" s="142"/>
      <c r="F63" s="157" t="s">
        <v>263</v>
      </c>
      <c r="G63" s="24" t="s">
        <v>286</v>
      </c>
      <c r="H63" s="158">
        <v>50980245</v>
      </c>
      <c r="I63" s="159" t="s">
        <v>251</v>
      </c>
      <c r="J63" s="157" t="s">
        <v>252</v>
      </c>
      <c r="K63" s="160">
        <v>45818</v>
      </c>
      <c r="L63" s="160">
        <v>49470</v>
      </c>
      <c r="M63" s="161">
        <v>95.76</v>
      </c>
      <c r="N63" s="161">
        <v>107.19</v>
      </c>
      <c r="O63" s="171" t="s">
        <v>323</v>
      </c>
    </row>
    <row r="64" spans="3:15" x14ac:dyDescent="0.3">
      <c r="C64" s="23"/>
      <c r="D64" s="137"/>
      <c r="E64" s="138"/>
      <c r="F64" s="157" t="s">
        <v>257</v>
      </c>
      <c r="G64" s="24" t="s">
        <v>286</v>
      </c>
      <c r="H64" s="158">
        <v>92469277</v>
      </c>
      <c r="I64" s="159" t="s">
        <v>251</v>
      </c>
      <c r="J64" s="157" t="s">
        <v>252</v>
      </c>
      <c r="K64" s="160">
        <v>45818</v>
      </c>
      <c r="L64" s="160">
        <v>49470</v>
      </c>
      <c r="M64" s="161">
        <v>957.6</v>
      </c>
      <c r="N64" s="163">
        <v>1072.8900000000001</v>
      </c>
      <c r="O64" s="171" t="s">
        <v>323</v>
      </c>
    </row>
    <row r="65" spans="3:15" x14ac:dyDescent="0.3">
      <c r="C65" s="23"/>
      <c r="D65" s="141"/>
      <c r="E65" s="142"/>
      <c r="F65" s="157" t="s">
        <v>265</v>
      </c>
      <c r="G65" s="24" t="s">
        <v>286</v>
      </c>
      <c r="H65" s="158">
        <v>10662166</v>
      </c>
      <c r="I65" s="159" t="s">
        <v>251</v>
      </c>
      <c r="J65" s="157" t="s">
        <v>252</v>
      </c>
      <c r="K65" s="160">
        <v>45818</v>
      </c>
      <c r="L65" s="160">
        <v>49470</v>
      </c>
      <c r="M65" s="161">
        <v>63.84</v>
      </c>
      <c r="N65" s="161">
        <v>71.459999999999994</v>
      </c>
      <c r="O65" s="171" t="s">
        <v>323</v>
      </c>
    </row>
    <row r="66" spans="3:15" x14ac:dyDescent="0.3">
      <c r="C66" s="23"/>
      <c r="D66" s="137"/>
      <c r="E66" s="138"/>
      <c r="F66" s="157" t="s">
        <v>261</v>
      </c>
      <c r="G66" s="24" t="s">
        <v>286</v>
      </c>
      <c r="H66" s="158">
        <v>31028391</v>
      </c>
      <c r="I66" s="159" t="s">
        <v>251</v>
      </c>
      <c r="J66" s="157" t="s">
        <v>252</v>
      </c>
      <c r="K66" s="160">
        <v>45818</v>
      </c>
      <c r="L66" s="160">
        <v>49470</v>
      </c>
      <c r="M66" s="161">
        <v>223.44</v>
      </c>
      <c r="N66" s="161">
        <v>250.12</v>
      </c>
      <c r="O66" s="171" t="s">
        <v>323</v>
      </c>
    </row>
    <row r="67" spans="3:15" x14ac:dyDescent="0.3">
      <c r="C67" s="23"/>
      <c r="D67" s="141"/>
      <c r="E67" s="142"/>
      <c r="F67" s="164" t="s">
        <v>294</v>
      </c>
      <c r="G67" s="165" t="s">
        <v>295</v>
      </c>
      <c r="H67" s="166">
        <v>156154725</v>
      </c>
      <c r="I67" s="167" t="s">
        <v>251</v>
      </c>
      <c r="J67" s="164" t="s">
        <v>252</v>
      </c>
      <c r="K67" s="168">
        <v>45820</v>
      </c>
      <c r="L67" s="168">
        <v>45849</v>
      </c>
      <c r="M67" s="169">
        <v>187.42</v>
      </c>
      <c r="N67" s="169">
        <v>192.98</v>
      </c>
    </row>
    <row r="68" spans="3:15" x14ac:dyDescent="0.3">
      <c r="C68" s="23"/>
      <c r="D68" s="137"/>
      <c r="E68" s="138"/>
      <c r="F68" s="164" t="s">
        <v>294</v>
      </c>
      <c r="G68" s="165" t="s">
        <v>295</v>
      </c>
      <c r="H68" s="166">
        <v>216178215</v>
      </c>
      <c r="I68" s="167" t="s">
        <v>251</v>
      </c>
      <c r="J68" s="164" t="s">
        <v>252</v>
      </c>
      <c r="K68" s="168">
        <v>45821</v>
      </c>
      <c r="L68" s="168">
        <v>45850</v>
      </c>
      <c r="M68" s="170">
        <v>4375.75</v>
      </c>
      <c r="N68" s="170">
        <v>4504.1000000000004</v>
      </c>
    </row>
    <row r="69" spans="3:15" x14ac:dyDescent="0.3">
      <c r="C69" s="23"/>
      <c r="D69" s="141"/>
      <c r="E69" s="142"/>
      <c r="F69" s="164" t="s">
        <v>294</v>
      </c>
      <c r="G69" s="165" t="s">
        <v>295</v>
      </c>
      <c r="H69" s="166">
        <v>216262998</v>
      </c>
      <c r="I69" s="167" t="s">
        <v>251</v>
      </c>
      <c r="J69" s="164" t="s">
        <v>252</v>
      </c>
      <c r="K69" s="168">
        <v>45824</v>
      </c>
      <c r="L69" s="168">
        <v>45853</v>
      </c>
      <c r="M69" s="170">
        <v>4831.96</v>
      </c>
      <c r="N69" s="170">
        <v>4968.8599999999997</v>
      </c>
    </row>
    <row r="70" spans="3:15" x14ac:dyDescent="0.3">
      <c r="C70" s="23"/>
      <c r="D70" s="137"/>
      <c r="E70" s="138"/>
      <c r="F70" s="164" t="s">
        <v>294</v>
      </c>
      <c r="G70" s="165" t="s">
        <v>295</v>
      </c>
      <c r="H70" s="166">
        <v>216262998</v>
      </c>
      <c r="I70" s="167" t="s">
        <v>251</v>
      </c>
      <c r="J70" s="164" t="s">
        <v>252</v>
      </c>
      <c r="K70" s="168">
        <v>45825</v>
      </c>
      <c r="L70" s="168">
        <v>45854</v>
      </c>
      <c r="M70" s="170">
        <v>4831.96</v>
      </c>
      <c r="N70" s="170">
        <v>4967.25</v>
      </c>
    </row>
    <row r="71" spans="3:15" x14ac:dyDescent="0.3">
      <c r="C71" s="23"/>
      <c r="D71" s="141"/>
      <c r="E71" s="142"/>
      <c r="F71" s="164" t="s">
        <v>294</v>
      </c>
      <c r="G71" s="165" t="s">
        <v>295</v>
      </c>
      <c r="H71" s="166">
        <v>46445801</v>
      </c>
      <c r="I71" s="167" t="s">
        <v>251</v>
      </c>
      <c r="J71" s="164" t="s">
        <v>252</v>
      </c>
      <c r="K71" s="168">
        <v>45826</v>
      </c>
      <c r="L71" s="168">
        <v>45855</v>
      </c>
      <c r="M71" s="170">
        <v>4691.8100000000004</v>
      </c>
      <c r="N71" s="170">
        <v>4691.8100000000004</v>
      </c>
    </row>
    <row r="72" spans="3:15" s="68" customFormat="1" x14ac:dyDescent="0.3">
      <c r="C72" s="26"/>
      <c r="D72" s="152"/>
      <c r="E72" s="151"/>
      <c r="F72" s="150" t="s">
        <v>43</v>
      </c>
      <c r="G72" s="26" t="s">
        <v>287</v>
      </c>
      <c r="H72" s="151">
        <v>40506</v>
      </c>
      <c r="I72" s="152" t="s">
        <v>251</v>
      </c>
      <c r="J72" s="150" t="s">
        <v>252</v>
      </c>
      <c r="K72" s="153">
        <v>45828</v>
      </c>
      <c r="L72" s="153">
        <v>49467</v>
      </c>
      <c r="M72" s="155">
        <v>45</v>
      </c>
      <c r="N72" s="155">
        <v>46.11</v>
      </c>
    </row>
    <row r="73" spans="3:15" s="68" customFormat="1" x14ac:dyDescent="0.3">
      <c r="C73" s="26"/>
      <c r="D73" s="147"/>
      <c r="E73" s="146"/>
      <c r="F73" s="145" t="s">
        <v>267</v>
      </c>
      <c r="G73" s="26" t="s">
        <v>288</v>
      </c>
      <c r="H73" s="146">
        <v>30271315</v>
      </c>
      <c r="I73" s="147" t="s">
        <v>251</v>
      </c>
      <c r="J73" s="145" t="s">
        <v>252</v>
      </c>
      <c r="K73" s="148">
        <v>45828</v>
      </c>
      <c r="L73" s="148">
        <v>45888</v>
      </c>
      <c r="M73" s="156">
        <v>89</v>
      </c>
      <c r="N73" s="156">
        <v>90.78</v>
      </c>
    </row>
    <row r="74" spans="3:15" x14ac:dyDescent="0.3">
      <c r="C74" s="23"/>
      <c r="D74" s="137"/>
      <c r="E74" s="138"/>
      <c r="F74" s="157" t="s">
        <v>248</v>
      </c>
      <c r="G74" s="24" t="s">
        <v>249</v>
      </c>
      <c r="H74" s="158" t="s">
        <v>250</v>
      </c>
      <c r="I74" s="159" t="s">
        <v>251</v>
      </c>
      <c r="J74" s="157" t="s">
        <v>252</v>
      </c>
      <c r="K74" s="160">
        <v>45828</v>
      </c>
      <c r="L74" s="160">
        <v>46007</v>
      </c>
      <c r="M74" s="161">
        <v>201.18</v>
      </c>
      <c r="N74" s="161">
        <v>219.26</v>
      </c>
      <c r="O74" t="s">
        <v>311</v>
      </c>
    </row>
    <row r="75" spans="3:15" x14ac:dyDescent="0.3">
      <c r="C75" s="23"/>
      <c r="D75" s="141"/>
      <c r="E75" s="142"/>
      <c r="F75" s="157" t="s">
        <v>253</v>
      </c>
      <c r="G75" s="24" t="s">
        <v>249</v>
      </c>
      <c r="H75" s="158" t="s">
        <v>254</v>
      </c>
      <c r="I75" s="159" t="s">
        <v>251</v>
      </c>
      <c r="J75" s="157" t="s">
        <v>252</v>
      </c>
      <c r="K75" s="160">
        <v>45828</v>
      </c>
      <c r="L75" s="160">
        <v>46007</v>
      </c>
      <c r="M75" s="161">
        <v>643.38</v>
      </c>
      <c r="N75" s="161">
        <v>701.23</v>
      </c>
      <c r="O75" t="s">
        <v>311</v>
      </c>
    </row>
    <row r="76" spans="3:15" x14ac:dyDescent="0.3">
      <c r="C76" s="23"/>
      <c r="D76" s="137"/>
      <c r="E76" s="138"/>
      <c r="F76" s="157" t="s">
        <v>255</v>
      </c>
      <c r="G76" s="24" t="s">
        <v>249</v>
      </c>
      <c r="H76" s="158" t="s">
        <v>256</v>
      </c>
      <c r="I76" s="159" t="s">
        <v>251</v>
      </c>
      <c r="J76" s="157" t="s">
        <v>252</v>
      </c>
      <c r="K76" s="160">
        <v>45828</v>
      </c>
      <c r="L76" s="160">
        <v>46007</v>
      </c>
      <c r="M76" s="161">
        <v>222.57</v>
      </c>
      <c r="N76" s="161">
        <v>242.58</v>
      </c>
      <c r="O76" t="s">
        <v>311</v>
      </c>
    </row>
    <row r="77" spans="3:15" x14ac:dyDescent="0.3">
      <c r="C77" s="23"/>
      <c r="D77" s="141"/>
      <c r="E77" s="142"/>
      <c r="F77" s="157" t="s">
        <v>257</v>
      </c>
      <c r="G77" s="24" t="s">
        <v>249</v>
      </c>
      <c r="H77" s="158" t="s">
        <v>258</v>
      </c>
      <c r="I77" s="159" t="s">
        <v>251</v>
      </c>
      <c r="J77" s="157" t="s">
        <v>252</v>
      </c>
      <c r="K77" s="160">
        <v>45828</v>
      </c>
      <c r="L77" s="160">
        <v>46007</v>
      </c>
      <c r="M77" s="161">
        <v>769.26</v>
      </c>
      <c r="N77" s="161">
        <v>838.43</v>
      </c>
      <c r="O77" t="s">
        <v>311</v>
      </c>
    </row>
    <row r="78" spans="3:15" x14ac:dyDescent="0.3">
      <c r="C78" s="23"/>
      <c r="D78" s="137"/>
      <c r="E78" s="138"/>
      <c r="F78" s="157" t="s">
        <v>259</v>
      </c>
      <c r="G78" s="24" t="s">
        <v>249</v>
      </c>
      <c r="H78" s="158" t="s">
        <v>260</v>
      </c>
      <c r="I78" s="159" t="s">
        <v>251</v>
      </c>
      <c r="J78" s="157" t="s">
        <v>252</v>
      </c>
      <c r="K78" s="160">
        <v>45828</v>
      </c>
      <c r="L78" s="160">
        <v>46007</v>
      </c>
      <c r="M78" s="161">
        <v>659.5</v>
      </c>
      <c r="N78" s="161">
        <v>718.8</v>
      </c>
      <c r="O78" t="s">
        <v>311</v>
      </c>
    </row>
    <row r="79" spans="3:15" x14ac:dyDescent="0.3">
      <c r="C79" s="23"/>
      <c r="D79" s="141"/>
      <c r="E79" s="142"/>
      <c r="F79" s="157" t="s">
        <v>259</v>
      </c>
      <c r="G79" s="24" t="s">
        <v>249</v>
      </c>
      <c r="H79" s="158" t="s">
        <v>260</v>
      </c>
      <c r="I79" s="159" t="s">
        <v>251</v>
      </c>
      <c r="J79" s="157" t="s">
        <v>252</v>
      </c>
      <c r="K79" s="160">
        <v>45828</v>
      </c>
      <c r="L79" s="160">
        <v>46007</v>
      </c>
      <c r="M79" s="161">
        <v>659.5</v>
      </c>
      <c r="N79" s="161">
        <v>718.8</v>
      </c>
      <c r="O79" t="s">
        <v>311</v>
      </c>
    </row>
    <row r="80" spans="3:15" x14ac:dyDescent="0.3">
      <c r="C80" s="23"/>
      <c r="D80" s="137"/>
      <c r="E80" s="138"/>
      <c r="F80" s="157" t="s">
        <v>261</v>
      </c>
      <c r="G80" s="24" t="s">
        <v>249</v>
      </c>
      <c r="H80" s="158" t="s">
        <v>262</v>
      </c>
      <c r="I80" s="159" t="s">
        <v>251</v>
      </c>
      <c r="J80" s="157" t="s">
        <v>252</v>
      </c>
      <c r="K80" s="160">
        <v>45828</v>
      </c>
      <c r="L80" s="160">
        <v>46007</v>
      </c>
      <c r="M80" s="161">
        <v>365</v>
      </c>
      <c r="N80" s="161">
        <v>397.82</v>
      </c>
      <c r="O80" t="s">
        <v>311</v>
      </c>
    </row>
    <row r="81" spans="3:15" x14ac:dyDescent="0.3">
      <c r="C81" s="23"/>
      <c r="D81" s="141"/>
      <c r="E81" s="142"/>
      <c r="F81" s="157" t="s">
        <v>263</v>
      </c>
      <c r="G81" s="24" t="s">
        <v>249</v>
      </c>
      <c r="H81" s="158" t="s">
        <v>264</v>
      </c>
      <c r="I81" s="159" t="s">
        <v>251</v>
      </c>
      <c r="J81" s="157" t="s">
        <v>252</v>
      </c>
      <c r="K81" s="160">
        <v>45828</v>
      </c>
      <c r="L81" s="160">
        <v>46007</v>
      </c>
      <c r="M81" s="161">
        <v>410</v>
      </c>
      <c r="N81" s="161">
        <v>446.87</v>
      </c>
      <c r="O81" t="s">
        <v>311</v>
      </c>
    </row>
    <row r="82" spans="3:15" x14ac:dyDescent="0.3">
      <c r="C82" s="23"/>
      <c r="D82" s="137"/>
      <c r="E82" s="138"/>
      <c r="F82" s="157" t="s">
        <v>265</v>
      </c>
      <c r="G82" s="24" t="s">
        <v>249</v>
      </c>
      <c r="H82" s="158" t="s">
        <v>266</v>
      </c>
      <c r="I82" s="159" t="s">
        <v>251</v>
      </c>
      <c r="J82" s="157" t="s">
        <v>252</v>
      </c>
      <c r="K82" s="160">
        <v>45828</v>
      </c>
      <c r="L82" s="160">
        <v>46007</v>
      </c>
      <c r="M82" s="161">
        <v>455</v>
      </c>
      <c r="N82" s="161">
        <v>495.91</v>
      </c>
      <c r="O82" t="s">
        <v>311</v>
      </c>
    </row>
    <row r="83" spans="3:15" x14ac:dyDescent="0.3">
      <c r="C83" s="23"/>
      <c r="D83" s="141"/>
      <c r="E83" s="142"/>
      <c r="F83" s="157" t="s">
        <v>267</v>
      </c>
      <c r="G83" s="24" t="s">
        <v>249</v>
      </c>
      <c r="H83" s="158" t="s">
        <v>268</v>
      </c>
      <c r="I83" s="159" t="s">
        <v>251</v>
      </c>
      <c r="J83" s="157" t="s">
        <v>252</v>
      </c>
      <c r="K83" s="160">
        <v>45828</v>
      </c>
      <c r="L83" s="160">
        <v>46007</v>
      </c>
      <c r="M83" s="161">
        <v>42.79</v>
      </c>
      <c r="N83" s="161">
        <v>46.63</v>
      </c>
      <c r="O83" t="s">
        <v>311</v>
      </c>
    </row>
    <row r="84" spans="3:15" s="68" customFormat="1" x14ac:dyDescent="0.3">
      <c r="C84" s="26"/>
      <c r="D84" s="152"/>
      <c r="E84" s="151"/>
      <c r="F84" s="150" t="s">
        <v>257</v>
      </c>
      <c r="G84" s="26" t="s">
        <v>296</v>
      </c>
      <c r="H84" s="151">
        <v>62892144</v>
      </c>
      <c r="I84" s="152" t="s">
        <v>251</v>
      </c>
      <c r="J84" s="150" t="s">
        <v>252</v>
      </c>
      <c r="K84" s="153">
        <v>45834</v>
      </c>
      <c r="L84" s="153">
        <v>45863</v>
      </c>
      <c r="M84" s="155">
        <v>459</v>
      </c>
      <c r="N84" s="155">
        <v>459</v>
      </c>
      <c r="O84" s="68" t="s">
        <v>312</v>
      </c>
    </row>
    <row r="85" spans="3:15" s="68" customFormat="1" x14ac:dyDescent="0.3">
      <c r="C85" s="26"/>
      <c r="D85" s="147"/>
      <c r="E85" s="146"/>
      <c r="F85" s="145" t="s">
        <v>297</v>
      </c>
      <c r="G85" s="26" t="s">
        <v>296</v>
      </c>
      <c r="H85" s="146">
        <v>63295650</v>
      </c>
      <c r="I85" s="147" t="s">
        <v>251</v>
      </c>
      <c r="J85" s="145" t="s">
        <v>252</v>
      </c>
      <c r="K85" s="148">
        <v>45834</v>
      </c>
      <c r="L85" s="148">
        <v>45863</v>
      </c>
      <c r="M85" s="156">
        <v>459</v>
      </c>
      <c r="N85" s="156">
        <v>459</v>
      </c>
      <c r="O85" s="68" t="s">
        <v>312</v>
      </c>
    </row>
    <row r="86" spans="3:15" s="68" customFormat="1" x14ac:dyDescent="0.3">
      <c r="C86" s="26"/>
      <c r="D86" s="152"/>
      <c r="E86" s="151"/>
      <c r="F86" s="150" t="s">
        <v>253</v>
      </c>
      <c r="G86" s="26" t="s">
        <v>298</v>
      </c>
      <c r="H86" s="151">
        <v>377581</v>
      </c>
      <c r="I86" s="152" t="s">
        <v>251</v>
      </c>
      <c r="J86" s="150" t="s">
        <v>252</v>
      </c>
      <c r="K86" s="153">
        <v>45835</v>
      </c>
      <c r="L86" s="153">
        <v>45865</v>
      </c>
      <c r="M86" s="154">
        <v>1729.66</v>
      </c>
      <c r="N86" s="154">
        <v>1729.66</v>
      </c>
    </row>
    <row r="87" spans="3:15" s="68" customFormat="1" x14ac:dyDescent="0.3">
      <c r="C87" s="26"/>
      <c r="D87" s="147"/>
      <c r="E87" s="146"/>
      <c r="F87" s="145" t="s">
        <v>255</v>
      </c>
      <c r="G87" s="26" t="s">
        <v>298</v>
      </c>
      <c r="H87" s="146">
        <v>377579</v>
      </c>
      <c r="I87" s="147" t="s">
        <v>251</v>
      </c>
      <c r="J87" s="145" t="s">
        <v>252</v>
      </c>
      <c r="K87" s="148">
        <v>45835</v>
      </c>
      <c r="L87" s="148">
        <v>45865</v>
      </c>
      <c r="M87" s="149">
        <v>1061.3800000000001</v>
      </c>
      <c r="N87" s="149">
        <v>1061.3800000000001</v>
      </c>
    </row>
    <row r="88" spans="3:15" s="68" customFormat="1" x14ac:dyDescent="0.3">
      <c r="C88" s="26"/>
      <c r="D88" s="152"/>
      <c r="E88" s="151"/>
      <c r="F88" s="150" t="s">
        <v>257</v>
      </c>
      <c r="G88" s="26" t="s">
        <v>298</v>
      </c>
      <c r="H88" s="151">
        <v>377580</v>
      </c>
      <c r="I88" s="152" t="s">
        <v>251</v>
      </c>
      <c r="J88" s="150" t="s">
        <v>252</v>
      </c>
      <c r="K88" s="153">
        <v>45835</v>
      </c>
      <c r="L88" s="153">
        <v>45865</v>
      </c>
      <c r="M88" s="154">
        <v>2319.3200000000002</v>
      </c>
      <c r="N88" s="154">
        <v>2319.3200000000002</v>
      </c>
    </row>
    <row r="89" spans="3:15" s="68" customFormat="1" x14ac:dyDescent="0.3">
      <c r="C89" s="26"/>
      <c r="D89" s="147"/>
      <c r="E89" s="146"/>
      <c r="F89" s="145" t="s">
        <v>248</v>
      </c>
      <c r="G89" s="26" t="s">
        <v>298</v>
      </c>
      <c r="H89" s="146">
        <v>377685</v>
      </c>
      <c r="I89" s="147" t="s">
        <v>251</v>
      </c>
      <c r="J89" s="145" t="s">
        <v>252</v>
      </c>
      <c r="K89" s="148">
        <v>45835</v>
      </c>
      <c r="L89" s="148">
        <v>45865</v>
      </c>
      <c r="M89" s="156">
        <v>786.92</v>
      </c>
      <c r="N89" s="156">
        <v>786.92</v>
      </c>
    </row>
    <row r="90" spans="3:15" s="68" customFormat="1" x14ac:dyDescent="0.3">
      <c r="C90" s="26"/>
      <c r="D90" s="152"/>
      <c r="E90" s="151"/>
      <c r="F90" s="150" t="s">
        <v>261</v>
      </c>
      <c r="G90" s="26" t="s">
        <v>298</v>
      </c>
      <c r="H90" s="151">
        <v>377675</v>
      </c>
      <c r="I90" s="152" t="s">
        <v>251</v>
      </c>
      <c r="J90" s="150" t="s">
        <v>252</v>
      </c>
      <c r="K90" s="153">
        <v>45835</v>
      </c>
      <c r="L90" s="153">
        <v>45865</v>
      </c>
      <c r="M90" s="155">
        <v>791.16</v>
      </c>
      <c r="N90" s="155">
        <v>791.16</v>
      </c>
    </row>
    <row r="91" spans="3:15" s="68" customFormat="1" x14ac:dyDescent="0.3">
      <c r="C91" s="26"/>
      <c r="D91" s="147"/>
      <c r="E91" s="146"/>
      <c r="F91" s="145" t="s">
        <v>259</v>
      </c>
      <c r="G91" s="26" t="s">
        <v>298</v>
      </c>
      <c r="H91" s="146">
        <v>377672</v>
      </c>
      <c r="I91" s="147" t="s">
        <v>251</v>
      </c>
      <c r="J91" s="145" t="s">
        <v>252</v>
      </c>
      <c r="K91" s="148">
        <v>45835</v>
      </c>
      <c r="L91" s="148">
        <v>45865</v>
      </c>
      <c r="M91" s="156">
        <v>590.19000000000005</v>
      </c>
      <c r="N91" s="156">
        <v>590.19000000000005</v>
      </c>
    </row>
    <row r="92" spans="3:15" s="68" customFormat="1" x14ac:dyDescent="0.3">
      <c r="C92" s="26"/>
      <c r="D92" s="152"/>
      <c r="E92" s="151"/>
      <c r="F92" s="150" t="s">
        <v>263</v>
      </c>
      <c r="G92" s="26" t="s">
        <v>298</v>
      </c>
      <c r="H92" s="151">
        <v>377681</v>
      </c>
      <c r="I92" s="152" t="s">
        <v>251</v>
      </c>
      <c r="J92" s="150" t="s">
        <v>252</v>
      </c>
      <c r="K92" s="153">
        <v>45835</v>
      </c>
      <c r="L92" s="153">
        <v>45865</v>
      </c>
      <c r="M92" s="155">
        <v>629.54</v>
      </c>
      <c r="N92" s="155">
        <v>629.54</v>
      </c>
    </row>
    <row r="93" spans="3:15" s="68" customFormat="1" x14ac:dyDescent="0.3">
      <c r="C93" s="26"/>
      <c r="D93" s="147"/>
      <c r="E93" s="146"/>
      <c r="F93" s="145" t="s">
        <v>265</v>
      </c>
      <c r="G93" s="26" t="s">
        <v>298</v>
      </c>
      <c r="H93" s="146">
        <v>377678</v>
      </c>
      <c r="I93" s="147" t="s">
        <v>251</v>
      </c>
      <c r="J93" s="145" t="s">
        <v>252</v>
      </c>
      <c r="K93" s="148">
        <v>45835</v>
      </c>
      <c r="L93" s="148">
        <v>45865</v>
      </c>
      <c r="M93" s="156">
        <v>157.38</v>
      </c>
      <c r="N93" s="156">
        <v>157.38</v>
      </c>
    </row>
    <row r="94" spans="3:15" x14ac:dyDescent="0.3">
      <c r="C94" s="23"/>
      <c r="D94" s="137"/>
      <c r="E94" s="138"/>
      <c r="F94" s="164" t="s">
        <v>294</v>
      </c>
      <c r="G94" s="165" t="s">
        <v>295</v>
      </c>
      <c r="H94" s="166">
        <v>156400259</v>
      </c>
      <c r="I94" s="167" t="s">
        <v>251</v>
      </c>
      <c r="J94" s="164" t="s">
        <v>252</v>
      </c>
      <c r="K94" s="168">
        <v>45836</v>
      </c>
      <c r="L94" s="168">
        <v>45865</v>
      </c>
      <c r="M94" s="170">
        <v>1408.66</v>
      </c>
      <c r="N94" s="170">
        <v>1442.93</v>
      </c>
    </row>
    <row r="95" spans="3:15" s="162" customFormat="1" x14ac:dyDescent="0.3">
      <c r="C95" s="24"/>
      <c r="D95" s="159"/>
      <c r="E95" s="158"/>
      <c r="F95" s="157" t="s">
        <v>267</v>
      </c>
      <c r="G95" s="24" t="s">
        <v>299</v>
      </c>
      <c r="H95" s="158"/>
      <c r="I95" s="159" t="s">
        <v>251</v>
      </c>
      <c r="J95" s="157" t="s">
        <v>252</v>
      </c>
      <c r="K95" s="160">
        <v>45837</v>
      </c>
      <c r="L95" s="160">
        <v>45867</v>
      </c>
      <c r="M95" s="161">
        <v>535.1</v>
      </c>
      <c r="N95" s="161">
        <v>547.84</v>
      </c>
      <c r="O95" s="162" t="s">
        <v>314</v>
      </c>
    </row>
    <row r="96" spans="3:15" s="162" customFormat="1" ht="13.2" customHeight="1" x14ac:dyDescent="0.3">
      <c r="C96" s="24"/>
      <c r="D96" s="159"/>
      <c r="E96" s="158"/>
      <c r="F96" s="157" t="s">
        <v>267</v>
      </c>
      <c r="G96" s="24" t="s">
        <v>300</v>
      </c>
      <c r="H96" s="158" t="s">
        <v>301</v>
      </c>
      <c r="I96" s="159" t="s">
        <v>251</v>
      </c>
      <c r="J96" s="157" t="s">
        <v>252</v>
      </c>
      <c r="K96" s="160">
        <v>45838</v>
      </c>
      <c r="L96" s="160">
        <v>49490</v>
      </c>
      <c r="M96" s="163">
        <v>1408.84</v>
      </c>
      <c r="N96" s="163">
        <v>1460.54</v>
      </c>
      <c r="O96" s="162" t="s">
        <v>314</v>
      </c>
    </row>
    <row r="97" spans="3:15" s="162" customFormat="1" x14ac:dyDescent="0.3">
      <c r="C97" s="24"/>
      <c r="D97" s="159"/>
      <c r="E97" s="158"/>
      <c r="F97" s="157" t="s">
        <v>267</v>
      </c>
      <c r="G97" s="24" t="s">
        <v>300</v>
      </c>
      <c r="H97" s="158" t="s">
        <v>302</v>
      </c>
      <c r="I97" s="159" t="s">
        <v>251</v>
      </c>
      <c r="J97" s="157" t="s">
        <v>252</v>
      </c>
      <c r="K97" s="160">
        <v>45838</v>
      </c>
      <c r="L97" s="160">
        <v>49490</v>
      </c>
      <c r="M97" s="163">
        <v>3312.86</v>
      </c>
      <c r="N97" s="163">
        <v>3434.3</v>
      </c>
      <c r="O97" s="162" t="s">
        <v>314</v>
      </c>
    </row>
    <row r="98" spans="3:15" x14ac:dyDescent="0.3">
      <c r="C98" s="23"/>
      <c r="D98" s="137"/>
      <c r="E98" s="138"/>
      <c r="F98" s="132" t="s">
        <v>303</v>
      </c>
      <c r="G98" s="23" t="s">
        <v>164</v>
      </c>
      <c r="H98" s="138"/>
      <c r="I98" s="137" t="s">
        <v>251</v>
      </c>
      <c r="J98" s="132" t="s">
        <v>252</v>
      </c>
      <c r="K98" s="139">
        <v>45838</v>
      </c>
      <c r="L98" s="139">
        <v>45936</v>
      </c>
      <c r="M98" s="140">
        <v>4169.6000000000004</v>
      </c>
      <c r="N98" s="140">
        <v>4268.17</v>
      </c>
    </row>
    <row r="99" spans="3:15" x14ac:dyDescent="0.3">
      <c r="C99" s="23"/>
      <c r="D99" s="141"/>
      <c r="E99" s="142"/>
      <c r="F99" s="130" t="s">
        <v>267</v>
      </c>
      <c r="G99" s="23" t="s">
        <v>164</v>
      </c>
      <c r="H99" s="142"/>
      <c r="I99" s="141" t="s">
        <v>251</v>
      </c>
      <c r="J99" s="130" t="s">
        <v>252</v>
      </c>
      <c r="K99" s="143">
        <v>45838</v>
      </c>
      <c r="L99" s="143">
        <v>45936</v>
      </c>
      <c r="M99" s="144">
        <v>6274.7</v>
      </c>
      <c r="N99" s="144">
        <v>6423.18</v>
      </c>
    </row>
    <row r="100" spans="3:15" x14ac:dyDescent="0.3">
      <c r="C100" s="23"/>
      <c r="D100" s="137"/>
      <c r="E100" s="138"/>
      <c r="F100" s="172" t="s">
        <v>255</v>
      </c>
      <c r="G100" s="173" t="s">
        <v>286</v>
      </c>
      <c r="H100" s="174">
        <v>621683</v>
      </c>
      <c r="I100" s="175" t="s">
        <v>251</v>
      </c>
      <c r="J100" s="172" t="s">
        <v>252</v>
      </c>
      <c r="K100" s="176">
        <v>45838</v>
      </c>
      <c r="L100" s="176">
        <v>45898</v>
      </c>
      <c r="M100" s="177">
        <v>509.12</v>
      </c>
      <c r="N100" s="177">
        <v>516.07000000000005</v>
      </c>
    </row>
    <row r="101" spans="3:15" x14ac:dyDescent="0.3">
      <c r="C101" s="23"/>
      <c r="D101" s="141"/>
      <c r="E101" s="142"/>
      <c r="F101" s="172" t="s">
        <v>248</v>
      </c>
      <c r="G101" s="173" t="s">
        <v>286</v>
      </c>
      <c r="H101" s="174">
        <v>7411</v>
      </c>
      <c r="I101" s="175" t="s">
        <v>251</v>
      </c>
      <c r="J101" s="172" t="s">
        <v>252</v>
      </c>
      <c r="K101" s="176">
        <v>45838</v>
      </c>
      <c r="L101" s="176">
        <v>45898</v>
      </c>
      <c r="M101" s="177">
        <v>333.56</v>
      </c>
      <c r="N101" s="177">
        <v>338.11</v>
      </c>
    </row>
    <row r="102" spans="3:15" x14ac:dyDescent="0.3">
      <c r="C102" s="23"/>
      <c r="D102" s="137"/>
      <c r="E102" s="138"/>
      <c r="F102" s="172" t="s">
        <v>267</v>
      </c>
      <c r="G102" s="173" t="s">
        <v>286</v>
      </c>
      <c r="H102" s="174">
        <v>844922</v>
      </c>
      <c r="I102" s="175" t="s">
        <v>251</v>
      </c>
      <c r="J102" s="172" t="s">
        <v>252</v>
      </c>
      <c r="K102" s="176">
        <v>45838</v>
      </c>
      <c r="L102" s="176">
        <v>45898</v>
      </c>
      <c r="M102" s="177">
        <v>351.12</v>
      </c>
      <c r="N102" s="177">
        <v>355.91</v>
      </c>
    </row>
    <row r="103" spans="3:15" x14ac:dyDescent="0.3">
      <c r="C103" s="23"/>
      <c r="D103" s="141"/>
      <c r="E103" s="142"/>
      <c r="F103" s="172" t="s">
        <v>257</v>
      </c>
      <c r="G103" s="173" t="s">
        <v>286</v>
      </c>
      <c r="H103" s="174">
        <v>839495</v>
      </c>
      <c r="I103" s="175" t="s">
        <v>251</v>
      </c>
      <c r="J103" s="172" t="s">
        <v>252</v>
      </c>
      <c r="K103" s="176">
        <v>45838</v>
      </c>
      <c r="L103" s="176">
        <v>45898</v>
      </c>
      <c r="M103" s="177">
        <v>895.36</v>
      </c>
      <c r="N103" s="177">
        <v>907.59</v>
      </c>
    </row>
    <row r="104" spans="3:15" x14ac:dyDescent="0.3">
      <c r="C104" s="23"/>
      <c r="D104" s="137"/>
      <c r="E104" s="138"/>
      <c r="F104" s="172" t="s">
        <v>253</v>
      </c>
      <c r="G104" s="173" t="s">
        <v>286</v>
      </c>
      <c r="H104" s="174">
        <v>252164</v>
      </c>
      <c r="I104" s="175" t="s">
        <v>251</v>
      </c>
      <c r="J104" s="172" t="s">
        <v>252</v>
      </c>
      <c r="K104" s="176">
        <v>45838</v>
      </c>
      <c r="L104" s="176">
        <v>45898</v>
      </c>
      <c r="M104" s="177">
        <v>912.91</v>
      </c>
      <c r="N104" s="177">
        <v>925.37</v>
      </c>
    </row>
    <row r="105" spans="3:15" x14ac:dyDescent="0.3">
      <c r="C105" s="23"/>
      <c r="D105" s="141"/>
      <c r="E105" s="142"/>
      <c r="F105" s="172" t="s">
        <v>265</v>
      </c>
      <c r="G105" s="173" t="s">
        <v>286</v>
      </c>
      <c r="H105" s="174">
        <v>370336</v>
      </c>
      <c r="I105" s="175" t="s">
        <v>251</v>
      </c>
      <c r="J105" s="172" t="s">
        <v>252</v>
      </c>
      <c r="K105" s="176">
        <v>45838</v>
      </c>
      <c r="L105" s="176">
        <v>45898</v>
      </c>
      <c r="M105" s="177">
        <v>70.22</v>
      </c>
      <c r="N105" s="177">
        <v>71.17</v>
      </c>
    </row>
    <row r="106" spans="3:15" x14ac:dyDescent="0.3">
      <c r="C106" s="23"/>
      <c r="D106" s="137"/>
      <c r="E106" s="138"/>
      <c r="F106" s="172" t="s">
        <v>261</v>
      </c>
      <c r="G106" s="173" t="s">
        <v>286</v>
      </c>
      <c r="H106" s="174">
        <v>983651</v>
      </c>
      <c r="I106" s="175" t="s">
        <v>251</v>
      </c>
      <c r="J106" s="172" t="s">
        <v>252</v>
      </c>
      <c r="K106" s="176">
        <v>45838</v>
      </c>
      <c r="L106" s="176">
        <v>45898</v>
      </c>
      <c r="M106" s="177">
        <v>228.23</v>
      </c>
      <c r="N106" s="177">
        <v>231.34</v>
      </c>
    </row>
    <row r="107" spans="3:15" x14ac:dyDescent="0.3">
      <c r="C107" s="23"/>
      <c r="D107" s="141"/>
      <c r="E107" s="142"/>
      <c r="F107" s="172" t="s">
        <v>259</v>
      </c>
      <c r="G107" s="173" t="s">
        <v>286</v>
      </c>
      <c r="H107" s="174">
        <v>658444</v>
      </c>
      <c r="I107" s="175" t="s">
        <v>251</v>
      </c>
      <c r="J107" s="172" t="s">
        <v>252</v>
      </c>
      <c r="K107" s="176">
        <v>45838</v>
      </c>
      <c r="L107" s="176">
        <v>45898</v>
      </c>
      <c r="M107" s="177">
        <v>228.23</v>
      </c>
      <c r="N107" s="177">
        <v>231.34</v>
      </c>
    </row>
    <row r="108" spans="3:15" x14ac:dyDescent="0.3">
      <c r="C108" s="23"/>
      <c r="D108" s="137"/>
      <c r="E108" s="138"/>
      <c r="F108" s="172" t="s">
        <v>263</v>
      </c>
      <c r="G108" s="173" t="s">
        <v>286</v>
      </c>
      <c r="H108" s="174">
        <v>799349</v>
      </c>
      <c r="I108" s="175" t="s">
        <v>251</v>
      </c>
      <c r="J108" s="172" t="s">
        <v>252</v>
      </c>
      <c r="K108" s="176">
        <v>45838</v>
      </c>
      <c r="L108" s="176">
        <v>45898</v>
      </c>
      <c r="M108" s="177">
        <v>122.89</v>
      </c>
      <c r="N108" s="177">
        <v>124.56</v>
      </c>
    </row>
    <row r="109" spans="3:15" x14ac:dyDescent="0.3">
      <c r="C109" s="23"/>
      <c r="D109" s="137"/>
      <c r="E109" s="138"/>
      <c r="F109" s="132"/>
      <c r="G109" s="23"/>
      <c r="H109" s="138"/>
      <c r="I109" s="137"/>
      <c r="J109" s="132"/>
      <c r="K109" s="139"/>
      <c r="L109" s="139"/>
      <c r="M109" s="133"/>
      <c r="N109" s="133"/>
    </row>
    <row r="110" spans="3:15" s="262" customFormat="1" ht="22.8" customHeight="1" x14ac:dyDescent="0.3"/>
    <row r="111" spans="3:15" s="162" customFormat="1" x14ac:dyDescent="0.3">
      <c r="C111" s="24"/>
      <c r="D111" s="159"/>
      <c r="E111" s="158"/>
      <c r="F111" s="157" t="s">
        <v>294</v>
      </c>
      <c r="G111" s="24" t="s">
        <v>295</v>
      </c>
      <c r="H111" s="158">
        <v>156388442</v>
      </c>
      <c r="I111" s="159" t="s">
        <v>251</v>
      </c>
      <c r="J111" s="157" t="s">
        <v>252</v>
      </c>
      <c r="K111" s="160">
        <v>45840</v>
      </c>
      <c r="L111" s="160">
        <v>45869</v>
      </c>
      <c r="M111" s="161">
        <v>130.16</v>
      </c>
      <c r="N111" s="161">
        <v>133.15</v>
      </c>
    </row>
    <row r="112" spans="3:15" s="68" customFormat="1" x14ac:dyDescent="0.3">
      <c r="C112" s="26"/>
      <c r="D112" s="152"/>
      <c r="E112" s="151"/>
      <c r="F112" s="150" t="s">
        <v>261</v>
      </c>
      <c r="G112" s="26" t="s">
        <v>296</v>
      </c>
      <c r="H112" s="151">
        <v>65158384</v>
      </c>
      <c r="I112" s="152" t="s">
        <v>251</v>
      </c>
      <c r="J112" s="150" t="s">
        <v>252</v>
      </c>
      <c r="K112" s="153">
        <v>45841</v>
      </c>
      <c r="L112" s="153">
        <v>45870</v>
      </c>
      <c r="M112" s="155">
        <v>459</v>
      </c>
      <c r="N112" s="155">
        <v>459</v>
      </c>
    </row>
    <row r="113" spans="3:14" s="68" customFormat="1" x14ac:dyDescent="0.3">
      <c r="C113" s="26"/>
      <c r="D113" s="147"/>
      <c r="E113" s="146"/>
      <c r="F113" s="145" t="s">
        <v>263</v>
      </c>
      <c r="G113" s="26" t="s">
        <v>296</v>
      </c>
      <c r="H113" s="146">
        <v>65158379</v>
      </c>
      <c r="I113" s="147" t="s">
        <v>251</v>
      </c>
      <c r="J113" s="145" t="s">
        <v>252</v>
      </c>
      <c r="K113" s="148">
        <v>45841</v>
      </c>
      <c r="L113" s="148">
        <v>45870</v>
      </c>
      <c r="M113" s="156">
        <v>459</v>
      </c>
      <c r="N113" s="156">
        <v>459</v>
      </c>
    </row>
    <row r="114" spans="3:14" s="68" customFormat="1" x14ac:dyDescent="0.3">
      <c r="C114" s="26"/>
      <c r="D114" s="152"/>
      <c r="E114" s="151"/>
      <c r="F114" s="150" t="s">
        <v>265</v>
      </c>
      <c r="G114" s="26" t="s">
        <v>296</v>
      </c>
      <c r="H114" s="151">
        <v>65158380</v>
      </c>
      <c r="I114" s="152" t="s">
        <v>251</v>
      </c>
      <c r="J114" s="150" t="s">
        <v>252</v>
      </c>
      <c r="K114" s="153">
        <v>45841</v>
      </c>
      <c r="L114" s="153">
        <v>45870</v>
      </c>
      <c r="M114" s="155">
        <v>459</v>
      </c>
      <c r="N114" s="155">
        <v>459</v>
      </c>
    </row>
    <row r="115" spans="3:14" s="68" customFormat="1" x14ac:dyDescent="0.3">
      <c r="C115" s="26"/>
      <c r="D115" s="147"/>
      <c r="E115" s="146"/>
      <c r="F115" s="145" t="s">
        <v>292</v>
      </c>
      <c r="G115" s="26" t="s">
        <v>288</v>
      </c>
      <c r="H115" s="146">
        <v>29994104</v>
      </c>
      <c r="I115" s="147" t="s">
        <v>251</v>
      </c>
      <c r="J115" s="145" t="s">
        <v>252</v>
      </c>
      <c r="K115" s="148">
        <v>45843</v>
      </c>
      <c r="L115" s="148">
        <v>45903</v>
      </c>
      <c r="M115" s="156">
        <v>89</v>
      </c>
      <c r="N115" s="156">
        <v>90.78</v>
      </c>
    </row>
    <row r="116" spans="3:14" s="68" customFormat="1" x14ac:dyDescent="0.3">
      <c r="C116" s="26"/>
      <c r="D116" s="152"/>
      <c r="E116" s="151"/>
      <c r="F116" s="150" t="s">
        <v>292</v>
      </c>
      <c r="G116" s="26" t="s">
        <v>288</v>
      </c>
      <c r="H116" s="151">
        <v>29994116</v>
      </c>
      <c r="I116" s="152" t="s">
        <v>251</v>
      </c>
      <c r="J116" s="150" t="s">
        <v>252</v>
      </c>
      <c r="K116" s="153">
        <v>45843</v>
      </c>
      <c r="L116" s="153">
        <v>45903</v>
      </c>
      <c r="M116" s="155">
        <v>89</v>
      </c>
      <c r="N116" s="155">
        <v>90.78</v>
      </c>
    </row>
    <row r="117" spans="3:14" s="68" customFormat="1" x14ac:dyDescent="0.3">
      <c r="C117" s="26"/>
      <c r="D117" s="147"/>
      <c r="E117" s="146"/>
      <c r="F117" s="145" t="s">
        <v>292</v>
      </c>
      <c r="G117" s="26" t="s">
        <v>288</v>
      </c>
      <c r="H117" s="146">
        <v>29994092</v>
      </c>
      <c r="I117" s="147" t="s">
        <v>251</v>
      </c>
      <c r="J117" s="145" t="s">
        <v>252</v>
      </c>
      <c r="K117" s="148">
        <v>45843</v>
      </c>
      <c r="L117" s="148">
        <v>45903</v>
      </c>
      <c r="M117" s="156">
        <v>89</v>
      </c>
      <c r="N117" s="156">
        <v>90.78</v>
      </c>
    </row>
    <row r="118" spans="3:14" s="68" customFormat="1" x14ac:dyDescent="0.3">
      <c r="C118" s="26"/>
      <c r="D118" s="152"/>
      <c r="E118" s="151"/>
      <c r="F118" s="150" t="s">
        <v>292</v>
      </c>
      <c r="G118" s="26" t="s">
        <v>288</v>
      </c>
      <c r="H118" s="151">
        <v>29994128</v>
      </c>
      <c r="I118" s="152" t="s">
        <v>251</v>
      </c>
      <c r="J118" s="150" t="s">
        <v>252</v>
      </c>
      <c r="K118" s="153">
        <v>45843</v>
      </c>
      <c r="L118" s="153">
        <v>45903</v>
      </c>
      <c r="M118" s="155">
        <v>89</v>
      </c>
      <c r="N118" s="155">
        <v>90.78</v>
      </c>
    </row>
    <row r="119" spans="3:14" s="68" customFormat="1" x14ac:dyDescent="0.3">
      <c r="C119" s="26"/>
      <c r="D119" s="147"/>
      <c r="E119" s="146"/>
      <c r="F119" s="145" t="s">
        <v>292</v>
      </c>
      <c r="G119" s="26" t="s">
        <v>288</v>
      </c>
      <c r="H119" s="146">
        <v>29994140</v>
      </c>
      <c r="I119" s="147" t="s">
        <v>251</v>
      </c>
      <c r="J119" s="145" t="s">
        <v>252</v>
      </c>
      <c r="K119" s="148">
        <v>45843</v>
      </c>
      <c r="L119" s="148">
        <v>45903</v>
      </c>
      <c r="M119" s="156">
        <v>89</v>
      </c>
      <c r="N119" s="156">
        <v>90.78</v>
      </c>
    </row>
    <row r="120" spans="3:14" s="68" customFormat="1" x14ac:dyDescent="0.3">
      <c r="C120" s="26"/>
      <c r="D120" s="152"/>
      <c r="E120" s="151"/>
      <c r="F120" s="150" t="s">
        <v>292</v>
      </c>
      <c r="G120" s="26" t="s">
        <v>288</v>
      </c>
      <c r="H120" s="151">
        <v>29994176</v>
      </c>
      <c r="I120" s="152" t="s">
        <v>251</v>
      </c>
      <c r="J120" s="150" t="s">
        <v>252</v>
      </c>
      <c r="K120" s="153">
        <v>45843</v>
      </c>
      <c r="L120" s="153">
        <v>45903</v>
      </c>
      <c r="M120" s="155">
        <v>89</v>
      </c>
      <c r="N120" s="155">
        <v>90.78</v>
      </c>
    </row>
    <row r="121" spans="3:14" s="68" customFormat="1" x14ac:dyDescent="0.3">
      <c r="C121" s="26"/>
      <c r="D121" s="147"/>
      <c r="E121" s="146"/>
      <c r="F121" s="145" t="s">
        <v>292</v>
      </c>
      <c r="G121" s="26" t="s">
        <v>288</v>
      </c>
      <c r="H121" s="146">
        <v>29994164</v>
      </c>
      <c r="I121" s="147" t="s">
        <v>251</v>
      </c>
      <c r="J121" s="145" t="s">
        <v>252</v>
      </c>
      <c r="K121" s="148">
        <v>45843</v>
      </c>
      <c r="L121" s="148">
        <v>45903</v>
      </c>
      <c r="M121" s="156">
        <v>89</v>
      </c>
      <c r="N121" s="156">
        <v>90.78</v>
      </c>
    </row>
    <row r="122" spans="3:14" s="68" customFormat="1" x14ac:dyDescent="0.3">
      <c r="C122" s="26"/>
      <c r="D122" s="152"/>
      <c r="E122" s="151"/>
      <c r="F122" s="150" t="s">
        <v>292</v>
      </c>
      <c r="G122" s="26" t="s">
        <v>288</v>
      </c>
      <c r="H122" s="151">
        <v>29994188</v>
      </c>
      <c r="I122" s="152" t="s">
        <v>251</v>
      </c>
      <c r="J122" s="150" t="s">
        <v>252</v>
      </c>
      <c r="K122" s="153">
        <v>45843</v>
      </c>
      <c r="L122" s="153">
        <v>45903</v>
      </c>
      <c r="M122" s="155">
        <v>89</v>
      </c>
      <c r="N122" s="155">
        <v>90.78</v>
      </c>
    </row>
    <row r="123" spans="3:14" s="68" customFormat="1" x14ac:dyDescent="0.3">
      <c r="C123" s="26"/>
      <c r="D123" s="147"/>
      <c r="E123" s="146"/>
      <c r="F123" s="145" t="s">
        <v>292</v>
      </c>
      <c r="G123" s="26" t="s">
        <v>288</v>
      </c>
      <c r="H123" s="146">
        <v>29994152</v>
      </c>
      <c r="I123" s="147" t="s">
        <v>251</v>
      </c>
      <c r="J123" s="145" t="s">
        <v>252</v>
      </c>
      <c r="K123" s="148">
        <v>45843</v>
      </c>
      <c r="L123" s="148">
        <v>45903</v>
      </c>
      <c r="M123" s="156">
        <v>89</v>
      </c>
      <c r="N123" s="156">
        <v>90.78</v>
      </c>
    </row>
    <row r="124" spans="3:14" x14ac:dyDescent="0.3">
      <c r="C124" s="23"/>
      <c r="D124" s="137"/>
      <c r="E124" s="138"/>
      <c r="F124" s="157" t="s">
        <v>294</v>
      </c>
      <c r="G124" s="24" t="s">
        <v>295</v>
      </c>
      <c r="H124" s="158">
        <v>156381414</v>
      </c>
      <c r="I124" s="159" t="s">
        <v>251</v>
      </c>
      <c r="J124" s="157" t="s">
        <v>252</v>
      </c>
      <c r="K124" s="160">
        <v>45843</v>
      </c>
      <c r="L124" s="160">
        <v>45872</v>
      </c>
      <c r="M124" s="161">
        <v>130.16</v>
      </c>
      <c r="N124" s="161">
        <v>133.02000000000001</v>
      </c>
    </row>
    <row r="125" spans="3:14" ht="16.8" customHeight="1" x14ac:dyDescent="0.3">
      <c r="C125" s="23"/>
      <c r="D125" s="141"/>
      <c r="E125" s="142"/>
      <c r="F125" s="157" t="s">
        <v>294</v>
      </c>
      <c r="G125" s="24" t="s">
        <v>295</v>
      </c>
      <c r="H125" s="158">
        <v>216471554</v>
      </c>
      <c r="I125" s="159" t="s">
        <v>251</v>
      </c>
      <c r="J125" s="157" t="s">
        <v>252</v>
      </c>
      <c r="K125" s="160">
        <v>45845</v>
      </c>
      <c r="L125" s="160">
        <v>45874</v>
      </c>
      <c r="M125" s="161">
        <v>826.19</v>
      </c>
      <c r="N125" s="161">
        <v>843.81</v>
      </c>
    </row>
    <row r="126" spans="3:14" x14ac:dyDescent="0.3">
      <c r="C126" s="23"/>
      <c r="D126" s="137"/>
      <c r="E126" s="23" t="s">
        <v>304</v>
      </c>
      <c r="F126" s="132" t="s">
        <v>248</v>
      </c>
      <c r="G126" s="23" t="s">
        <v>305</v>
      </c>
      <c r="H126" s="138" t="s">
        <v>306</v>
      </c>
      <c r="I126" s="137" t="s">
        <v>251</v>
      </c>
      <c r="J126" s="132" t="s">
        <v>252</v>
      </c>
      <c r="K126" s="139">
        <v>45847</v>
      </c>
      <c r="L126" s="139">
        <v>46207</v>
      </c>
      <c r="M126" s="140">
        <v>1709.15</v>
      </c>
      <c r="N126" s="140">
        <v>1720.55</v>
      </c>
    </row>
    <row r="127" spans="3:14" x14ac:dyDescent="0.3">
      <c r="C127" s="23"/>
      <c r="D127" s="141"/>
      <c r="E127" s="142"/>
      <c r="F127" s="130" t="s">
        <v>307</v>
      </c>
      <c r="G127" s="23" t="s">
        <v>308</v>
      </c>
      <c r="H127" s="142">
        <v>1220941</v>
      </c>
      <c r="I127" s="141" t="s">
        <v>251</v>
      </c>
      <c r="J127" s="130" t="s">
        <v>252</v>
      </c>
      <c r="K127" s="143">
        <v>45848</v>
      </c>
      <c r="L127" s="143">
        <v>49500</v>
      </c>
      <c r="M127" s="131">
        <v>755.27</v>
      </c>
      <c r="N127" s="131">
        <v>831.04</v>
      </c>
    </row>
    <row r="128" spans="3:14" x14ac:dyDescent="0.3">
      <c r="C128" s="23"/>
      <c r="D128" s="137"/>
      <c r="E128" s="138"/>
      <c r="F128" s="132" t="s">
        <v>292</v>
      </c>
      <c r="G128" s="23" t="s">
        <v>308</v>
      </c>
      <c r="H128" s="138">
        <v>1220942</v>
      </c>
      <c r="I128" s="137" t="s">
        <v>251</v>
      </c>
      <c r="J128" s="132" t="s">
        <v>252</v>
      </c>
      <c r="K128" s="139">
        <v>45848</v>
      </c>
      <c r="L128" s="139">
        <v>49500</v>
      </c>
      <c r="M128" s="133">
        <v>647.79999999999995</v>
      </c>
      <c r="N128" s="133">
        <v>712.8</v>
      </c>
    </row>
    <row r="129" spans="3:14" x14ac:dyDescent="0.3">
      <c r="C129" s="23"/>
      <c r="D129" s="141"/>
      <c r="E129" s="142"/>
      <c r="F129" s="130" t="s">
        <v>309</v>
      </c>
      <c r="G129" s="23" t="s">
        <v>308</v>
      </c>
      <c r="H129" s="142">
        <v>1220943</v>
      </c>
      <c r="I129" s="141" t="s">
        <v>251</v>
      </c>
      <c r="J129" s="130" t="s">
        <v>252</v>
      </c>
      <c r="K129" s="143">
        <v>45848</v>
      </c>
      <c r="L129" s="143">
        <v>49500</v>
      </c>
      <c r="M129" s="131">
        <v>775.99</v>
      </c>
      <c r="N129" s="131">
        <v>853.84</v>
      </c>
    </row>
    <row r="130" spans="3:14" x14ac:dyDescent="0.3">
      <c r="C130" s="23"/>
      <c r="D130" s="137"/>
      <c r="E130" s="138"/>
      <c r="F130" s="132" t="s">
        <v>253</v>
      </c>
      <c r="G130" s="23" t="s">
        <v>308</v>
      </c>
      <c r="H130" s="138">
        <v>1220944</v>
      </c>
      <c r="I130" s="137" t="s">
        <v>251</v>
      </c>
      <c r="J130" s="132" t="s">
        <v>252</v>
      </c>
      <c r="K130" s="139">
        <v>45848</v>
      </c>
      <c r="L130" s="139">
        <v>49500</v>
      </c>
      <c r="M130" s="133">
        <v>469.69</v>
      </c>
      <c r="N130" s="133">
        <v>516.80999999999995</v>
      </c>
    </row>
    <row r="131" spans="3:14" x14ac:dyDescent="0.3">
      <c r="C131" s="23"/>
      <c r="D131" s="141"/>
      <c r="E131" s="142"/>
      <c r="F131" s="130" t="s">
        <v>257</v>
      </c>
      <c r="G131" s="23" t="s">
        <v>308</v>
      </c>
      <c r="H131" s="142">
        <v>1220945</v>
      </c>
      <c r="I131" s="141" t="s">
        <v>251</v>
      </c>
      <c r="J131" s="130" t="s">
        <v>252</v>
      </c>
      <c r="K131" s="143">
        <v>45848</v>
      </c>
      <c r="L131" s="143">
        <v>49500</v>
      </c>
      <c r="M131" s="144">
        <v>2553.7600000000002</v>
      </c>
      <c r="N131" s="144">
        <v>2809.98</v>
      </c>
    </row>
    <row r="132" spans="3:14" x14ac:dyDescent="0.3">
      <c r="C132" s="23"/>
      <c r="D132" s="137"/>
      <c r="E132" s="138"/>
      <c r="F132" s="132" t="s">
        <v>259</v>
      </c>
      <c r="G132" s="23" t="s">
        <v>308</v>
      </c>
      <c r="H132" s="138">
        <v>1220946</v>
      </c>
      <c r="I132" s="137" t="s">
        <v>251</v>
      </c>
      <c r="J132" s="132" t="s">
        <v>252</v>
      </c>
      <c r="K132" s="139">
        <v>45848</v>
      </c>
      <c r="L132" s="139">
        <v>49500</v>
      </c>
      <c r="M132" s="133">
        <v>582.41</v>
      </c>
      <c r="N132" s="133">
        <v>640.84</v>
      </c>
    </row>
    <row r="133" spans="3:14" x14ac:dyDescent="0.3">
      <c r="C133" s="23"/>
      <c r="D133" s="141"/>
      <c r="E133" s="142"/>
      <c r="F133" s="130" t="s">
        <v>263</v>
      </c>
      <c r="G133" s="23" t="s">
        <v>308</v>
      </c>
      <c r="H133" s="142">
        <v>1220947</v>
      </c>
      <c r="I133" s="141" t="s">
        <v>251</v>
      </c>
      <c r="J133" s="130" t="s">
        <v>252</v>
      </c>
      <c r="K133" s="143">
        <v>45848</v>
      </c>
      <c r="L133" s="143">
        <v>49500</v>
      </c>
      <c r="M133" s="131">
        <v>766.08</v>
      </c>
      <c r="N133" s="131">
        <v>842.94</v>
      </c>
    </row>
    <row r="134" spans="3:14" x14ac:dyDescent="0.3">
      <c r="C134" s="23"/>
      <c r="D134" s="137"/>
      <c r="E134" s="138"/>
      <c r="F134" s="132" t="s">
        <v>261</v>
      </c>
      <c r="G134" s="23" t="s">
        <v>308</v>
      </c>
      <c r="H134" s="138">
        <v>1220948</v>
      </c>
      <c r="I134" s="137" t="s">
        <v>251</v>
      </c>
      <c r="J134" s="132" t="s">
        <v>252</v>
      </c>
      <c r="K134" s="139">
        <v>45848</v>
      </c>
      <c r="L134" s="139">
        <v>49500</v>
      </c>
      <c r="M134" s="133">
        <v>786.62</v>
      </c>
      <c r="N134" s="133">
        <v>865.54</v>
      </c>
    </row>
    <row r="135" spans="3:14" x14ac:dyDescent="0.3">
      <c r="C135" s="23"/>
      <c r="D135" s="141"/>
      <c r="E135" s="142"/>
      <c r="F135" s="130" t="s">
        <v>265</v>
      </c>
      <c r="G135" s="23" t="s">
        <v>308</v>
      </c>
      <c r="H135" s="142">
        <v>1220949</v>
      </c>
      <c r="I135" s="141" t="s">
        <v>251</v>
      </c>
      <c r="J135" s="130" t="s">
        <v>252</v>
      </c>
      <c r="K135" s="143">
        <v>45848</v>
      </c>
      <c r="L135" s="143">
        <v>49500</v>
      </c>
      <c r="M135" s="144">
        <v>2121.83</v>
      </c>
      <c r="N135" s="144">
        <v>2334.7199999999998</v>
      </c>
    </row>
    <row r="136" spans="3:14" s="68" customFormat="1" x14ac:dyDescent="0.3">
      <c r="C136" s="26"/>
      <c r="D136" s="152"/>
      <c r="E136" s="151"/>
      <c r="F136" s="150" t="s">
        <v>267</v>
      </c>
      <c r="G136" s="26" t="s">
        <v>310</v>
      </c>
      <c r="H136" s="151">
        <v>4000616447</v>
      </c>
      <c r="I136" s="152" t="s">
        <v>251</v>
      </c>
      <c r="J136" s="150" t="s">
        <v>252</v>
      </c>
      <c r="K136" s="153">
        <v>45848</v>
      </c>
      <c r="L136" s="153">
        <v>45968</v>
      </c>
      <c r="M136" s="154">
        <v>3508.97</v>
      </c>
      <c r="N136" s="154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00" r:id="rId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3" name="Control 112"/>
      </mc:Fallback>
    </mc:AlternateContent>
    <mc:AlternateContent xmlns:mc="http://schemas.openxmlformats.org/markup-compatibility/2006">
      <mc:Choice Requires="x14">
        <control shapeId="12401" r:id="rId5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5" name="Control 113"/>
      </mc:Fallback>
    </mc:AlternateContent>
    <mc:AlternateContent xmlns:mc="http://schemas.openxmlformats.org/markup-compatibility/2006">
      <mc:Choice Requires="x14">
        <control shapeId="12402" r:id="rId6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6" name="Control 114"/>
      </mc:Fallback>
    </mc:AlternateContent>
    <mc:AlternateContent xmlns:mc="http://schemas.openxmlformats.org/markup-compatibility/2006">
      <mc:Choice Requires="x14">
        <control shapeId="12403" r:id="rId7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7" name="Control 115"/>
      </mc:Fallback>
    </mc:AlternateContent>
    <mc:AlternateContent xmlns:mc="http://schemas.openxmlformats.org/markup-compatibility/2006">
      <mc:Choice Requires="x14">
        <control shapeId="12404" r:id="rId8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8" name="Control 116"/>
      </mc:Fallback>
    </mc:AlternateContent>
    <mc:AlternateContent xmlns:mc="http://schemas.openxmlformats.org/markup-compatibility/2006">
      <mc:Choice Requires="x14">
        <control shapeId="12405" r:id="rId9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" name="Control 117"/>
      </mc:Fallback>
    </mc:AlternateContent>
    <mc:AlternateContent xmlns:mc="http://schemas.openxmlformats.org/markup-compatibility/2006">
      <mc:Choice Requires="x14">
        <control shapeId="12406" r:id="rId10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10" name="Control 118"/>
      </mc:Fallback>
    </mc:AlternateContent>
    <mc:AlternateContent xmlns:mc="http://schemas.openxmlformats.org/markup-compatibility/2006">
      <mc:Choice Requires="x14">
        <control shapeId="12407" r:id="rId11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11" name="Control 119"/>
      </mc:Fallback>
    </mc:AlternateContent>
    <mc:AlternateContent xmlns:mc="http://schemas.openxmlformats.org/markup-compatibility/2006">
      <mc:Choice Requires="x14">
        <control shapeId="12408" r:id="rId12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12" name="Control 120"/>
      </mc:Fallback>
    </mc:AlternateContent>
    <mc:AlternateContent xmlns:mc="http://schemas.openxmlformats.org/markup-compatibility/2006">
      <mc:Choice Requires="x14">
        <control shapeId="12409" r:id="rId13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13" name="Control 121"/>
      </mc:Fallback>
    </mc:AlternateContent>
    <mc:AlternateContent xmlns:mc="http://schemas.openxmlformats.org/markup-compatibility/2006">
      <mc:Choice Requires="x14">
        <control shapeId="12410" r:id="rId14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14" name="Control 122"/>
      </mc:Fallback>
    </mc:AlternateContent>
    <mc:AlternateContent xmlns:mc="http://schemas.openxmlformats.org/markup-compatibility/2006">
      <mc:Choice Requires="x14">
        <control shapeId="12411" r:id="rId15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15" name="Control 123"/>
      </mc:Fallback>
    </mc:AlternateContent>
    <mc:AlternateContent xmlns:mc="http://schemas.openxmlformats.org/markup-compatibility/2006">
      <mc:Choice Requires="x14">
        <control shapeId="12412" r:id="rId16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16" name="Control 124"/>
      </mc:Fallback>
    </mc:AlternateContent>
    <mc:AlternateContent xmlns:mc="http://schemas.openxmlformats.org/markup-compatibility/2006">
      <mc:Choice Requires="x14">
        <control shapeId="12413" r:id="rId17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17" name="Control 125"/>
      </mc:Fallback>
    </mc:AlternateContent>
    <mc:AlternateContent xmlns:mc="http://schemas.openxmlformats.org/markup-compatibility/2006">
      <mc:Choice Requires="x14">
        <control shapeId="12414" r:id="rId18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18" name="Control 126"/>
      </mc:Fallback>
    </mc:AlternateContent>
    <mc:AlternateContent xmlns:mc="http://schemas.openxmlformats.org/markup-compatibility/2006">
      <mc:Choice Requires="x14">
        <control shapeId="12415" r:id="rId19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19" name="Control 127"/>
      </mc:Fallback>
    </mc:AlternateContent>
    <mc:AlternateContent xmlns:mc="http://schemas.openxmlformats.org/markup-compatibility/2006">
      <mc:Choice Requires="x14">
        <control shapeId="12416" r:id="rId20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20" name="Control 128"/>
      </mc:Fallback>
    </mc:AlternateContent>
    <mc:AlternateContent xmlns:mc="http://schemas.openxmlformats.org/markup-compatibility/2006">
      <mc:Choice Requires="x14">
        <control shapeId="12417" r:id="rId21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21" name="Control 129"/>
      </mc:Fallback>
    </mc:AlternateContent>
    <mc:AlternateContent xmlns:mc="http://schemas.openxmlformats.org/markup-compatibility/2006">
      <mc:Choice Requires="x14">
        <control shapeId="12418" r:id="rId22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22" name="Control 130"/>
      </mc:Fallback>
    </mc:AlternateContent>
    <mc:AlternateContent xmlns:mc="http://schemas.openxmlformats.org/markup-compatibility/2006">
      <mc:Choice Requires="x14">
        <control shapeId="12419" r:id="rId23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23" name="Control 131"/>
      </mc:Fallback>
    </mc:AlternateContent>
    <mc:AlternateContent xmlns:mc="http://schemas.openxmlformats.org/markup-compatibility/2006">
      <mc:Choice Requires="x14">
        <control shapeId="12420" r:id="rId24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24" name="Control 132"/>
      </mc:Fallback>
    </mc:AlternateContent>
    <mc:AlternateContent xmlns:mc="http://schemas.openxmlformats.org/markup-compatibility/2006">
      <mc:Choice Requires="x14">
        <control shapeId="12421" r:id="rId25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25" name="Control 133"/>
      </mc:Fallback>
    </mc:AlternateContent>
    <mc:AlternateContent xmlns:mc="http://schemas.openxmlformats.org/markup-compatibility/2006">
      <mc:Choice Requires="x14">
        <control shapeId="12422" r:id="rId26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26" name="Control 134"/>
      </mc:Fallback>
    </mc:AlternateContent>
    <mc:AlternateContent xmlns:mc="http://schemas.openxmlformats.org/markup-compatibility/2006">
      <mc:Choice Requires="x14">
        <control shapeId="12423" r:id="rId27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27" name="Control 135"/>
      </mc:Fallback>
    </mc:AlternateContent>
    <mc:AlternateContent xmlns:mc="http://schemas.openxmlformats.org/markup-compatibility/2006">
      <mc:Choice Requires="x14">
        <control shapeId="12424" r:id="rId28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28" name="Control 136"/>
      </mc:Fallback>
    </mc:AlternateContent>
    <mc:AlternateContent xmlns:mc="http://schemas.openxmlformats.org/markup-compatibility/2006">
      <mc:Choice Requires="x14">
        <control shapeId="12425" r:id="rId29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29" name="Control 137"/>
      </mc:Fallback>
    </mc:AlternateContent>
    <mc:AlternateContent xmlns:mc="http://schemas.openxmlformats.org/markup-compatibility/2006">
      <mc:Choice Requires="x14">
        <control shapeId="12426" r:id="rId30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30" name="Control 138"/>
      </mc:Fallback>
    </mc:AlternateContent>
    <mc:AlternateContent xmlns:mc="http://schemas.openxmlformats.org/markup-compatibility/2006">
      <mc:Choice Requires="x14">
        <control shapeId="12427" r:id="rId31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31" name="Control 139"/>
      </mc:Fallback>
    </mc:AlternateContent>
    <mc:AlternateContent xmlns:mc="http://schemas.openxmlformats.org/markup-compatibility/2006">
      <mc:Choice Requires="x14">
        <control shapeId="12428" r:id="rId32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32" name="Control 140"/>
      </mc:Fallback>
    </mc:AlternateContent>
    <mc:AlternateContent xmlns:mc="http://schemas.openxmlformats.org/markup-compatibility/2006">
      <mc:Choice Requires="x14">
        <control shapeId="12429" r:id="rId33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33" name="Control 141"/>
      </mc:Fallback>
    </mc:AlternateContent>
    <mc:AlternateContent xmlns:mc="http://schemas.openxmlformats.org/markup-compatibility/2006">
      <mc:Choice Requires="x14">
        <control shapeId="12430" r:id="rId34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34" name="Control 142"/>
      </mc:Fallback>
    </mc:AlternateContent>
    <mc:AlternateContent xmlns:mc="http://schemas.openxmlformats.org/markup-compatibility/2006">
      <mc:Choice Requires="x14">
        <control shapeId="12431" r:id="rId35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35" name="Control 143"/>
      </mc:Fallback>
    </mc:AlternateContent>
    <mc:AlternateContent xmlns:mc="http://schemas.openxmlformats.org/markup-compatibility/2006">
      <mc:Choice Requires="x14">
        <control shapeId="12432" r:id="rId36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36" name="Control 144"/>
      </mc:Fallback>
    </mc:AlternateContent>
    <mc:AlternateContent xmlns:mc="http://schemas.openxmlformats.org/markup-compatibility/2006">
      <mc:Choice Requires="x14">
        <control shapeId="12433" r:id="rId37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37" name="Control 145"/>
      </mc:Fallback>
    </mc:AlternateContent>
    <mc:AlternateContent xmlns:mc="http://schemas.openxmlformats.org/markup-compatibility/2006">
      <mc:Choice Requires="x14">
        <control shapeId="12434" r:id="rId38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38" name="Control 146"/>
      </mc:Fallback>
    </mc:AlternateContent>
    <mc:AlternateContent xmlns:mc="http://schemas.openxmlformats.org/markup-compatibility/2006">
      <mc:Choice Requires="x14">
        <control shapeId="12435" r:id="rId39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39" name="Control 147"/>
      </mc:Fallback>
    </mc:AlternateContent>
    <mc:AlternateContent xmlns:mc="http://schemas.openxmlformats.org/markup-compatibility/2006">
      <mc:Choice Requires="x14">
        <control shapeId="12436" r:id="rId40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40" name="Control 148"/>
      </mc:Fallback>
    </mc:AlternateContent>
    <mc:AlternateContent xmlns:mc="http://schemas.openxmlformats.org/markup-compatibility/2006">
      <mc:Choice Requires="x14">
        <control shapeId="12437" r:id="rId41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41" name="Control 149"/>
      </mc:Fallback>
    </mc:AlternateContent>
    <mc:AlternateContent xmlns:mc="http://schemas.openxmlformats.org/markup-compatibility/2006">
      <mc:Choice Requires="x14">
        <control shapeId="12438" r:id="rId42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42" name="Control 150"/>
      </mc:Fallback>
    </mc:AlternateContent>
    <mc:AlternateContent xmlns:mc="http://schemas.openxmlformats.org/markup-compatibility/2006">
      <mc:Choice Requires="x14">
        <control shapeId="12439" r:id="rId43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43" name="Control 151"/>
      </mc:Fallback>
    </mc:AlternateContent>
    <mc:AlternateContent xmlns:mc="http://schemas.openxmlformats.org/markup-compatibility/2006">
      <mc:Choice Requires="x14">
        <control shapeId="12440" r:id="rId44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44" name="Control 152"/>
      </mc:Fallback>
    </mc:AlternateContent>
    <mc:AlternateContent xmlns:mc="http://schemas.openxmlformats.org/markup-compatibility/2006">
      <mc:Choice Requires="x14">
        <control shapeId="12441" r:id="rId45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45" name="Control 153"/>
      </mc:Fallback>
    </mc:AlternateContent>
    <mc:AlternateContent xmlns:mc="http://schemas.openxmlformats.org/markup-compatibility/2006">
      <mc:Choice Requires="x14">
        <control shapeId="12442" r:id="rId46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46" name="Control 154"/>
      </mc:Fallback>
    </mc:AlternateContent>
    <mc:AlternateContent xmlns:mc="http://schemas.openxmlformats.org/markup-compatibility/2006">
      <mc:Choice Requires="x14">
        <control shapeId="12443" r:id="rId47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47" name="Control 155"/>
      </mc:Fallback>
    </mc:AlternateContent>
    <mc:AlternateContent xmlns:mc="http://schemas.openxmlformats.org/markup-compatibility/2006">
      <mc:Choice Requires="x14">
        <control shapeId="12444" r:id="rId48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48" name="Control 156"/>
      </mc:Fallback>
    </mc:AlternateContent>
    <mc:AlternateContent xmlns:mc="http://schemas.openxmlformats.org/markup-compatibility/2006">
      <mc:Choice Requires="x14">
        <control shapeId="12445" r:id="rId49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49" name="Control 157"/>
      </mc:Fallback>
    </mc:AlternateContent>
    <mc:AlternateContent xmlns:mc="http://schemas.openxmlformats.org/markup-compatibility/2006">
      <mc:Choice Requires="x14">
        <control shapeId="12446" r:id="rId50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0" name="Control 158"/>
      </mc:Fallback>
    </mc:AlternateContent>
    <mc:AlternateContent xmlns:mc="http://schemas.openxmlformats.org/markup-compatibility/2006">
      <mc:Choice Requires="x14">
        <control shapeId="12447" r:id="rId51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1" name="Control 159"/>
      </mc:Fallback>
    </mc:AlternateContent>
    <mc:AlternateContent xmlns:mc="http://schemas.openxmlformats.org/markup-compatibility/2006">
      <mc:Choice Requires="x14">
        <control shapeId="12448" r:id="rId52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2" name="Control 160"/>
      </mc:Fallback>
    </mc:AlternateContent>
    <mc:AlternateContent xmlns:mc="http://schemas.openxmlformats.org/markup-compatibility/2006">
      <mc:Choice Requires="x14">
        <control shapeId="12449" r:id="rId53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3" name="Control 161"/>
      </mc:Fallback>
    </mc:AlternateContent>
    <mc:AlternateContent xmlns:mc="http://schemas.openxmlformats.org/markup-compatibility/2006">
      <mc:Choice Requires="x14">
        <control shapeId="12450" r:id="rId54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4" name="Control 162"/>
      </mc:Fallback>
    </mc:AlternateContent>
    <mc:AlternateContent xmlns:mc="http://schemas.openxmlformats.org/markup-compatibility/2006">
      <mc:Choice Requires="x14">
        <control shapeId="12451" r:id="rId55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5" name="Control 163"/>
      </mc:Fallback>
    </mc:AlternateContent>
    <mc:AlternateContent xmlns:mc="http://schemas.openxmlformats.org/markup-compatibility/2006">
      <mc:Choice Requires="x14">
        <control shapeId="12452" r:id="rId56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6" name="Control 164"/>
      </mc:Fallback>
    </mc:AlternateContent>
    <mc:AlternateContent xmlns:mc="http://schemas.openxmlformats.org/markup-compatibility/2006">
      <mc:Choice Requires="x14">
        <control shapeId="12453" r:id="rId57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7" name="Control 165"/>
      </mc:Fallback>
    </mc:AlternateContent>
    <mc:AlternateContent xmlns:mc="http://schemas.openxmlformats.org/markup-compatibility/2006">
      <mc:Choice Requires="x14">
        <control shapeId="12454" r:id="rId58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58" name="Control 166"/>
      </mc:Fallback>
    </mc:AlternateContent>
    <mc:AlternateContent xmlns:mc="http://schemas.openxmlformats.org/markup-compatibility/2006">
      <mc:Choice Requires="x14">
        <control shapeId="12455" r:id="rId59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59" name="Control 167"/>
      </mc:Fallback>
    </mc:AlternateContent>
    <mc:AlternateContent xmlns:mc="http://schemas.openxmlformats.org/markup-compatibility/2006">
      <mc:Choice Requires="x14">
        <control shapeId="12456" r:id="rId60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60" name="Control 168"/>
      </mc:Fallback>
    </mc:AlternateContent>
    <mc:AlternateContent xmlns:mc="http://schemas.openxmlformats.org/markup-compatibility/2006">
      <mc:Choice Requires="x14">
        <control shapeId="12457" r:id="rId61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61" name="Control 169"/>
      </mc:Fallback>
    </mc:AlternateContent>
    <mc:AlternateContent xmlns:mc="http://schemas.openxmlformats.org/markup-compatibility/2006">
      <mc:Choice Requires="x14">
        <control shapeId="12458" r:id="rId62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62" name="Control 170"/>
      </mc:Fallback>
    </mc:AlternateContent>
    <mc:AlternateContent xmlns:mc="http://schemas.openxmlformats.org/markup-compatibility/2006">
      <mc:Choice Requires="x14">
        <control shapeId="12459" r:id="rId63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63" name="Control 171"/>
      </mc:Fallback>
    </mc:AlternateContent>
    <mc:AlternateContent xmlns:mc="http://schemas.openxmlformats.org/markup-compatibility/2006">
      <mc:Choice Requires="x14">
        <control shapeId="12460" r:id="rId64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64" name="Control 172"/>
      </mc:Fallback>
    </mc:AlternateContent>
    <mc:AlternateContent xmlns:mc="http://schemas.openxmlformats.org/markup-compatibility/2006">
      <mc:Choice Requires="x14">
        <control shapeId="12461" r:id="rId65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65" name="Control 173"/>
      </mc:Fallback>
    </mc:AlternateContent>
    <mc:AlternateContent xmlns:mc="http://schemas.openxmlformats.org/markup-compatibility/2006">
      <mc:Choice Requires="x14">
        <control shapeId="12462" r:id="rId66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66" name="Control 174"/>
      </mc:Fallback>
    </mc:AlternateContent>
    <mc:AlternateContent xmlns:mc="http://schemas.openxmlformats.org/markup-compatibility/2006">
      <mc:Choice Requires="x14">
        <control shapeId="12463" r:id="rId67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67" name="Control 175"/>
      </mc:Fallback>
    </mc:AlternateContent>
    <mc:AlternateContent xmlns:mc="http://schemas.openxmlformats.org/markup-compatibility/2006">
      <mc:Choice Requires="x14">
        <control shapeId="12464" r:id="rId68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68" name="Control 176"/>
      </mc:Fallback>
    </mc:AlternateContent>
    <mc:AlternateContent xmlns:mc="http://schemas.openxmlformats.org/markup-compatibility/2006">
      <mc:Choice Requires="x14">
        <control shapeId="12465" r:id="rId69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69" name="Control 177"/>
      </mc:Fallback>
    </mc:AlternateContent>
    <mc:AlternateContent xmlns:mc="http://schemas.openxmlformats.org/markup-compatibility/2006">
      <mc:Choice Requires="x14">
        <control shapeId="12466" r:id="rId70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70" name="Control 178"/>
      </mc:Fallback>
    </mc:AlternateContent>
    <mc:AlternateContent xmlns:mc="http://schemas.openxmlformats.org/markup-compatibility/2006">
      <mc:Choice Requires="x14">
        <control shapeId="12467" r:id="rId71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71" name="Control 179"/>
      </mc:Fallback>
    </mc:AlternateContent>
    <mc:AlternateContent xmlns:mc="http://schemas.openxmlformats.org/markup-compatibility/2006">
      <mc:Choice Requires="x14">
        <control shapeId="12468" r:id="rId72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72" name="Control 180"/>
      </mc:Fallback>
    </mc:AlternateContent>
    <mc:AlternateContent xmlns:mc="http://schemas.openxmlformats.org/markup-compatibility/2006">
      <mc:Choice Requires="x14">
        <control shapeId="12469" r:id="rId73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73" name="Control 181"/>
      </mc:Fallback>
    </mc:AlternateContent>
    <mc:AlternateContent xmlns:mc="http://schemas.openxmlformats.org/markup-compatibility/2006">
      <mc:Choice Requires="x14">
        <control shapeId="12470" r:id="rId74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74" name="Control 182"/>
      </mc:Fallback>
    </mc:AlternateContent>
    <mc:AlternateContent xmlns:mc="http://schemas.openxmlformats.org/markup-compatibility/2006">
      <mc:Choice Requires="x14">
        <control shapeId="12471" r:id="rId75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75" name="Control 183"/>
      </mc:Fallback>
    </mc:AlternateContent>
    <mc:AlternateContent xmlns:mc="http://schemas.openxmlformats.org/markup-compatibility/2006">
      <mc:Choice Requires="x14">
        <control shapeId="12472" r:id="rId76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76" name="Control 184"/>
      </mc:Fallback>
    </mc:AlternateContent>
    <mc:AlternateContent xmlns:mc="http://schemas.openxmlformats.org/markup-compatibility/2006">
      <mc:Choice Requires="x14">
        <control shapeId="12473" r:id="rId77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77" name="Control 185"/>
      </mc:Fallback>
    </mc:AlternateContent>
    <mc:AlternateContent xmlns:mc="http://schemas.openxmlformats.org/markup-compatibility/2006">
      <mc:Choice Requires="x14">
        <control shapeId="12474" r:id="rId78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78" name="Control 186"/>
      </mc:Fallback>
    </mc:AlternateContent>
    <mc:AlternateContent xmlns:mc="http://schemas.openxmlformats.org/markup-compatibility/2006">
      <mc:Choice Requires="x14">
        <control shapeId="12475" r:id="rId79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79" name="Control 187"/>
      </mc:Fallback>
    </mc:AlternateContent>
    <mc:AlternateContent xmlns:mc="http://schemas.openxmlformats.org/markup-compatibility/2006">
      <mc:Choice Requires="x14">
        <control shapeId="12476" r:id="rId80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80" name="Control 188"/>
      </mc:Fallback>
    </mc:AlternateContent>
    <mc:AlternateContent xmlns:mc="http://schemas.openxmlformats.org/markup-compatibility/2006">
      <mc:Choice Requires="x14">
        <control shapeId="12477" r:id="rId81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81" name="Control 189"/>
      </mc:Fallback>
    </mc:AlternateContent>
    <mc:AlternateContent xmlns:mc="http://schemas.openxmlformats.org/markup-compatibility/2006">
      <mc:Choice Requires="x14">
        <control shapeId="12478" r:id="rId82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82" name="Control 190"/>
      </mc:Fallback>
    </mc:AlternateContent>
    <mc:AlternateContent xmlns:mc="http://schemas.openxmlformats.org/markup-compatibility/2006">
      <mc:Choice Requires="x14">
        <control shapeId="12479" r:id="rId83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83" name="Control 191"/>
      </mc:Fallback>
    </mc:AlternateContent>
    <mc:AlternateContent xmlns:mc="http://schemas.openxmlformats.org/markup-compatibility/2006">
      <mc:Choice Requires="x14">
        <control shapeId="12480" r:id="rId84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84" name="Control 192"/>
      </mc:Fallback>
    </mc:AlternateContent>
    <mc:AlternateContent xmlns:mc="http://schemas.openxmlformats.org/markup-compatibility/2006">
      <mc:Choice Requires="x14">
        <control shapeId="12481" r:id="rId85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85" name="Control 193"/>
      </mc:Fallback>
    </mc:AlternateContent>
    <mc:AlternateContent xmlns:mc="http://schemas.openxmlformats.org/markup-compatibility/2006">
      <mc:Choice Requires="x14">
        <control shapeId="12482" r:id="rId86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86" name="Control 194"/>
      </mc:Fallback>
    </mc:AlternateContent>
    <mc:AlternateContent xmlns:mc="http://schemas.openxmlformats.org/markup-compatibility/2006">
      <mc:Choice Requires="x14">
        <control shapeId="12483" r:id="rId87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87" name="Control 195"/>
      </mc:Fallback>
    </mc:AlternateContent>
    <mc:AlternateContent xmlns:mc="http://schemas.openxmlformats.org/markup-compatibility/2006">
      <mc:Choice Requires="x14">
        <control shapeId="12484" r:id="rId88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88" name="Control 196"/>
      </mc:Fallback>
    </mc:AlternateContent>
    <mc:AlternateContent xmlns:mc="http://schemas.openxmlformats.org/markup-compatibility/2006">
      <mc:Choice Requires="x14">
        <control shapeId="12485" r:id="rId89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89" name="Control 197"/>
      </mc:Fallback>
    </mc:AlternateContent>
    <mc:AlternateContent xmlns:mc="http://schemas.openxmlformats.org/markup-compatibility/2006">
      <mc:Choice Requires="x14">
        <control shapeId="12486" r:id="rId90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90" name="Control 198"/>
      </mc:Fallback>
    </mc:AlternateContent>
    <mc:AlternateContent xmlns:mc="http://schemas.openxmlformats.org/markup-compatibility/2006">
      <mc:Choice Requires="x14">
        <control shapeId="12487" r:id="rId91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91" name="Control 199"/>
      </mc:Fallback>
    </mc:AlternateContent>
    <mc:AlternateContent xmlns:mc="http://schemas.openxmlformats.org/markup-compatibility/2006">
      <mc:Choice Requires="x14">
        <control shapeId="12488" r:id="rId92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92" name="Control 200"/>
      </mc:Fallback>
    </mc:AlternateContent>
    <mc:AlternateContent xmlns:mc="http://schemas.openxmlformats.org/markup-compatibility/2006">
      <mc:Choice Requires="x14">
        <control shapeId="12489" r:id="rId93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93" name="Control 201"/>
      </mc:Fallback>
    </mc:AlternateContent>
    <mc:AlternateContent xmlns:mc="http://schemas.openxmlformats.org/markup-compatibility/2006">
      <mc:Choice Requires="x14">
        <control shapeId="12490" r:id="rId94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94" name="Control 202"/>
      </mc:Fallback>
    </mc:AlternateContent>
    <mc:AlternateContent xmlns:mc="http://schemas.openxmlformats.org/markup-compatibility/2006">
      <mc:Choice Requires="x14">
        <control shapeId="12491" r:id="rId95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95" name="Control 203"/>
      </mc:Fallback>
    </mc:AlternateContent>
    <mc:AlternateContent xmlns:mc="http://schemas.openxmlformats.org/markup-compatibility/2006">
      <mc:Choice Requires="x14">
        <control shapeId="12492" r:id="rId96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96" name="Control 204"/>
      </mc:Fallback>
    </mc:AlternateContent>
    <mc:AlternateContent xmlns:mc="http://schemas.openxmlformats.org/markup-compatibility/2006">
      <mc:Choice Requires="x14">
        <control shapeId="12493" r:id="rId97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97" name="Control 205"/>
      </mc:Fallback>
    </mc:AlternateContent>
    <mc:AlternateContent xmlns:mc="http://schemas.openxmlformats.org/markup-compatibility/2006">
      <mc:Choice Requires="x14">
        <control shapeId="12494" r:id="rId98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8" name="Control 206"/>
      </mc:Fallback>
    </mc:AlternateContent>
    <mc:AlternateContent xmlns:mc="http://schemas.openxmlformats.org/markup-compatibility/2006">
      <mc:Choice Requires="x14">
        <control shapeId="12495" r:id="rId99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99" name="Control 207"/>
      </mc:Fallback>
    </mc:AlternateContent>
    <mc:AlternateContent xmlns:mc="http://schemas.openxmlformats.org/markup-compatibility/2006">
      <mc:Choice Requires="x14">
        <control shapeId="12496" r:id="rId100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100" name="Control 208"/>
      </mc:Fallback>
    </mc:AlternateContent>
    <mc:AlternateContent xmlns:mc="http://schemas.openxmlformats.org/markup-compatibility/2006">
      <mc:Choice Requires="x14">
        <control shapeId="12497" r:id="rId101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101" name="Control 209"/>
      </mc:Fallback>
    </mc:AlternateContent>
    <mc:AlternateContent xmlns:mc="http://schemas.openxmlformats.org/markup-compatibility/2006">
      <mc:Choice Requires="x14">
        <control shapeId="12498" r:id="rId102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102" name="Control 210"/>
      </mc:Fallback>
    </mc:AlternateContent>
    <mc:AlternateContent xmlns:mc="http://schemas.openxmlformats.org/markup-compatibility/2006">
      <mc:Choice Requires="x14">
        <control shapeId="12499" r:id="rId10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103" name="Control 21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sheetPr codeName="Planilha15"/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35" customWidth="1"/>
    <col min="6" max="6" width="10" bestFit="1" customWidth="1"/>
    <col min="9" max="10" width="10.5546875" bestFit="1" customWidth="1"/>
  </cols>
  <sheetData>
    <row r="4" spans="3:12" x14ac:dyDescent="0.3">
      <c r="C4" s="143">
        <v>45820</v>
      </c>
      <c r="D4" s="130" t="s">
        <v>294</v>
      </c>
      <c r="E4" s="178" t="s">
        <v>326</v>
      </c>
      <c r="F4" s="142">
        <v>156154725</v>
      </c>
      <c r="G4" s="141" t="s">
        <v>251</v>
      </c>
      <c r="H4" s="130" t="s">
        <v>252</v>
      </c>
      <c r="I4" s="143">
        <v>45820</v>
      </c>
      <c r="J4" s="143">
        <v>45849</v>
      </c>
      <c r="K4" s="131">
        <v>187.42</v>
      </c>
      <c r="L4" s="131">
        <v>192.98</v>
      </c>
    </row>
    <row r="5" spans="3:12" x14ac:dyDescent="0.3">
      <c r="C5" s="139">
        <v>45821</v>
      </c>
      <c r="D5" s="132" t="s">
        <v>294</v>
      </c>
      <c r="E5" s="178" t="s">
        <v>327</v>
      </c>
      <c r="F5" s="138">
        <v>216178215</v>
      </c>
      <c r="G5" s="137" t="s">
        <v>251</v>
      </c>
      <c r="H5" s="132" t="s">
        <v>252</v>
      </c>
      <c r="I5" s="139">
        <v>45821</v>
      </c>
      <c r="J5" s="139">
        <v>45850</v>
      </c>
      <c r="K5" s="140">
        <v>4375.75</v>
      </c>
      <c r="L5" s="140">
        <v>4504.1000000000004</v>
      </c>
    </row>
    <row r="6" spans="3:12" s="68" customFormat="1" x14ac:dyDescent="0.3">
      <c r="C6" s="148">
        <v>45824</v>
      </c>
      <c r="D6" s="145" t="s">
        <v>294</v>
      </c>
      <c r="E6" s="179" t="s">
        <v>324</v>
      </c>
      <c r="F6" s="146">
        <v>216262998</v>
      </c>
      <c r="G6" s="147" t="s">
        <v>251</v>
      </c>
      <c r="H6" s="145" t="s">
        <v>252</v>
      </c>
      <c r="I6" s="148">
        <v>45824</v>
      </c>
      <c r="J6" s="148">
        <v>45853</v>
      </c>
      <c r="K6" s="149">
        <v>4831.96</v>
      </c>
      <c r="L6" s="149">
        <v>4968.8599999999997</v>
      </c>
    </row>
    <row r="7" spans="3:12" x14ac:dyDescent="0.3">
      <c r="C7" s="139">
        <v>45825</v>
      </c>
      <c r="D7" s="132" t="s">
        <v>294</v>
      </c>
      <c r="E7" s="178" t="s">
        <v>325</v>
      </c>
      <c r="F7" s="138">
        <v>216262998</v>
      </c>
      <c r="G7" s="137" t="s">
        <v>251</v>
      </c>
      <c r="H7" s="132" t="s">
        <v>252</v>
      </c>
      <c r="I7" s="139">
        <v>45825</v>
      </c>
      <c r="J7" s="139">
        <v>45854</v>
      </c>
      <c r="K7" s="140">
        <v>4831.96</v>
      </c>
      <c r="L7" s="140">
        <v>4967.25</v>
      </c>
    </row>
    <row r="8" spans="3:12" x14ac:dyDescent="0.3">
      <c r="C8" s="143">
        <v>45826</v>
      </c>
      <c r="D8" s="130" t="s">
        <v>294</v>
      </c>
      <c r="E8" s="178" t="s">
        <v>328</v>
      </c>
      <c r="F8" s="142">
        <v>46445801</v>
      </c>
      <c r="G8" s="141" t="s">
        <v>251</v>
      </c>
      <c r="H8" s="130" t="s">
        <v>252</v>
      </c>
      <c r="I8" s="143">
        <v>45826</v>
      </c>
      <c r="J8" s="143">
        <v>45855</v>
      </c>
      <c r="K8" s="144">
        <v>4691.8100000000004</v>
      </c>
      <c r="L8" s="144">
        <v>4691.8100000000004</v>
      </c>
    </row>
    <row r="9" spans="3:12" x14ac:dyDescent="0.3">
      <c r="C9" s="139">
        <v>45836</v>
      </c>
      <c r="D9" s="132" t="s">
        <v>294</v>
      </c>
      <c r="E9" s="178" t="s">
        <v>329</v>
      </c>
      <c r="F9" s="138">
        <v>156400259</v>
      </c>
      <c r="G9" s="137" t="s">
        <v>251</v>
      </c>
      <c r="H9" s="132" t="s">
        <v>252</v>
      </c>
      <c r="I9" s="139">
        <v>45836</v>
      </c>
      <c r="J9" s="139">
        <v>45865</v>
      </c>
      <c r="K9" s="140">
        <v>1408.66</v>
      </c>
      <c r="L9" s="140">
        <v>1442.93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PLANEJAMENTO</vt:lpstr>
      <vt:lpstr>BASE</vt:lpstr>
      <vt:lpstr>AJUSTES</vt:lpstr>
      <vt:lpstr>Planilha3</vt:lpstr>
      <vt:lpstr>Planilha7</vt:lpstr>
      <vt:lpstr>Planilha2</vt:lpstr>
      <vt:lpstr>ACORDO</vt:lpstr>
      <vt:lpstr>NEXTI</vt:lpstr>
      <vt:lpstr>Planilha1</vt:lpstr>
      <vt:lpstr>DDA VENCIDO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2025-09-25T22:24:00Z</dcterms:modified>
</cp:coreProperties>
</file>