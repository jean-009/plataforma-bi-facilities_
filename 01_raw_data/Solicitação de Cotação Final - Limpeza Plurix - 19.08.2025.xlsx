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c1092e8b3eddada/SEGNO/CLIENTES/HServ/Clientes/Plurix - Boa e Avenida/"/>
    </mc:Choice>
  </mc:AlternateContent>
  <xr:revisionPtr revIDLastSave="289" documentId="13_ncr:1_{ADC9261B-F33B-43E7-841D-85608E5CBC53}" xr6:coauthVersionLast="47" xr6:coauthVersionMax="47" xr10:uidLastSave="{F5C561E5-61F5-4689-9726-9696576BDBCF}"/>
  <bookViews>
    <workbookView xWindow="-120" yWindow="480" windowWidth="20730" windowHeight="11160" tabRatio="395" xr2:uid="{68886FB3-1555-4DAA-9985-7AA11C1B38C6}"/>
  </bookViews>
  <sheets>
    <sheet name="Solicitação Cotação Final" sheetId="1" r:id="rId1"/>
  </sheets>
  <externalReferences>
    <externalReference r:id="rId2"/>
    <externalReference r:id="rId3"/>
    <externalReference r:id="rId4"/>
    <externalReference r:id="rId5"/>
  </externalReferences>
  <definedNames>
    <definedName name="\i">#REF!</definedName>
    <definedName name="\l">#REF!</definedName>
    <definedName name="\s">#REF!</definedName>
    <definedName name="\t">#REF!</definedName>
    <definedName name="______we3">#REF!</definedName>
    <definedName name="___R">#REF!</definedName>
    <definedName name="_1_i_1">#REF!</definedName>
    <definedName name="_2_l_1">#REF!</definedName>
    <definedName name="_3_s_1">#REF!</definedName>
    <definedName name="_4_t_1">#REF!</definedName>
    <definedName name="_5Excel_BuiltIn_Print_Area_2_1">#REF!</definedName>
    <definedName name="_6Excel_BuiltIn_Print_Area_2_1_1">#REF!</definedName>
    <definedName name="_7Excel_BuiltIn_Print_Area_2_1_1_1">#REF!</definedName>
    <definedName name="_8Excel_BuiltIn_Print_Area_2_1_1_1_1">#REF!</definedName>
    <definedName name="_xlnm._FilterDatabase" localSheetId="0" hidden="1">'Solicitação Cotação Final'!$A$11:$AP$11</definedName>
    <definedName name="_i">#REF!</definedName>
    <definedName name="_l">#REF!</definedName>
    <definedName name="_R">#REF!</definedName>
    <definedName name="_s">#REF!</definedName>
    <definedName name="_t">#REF!</definedName>
    <definedName name="Área_impressão_IM">#REF!</definedName>
    <definedName name="Área_impressão_IM_2">#REF!</definedName>
    <definedName name="b">#REF!</definedName>
    <definedName name="d">#REF!</definedName>
    <definedName name="e">#REF!</definedName>
    <definedName name="estados">[1]Plan2!$F$3:$F$29</definedName>
    <definedName name="Excel_BuiltIn_Print_Area_1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2">#REF!</definedName>
    <definedName name="Excel_BuiltIn_Print_Area_2_2">#REF!</definedName>
    <definedName name="Excel_BuiltIn_Print_Area_3">#REF!</definedName>
    <definedName name="Excel_BuiltIn_Print_Area_3_1">#REF!</definedName>
    <definedName name="Excel_BuiltIn_Print_Area_4">#REF!</definedName>
    <definedName name="Excel_BuiltIn_Print_Titles_4">#REF!</definedName>
    <definedName name="Fechamento">#REF!</definedName>
    <definedName name="h">#REF!</definedName>
    <definedName name="hhh">#REF!</definedName>
    <definedName name="hhhh">#REF!</definedName>
    <definedName name="hhhhh">#REF!</definedName>
    <definedName name="hhhhhh">#REF!</definedName>
    <definedName name="hhhhhhhh">#REF!</definedName>
    <definedName name="ii">#REF!</definedName>
    <definedName name="iiii">#N/A</definedName>
    <definedName name="iiiiiii">#REF!</definedName>
    <definedName name="jh">#REF!</definedName>
    <definedName name="jjjjj">#REF!</definedName>
    <definedName name="kkk">#REF!</definedName>
    <definedName name="MACROS">#REF!</definedName>
    <definedName name="MACROS_2">#REF!</definedName>
    <definedName name="mm">#REF!</definedName>
    <definedName name="PVA">[2]BDI!#REF!</definedName>
    <definedName name="R_2">#REF!</definedName>
    <definedName name="regional">[1]Plan2!$A$3:$A$11</definedName>
    <definedName name="rrrr">#REF!</definedName>
    <definedName name="s">#REF!</definedName>
    <definedName name="simnao">[3]Plan2!$E$3:$E$4</definedName>
    <definedName name="t">#REF!</definedName>
    <definedName name="TESTE">#REF!</definedName>
    <definedName name="TESTE_2">#REF!</definedName>
    <definedName name="tipo_logradouro">[4]Combos!$B$5:$B$7</definedName>
    <definedName name="tipo_loja">[4]Combos!$A$5:$A$8</definedName>
    <definedName name="ult_evento">#REF!</definedName>
    <definedName name="uuuuu">#REF!</definedName>
    <definedName name="v">#REF!</definedName>
    <definedName name="w">#REF!</definedName>
    <definedName name="wrn.pedidop." hidden="1">{#N/A,#N/A,FALSE,"Plan11"}</definedName>
    <definedName name="xxxx">#REF!</definedName>
    <definedName name="y">#REF!</definedName>
    <definedName name="yu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90" i="1" l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26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50" i="1"/>
  <c r="Y13" i="1"/>
  <c r="Y14" i="1"/>
  <c r="Y15" i="1"/>
  <c r="Y16" i="1"/>
  <c r="Y17" i="1"/>
  <c r="Y18" i="1"/>
  <c r="Y19" i="1"/>
  <c r="Y20" i="1"/>
  <c r="Y21" i="1"/>
  <c r="Y22" i="1"/>
  <c r="Y23" i="1"/>
  <c r="Y12" i="1"/>
  <c r="V13" i="1"/>
  <c r="V14" i="1"/>
  <c r="V15" i="1"/>
  <c r="V16" i="1"/>
  <c r="V17" i="1"/>
  <c r="V18" i="1"/>
  <c r="V19" i="1"/>
  <c r="V20" i="1"/>
  <c r="V21" i="1"/>
  <c r="V22" i="1"/>
  <c r="V23" i="1"/>
  <c r="V12" i="1"/>
  <c r="AA48" i="1" l="1"/>
  <c r="W12" i="1"/>
  <c r="Z12" i="1"/>
  <c r="AC12" i="1" s="1"/>
  <c r="W13" i="1"/>
  <c r="W14" i="1"/>
  <c r="W15" i="1"/>
  <c r="W16" i="1"/>
  <c r="W17" i="1"/>
  <c r="W18" i="1"/>
  <c r="W19" i="1"/>
  <c r="W20" i="1"/>
  <c r="W21" i="1"/>
  <c r="W22" i="1"/>
  <c r="W23" i="1"/>
  <c r="Z13" i="1"/>
  <c r="Z14" i="1"/>
  <c r="Z15" i="1"/>
  <c r="Z16" i="1"/>
  <c r="Z17" i="1"/>
  <c r="Z18" i="1"/>
  <c r="Z19" i="1"/>
  <c r="Z20" i="1"/>
  <c r="Z21" i="1"/>
  <c r="Z22" i="1"/>
  <c r="Z23" i="1"/>
  <c r="X207" i="1"/>
  <c r="U207" i="1"/>
  <c r="P207" i="1"/>
  <c r="Z206" i="1"/>
  <c r="W206" i="1"/>
  <c r="Z205" i="1"/>
  <c r="W205" i="1"/>
  <c r="Z204" i="1"/>
  <c r="W204" i="1"/>
  <c r="Z203" i="1"/>
  <c r="W203" i="1"/>
  <c r="Z202" i="1"/>
  <c r="W202" i="1"/>
  <c r="Z201" i="1"/>
  <c r="W201" i="1"/>
  <c r="Z200" i="1"/>
  <c r="W200" i="1"/>
  <c r="Z199" i="1"/>
  <c r="W199" i="1"/>
  <c r="Z198" i="1"/>
  <c r="W198" i="1"/>
  <c r="Z197" i="1"/>
  <c r="W197" i="1"/>
  <c r="Z196" i="1"/>
  <c r="W196" i="1"/>
  <c r="Z195" i="1"/>
  <c r="W195" i="1"/>
  <c r="Z194" i="1"/>
  <c r="W194" i="1"/>
  <c r="Z193" i="1"/>
  <c r="W193" i="1"/>
  <c r="Z192" i="1"/>
  <c r="W192" i="1"/>
  <c r="Z191" i="1"/>
  <c r="W191" i="1"/>
  <c r="Z190" i="1"/>
  <c r="W190" i="1"/>
  <c r="Z189" i="1"/>
  <c r="W189" i="1"/>
  <c r="Z188" i="1"/>
  <c r="W188" i="1"/>
  <c r="Z187" i="1"/>
  <c r="W187" i="1"/>
  <c r="Z186" i="1"/>
  <c r="W186" i="1"/>
  <c r="Z185" i="1"/>
  <c r="W185" i="1"/>
  <c r="Z184" i="1"/>
  <c r="W184" i="1"/>
  <c r="Z183" i="1"/>
  <c r="W183" i="1"/>
  <c r="Z182" i="1"/>
  <c r="W182" i="1"/>
  <c r="Z181" i="1"/>
  <c r="W181" i="1"/>
  <c r="Z180" i="1"/>
  <c r="W180" i="1"/>
  <c r="Z179" i="1"/>
  <c r="W179" i="1"/>
  <c r="Z178" i="1"/>
  <c r="W178" i="1"/>
  <c r="Z177" i="1"/>
  <c r="W177" i="1"/>
  <c r="Z176" i="1"/>
  <c r="W176" i="1"/>
  <c r="Z175" i="1"/>
  <c r="W175" i="1"/>
  <c r="Z174" i="1"/>
  <c r="W174" i="1"/>
  <c r="Z173" i="1"/>
  <c r="W173" i="1"/>
  <c r="Z172" i="1"/>
  <c r="W172" i="1"/>
  <c r="Z171" i="1"/>
  <c r="W171" i="1"/>
  <c r="Z170" i="1"/>
  <c r="W170" i="1"/>
  <c r="Z169" i="1"/>
  <c r="W169" i="1"/>
  <c r="Z168" i="1"/>
  <c r="W168" i="1"/>
  <c r="Z167" i="1"/>
  <c r="W167" i="1"/>
  <c r="Z166" i="1"/>
  <c r="W166" i="1"/>
  <c r="Z165" i="1"/>
  <c r="W165" i="1"/>
  <c r="Z164" i="1"/>
  <c r="W164" i="1"/>
  <c r="Z163" i="1"/>
  <c r="W163" i="1"/>
  <c r="Z162" i="1"/>
  <c r="W162" i="1"/>
  <c r="Z161" i="1"/>
  <c r="W161" i="1"/>
  <c r="Z160" i="1"/>
  <c r="W160" i="1"/>
  <c r="X158" i="1"/>
  <c r="U158" i="1"/>
  <c r="P158" i="1"/>
  <c r="Z157" i="1"/>
  <c r="W157" i="1"/>
  <c r="Z156" i="1"/>
  <c r="W156" i="1"/>
  <c r="Z155" i="1"/>
  <c r="W155" i="1"/>
  <c r="Z154" i="1"/>
  <c r="W154" i="1"/>
  <c r="Z153" i="1"/>
  <c r="W153" i="1"/>
  <c r="Z152" i="1"/>
  <c r="W152" i="1"/>
  <c r="Z151" i="1"/>
  <c r="W151" i="1"/>
  <c r="Z150" i="1"/>
  <c r="W150" i="1"/>
  <c r="Z149" i="1"/>
  <c r="W149" i="1"/>
  <c r="Z148" i="1"/>
  <c r="W148" i="1"/>
  <c r="Z147" i="1"/>
  <c r="W147" i="1"/>
  <c r="Z146" i="1"/>
  <c r="W146" i="1"/>
  <c r="Z145" i="1"/>
  <c r="W145" i="1"/>
  <c r="Z144" i="1"/>
  <c r="W144" i="1"/>
  <c r="Z143" i="1"/>
  <c r="W143" i="1"/>
  <c r="Z142" i="1"/>
  <c r="W142" i="1"/>
  <c r="Z141" i="1"/>
  <c r="W141" i="1"/>
  <c r="Z140" i="1"/>
  <c r="AC140" i="1" s="1"/>
  <c r="W140" i="1"/>
  <c r="Z139" i="1"/>
  <c r="W139" i="1"/>
  <c r="Z138" i="1"/>
  <c r="W138" i="1"/>
  <c r="Z137" i="1"/>
  <c r="W137" i="1"/>
  <c r="Z136" i="1"/>
  <c r="AC136" i="1" s="1"/>
  <c r="W136" i="1"/>
  <c r="Z135" i="1"/>
  <c r="W135" i="1"/>
  <c r="Z134" i="1"/>
  <c r="AC134" i="1" s="1"/>
  <c r="W134" i="1"/>
  <c r="Z133" i="1"/>
  <c r="W133" i="1"/>
  <c r="Z132" i="1"/>
  <c r="AC132" i="1" s="1"/>
  <c r="W132" i="1"/>
  <c r="Z131" i="1"/>
  <c r="W131" i="1"/>
  <c r="Z130" i="1"/>
  <c r="W130" i="1"/>
  <c r="Z129" i="1"/>
  <c r="W129" i="1"/>
  <c r="Z128" i="1"/>
  <c r="W128" i="1"/>
  <c r="Z127" i="1"/>
  <c r="W127" i="1"/>
  <c r="Z126" i="1"/>
  <c r="W126" i="1"/>
  <c r="Z125" i="1"/>
  <c r="W125" i="1"/>
  <c r="Z124" i="1"/>
  <c r="W124" i="1"/>
  <c r="Z123" i="1"/>
  <c r="W123" i="1"/>
  <c r="Z122" i="1"/>
  <c r="W122" i="1"/>
  <c r="Z121" i="1"/>
  <c r="W121" i="1"/>
  <c r="Z120" i="1"/>
  <c r="W120" i="1"/>
  <c r="Z119" i="1"/>
  <c r="W119" i="1"/>
  <c r="Z118" i="1"/>
  <c r="W118" i="1"/>
  <c r="Z117" i="1"/>
  <c r="W117" i="1"/>
  <c r="Z116" i="1"/>
  <c r="W116" i="1"/>
  <c r="Z115" i="1"/>
  <c r="W115" i="1"/>
  <c r="Z114" i="1"/>
  <c r="W114" i="1"/>
  <c r="Z113" i="1"/>
  <c r="W113" i="1"/>
  <c r="AC112" i="1"/>
  <c r="Z112" i="1"/>
  <c r="W112" i="1"/>
  <c r="Z111" i="1"/>
  <c r="W111" i="1"/>
  <c r="Z110" i="1"/>
  <c r="W110" i="1"/>
  <c r="Z109" i="1"/>
  <c r="W109" i="1"/>
  <c r="Z108" i="1"/>
  <c r="W108" i="1"/>
  <c r="Z107" i="1"/>
  <c r="W107" i="1"/>
  <c r="Z106" i="1"/>
  <c r="W106" i="1"/>
  <c r="Z105" i="1"/>
  <c r="W105" i="1"/>
  <c r="Z104" i="1"/>
  <c r="W104" i="1"/>
  <c r="Z103" i="1"/>
  <c r="W103" i="1"/>
  <c r="Z102" i="1"/>
  <c r="W102" i="1"/>
  <c r="Z101" i="1"/>
  <c r="W101" i="1"/>
  <c r="Z100" i="1"/>
  <c r="W100" i="1"/>
  <c r="Z99" i="1"/>
  <c r="W99" i="1"/>
  <c r="Z98" i="1"/>
  <c r="W98" i="1"/>
  <c r="AC98" i="1" s="1"/>
  <c r="Z97" i="1"/>
  <c r="W97" i="1"/>
  <c r="Z96" i="1"/>
  <c r="W96" i="1"/>
  <c r="Z95" i="1"/>
  <c r="W95" i="1"/>
  <c r="Z94" i="1"/>
  <c r="W94" i="1"/>
  <c r="Z93" i="1"/>
  <c r="W93" i="1"/>
  <c r="Z92" i="1"/>
  <c r="W92" i="1"/>
  <c r="X90" i="1"/>
  <c r="U90" i="1"/>
  <c r="P90" i="1"/>
  <c r="Z89" i="1"/>
  <c r="W89" i="1"/>
  <c r="L89" i="1"/>
  <c r="Z88" i="1"/>
  <c r="W88" i="1"/>
  <c r="L88" i="1"/>
  <c r="Z87" i="1"/>
  <c r="W87" i="1"/>
  <c r="L87" i="1"/>
  <c r="Z86" i="1"/>
  <c r="W86" i="1"/>
  <c r="L86" i="1"/>
  <c r="Z85" i="1"/>
  <c r="W85" i="1"/>
  <c r="L85" i="1"/>
  <c r="Z84" i="1"/>
  <c r="W84" i="1"/>
  <c r="L84" i="1"/>
  <c r="Z83" i="1"/>
  <c r="W83" i="1"/>
  <c r="L83" i="1"/>
  <c r="Z82" i="1"/>
  <c r="W82" i="1"/>
  <c r="L82" i="1"/>
  <c r="Z81" i="1"/>
  <c r="W81" i="1"/>
  <c r="L81" i="1"/>
  <c r="Z80" i="1"/>
  <c r="W80" i="1"/>
  <c r="L80" i="1"/>
  <c r="Z79" i="1"/>
  <c r="W79" i="1"/>
  <c r="L79" i="1"/>
  <c r="Z78" i="1"/>
  <c r="W78" i="1"/>
  <c r="L78" i="1"/>
  <c r="Z77" i="1"/>
  <c r="W77" i="1"/>
  <c r="L77" i="1"/>
  <c r="Z76" i="1"/>
  <c r="W76" i="1"/>
  <c r="L76" i="1"/>
  <c r="Z75" i="1"/>
  <c r="W75" i="1"/>
  <c r="L75" i="1"/>
  <c r="Z74" i="1"/>
  <c r="W74" i="1"/>
  <c r="L74" i="1"/>
  <c r="Z73" i="1"/>
  <c r="W73" i="1"/>
  <c r="L73" i="1"/>
  <c r="Z72" i="1"/>
  <c r="W72" i="1"/>
  <c r="L72" i="1"/>
  <c r="Z71" i="1"/>
  <c r="W71" i="1"/>
  <c r="L71" i="1"/>
  <c r="Z70" i="1"/>
  <c r="W70" i="1"/>
  <c r="L70" i="1"/>
  <c r="Z69" i="1"/>
  <c r="W69" i="1"/>
  <c r="L69" i="1"/>
  <c r="Z68" i="1"/>
  <c r="W68" i="1"/>
  <c r="L68" i="1"/>
  <c r="Z67" i="1"/>
  <c r="W67" i="1"/>
  <c r="L67" i="1"/>
  <c r="Z66" i="1"/>
  <c r="W66" i="1"/>
  <c r="L66" i="1"/>
  <c r="Z65" i="1"/>
  <c r="W65" i="1"/>
  <c r="L65" i="1"/>
  <c r="Z64" i="1"/>
  <c r="W64" i="1"/>
  <c r="L64" i="1"/>
  <c r="Z63" i="1"/>
  <c r="W63" i="1"/>
  <c r="L63" i="1"/>
  <c r="Z62" i="1"/>
  <c r="W62" i="1"/>
  <c r="L62" i="1"/>
  <c r="Z61" i="1"/>
  <c r="W61" i="1"/>
  <c r="L61" i="1"/>
  <c r="Z60" i="1"/>
  <c r="W60" i="1"/>
  <c r="L60" i="1"/>
  <c r="Z59" i="1"/>
  <c r="W59" i="1"/>
  <c r="L59" i="1"/>
  <c r="Z58" i="1"/>
  <c r="W58" i="1"/>
  <c r="L58" i="1"/>
  <c r="Z57" i="1"/>
  <c r="W57" i="1"/>
  <c r="L57" i="1"/>
  <c r="Z56" i="1"/>
  <c r="W56" i="1"/>
  <c r="L56" i="1"/>
  <c r="Z55" i="1"/>
  <c r="W55" i="1"/>
  <c r="L55" i="1"/>
  <c r="Z54" i="1"/>
  <c r="W54" i="1"/>
  <c r="L54" i="1"/>
  <c r="Z53" i="1"/>
  <c r="W53" i="1"/>
  <c r="L53" i="1"/>
  <c r="Z52" i="1"/>
  <c r="W52" i="1"/>
  <c r="L52" i="1"/>
  <c r="Z51" i="1"/>
  <c r="W51" i="1"/>
  <c r="L51" i="1"/>
  <c r="Z50" i="1"/>
  <c r="W50" i="1"/>
  <c r="L50" i="1"/>
  <c r="X48" i="1"/>
  <c r="U48" i="1"/>
  <c r="P48" i="1"/>
  <c r="Z47" i="1"/>
  <c r="W47" i="1"/>
  <c r="Z46" i="1"/>
  <c r="W46" i="1"/>
  <c r="Z45" i="1"/>
  <c r="W45" i="1"/>
  <c r="Z44" i="1"/>
  <c r="W44" i="1"/>
  <c r="Z43" i="1"/>
  <c r="W43" i="1"/>
  <c r="Z42" i="1"/>
  <c r="W42" i="1"/>
  <c r="Z41" i="1"/>
  <c r="W41" i="1"/>
  <c r="Z40" i="1"/>
  <c r="W40" i="1"/>
  <c r="Z39" i="1"/>
  <c r="W39" i="1"/>
  <c r="Z38" i="1"/>
  <c r="W38" i="1"/>
  <c r="Z37" i="1"/>
  <c r="W37" i="1"/>
  <c r="Z36" i="1"/>
  <c r="W36" i="1"/>
  <c r="AC36" i="1" s="1"/>
  <c r="Z35" i="1"/>
  <c r="W35" i="1"/>
  <c r="Z34" i="1"/>
  <c r="W34" i="1"/>
  <c r="Z33" i="1"/>
  <c r="W33" i="1"/>
  <c r="Z32" i="1"/>
  <c r="W32" i="1"/>
  <c r="Z31" i="1"/>
  <c r="W31" i="1"/>
  <c r="Z30" i="1"/>
  <c r="W30" i="1"/>
  <c r="Z29" i="1"/>
  <c r="W29" i="1"/>
  <c r="Z28" i="1"/>
  <c r="W28" i="1"/>
  <c r="Z27" i="1"/>
  <c r="W27" i="1"/>
  <c r="Z26" i="1"/>
  <c r="W26" i="1"/>
  <c r="X24" i="1"/>
  <c r="U24" i="1"/>
  <c r="P24" i="1"/>
  <c r="L23" i="1"/>
  <c r="L22" i="1"/>
  <c r="I22" i="1"/>
  <c r="AC200" i="1" l="1"/>
  <c r="AC43" i="1"/>
  <c r="AC41" i="1"/>
  <c r="AC190" i="1"/>
  <c r="AC192" i="1"/>
  <c r="AC194" i="1"/>
  <c r="AC196" i="1"/>
  <c r="AC186" i="1"/>
  <c r="AC177" i="1"/>
  <c r="AC173" i="1"/>
  <c r="AC201" i="1"/>
  <c r="AC205" i="1"/>
  <c r="AC188" i="1"/>
  <c r="AC97" i="1"/>
  <c r="AC95" i="1"/>
  <c r="AC93" i="1"/>
  <c r="AC127" i="1"/>
  <c r="AC155" i="1"/>
  <c r="AC110" i="1"/>
  <c r="AC126" i="1"/>
  <c r="AC154" i="1"/>
  <c r="AC70" i="1"/>
  <c r="AC74" i="1"/>
  <c r="AC78" i="1"/>
  <c r="AC82" i="1"/>
  <c r="AC86" i="1"/>
  <c r="AC69" i="1"/>
  <c r="AC64" i="1"/>
  <c r="AC19" i="1"/>
  <c r="AC23" i="1"/>
  <c r="AC21" i="1"/>
  <c r="AC13" i="1"/>
  <c r="AC17" i="1"/>
  <c r="AC22" i="1"/>
  <c r="AC15" i="1"/>
  <c r="AC172" i="1"/>
  <c r="AC197" i="1"/>
  <c r="AC166" i="1"/>
  <c r="AC179" i="1"/>
  <c r="AC174" i="1"/>
  <c r="AC187" i="1"/>
  <c r="AC191" i="1"/>
  <c r="AC193" i="1"/>
  <c r="AC195" i="1"/>
  <c r="AC202" i="1"/>
  <c r="AC204" i="1"/>
  <c r="AC206" i="1"/>
  <c r="AC162" i="1"/>
  <c r="AC164" i="1"/>
  <c r="AC168" i="1"/>
  <c r="AC170" i="1"/>
  <c r="AC181" i="1"/>
  <c r="AC185" i="1"/>
  <c r="AC176" i="1"/>
  <c r="AC163" i="1"/>
  <c r="AC165" i="1"/>
  <c r="AC167" i="1"/>
  <c r="AC169" i="1"/>
  <c r="AC171" i="1"/>
  <c r="AC180" i="1"/>
  <c r="AC182" i="1"/>
  <c r="AC199" i="1"/>
  <c r="AC105" i="1"/>
  <c r="AC99" i="1"/>
  <c r="AC103" i="1"/>
  <c r="AC114" i="1"/>
  <c r="AC116" i="1"/>
  <c r="AC122" i="1"/>
  <c r="AC131" i="1"/>
  <c r="AC142" i="1"/>
  <c r="AC144" i="1"/>
  <c r="AC146" i="1"/>
  <c r="AC148" i="1"/>
  <c r="AC150" i="1"/>
  <c r="AC96" i="1"/>
  <c r="AC107" i="1"/>
  <c r="AC109" i="1"/>
  <c r="AC111" i="1"/>
  <c r="AC133" i="1"/>
  <c r="AC135" i="1"/>
  <c r="AC137" i="1"/>
  <c r="AC139" i="1"/>
  <c r="AC100" i="1"/>
  <c r="AC102" i="1"/>
  <c r="AC104" i="1"/>
  <c r="AC117" i="1"/>
  <c r="AC119" i="1"/>
  <c r="AC121" i="1"/>
  <c r="AC123" i="1"/>
  <c r="AC125" i="1"/>
  <c r="AC128" i="1"/>
  <c r="AC130" i="1"/>
  <c r="AC141" i="1"/>
  <c r="AC143" i="1"/>
  <c r="AC145" i="1"/>
  <c r="AC147" i="1"/>
  <c r="AC149" i="1"/>
  <c r="AC153" i="1"/>
  <c r="AC29" i="1"/>
  <c r="AC45" i="1"/>
  <c r="AC47" i="1"/>
  <c r="AC28" i="1"/>
  <c r="AC34" i="1"/>
  <c r="AC27" i="1"/>
  <c r="AC38" i="1"/>
  <c r="AC40" i="1"/>
  <c r="AC42" i="1"/>
  <c r="AC30" i="1"/>
  <c r="W48" i="1"/>
  <c r="V48" i="1" s="1"/>
  <c r="AC31" i="1"/>
  <c r="AC33" i="1"/>
  <c r="AC35" i="1"/>
  <c r="AC66" i="1"/>
  <c r="AC51" i="1"/>
  <c r="AC55" i="1"/>
  <c r="AC59" i="1"/>
  <c r="AC63" i="1"/>
  <c r="AC68" i="1"/>
  <c r="AC73" i="1"/>
  <c r="AC77" i="1"/>
  <c r="AC85" i="1"/>
  <c r="AC89" i="1"/>
  <c r="AC54" i="1"/>
  <c r="AC58" i="1"/>
  <c r="AC62" i="1"/>
  <c r="AC72" i="1"/>
  <c r="AC80" i="1"/>
  <c r="AC84" i="1"/>
  <c r="AC57" i="1"/>
  <c r="AC61" i="1"/>
  <c r="AC65" i="1"/>
  <c r="AC71" i="1"/>
  <c r="AC75" i="1"/>
  <c r="AC79" i="1"/>
  <c r="AC83" i="1"/>
  <c r="AC87" i="1"/>
  <c r="AC50" i="1"/>
  <c r="W90" i="1"/>
  <c r="V90" i="1" s="1"/>
  <c r="AC18" i="1"/>
  <c r="AC14" i="1"/>
  <c r="AC20" i="1"/>
  <c r="AC16" i="1"/>
  <c r="Z90" i="1"/>
  <c r="Z24" i="1"/>
  <c r="Y24" i="1" s="1"/>
  <c r="AC178" i="1"/>
  <c r="W207" i="1"/>
  <c r="V207" i="1" s="1"/>
  <c r="AC37" i="1"/>
  <c r="Z207" i="1"/>
  <c r="Y207" i="1" s="1"/>
  <c r="AC203" i="1"/>
  <c r="Z48" i="1"/>
  <c r="Y48" i="1" s="1"/>
  <c r="AC44" i="1"/>
  <c r="AC160" i="1"/>
  <c r="AC26" i="1"/>
  <c r="AC67" i="1"/>
  <c r="AC76" i="1"/>
  <c r="AC118" i="1"/>
  <c r="AC32" i="1"/>
  <c r="Z158" i="1"/>
  <c r="Y158" i="1" s="1"/>
  <c r="AC161" i="1"/>
  <c r="AC198" i="1"/>
  <c r="AC39" i="1"/>
  <c r="AC106" i="1"/>
  <c r="AC113" i="1"/>
  <c r="AC156" i="1"/>
  <c r="W24" i="1"/>
  <c r="V24" i="1" s="1"/>
  <c r="AC101" i="1"/>
  <c r="AC138" i="1"/>
  <c r="AC56" i="1"/>
  <c r="AC108" i="1"/>
  <c r="AC151" i="1"/>
  <c r="AC52" i="1"/>
  <c r="AC183" i="1"/>
  <c r="AC60" i="1"/>
  <c r="W158" i="1"/>
  <c r="V158" i="1" s="1"/>
  <c r="AC129" i="1"/>
  <c r="AC92" i="1"/>
  <c r="AC124" i="1"/>
  <c r="AC189" i="1"/>
  <c r="AC88" i="1"/>
  <c r="AC157" i="1"/>
  <c r="AC184" i="1"/>
  <c r="AC53" i="1"/>
  <c r="AC152" i="1"/>
  <c r="AC81" i="1"/>
  <c r="AC120" i="1"/>
  <c r="AC46" i="1"/>
  <c r="AC94" i="1"/>
  <c r="AC115" i="1"/>
  <c r="AC175" i="1"/>
  <c r="AC207" i="1" l="1"/>
  <c r="AC90" i="1"/>
  <c r="AC24" i="1"/>
  <c r="AC158" i="1"/>
  <c r="AC48" i="1"/>
</calcChain>
</file>

<file path=xl/sharedStrings.xml><?xml version="1.0" encoding="utf-8"?>
<sst xmlns="http://schemas.openxmlformats.org/spreadsheetml/2006/main" count="2383" uniqueCount="604">
  <si>
    <t>x</t>
  </si>
  <si>
    <t>Tabela de localidades e horários de serviço</t>
  </si>
  <si>
    <t>Investida</t>
  </si>
  <si>
    <t>Loja</t>
  </si>
  <si>
    <t>Endereço</t>
  </si>
  <si>
    <t>CEP</t>
  </si>
  <si>
    <t>Cidade</t>
  </si>
  <si>
    <t>UF</t>
  </si>
  <si>
    <t>Área salão de vendas (m²)</t>
  </si>
  <si>
    <t>Área depósito (m²)</t>
  </si>
  <si>
    <t>Piso área de vendas</t>
  </si>
  <si>
    <t>Área total (m²)</t>
  </si>
  <si>
    <t>Horário dias úteis</t>
  </si>
  <si>
    <t>Horário sábados</t>
  </si>
  <si>
    <t>Horário domingos e feriados</t>
  </si>
  <si>
    <t>Número colaboradores de limpeza</t>
  </si>
  <si>
    <t>Máquinas de limpeza (quais são)?</t>
  </si>
  <si>
    <t>São próprias ou alugadas?</t>
  </si>
  <si>
    <t>Escala</t>
  </si>
  <si>
    <t>Qtde colaboradores comuns</t>
  </si>
  <si>
    <t>Preço por colaborador comum</t>
  </si>
  <si>
    <t>Preço subtotal</t>
  </si>
  <si>
    <t>Qtde colaboradores banheiristas</t>
  </si>
  <si>
    <t>Preço por colaborador banheirista</t>
  </si>
  <si>
    <t>Locação máquina</t>
  </si>
  <si>
    <t>Modelo máquina</t>
  </si>
  <si>
    <t>Preço total</t>
  </si>
  <si>
    <t>Observações</t>
  </si>
  <si>
    <t>Paraná</t>
  </si>
  <si>
    <t>RUA MIGUEL LUIZ PEREIRA, 1536, CENTRO (MATRIZ)</t>
  </si>
  <si>
    <t>87305-360</t>
  </si>
  <si>
    <t>CAMPO MOURÃO</t>
  </si>
  <si>
    <t>PR</t>
  </si>
  <si>
    <t>N/A</t>
  </si>
  <si>
    <t>Porcelanato, ganito ou granilite</t>
  </si>
  <si>
    <t>08:00 as 21:00</t>
  </si>
  <si>
    <t>Domingos 08:00 as 13:00
Feriados 08:00 as 21:00</t>
  </si>
  <si>
    <t>Karcher Bd-50</t>
  </si>
  <si>
    <t>Próprias</t>
  </si>
  <si>
    <t>6x1</t>
  </si>
  <si>
    <t>AVENIDA BRASIL, 740, CENTRO (IVAIPORÃ)</t>
  </si>
  <si>
    <t>86870-000</t>
  </si>
  <si>
    <t>IVAIPORÃ</t>
  </si>
  <si>
    <t>AVENIDA IRMÃOS PEREIRA, 1500, CENTRO (MAX)</t>
  </si>
  <si>
    <t>87300-010</t>
  </si>
  <si>
    <r>
      <rPr>
        <b/>
        <sz val="10"/>
        <color rgb="FF01147E"/>
        <rFont val="Arial"/>
        <family val="2"/>
      </rPr>
      <t>(CD)</t>
    </r>
    <r>
      <rPr>
        <sz val="10"/>
        <color rgb="FF01147E"/>
        <rFont val="Arial"/>
        <family val="2"/>
      </rPr>
      <t xml:space="preserve"> RUA VIA DO TRABALHADOR, 473, PARQUE INDUSTRIAL I, BR 272 </t>
    </r>
  </si>
  <si>
    <t>87306-620</t>
  </si>
  <si>
    <t>06:00 as 18:00</t>
  </si>
  <si>
    <t>06:00 as 12:00</t>
  </si>
  <si>
    <t>Fechado</t>
  </si>
  <si>
    <t>RODOVIA BR 158 AVELINO PIACENTINI, 90, AREA URBANIZADA (FAMÍLIA)</t>
  </si>
  <si>
    <t>87309-650</t>
  </si>
  <si>
    <t>08:00 as 22:00</t>
  </si>
  <si>
    <t>Domingos 08:00 as 20:00
Feriados 08:00 as 22:00</t>
  </si>
  <si>
    <t>AVENIDA LADISLAO GIL FERNANDEZ, 2020, PARQUE INDUSTRIAL (ATACADISTA)</t>
  </si>
  <si>
    <t>Fechado
Feriados 08:00 as 21:00</t>
  </si>
  <si>
    <t>AVENIDA 19 DE AGOSTO, 1270, CENTRO</t>
  </si>
  <si>
    <t>87360-000</t>
  </si>
  <si>
    <t>GOIOERÊ</t>
  </si>
  <si>
    <t>RUA XV DE NOVEMBRO, 211, CENTRO</t>
  </si>
  <si>
    <t>85200-000</t>
  </si>
  <si>
    <t>PITANGA</t>
  </si>
  <si>
    <t>AVENIDA PRESIDENTE KENNEDY, 2026, JARDIM LAR PARANÁ (ATACADO CM)</t>
  </si>
  <si>
    <t>87306-000</t>
  </si>
  <si>
    <t>RUA 7 DE SETEMBRO, 701, CENTRO (ASSIS)</t>
  </si>
  <si>
    <t>85935-000</t>
  </si>
  <si>
    <t>ASSIS CHATEAUBRIAND</t>
  </si>
  <si>
    <t>RUA DUQUE DE CAXIAS 1606 JARDIM SANTA CECÍLIA</t>
  </si>
  <si>
    <t>85260-000</t>
  </si>
  <si>
    <t>MANOEL RIBAS</t>
  </si>
  <si>
    <t>RUA SANTA CATARINA 980 - CENTRO</t>
  </si>
  <si>
    <t>Total</t>
  </si>
  <si>
    <t>Boa</t>
  </si>
  <si>
    <t>Rua Marília, 60, Vila Hortolândia</t>
  </si>
  <si>
    <t>13214-302</t>
  </si>
  <si>
    <t>Jundiaí</t>
  </si>
  <si>
    <t>SP</t>
  </si>
  <si>
    <t>07:00 - 22:00</t>
  </si>
  <si>
    <t>Karcher B-70</t>
  </si>
  <si>
    <t>Alugadas</t>
  </si>
  <si>
    <t>5x1</t>
  </si>
  <si>
    <t>Rua Reinaldo Orsi, 50, Retiro</t>
  </si>
  <si>
    <t>13211-133</t>
  </si>
  <si>
    <t>07:00 - 14:00</t>
  </si>
  <si>
    <t>Av dos Imigrantes Italianos, 1973, Jd Pacaembu</t>
  </si>
  <si>
    <t>13218-090</t>
  </si>
  <si>
    <t>07:00 - 00:00</t>
  </si>
  <si>
    <t>Rua Maranhão, 256, Jacaré</t>
  </si>
  <si>
    <t>13318-000</t>
  </si>
  <si>
    <t>Cabreúva</t>
  </si>
  <si>
    <t>Rua Osmundo dos Santos Pelegrini, 1000, Recanto Quarto Centenário</t>
  </si>
  <si>
    <t>13211-745</t>
  </si>
  <si>
    <t>Av Bertioga, s/n°, Vila Tupi</t>
  </si>
  <si>
    <t>13225-000</t>
  </si>
  <si>
    <t>Várzea Paulista</t>
  </si>
  <si>
    <t>Rua Bom Jesus do Pirapora, 2881, Vila Rami</t>
  </si>
  <si>
    <t>13206-305</t>
  </si>
  <si>
    <t>Rua Demerson Gomes Romano, 386, Centro</t>
  </si>
  <si>
    <t>07902-000</t>
  </si>
  <si>
    <t>Francisco Morato</t>
  </si>
  <si>
    <t>Av Itatiba, 50, Vila Liberdade</t>
  </si>
  <si>
    <t>13208-056</t>
  </si>
  <si>
    <t>07:00 - 21:00</t>
  </si>
  <si>
    <t>Rua Coronel Nogueira Padilha, 2112, Vila Hortência</t>
  </si>
  <si>
    <t>18020-003</t>
  </si>
  <si>
    <t>Sorocaba</t>
  </si>
  <si>
    <t>Rua Jorge Zolner, 95, Centro</t>
  </si>
  <si>
    <t>13201-039</t>
  </si>
  <si>
    <t>Av Dr. Olavo Guimarães, 253, Vila Arens</t>
  </si>
  <si>
    <t>13201-760</t>
  </si>
  <si>
    <t>Rua do Retiro, 925, Parque do Colégio</t>
  </si>
  <si>
    <t>15992-503</t>
  </si>
  <si>
    <t>24 horas</t>
  </si>
  <si>
    <t>15 ADM</t>
  </si>
  <si>
    <t>08:00 - 18:00</t>
  </si>
  <si>
    <t xml:space="preserve">Avenida Alfried Krupp, 600 - Centro, Campo Limpo Paulista </t>
  </si>
  <si>
    <t>13230-060</t>
  </si>
  <si>
    <t>Campo Limpo</t>
  </si>
  <si>
    <t>Avenida Benedito Castilho de Andrade, 1300, Pq. Residencial Eloy Chaves</t>
  </si>
  <si>
    <t>13212-070</t>
  </si>
  <si>
    <t>Av Odila Chaves Rodrigues, 1200 – Parque Industrial RM – Galpão 3, 4 e 5</t>
  </si>
  <si>
    <t>13213-087</t>
  </si>
  <si>
    <t>-</t>
  </si>
  <si>
    <t>08:00-18:00</t>
  </si>
  <si>
    <t>Av. Quatorze de Dezembro, 2333, Vila Mafalda</t>
  </si>
  <si>
    <t>13206-105</t>
  </si>
  <si>
    <t>Rod. Vereador Geraldo Dias, S/N, Parque Centenário</t>
  </si>
  <si>
    <t>13214-788</t>
  </si>
  <si>
    <t>Rua Treze de Maio, 1050, Vila Olivo</t>
  </si>
  <si>
    <t>13276-020</t>
  </si>
  <si>
    <t>Valinhos</t>
  </si>
  <si>
    <t>Av. Antonio Carlos Comitre, 510, Parque Campolim</t>
  </si>
  <si>
    <t>18047-620</t>
  </si>
  <si>
    <t>Avenida Caldas Carvalho 260</t>
  </si>
  <si>
    <t>13145-005</t>
  </si>
  <si>
    <t>Paulínia</t>
  </si>
  <si>
    <t>Avenida</t>
  </si>
  <si>
    <t xml:space="preserve">Avenida Vereador David Passarinho, 381 - Vila Souza </t>
  </si>
  <si>
    <t>19804-400</t>
  </si>
  <si>
    <t>Assis</t>
  </si>
  <si>
    <t>Granito</t>
  </si>
  <si>
    <t xml:space="preserve">7H30 ÀS 21H </t>
  </si>
  <si>
    <t xml:space="preserve"> 7H30 ÀS 21H </t>
  </si>
  <si>
    <t xml:space="preserve"> 7H30 ÀS 20H</t>
  </si>
  <si>
    <t>AS510B - karsher</t>
  </si>
  <si>
    <t xml:space="preserve">Rua J. V. da Cunha e Silva, 751 – Centro </t>
  </si>
  <si>
    <t>19800-140</t>
  </si>
  <si>
    <t>Porcelanato ou graniite</t>
  </si>
  <si>
    <t>Não possui</t>
  </si>
  <si>
    <t>Rua José Nogueira Marmontel, 241 - Centro</t>
  </si>
  <si>
    <t>19814-360</t>
  </si>
  <si>
    <t>7H30 ÀS 20H</t>
  </si>
  <si>
    <t>VIPER AS510B GVW</t>
  </si>
  <si>
    <t xml:space="preserve">Rua São Paulo, 189 - Centro </t>
  </si>
  <si>
    <t>19840-000</t>
  </si>
  <si>
    <t>Maracai</t>
  </si>
  <si>
    <t>7H30 ÀS 21H</t>
  </si>
  <si>
    <t>Avenida Brasil, 309 – Centro</t>
  </si>
  <si>
    <t>19830-000</t>
  </si>
  <si>
    <t>Echaporã</t>
  </si>
  <si>
    <t xml:space="preserve">7H ÀS 22H </t>
  </si>
  <si>
    <t>7H ÀS 21H</t>
  </si>
  <si>
    <t>Karcher BD 50</t>
  </si>
  <si>
    <t>Rua São Caetano, 299 – Jardim Alvorada</t>
  </si>
  <si>
    <t>19883-030</t>
  </si>
  <si>
    <t>C. Mota</t>
  </si>
  <si>
    <t xml:space="preserve">Avenida Brasil, 951 – Vila Affine </t>
  </si>
  <si>
    <t>19703-016</t>
  </si>
  <si>
    <t>P. Pta</t>
  </si>
  <si>
    <t xml:space="preserve">Rua Felix Jabur, 309 - Centro </t>
  </si>
  <si>
    <t>19880-043</t>
  </si>
  <si>
    <t xml:space="preserve">Avenida Pedro de Toledo, 1347 - Vila Riguethi </t>
  </si>
  <si>
    <t>19600-000</t>
  </si>
  <si>
    <t>Rancharia</t>
  </si>
  <si>
    <t>Avenida Glória, 303 – Vila Glória</t>
  </si>
  <si>
    <t>19806-095</t>
  </si>
  <si>
    <t>Avenida Duque de Caxias, 304 - Centro</t>
  </si>
  <si>
    <t>19911-800</t>
  </si>
  <si>
    <t>Ourinhos</t>
  </si>
  <si>
    <t>Avenida Coronel José Soares Marcondes, 2555 V. Roberto</t>
  </si>
  <si>
    <t>19013-050</t>
  </si>
  <si>
    <t>P. Prudente</t>
  </si>
  <si>
    <t xml:space="preserve">Avenida Dom Antonio, 1600 - Vila Tênis Clube </t>
  </si>
  <si>
    <t>19806-173</t>
  </si>
  <si>
    <t>VIPER AS530R</t>
  </si>
  <si>
    <t xml:space="preserve">Avenida Tabajaras, 1675 - Centro </t>
  </si>
  <si>
    <t>17604-020</t>
  </si>
  <si>
    <t>Tupã</t>
  </si>
  <si>
    <t>Karcher BD 530</t>
  </si>
  <si>
    <t xml:space="preserve">Rua Floriano Peixoto, 2.074 - Bairro Centro </t>
  </si>
  <si>
    <t>16400-101</t>
  </si>
  <si>
    <t>Lins</t>
  </si>
  <si>
    <t xml:space="preserve">Avenida Domingos Carmelingo Caló, 1975 – Loteamento Domingos Garcia </t>
  </si>
  <si>
    <t>19905-136</t>
  </si>
  <si>
    <t xml:space="preserve">Rua Catarina Etsuco Umezu, 731 - Bairro Centro </t>
  </si>
  <si>
    <t>18900-083</t>
  </si>
  <si>
    <t>Sta Cruz R.P.</t>
  </si>
  <si>
    <t>VIPER MOD. AS510B</t>
  </si>
  <si>
    <t xml:space="preserve">Rua Pedro Alexandre, 383 - Vila Gomes </t>
  </si>
  <si>
    <t>19915-491</t>
  </si>
  <si>
    <t xml:space="preserve">Rua Emilce Junqueira Ferreira Villella, 101 – Parque Empresarial Rolande Alves Pereira </t>
  </si>
  <si>
    <t>16402-019</t>
  </si>
  <si>
    <t xml:space="preserve"> 7H30 ÀS 22H </t>
  </si>
  <si>
    <t xml:space="preserve">Rua Alvino Gomes Teixeira, 2.600 – Vila Furquim </t>
  </si>
  <si>
    <t>19030-440</t>
  </si>
  <si>
    <t>Av. Anchieta, 405 – Centro</t>
  </si>
  <si>
    <t>19970-054</t>
  </si>
  <si>
    <t>Plamital</t>
  </si>
  <si>
    <t xml:space="preserve"> 7H30 ÀS 21H</t>
  </si>
  <si>
    <t>Av. Presidente Vargas, Nº 23-65 – Centro</t>
  </si>
  <si>
    <t>19470-000</t>
  </si>
  <si>
    <t>P. Epitácio</t>
  </si>
  <si>
    <t>7H30 ÀS 18H</t>
  </si>
  <si>
    <t xml:space="preserve">Rua José Martinez Padovan, Nº 2470 – Jardim São Pedro </t>
  </si>
  <si>
    <t>19200-000</t>
  </si>
  <si>
    <t>Pirapozinho</t>
  </si>
  <si>
    <t xml:space="preserve">Av. das Araras, Nº 240 – Vila das Árvores </t>
  </si>
  <si>
    <t>19820-000</t>
  </si>
  <si>
    <t>Tarumã</t>
  </si>
  <si>
    <t xml:space="preserve">Av Nove de Julho Nº 588 – Centro </t>
  </si>
  <si>
    <t>18682-000</t>
  </si>
  <si>
    <t>Lençois Pta</t>
  </si>
  <si>
    <t>Karcher BD 530 Elétrica</t>
  </si>
  <si>
    <t xml:space="preserve">Av Brasil Nº 650 – Centro </t>
  </si>
  <si>
    <t>18682-090</t>
  </si>
  <si>
    <t>Rua Luiz Biral, Nº 200 – Núcleo Habitacional Luis Zillo</t>
  </si>
  <si>
    <t>18685-340</t>
  </si>
  <si>
    <t xml:space="preserve">Rua dos Andradas, 4-5 – Centro </t>
  </si>
  <si>
    <t>17490-068</t>
  </si>
  <si>
    <t>Piratininga</t>
  </si>
  <si>
    <t xml:space="preserve">Rua Raimundo Rossi, 790 – Centro </t>
  </si>
  <si>
    <t>19500-000</t>
  </si>
  <si>
    <t>Martinópolis</t>
  </si>
  <si>
    <t xml:space="preserve">Rua Santo Antonio, 365 – José Ribeiro </t>
  </si>
  <si>
    <t>17404-506</t>
  </si>
  <si>
    <t>Garça</t>
  </si>
  <si>
    <t xml:space="preserve">Rua Av. Engenheiro Ivanil Francischini, 13115 – Jardim América </t>
  </si>
  <si>
    <t>14945-060</t>
  </si>
  <si>
    <t>Ibitinga</t>
  </si>
  <si>
    <t xml:space="preserve">Avenida Tiradentes, 700 – Centro </t>
  </si>
  <si>
    <t>19400-097</t>
  </si>
  <si>
    <t>Pres. Venceslau</t>
  </si>
  <si>
    <t xml:space="preserve">7H30 ÀS 20H </t>
  </si>
  <si>
    <t xml:space="preserve"> 7H30 ÀS 20H </t>
  </si>
  <si>
    <t>7H30 ÀS 14H</t>
  </si>
  <si>
    <t>Avenida Dom Antonio, 1600 – Box E – Fundos - Vila Tênis Clube</t>
  </si>
  <si>
    <t xml:space="preserve">7H ÀS 20H </t>
  </si>
  <si>
    <t>O horario do feriado depende do sindicato das cidades, só sabemos dias antes do feriado.</t>
  </si>
  <si>
    <t xml:space="preserve">Avenida Presidente Roosevelt, 1715 – São Francisco </t>
  </si>
  <si>
    <t>17904-014</t>
  </si>
  <si>
    <t>Dracena</t>
  </si>
  <si>
    <t xml:space="preserve">Avenida José Bonifácio, 1806 – Centro </t>
  </si>
  <si>
    <t>17900-013</t>
  </si>
  <si>
    <t xml:space="preserve">Avenida Rui Barbosa, 497 – Centro </t>
  </si>
  <si>
    <t>17900-249</t>
  </si>
  <si>
    <t xml:space="preserve">8H ÀS 21H </t>
  </si>
  <si>
    <t>8H ÀS 18H</t>
  </si>
  <si>
    <t xml:space="preserve">Avenida Rui Barbosa, 1080 – Vila Santo Antônio </t>
  </si>
  <si>
    <t>17890-000</t>
  </si>
  <si>
    <t>Junqueiropolis</t>
  </si>
  <si>
    <t>Jactoclean LJ50B</t>
  </si>
  <si>
    <t xml:space="preserve">Rua Messias Ferreira da Palma, 417 – Centro </t>
  </si>
  <si>
    <t>17900-195</t>
  </si>
  <si>
    <t xml:space="preserve">Avenida Nove de Julho, 1414 – Vila Camargo </t>
  </si>
  <si>
    <t>17930-000</t>
  </si>
  <si>
    <t>Tupy Paulista</t>
  </si>
  <si>
    <t>Rua do Expedicionario, 1315</t>
  </si>
  <si>
    <t>Amigão</t>
  </si>
  <si>
    <t>AVENIDA BRASIL, 4724</t>
  </si>
  <si>
    <t>Maringá</t>
  </si>
  <si>
    <t>07:00 às 21:00</t>
  </si>
  <si>
    <t>08:00 às 14:00</t>
  </si>
  <si>
    <t>Karcher</t>
  </si>
  <si>
    <t>AVENIDA DAS PALMEIRAS, 356</t>
  </si>
  <si>
    <t>Cerâmico</t>
  </si>
  <si>
    <t>08:00 às 21:00</t>
  </si>
  <si>
    <t>Domingo: 08:00 às 13:00
Feriado: 08:00 às 20:00</t>
  </si>
  <si>
    <t>1 - IPC CT55 + 1 - IPC CT15</t>
  </si>
  <si>
    <t>RUA PERNAMBUCO, 999</t>
  </si>
  <si>
    <t>Paranavaí</t>
  </si>
  <si>
    <t>Granilite</t>
  </si>
  <si>
    <t>Domingo: 08:00 às 13:00</t>
  </si>
  <si>
    <t>CT55 BATERIA</t>
  </si>
  <si>
    <t>RUA MAJOR CAPILE, 3595</t>
  </si>
  <si>
    <t>Dourados</t>
  </si>
  <si>
    <t>MS</t>
  </si>
  <si>
    <t>07:00 às 22:00</t>
  </si>
  <si>
    <t>Domingo: 07:00 às 20:00</t>
  </si>
  <si>
    <t>IPC/CT55 NÃO FUNCIONA SOLICITADA OUTRA</t>
  </si>
  <si>
    <t>AVENIDA CERRO AZUL, 979</t>
  </si>
  <si>
    <t>08:00 às 22:00</t>
  </si>
  <si>
    <t>Domingo: 08:00 às 20:00</t>
  </si>
  <si>
    <t>CT55</t>
  </si>
  <si>
    <t>RUA MARECHAL CANDIDO RONDON, 744</t>
  </si>
  <si>
    <t>Jandaia Do Sul</t>
  </si>
  <si>
    <t>07:30 às 22:00</t>
  </si>
  <si>
    <t>Domingo: 07:30 às 18:00</t>
  </si>
  <si>
    <t>IPC CT55 (Lavadora de Piso)</t>
  </si>
  <si>
    <t>RUA MANOEL RIBAS, 2444</t>
  </si>
  <si>
    <t>AVENIDA MORANGUEIRA, 1505</t>
  </si>
  <si>
    <t>08:00 às 20:00</t>
  </si>
  <si>
    <t>IPC  CT55</t>
  </si>
  <si>
    <t>AVENIDA TAMANDARÉ, 903</t>
  </si>
  <si>
    <t>Tecnogran</t>
  </si>
  <si>
    <t>A300 (R$1.500,00 por mês - vive dando problema, custo fica pra loja)</t>
  </si>
  <si>
    <t>AVENIDA EDSON LIMA SOUTO, 40</t>
  </si>
  <si>
    <t>Cianorte</t>
  </si>
  <si>
    <t>08:00 às 18:00</t>
  </si>
  <si>
    <t>AVENIDA MARINGÁ, 830</t>
  </si>
  <si>
    <t>Londrina</t>
  </si>
  <si>
    <t>Domingo: 08:00 às 20:00
Feriado: 07:30 às 22:00</t>
  </si>
  <si>
    <t>Não tem</t>
  </si>
  <si>
    <t>AVENIDA TIRADENTES, 1241</t>
  </si>
  <si>
    <t>Domingo: 08:00 às 20:00
Feriado: 08:00 às 22:00</t>
  </si>
  <si>
    <t>AVENIDA BRASIL, 2821</t>
  </si>
  <si>
    <t>RUA DANCARINO ROSADO, 556</t>
  </si>
  <si>
    <t>Arapongas</t>
  </si>
  <si>
    <t>AVENIDA MARIPA, 5267</t>
  </si>
  <si>
    <t>Toledo</t>
  </si>
  <si>
    <t>RUA SAUDADE, 1004</t>
  </si>
  <si>
    <t>Birigui</t>
  </si>
  <si>
    <t>Domingo: 07:00 às 14:00</t>
  </si>
  <si>
    <t>TENNANT A260 (lavadora Piso)</t>
  </si>
  <si>
    <t>RUA BENJAMIN CONSTANT, 669</t>
  </si>
  <si>
    <t>Cornélio Procópio</t>
  </si>
  <si>
    <t>AVENIDA LITERIO GRECCO, 600</t>
  </si>
  <si>
    <t>Fernandópolis</t>
  </si>
  <si>
    <t>8:00 às 22:00</t>
  </si>
  <si>
    <t>AV ARQUITETO NILDO RIBEIRO DA ROCHA, 343</t>
  </si>
  <si>
    <t>A260</t>
  </si>
  <si>
    <t>AV BANDEIRANTES, 1597</t>
  </si>
  <si>
    <t>Bandeirantes</t>
  </si>
  <si>
    <t>AV PRESIDENTE GETULIO VARGAS, 1614</t>
  </si>
  <si>
    <t>Rolândia</t>
  </si>
  <si>
    <t>Urtlav 500 B (Lavadora de Piso)</t>
  </si>
  <si>
    <t>AV PARÁ, 437</t>
  </si>
  <si>
    <t>08:00 às 13:00</t>
  </si>
  <si>
    <t>AV IVAI, 2084</t>
  </si>
  <si>
    <t>Paiçandu</t>
  </si>
  <si>
    <t>AV MANAUS, 2595</t>
  </si>
  <si>
    <t>Umuarama</t>
  </si>
  <si>
    <t xml:space="preserve">Domingo: 08:00 às 20:00 </t>
  </si>
  <si>
    <t>GUAIAPO, 1881</t>
  </si>
  <si>
    <t>RUA CARDOSO RIBEIRO, S/N</t>
  </si>
  <si>
    <t>Lavadora De Piso A Bateria Ct55-b50 Ipc</t>
  </si>
  <si>
    <t>R OLAVO BILAC, 62</t>
  </si>
  <si>
    <t>Domingo: 08:00 às 20:00
Feriado: 08:00 às 14:00</t>
  </si>
  <si>
    <t>R PAULO APARECIDO GIRALDI, 02</t>
  </si>
  <si>
    <t>07:00 às 14:00</t>
  </si>
  <si>
    <t>R WALTER ANTONIO FONTANA, 1300</t>
  </si>
  <si>
    <t>AV EUCLIDES MIRAGAIA, 1836</t>
  </si>
  <si>
    <t>AV WALDEMAR ALVES, 1646</t>
  </si>
  <si>
    <t>Araçatuba</t>
  </si>
  <si>
    <t>R SASSAICHI MASAKI, 663</t>
  </si>
  <si>
    <t>Promissão</t>
  </si>
  <si>
    <t>Lavadora de Pisos CT30 com Bateria - IPC</t>
  </si>
  <si>
    <t>AV SAO PAULO, 441</t>
  </si>
  <si>
    <t>Domingo: 07:00 às 20:00
Feriado: 07:00 às 14:00</t>
  </si>
  <si>
    <t>R SILVARES, 103</t>
  </si>
  <si>
    <t>AV NOROESTE, 500</t>
  </si>
  <si>
    <t>AV JOAO RAMALHO, 634</t>
  </si>
  <si>
    <t>Marília</t>
  </si>
  <si>
    <t>07:00 às 20:00</t>
  </si>
  <si>
    <t>AVENIDA TUIUTI, 1672</t>
  </si>
  <si>
    <t>Tecnogran e Granito</t>
  </si>
  <si>
    <t>RUA GUAIAPO, 483</t>
  </si>
  <si>
    <t>Sarandi</t>
  </si>
  <si>
    <t>Domingo: 08:00 às 13:00
Feriado: 20:00 às 20:00</t>
  </si>
  <si>
    <t>RUA MANOEL ANTUNES PEREIRA, 800</t>
  </si>
  <si>
    <t>Mandaguari</t>
  </si>
  <si>
    <t>08:00 às 21:30</t>
  </si>
  <si>
    <t>Domingo: 08:00 às 13:00
Feriado: 20:00 às 22:00</t>
  </si>
  <si>
    <t>Máquina em Manutenção</t>
  </si>
  <si>
    <t>AVENIDA CURITIBA, 2256</t>
  </si>
  <si>
    <t>Apucarana</t>
  </si>
  <si>
    <t>Kärcher Professional (provavelmente BD 50/70 R)</t>
  </si>
  <si>
    <t>AVENIDA BRASIL, 7225</t>
  </si>
  <si>
    <t>AVENIDA LUCILIO DE HELD, 1477</t>
  </si>
  <si>
    <t>Karcher BD 50/50</t>
  </si>
  <si>
    <t>AVENIDA ALZIRO ZARUR, 1575</t>
  </si>
  <si>
    <t>RUA PARAÍBA, 433</t>
  </si>
  <si>
    <t>Domingo: 08:00 às 14:00</t>
  </si>
  <si>
    <t>CT5 GANSOW</t>
  </si>
  <si>
    <t>AVENIDA MANDACARU, 277</t>
  </si>
  <si>
    <t>AVENIDA PEDRO TAQUES, 294</t>
  </si>
  <si>
    <t>Feriado: 08:00 às 18:00</t>
  </si>
  <si>
    <t>RUA CYPRIANO PARPINELLI, 1070</t>
  </si>
  <si>
    <t>Marialva</t>
  </si>
  <si>
    <t>07:30 às 20:00</t>
  </si>
  <si>
    <t>Karcher BD 50/50C</t>
  </si>
  <si>
    <t>AVENIDA PARANA, 5885</t>
  </si>
  <si>
    <t>RUA AMAZONAS, 3638</t>
  </si>
  <si>
    <t>Votuporanga</t>
  </si>
  <si>
    <t>06:30 às 22:00</t>
  </si>
  <si>
    <t>Domingo: 07:00 às 13:00</t>
  </si>
  <si>
    <t>AV EMILIO ARROYO HERNANDES, 2749</t>
  </si>
  <si>
    <t>R AUGUSTO PEREIRA DE MORAIS, 472</t>
  </si>
  <si>
    <t>Penápolis</t>
  </si>
  <si>
    <t>Domingo: 07:00 às 20:00
Feriado: 08:00 às 14:00</t>
  </si>
  <si>
    <t>AV JAMIL JORGE SALOMAO, 3807</t>
  </si>
  <si>
    <t>Três Lagoas</t>
  </si>
  <si>
    <t>Domingo: 08:00 às 21:00
Feriado: 08:00 às 22:00</t>
  </si>
  <si>
    <t>AV ANTONIO ANTUNES JUNIOR, 5700</t>
  </si>
  <si>
    <t>São José do Rio Preto</t>
  </si>
  <si>
    <t>Av da Liberdade, 55</t>
  </si>
  <si>
    <t>AV JOAQUIM CONSTANTINO, 1896</t>
  </si>
  <si>
    <t>Presidente Prudente</t>
  </si>
  <si>
    <t>07:30 as 22:00</t>
  </si>
  <si>
    <t>Domingo: 08:00 as 21:00</t>
  </si>
  <si>
    <t>AV ALFREDO TEODORO DE OLIVEIRA, 2001</t>
  </si>
  <si>
    <t>Domingo: 07:00 às 20:00
Feriado: 08:00 às 20:00</t>
  </si>
  <si>
    <t>R ESPANHA, 399</t>
  </si>
  <si>
    <t>Domingo: 07:00 às 16:00
Feriado: 08:00 às 20:00</t>
  </si>
  <si>
    <t>AV DANILO GALEAZZI, 2001</t>
  </si>
  <si>
    <t>Granito e Cerâmico</t>
  </si>
  <si>
    <t>AV SAO PAULO, 791</t>
  </si>
  <si>
    <t>Mirandópolis</t>
  </si>
  <si>
    <t>LELIO PIZZA, 1450</t>
  </si>
  <si>
    <t>AVENIDA BRASIL, 963</t>
  </si>
  <si>
    <t>Cambé</t>
  </si>
  <si>
    <t>RUA AGUA MARINHA, 1259</t>
  </si>
  <si>
    <t>Foz do Iguaçu</t>
  </si>
  <si>
    <t>Domingo: 07:30 às 20:00</t>
  </si>
  <si>
    <t xml:space="preserve">A 500 NÃO FUNCIONA SOLICITADA OUTRA </t>
  </si>
  <si>
    <t>RODRIGUES ALVES, 695</t>
  </si>
  <si>
    <t>Andradina</t>
  </si>
  <si>
    <t>AVENIDA DOURADOS, 1104</t>
  </si>
  <si>
    <t>Naviraí</t>
  </si>
  <si>
    <t>Domingo: 07:00 às 13:00
Feriado: 07:00 às 16:00</t>
  </si>
  <si>
    <t>AVENIDA JOAQUIM MOREIRA DA SILVA, 2850</t>
  </si>
  <si>
    <t>José Bonifácio</t>
  </si>
  <si>
    <t>AVENIDA MANDACARU, 2618</t>
  </si>
  <si>
    <t>CT55 - IPC</t>
  </si>
  <si>
    <t>Total Amigão</t>
  </si>
  <si>
    <t>Superpão</t>
  </si>
  <si>
    <t>Av Manoela Ribas, 390, Centro</t>
  </si>
  <si>
    <t>85400-000</t>
  </si>
  <si>
    <t>Guaraniaçu</t>
  </si>
  <si>
    <t>CERÂMICO ARDOSIA / CONCRETO</t>
  </si>
  <si>
    <t>07:00 as 20:00</t>
  </si>
  <si>
    <t>lj02- 1 Karcher BD50/50</t>
  </si>
  <si>
    <t>Rua Saldanha Marinho, 973, Centro</t>
  </si>
  <si>
    <t>85010-290</t>
  </si>
  <si>
    <t>Guarapuava</t>
  </si>
  <si>
    <t>GRANITO</t>
  </si>
  <si>
    <t>08:30 as 22:00</t>
  </si>
  <si>
    <t>lj03 - 1 IPC CT55</t>
  </si>
  <si>
    <t>Rua Sebastiao de Camargo Ribas, 2882, Bloco A, Industrial</t>
  </si>
  <si>
    <t>85045-796</t>
  </si>
  <si>
    <t>CONCRETO</t>
  </si>
  <si>
    <t>08:00 as 18:00</t>
  </si>
  <si>
    <t>Rua Mal. Floriano Peixoto</t>
  </si>
  <si>
    <t>85020-250</t>
  </si>
  <si>
    <t>GRANITINA</t>
  </si>
  <si>
    <t>08:00 as 20:00</t>
  </si>
  <si>
    <t>Rua Treze de junho, 1028, Morro Alto</t>
  </si>
  <si>
    <t>85065-280</t>
  </si>
  <si>
    <t>CONCRETO ALISADO</t>
  </si>
  <si>
    <t>lj06 - 2  IPC CT55</t>
  </si>
  <si>
    <t>Rua Santa Catarina, 880, Centro</t>
  </si>
  <si>
    <t>Ivaipora</t>
  </si>
  <si>
    <t>Av Bento Munho da Rocha, 866, Centro</t>
  </si>
  <si>
    <t>84600-066</t>
  </si>
  <si>
    <t>União da Vitoria</t>
  </si>
  <si>
    <t>Lj08 - 1 Karcher BD50/50</t>
  </si>
  <si>
    <t>Rua XV de Novembro, 4690, Alto da XV</t>
  </si>
  <si>
    <t>85065-694</t>
  </si>
  <si>
    <t xml:space="preserve">CERÂMICO </t>
  </si>
  <si>
    <t>Lj09 - 1 Karcher Bd530</t>
  </si>
  <si>
    <t>Rua Prudente de Morais, 516, Centro</t>
  </si>
  <si>
    <t>84600-125</t>
  </si>
  <si>
    <t>Lj10 - 1 karcher Bd 50/50</t>
  </si>
  <si>
    <t>Rua Ernesto Vilela, 1461, Nova Russia</t>
  </si>
  <si>
    <t>84070-000</t>
  </si>
  <si>
    <t>Ponta Grossa</t>
  </si>
  <si>
    <t>Lj11 - 1 Karcher Bd 50/50</t>
  </si>
  <si>
    <t>Av Carlos Cavalcanti, 4149, Uvaranas</t>
  </si>
  <si>
    <t>84030-000</t>
  </si>
  <si>
    <t>Av Moacir Julio Silvestre, 901, Centro</t>
  </si>
  <si>
    <t>85010-090</t>
  </si>
  <si>
    <t>Lj14 - 2 Karcher</t>
  </si>
  <si>
    <t>Rua Prrudente de Moraes, 60, Centro</t>
  </si>
  <si>
    <t>89500-067</t>
  </si>
  <si>
    <t>Caçador</t>
  </si>
  <si>
    <t>SC</t>
  </si>
  <si>
    <t>GRANITO ALISADO</t>
  </si>
  <si>
    <t>Lj16 - 1 Alfa</t>
  </si>
  <si>
    <t>Av Getulio Vargas, 920,Pitanguinha</t>
  </si>
  <si>
    <t>Pitanga</t>
  </si>
  <si>
    <t>CERÂMICO</t>
  </si>
  <si>
    <t>Rua Coronel Joao Pedro Martins, 1380,Centro</t>
  </si>
  <si>
    <t>84400-000</t>
  </si>
  <si>
    <t>Prudentopolis</t>
  </si>
  <si>
    <t>Lj18 - 1 Karcher Bd50/50</t>
  </si>
  <si>
    <t>Rua Duque de Caixas, S/N, Jardim Santa Cecilia</t>
  </si>
  <si>
    <t>Manoel Ribas</t>
  </si>
  <si>
    <t>Lj20 - 1 Karcher Bd50/50</t>
  </si>
  <si>
    <t>Rua Guaira, 5555, Bloco B, Boqueirao</t>
  </si>
  <si>
    <t>85020-000</t>
  </si>
  <si>
    <t>P600</t>
  </si>
  <si>
    <t>Lj21 - 1 Karcher Bd50/50</t>
  </si>
  <si>
    <t>Av Michael Moor, 1445, Entre Rios</t>
  </si>
  <si>
    <t>85108-000</t>
  </si>
  <si>
    <t>Lj22 - 1 karcher Bd 530</t>
  </si>
  <si>
    <t>Rua Joaquim Tavora, 373, São Bernardo</t>
  </si>
  <si>
    <t>84600-472</t>
  </si>
  <si>
    <t>CONCRETO POLIDO</t>
  </si>
  <si>
    <t>lj23 - 1 karcher Bd50/50</t>
  </si>
  <si>
    <t>Rua Belchior Dias Moreira, 1125, Primavera</t>
  </si>
  <si>
    <t>85045-510</t>
  </si>
  <si>
    <t>Av Tupi, 5110,Pinheirinho</t>
  </si>
  <si>
    <t>85506-095</t>
  </si>
  <si>
    <t>Pato Branco</t>
  </si>
  <si>
    <t>Lj27 - 1 Karcher Bd50/50</t>
  </si>
  <si>
    <t>Av Trifon Hanusz, 70, Centro</t>
  </si>
  <si>
    <t>85170-000</t>
  </si>
  <si>
    <t>Pinhão</t>
  </si>
  <si>
    <t>Rua dos eucaliptos, 427, São Cristovão</t>
  </si>
  <si>
    <t>85060-010</t>
  </si>
  <si>
    <t>Rua Francisco Delle, 30, Centro</t>
  </si>
  <si>
    <t>CERÂMICO / CONCRETO ALISADO / GRANITINA</t>
  </si>
  <si>
    <t>Rua Juazeiro, 1429, Centro</t>
  </si>
  <si>
    <t>85460-000</t>
  </si>
  <si>
    <t>Quedas do Iguaçu</t>
  </si>
  <si>
    <t>Lj31 - 1 Alfa</t>
  </si>
  <si>
    <t>Rua Moacir de Jesus Martins, 130, Aeroporto</t>
  </si>
  <si>
    <t>85503-180</t>
  </si>
  <si>
    <t>Lj32 - 1 IPC Ct 70</t>
  </si>
  <si>
    <t>Rua Luiza Maria Waldraff, 18, Bento Munhoz da Rocha Neto</t>
  </si>
  <si>
    <t>84607-590</t>
  </si>
  <si>
    <t>CERÂMICO / GRANITINA</t>
  </si>
  <si>
    <t>Rua Santa Catarina, 260, São Luiz</t>
  </si>
  <si>
    <t>85550-000</t>
  </si>
  <si>
    <t>Coronel Vivida</t>
  </si>
  <si>
    <t>Lj34 - 1 - karcher</t>
  </si>
  <si>
    <t>Rua Sete de Setembro, 2300, Centro</t>
  </si>
  <si>
    <t>85555-000</t>
  </si>
  <si>
    <t>Palmas</t>
  </si>
  <si>
    <t>TECNOGRAN</t>
  </si>
  <si>
    <t>Lj35 - 1 IPC</t>
  </si>
  <si>
    <t>Av General Carlos Cavalcanti, 22, Uvaranas</t>
  </si>
  <si>
    <t>84025-000</t>
  </si>
  <si>
    <t>Lj37 - 1 Karcher</t>
  </si>
  <si>
    <t>Rua Tenente Max Wolff Filho, 1387, Centro</t>
  </si>
  <si>
    <t>83900-000</t>
  </si>
  <si>
    <t>São Mateus do Sul</t>
  </si>
  <si>
    <t>Lj38 - 1 IPC Ct55</t>
  </si>
  <si>
    <t>Av Joao Pessoa, 2922, São Pedro</t>
  </si>
  <si>
    <t>89509-480</t>
  </si>
  <si>
    <t>Porto União</t>
  </si>
  <si>
    <t>08:30 as 21:30</t>
  </si>
  <si>
    <t>Lj39  - 1 Karcher Bd50/50</t>
  </si>
  <si>
    <t>Rod SC 418, Santo Antonio</t>
  </si>
  <si>
    <t>89294-000</t>
  </si>
  <si>
    <t>Campo Alegre</t>
  </si>
  <si>
    <t>Lj40 - 1 Karcher Bd50/50</t>
  </si>
  <si>
    <t>Rua Francisco Gery Kaminski, 473, São Rafael</t>
  </si>
  <si>
    <t>89295-000</t>
  </si>
  <si>
    <t>Rio Negrinho</t>
  </si>
  <si>
    <t>08:00 as 12:00</t>
  </si>
  <si>
    <t>Lj41 - 1 Karcher Bd50/50</t>
  </si>
  <si>
    <t>Rod BR 280, 2360, Industrial Sul</t>
  </si>
  <si>
    <t>Lj42 - 1 Karcher</t>
  </si>
  <si>
    <t>Rua Capitão Osmar Romao da Silva, 303, Centro</t>
  </si>
  <si>
    <t>Rua Pereira Oliveira, 720, Centro I Baixada</t>
  </si>
  <si>
    <t>89300-160</t>
  </si>
  <si>
    <t>Mafra</t>
  </si>
  <si>
    <t>Lj44 - 1 Karcher Bd50/50</t>
  </si>
  <si>
    <t>Rua Mathias Nossol, 225, Serra Alta</t>
  </si>
  <si>
    <t>89291-790</t>
  </si>
  <si>
    <t>São Bento do Sul</t>
  </si>
  <si>
    <t>Lj45 - 1 Karcher Bd50/50</t>
  </si>
  <si>
    <t>Rua Jorge Lacerda, 70, Centro</t>
  </si>
  <si>
    <t>89280-175</t>
  </si>
  <si>
    <t>Lj46  - 1 -Karcher</t>
  </si>
  <si>
    <t>Rua Maria Treml Roesler, 11, Serra Alta</t>
  </si>
  <si>
    <t>89280-388</t>
  </si>
  <si>
    <t>Rua Capitao Ernesto Nunes, 669, Centro</t>
  </si>
  <si>
    <t>Lj51 -  1 karcher</t>
  </si>
  <si>
    <t>Rua Francisco Alves de Lima, 377, Industrial Sul</t>
  </si>
  <si>
    <t>Lj52 - 1 Karcher</t>
  </si>
  <si>
    <t>Rua Antonio Kaesmodel, 1173, Colonial</t>
  </si>
  <si>
    <t>89288-070</t>
  </si>
  <si>
    <t>Lj53 - 1 Karcher</t>
  </si>
  <si>
    <t>Rua Balduino Taques, 2100, Orfas</t>
  </si>
  <si>
    <t>84015-255</t>
  </si>
  <si>
    <t>Lj54 - 1 Karcher</t>
  </si>
  <si>
    <t>Av Engenheiro Ferreira Correa, 365, Centro</t>
  </si>
  <si>
    <t>84620-000</t>
  </si>
  <si>
    <t>Cruz Machadi</t>
  </si>
  <si>
    <t>Lj55 - 1 Karcher Bd50/50</t>
  </si>
  <si>
    <t>Rua Prefeito Gumercindo Sguario, 138, Centro</t>
  </si>
  <si>
    <t>84240-000</t>
  </si>
  <si>
    <t>Pirai do Sul</t>
  </si>
  <si>
    <t>Rua Gustavo Adolfo Friedrich, 1213, Vila Nova</t>
  </si>
  <si>
    <t>89304-374</t>
  </si>
  <si>
    <t>Lj58 - 1 karcher</t>
  </si>
  <si>
    <t>Total Superpão</t>
  </si>
  <si>
    <t>B70</t>
  </si>
  <si>
    <t>Apenas 1 colaboradora entrando 6h sai as 15h48, folgando aos Domingos. Final de tarde fica descoberto.</t>
  </si>
  <si>
    <t>Apenas 1 colaborador não cobre a escala mínima necessária.</t>
  </si>
  <si>
    <t>No dia de folga, a colaboradora faz horário intermediário (não faz abertura nem fechamento)</t>
  </si>
  <si>
    <t>ASGs farão horário intermediário para cobertura de ASG de folga. Escala personalizada dificuldade de conseguir pessoas nesse formato). Ideal é ter pelo menos 5 colaboradores.</t>
  </si>
  <si>
    <t>2 ASG com folga fixa, 1 AGS com folga rotativa.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</si>
</sst>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&quot;R$&quot;\ #,##0.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rgb="FF01147E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01147E"/>
      <name val="Arial"/>
      <family val="2"/>
    </font>
    <font>
      <b/>
      <sz val="20"/>
      <color theme="1"/>
      <name val="Arial"/>
      <family val="2"/>
    </font>
    <font>
      <sz val="10"/>
      <color theme="3" tint="-0.249977111117893"/>
      <name val="Arial"/>
      <family val="2"/>
    </font>
    <font>
      <b/>
      <sz val="10"/>
      <color theme="0"/>
      <name val="Arial"/>
      <family val="2"/>
    </font>
    <font>
      <sz val="10"/>
      <color rgb="FF01147E"/>
      <name val="Arial"/>
      <family val="2"/>
    </font>
    <font>
      <b/>
      <sz val="10"/>
      <color rgb="FF01147E"/>
      <name val="Arial"/>
      <family val="2"/>
    </font>
    <font>
      <b/>
      <i/>
      <sz val="18"/>
      <color rgb="FF01147E"/>
      <name val="Arial"/>
      <family val="2"/>
    </font>
    <font>
      <sz val="16"/>
      <color rgb="FF01147E"/>
      <name val="Arial"/>
      <family val="2"/>
    </font>
    <font>
      <b/>
      <i/>
      <sz val="20"/>
      <color rgb="FF01147E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11"/>
      <name val="Aptos Narrow"/>
      <family val="2"/>
      <scheme val="minor"/>
    </font>
    <font>
      <b/>
      <sz val="10"/>
      <color theme="3" tint="-0.249977111117893"/>
      <name val="Arial"/>
      <family val="2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1147E"/>
        <bgColor indexed="64"/>
      </patternFill>
    </fill>
    <fill>
      <patternFill patternType="solid">
        <fgColor rgb="FF01147E"/>
        <bgColor rgb="FF000000"/>
      </patternFill>
    </fill>
    <fill>
      <patternFill patternType="solid">
        <fgColor theme="0" tint="-0.499984740745262"/>
        <bgColor rgb="FF000000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rgb="FFEFEEE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F2F2F2"/>
      </patternFill>
    </fill>
    <fill>
      <patternFill patternType="solid">
        <fgColor theme="0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/>
      <bottom style="thin">
        <color rgb="FFADABA1"/>
      </bottom>
      <diagonal/>
    </border>
    <border>
      <left style="medium">
        <color rgb="FFFFFFFF"/>
      </left>
      <right/>
      <top/>
      <bottom style="thin">
        <color rgb="FFADABA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/>
      <top style="thin">
        <color rgb="FFADABA1"/>
      </top>
      <bottom/>
      <diagonal/>
    </border>
    <border>
      <left/>
      <right/>
      <top style="thin">
        <color rgb="FFADABA1"/>
      </top>
      <bottom/>
      <diagonal/>
    </border>
    <border>
      <left/>
      <right style="medium">
        <color rgb="FFFFFFFF"/>
      </right>
      <top style="thin">
        <color rgb="FFADABA1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FFFFFF"/>
      </right>
      <top/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thin">
        <color rgb="FFADABA1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ADABA1"/>
      </bottom>
      <diagonal/>
    </border>
    <border>
      <left/>
      <right style="medium">
        <color rgb="FFFFFFFF"/>
      </right>
      <top/>
      <bottom style="thin">
        <color rgb="FFADABA1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131">
    <xf numFmtId="0" fontId="0" fillId="0" borderId="0" xfId="0"/>
    <xf numFmtId="0" fontId="3" fillId="2" borderId="0" xfId="1" applyFont="1" applyFill="1" applyAlignment="1">
      <alignment vertical="center"/>
    </xf>
    <xf numFmtId="0" fontId="3" fillId="2" borderId="0" xfId="1" applyFont="1" applyFill="1" applyAlignment="1">
      <alignment vertical="center" wrapText="1"/>
    </xf>
    <xf numFmtId="0" fontId="3" fillId="2" borderId="0" xfId="1" applyFont="1" applyFill="1" applyAlignment="1">
      <alignment horizontal="center" vertical="center"/>
    </xf>
    <xf numFmtId="0" fontId="4" fillId="0" borderId="0" xfId="0" applyFont="1" applyProtection="1">
      <protection hidden="1"/>
    </xf>
    <xf numFmtId="0" fontId="4" fillId="0" borderId="0" xfId="0" applyFont="1"/>
    <xf numFmtId="0" fontId="4" fillId="0" borderId="0" xfId="1" applyFont="1" applyProtection="1">
      <protection hidden="1"/>
    </xf>
    <xf numFmtId="0" fontId="4" fillId="0" borderId="0" xfId="1" applyFont="1" applyAlignment="1" applyProtection="1">
      <alignment vertical="center"/>
      <protection hidden="1"/>
    </xf>
    <xf numFmtId="0" fontId="4" fillId="0" borderId="0" xfId="1" applyFont="1" applyAlignment="1" applyProtection="1">
      <alignment vertical="center" wrapText="1"/>
      <protection hidden="1"/>
    </xf>
    <xf numFmtId="0" fontId="4" fillId="0" borderId="0" xfId="1" applyFont="1" applyAlignment="1" applyProtection="1">
      <alignment horizontal="center" vertical="center"/>
      <protection hidden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5" fillId="0" borderId="0" xfId="1" applyFont="1" applyAlignment="1" applyProtection="1">
      <alignment horizontal="center"/>
      <protection hidden="1"/>
    </xf>
    <xf numFmtId="0" fontId="6" fillId="0" borderId="0" xfId="1" applyFont="1" applyProtection="1">
      <protection hidden="1"/>
    </xf>
    <xf numFmtId="0" fontId="8" fillId="0" borderId="0" xfId="0" applyFont="1" applyProtection="1">
      <protection hidden="1"/>
    </xf>
    <xf numFmtId="0" fontId="4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vertical="center" wrapText="1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165" fontId="9" fillId="3" borderId="5" xfId="2" quotePrefix="1" applyNumberFormat="1" applyFont="1" applyFill="1" applyBorder="1" applyAlignment="1" applyProtection="1">
      <alignment horizontal="center" vertical="center"/>
      <protection hidden="1"/>
    </xf>
    <xf numFmtId="165" fontId="9" fillId="3" borderId="6" xfId="2" quotePrefix="1" applyNumberFormat="1" applyFont="1" applyFill="1" applyBorder="1" applyAlignment="1" applyProtection="1">
      <alignment horizontal="center" vertical="center"/>
      <protection hidden="1"/>
    </xf>
    <xf numFmtId="165" fontId="9" fillId="3" borderId="7" xfId="2" quotePrefix="1" applyNumberFormat="1" applyFont="1" applyFill="1" applyBorder="1" applyAlignment="1" applyProtection="1">
      <alignment horizontal="center" vertical="center"/>
      <protection hidden="1"/>
    </xf>
    <xf numFmtId="165" fontId="5" fillId="4" borderId="0" xfId="2" quotePrefix="1" applyNumberFormat="1" applyFont="1" applyFill="1" applyBorder="1" applyAlignment="1" applyProtection="1">
      <alignment horizontal="center" vertical="center" wrapText="1"/>
      <protection hidden="1"/>
    </xf>
    <xf numFmtId="165" fontId="9" fillId="4" borderId="8" xfId="2" quotePrefix="1" applyNumberFormat="1" applyFont="1" applyFill="1" applyBorder="1" applyAlignment="1" applyProtection="1">
      <alignment horizontal="center" vertical="center" wrapText="1"/>
      <protection hidden="1"/>
    </xf>
    <xf numFmtId="165" fontId="5" fillId="5" borderId="9" xfId="2" quotePrefix="1" applyNumberFormat="1" applyFont="1" applyFill="1" applyBorder="1" applyAlignment="1" applyProtection="1">
      <alignment horizontal="center" vertical="center" wrapText="1"/>
      <protection hidden="1"/>
    </xf>
    <xf numFmtId="165" fontId="5" fillId="5" borderId="3" xfId="2" quotePrefix="1" applyNumberFormat="1" applyFont="1" applyFill="1" applyBorder="1" applyAlignment="1" applyProtection="1">
      <alignment horizontal="center" vertical="center" wrapText="1"/>
      <protection hidden="1"/>
    </xf>
    <xf numFmtId="165" fontId="5" fillId="5" borderId="10" xfId="2" quotePrefix="1" applyNumberFormat="1" applyFont="1" applyFill="1" applyBorder="1" applyAlignment="1" applyProtection="1">
      <alignment horizontal="center" vertical="center" wrapText="1"/>
      <protection hidden="1"/>
    </xf>
    <xf numFmtId="165" fontId="5" fillId="5" borderId="11" xfId="2" quotePrefix="1" applyNumberFormat="1" applyFont="1" applyFill="1" applyBorder="1" applyAlignment="1" applyProtection="1">
      <alignment horizontal="center" vertical="center" wrapText="1"/>
      <protection hidden="1"/>
    </xf>
    <xf numFmtId="165" fontId="5" fillId="5" borderId="12" xfId="2" quotePrefix="1" applyNumberFormat="1" applyFont="1" applyFill="1" applyBorder="1" applyAlignment="1" applyProtection="1">
      <alignment horizontal="center" vertical="center" wrapText="1"/>
      <protection hidden="1"/>
    </xf>
    <xf numFmtId="165" fontId="9" fillId="4" borderId="0" xfId="2" quotePrefix="1" applyNumberFormat="1" applyFont="1" applyFill="1" applyBorder="1" applyAlignment="1" applyProtection="1">
      <alignment horizontal="center" vertical="center" wrapText="1"/>
      <protection hidden="1"/>
    </xf>
    <xf numFmtId="0" fontId="10" fillId="6" borderId="13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left" vertical="center"/>
    </xf>
    <xf numFmtId="3" fontId="10" fillId="6" borderId="13" xfId="0" applyNumberFormat="1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 vertical="center" wrapText="1"/>
    </xf>
    <xf numFmtId="0" fontId="10" fillId="7" borderId="13" xfId="0" applyFont="1" applyFill="1" applyBorder="1" applyAlignment="1">
      <alignment horizontal="center" vertical="center"/>
    </xf>
    <xf numFmtId="0" fontId="10" fillId="7" borderId="14" xfId="0" applyFont="1" applyFill="1" applyBorder="1" applyAlignment="1">
      <alignment horizontal="center" vertical="center"/>
    </xf>
    <xf numFmtId="0" fontId="10" fillId="8" borderId="15" xfId="0" applyFont="1" applyFill="1" applyBorder="1" applyAlignment="1">
      <alignment vertical="center"/>
    </xf>
    <xf numFmtId="1" fontId="10" fillId="9" borderId="16" xfId="0" applyNumberFormat="1" applyFont="1" applyFill="1" applyBorder="1" applyAlignment="1">
      <alignment horizontal="center" vertical="center"/>
    </xf>
    <xf numFmtId="166" fontId="10" fillId="9" borderId="7" xfId="0" applyNumberFormat="1" applyFont="1" applyFill="1" applyBorder="1" applyAlignment="1">
      <alignment horizontal="center" vertical="center"/>
    </xf>
    <xf numFmtId="166" fontId="4" fillId="10" borderId="17" xfId="0" applyNumberFormat="1" applyFont="1" applyFill="1" applyBorder="1" applyAlignment="1">
      <alignment horizontal="center" vertical="center"/>
    </xf>
    <xf numFmtId="166" fontId="4" fillId="10" borderId="18" xfId="0" applyNumberFormat="1" applyFont="1" applyFill="1" applyBorder="1" applyAlignment="1">
      <alignment horizontal="center" vertical="center"/>
    </xf>
    <xf numFmtId="0" fontId="10" fillId="8" borderId="0" xfId="0" applyFont="1" applyFill="1" applyAlignment="1">
      <alignment vertical="center"/>
    </xf>
    <xf numFmtId="0" fontId="11" fillId="6" borderId="22" xfId="0" applyFont="1" applyFill="1" applyBorder="1" applyAlignment="1">
      <alignment horizontal="center" vertical="center"/>
    </xf>
    <xf numFmtId="0" fontId="10" fillId="6" borderId="22" xfId="0" applyFont="1" applyFill="1" applyBorder="1" applyAlignment="1">
      <alignment horizontal="center" vertical="center"/>
    </xf>
    <xf numFmtId="0" fontId="10" fillId="6" borderId="23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1" fillId="8" borderId="15" xfId="0" applyFont="1" applyFill="1" applyBorder="1" applyAlignment="1">
      <alignment horizontal="center" vertical="center"/>
    </xf>
    <xf numFmtId="1" fontId="5" fillId="12" borderId="24" xfId="0" applyNumberFormat="1" applyFont="1" applyFill="1" applyBorder="1" applyAlignment="1">
      <alignment horizontal="center" vertical="center"/>
    </xf>
    <xf numFmtId="166" fontId="10" fillId="12" borderId="25" xfId="0" applyNumberFormat="1" applyFont="1" applyFill="1" applyBorder="1" applyAlignment="1">
      <alignment horizontal="center" vertical="center"/>
    </xf>
    <xf numFmtId="166" fontId="5" fillId="12" borderId="24" xfId="0" applyNumberFormat="1" applyFont="1" applyFill="1" applyBorder="1" applyAlignment="1">
      <alignment horizontal="center" vertical="center"/>
    </xf>
    <xf numFmtId="166" fontId="5" fillId="12" borderId="13" xfId="0" applyNumberFormat="1" applyFont="1" applyFill="1" applyBorder="1" applyAlignment="1">
      <alignment horizontal="center" vertical="center"/>
    </xf>
    <xf numFmtId="165" fontId="9" fillId="3" borderId="0" xfId="2" quotePrefix="1" applyNumberFormat="1" applyFont="1" applyFill="1" applyBorder="1" applyAlignment="1" applyProtection="1">
      <alignment horizontal="center" vertical="center"/>
      <protection hidden="1"/>
    </xf>
    <xf numFmtId="165" fontId="5" fillId="4" borderId="5" xfId="2" quotePrefix="1" applyNumberFormat="1" applyFont="1" applyFill="1" applyBorder="1" applyAlignment="1" applyProtection="1">
      <alignment horizontal="center" vertical="center" wrapText="1"/>
      <protection hidden="1"/>
    </xf>
    <xf numFmtId="165" fontId="5" fillId="4" borderId="6" xfId="2" quotePrefix="1" applyNumberFormat="1" applyFont="1" applyFill="1" applyBorder="1" applyAlignment="1" applyProtection="1">
      <alignment horizontal="center" vertical="center" wrapText="1"/>
      <protection hidden="1"/>
    </xf>
    <xf numFmtId="165" fontId="5" fillId="4" borderId="7" xfId="2" quotePrefix="1" applyNumberFormat="1" applyFont="1" applyFill="1" applyBorder="1" applyAlignment="1" applyProtection="1">
      <alignment horizontal="center" vertical="center" wrapText="1"/>
      <protection hidden="1"/>
    </xf>
    <xf numFmtId="165" fontId="5" fillId="4" borderId="18" xfId="2" quotePrefix="1" applyNumberFormat="1" applyFont="1" applyFill="1" applyBorder="1" applyAlignment="1" applyProtection="1">
      <alignment horizontal="center" vertical="center" wrapText="1"/>
      <protection hidden="1"/>
    </xf>
    <xf numFmtId="165" fontId="5" fillId="5" borderId="18" xfId="2" quotePrefix="1" applyNumberFormat="1" applyFont="1" applyFill="1" applyBorder="1" applyAlignment="1" applyProtection="1">
      <alignment horizontal="center" vertical="center" wrapText="1"/>
      <protection hidden="1"/>
    </xf>
    <xf numFmtId="3" fontId="10" fillId="6" borderId="13" xfId="0" applyNumberFormat="1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1" fontId="10" fillId="9" borderId="7" xfId="0" applyNumberFormat="1" applyFont="1" applyFill="1" applyBorder="1" applyAlignment="1">
      <alignment horizontal="center" vertical="center"/>
    </xf>
    <xf numFmtId="1" fontId="10" fillId="9" borderId="18" xfId="0" applyNumberFormat="1" applyFont="1" applyFill="1" applyBorder="1" applyAlignment="1">
      <alignment horizontal="center" vertical="center"/>
    </xf>
    <xf numFmtId="166" fontId="10" fillId="9" borderId="18" xfId="0" applyNumberFormat="1" applyFont="1" applyFill="1" applyBorder="1" applyAlignment="1">
      <alignment horizontal="center" vertical="center"/>
    </xf>
    <xf numFmtId="166" fontId="4" fillId="9" borderId="18" xfId="0" applyNumberFormat="1" applyFont="1" applyFill="1" applyBorder="1" applyAlignment="1">
      <alignment horizontal="center" vertical="center"/>
    </xf>
    <xf numFmtId="3" fontId="10" fillId="6" borderId="13" xfId="0" quotePrefix="1" applyNumberFormat="1" applyFont="1" applyFill="1" applyBorder="1" applyAlignment="1">
      <alignment horizontal="center" vertical="center"/>
    </xf>
    <xf numFmtId="3" fontId="10" fillId="6" borderId="22" xfId="0" applyNumberFormat="1" applyFont="1" applyFill="1" applyBorder="1" applyAlignment="1">
      <alignment horizontal="center" vertical="center"/>
    </xf>
    <xf numFmtId="1" fontId="5" fillId="12" borderId="13" xfId="0" applyNumberFormat="1" applyFont="1" applyFill="1" applyBorder="1" applyAlignment="1">
      <alignment horizontal="center" vertical="center"/>
    </xf>
    <xf numFmtId="166" fontId="10" fillId="12" borderId="0" xfId="0" applyNumberFormat="1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165" fontId="5" fillId="5" borderId="5" xfId="2" quotePrefix="1" applyNumberFormat="1" applyFont="1" applyFill="1" applyBorder="1" applyAlignment="1" applyProtection="1">
      <alignment horizontal="center" vertical="center" wrapText="1"/>
      <protection hidden="1"/>
    </xf>
    <xf numFmtId="3" fontId="10" fillId="7" borderId="13" xfId="0" applyNumberFormat="1" applyFont="1" applyFill="1" applyBorder="1" applyAlignment="1">
      <alignment horizontal="center" vertical="center" wrapText="1"/>
    </xf>
    <xf numFmtId="3" fontId="10" fillId="7" borderId="13" xfId="0" applyNumberFormat="1" applyFont="1" applyFill="1" applyBorder="1" applyAlignment="1">
      <alignment horizontal="center" vertical="center"/>
    </xf>
    <xf numFmtId="166" fontId="10" fillId="11" borderId="18" xfId="0" applyNumberFormat="1" applyFont="1" applyFill="1" applyBorder="1" applyAlignment="1">
      <alignment horizontal="center" vertical="center"/>
    </xf>
    <xf numFmtId="1" fontId="5" fillId="12" borderId="0" xfId="0" applyNumberFormat="1" applyFont="1" applyFill="1" applyAlignment="1">
      <alignment horizontal="center" vertical="center"/>
    </xf>
    <xf numFmtId="166" fontId="5" fillId="12" borderId="0" xfId="0" applyNumberFormat="1" applyFont="1" applyFill="1" applyAlignment="1">
      <alignment horizontal="center" vertical="center"/>
    </xf>
    <xf numFmtId="166" fontId="10" fillId="6" borderId="0" xfId="0" applyNumberFormat="1" applyFont="1" applyFill="1" applyAlignment="1">
      <alignment horizontal="center" vertical="center"/>
    </xf>
    <xf numFmtId="4" fontId="0" fillId="13" borderId="27" xfId="0" applyNumberFormat="1" applyFill="1" applyBorder="1" applyAlignment="1">
      <alignment horizontal="center"/>
    </xf>
    <xf numFmtId="0" fontId="10" fillId="9" borderId="7" xfId="0" applyFont="1" applyFill="1" applyBorder="1" applyAlignment="1">
      <alignment horizontal="center" vertical="center"/>
    </xf>
    <xf numFmtId="4" fontId="0" fillId="13" borderId="28" xfId="0" applyNumberFormat="1" applyFill="1" applyBorder="1" applyAlignment="1">
      <alignment horizontal="center"/>
    </xf>
    <xf numFmtId="0" fontId="15" fillId="6" borderId="13" xfId="0" applyFont="1" applyFill="1" applyBorder="1" applyAlignment="1">
      <alignment horizontal="center" vertical="center"/>
    </xf>
    <xf numFmtId="0" fontId="15" fillId="6" borderId="13" xfId="0" applyFont="1" applyFill="1" applyBorder="1" applyAlignment="1">
      <alignment horizontal="left" vertical="center"/>
    </xf>
    <xf numFmtId="3" fontId="15" fillId="6" borderId="13" xfId="0" applyNumberFormat="1" applyFont="1" applyFill="1" applyBorder="1" applyAlignment="1">
      <alignment horizontal="center" vertical="center"/>
    </xf>
    <xf numFmtId="4" fontId="2" fillId="13" borderId="28" xfId="0" applyNumberFormat="1" applyFont="1" applyFill="1" applyBorder="1" applyAlignment="1">
      <alignment horizontal="center"/>
    </xf>
    <xf numFmtId="0" fontId="16" fillId="6" borderId="13" xfId="0" applyFont="1" applyFill="1" applyBorder="1" applyAlignment="1">
      <alignment horizontal="center" vertical="center"/>
    </xf>
    <xf numFmtId="0" fontId="16" fillId="6" borderId="13" xfId="0" applyFont="1" applyFill="1" applyBorder="1" applyAlignment="1">
      <alignment horizontal="left" vertical="center"/>
    </xf>
    <xf numFmtId="3" fontId="16" fillId="6" borderId="13" xfId="0" applyNumberFormat="1" applyFont="1" applyFill="1" applyBorder="1" applyAlignment="1">
      <alignment horizontal="center" vertical="center"/>
    </xf>
    <xf numFmtId="3" fontId="16" fillId="6" borderId="13" xfId="0" applyNumberFormat="1" applyFont="1" applyFill="1" applyBorder="1" applyAlignment="1">
      <alignment horizontal="center" vertical="center" wrapText="1"/>
    </xf>
    <xf numFmtId="4" fontId="17" fillId="13" borderId="28" xfId="0" applyNumberFormat="1" applyFont="1" applyFill="1" applyBorder="1" applyAlignment="1">
      <alignment horizontal="center"/>
    </xf>
    <xf numFmtId="0" fontId="11" fillId="6" borderId="13" xfId="0" applyFont="1" applyFill="1" applyBorder="1" applyAlignment="1">
      <alignment horizontal="center" vertical="center"/>
    </xf>
    <xf numFmtId="1" fontId="5" fillId="14" borderId="0" xfId="0" applyNumberFormat="1" applyFont="1" applyFill="1" applyAlignment="1">
      <alignment horizontal="center" vertical="center"/>
    </xf>
    <xf numFmtId="166" fontId="5" fillId="14" borderId="0" xfId="0" applyNumberFormat="1" applyFont="1" applyFill="1" applyAlignment="1">
      <alignment horizontal="center" vertical="center"/>
    </xf>
    <xf numFmtId="0" fontId="18" fillId="0" borderId="0" xfId="0" applyFont="1" applyProtection="1">
      <protection hidden="1"/>
    </xf>
    <xf numFmtId="0" fontId="5" fillId="0" borderId="0" xfId="0" applyFont="1" applyProtection="1">
      <protection hidden="1"/>
    </xf>
    <xf numFmtId="0" fontId="5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10" fillId="9" borderId="18" xfId="0" applyFont="1" applyFill="1" applyBorder="1" applyAlignment="1">
      <alignment vertical="center" wrapText="1"/>
    </xf>
    <xf numFmtId="0" fontId="7" fillId="0" borderId="1" xfId="1" applyFont="1" applyBorder="1" applyAlignment="1" applyProtection="1">
      <alignment horizontal="center" vertical="center"/>
      <protection hidden="1"/>
    </xf>
    <xf numFmtId="0" fontId="7" fillId="0" borderId="2" xfId="1" applyFont="1" applyBorder="1" applyAlignment="1" applyProtection="1">
      <alignment horizontal="center" vertical="center"/>
      <protection hidden="1"/>
    </xf>
    <xf numFmtId="0" fontId="7" fillId="0" borderId="3" xfId="1" applyFont="1" applyBorder="1" applyAlignment="1" applyProtection="1">
      <alignment horizontal="center" vertical="center"/>
      <protection hidden="1"/>
    </xf>
    <xf numFmtId="0" fontId="7" fillId="0" borderId="4" xfId="1" applyFont="1" applyBorder="1" applyAlignment="1" applyProtection="1">
      <alignment horizontal="center" vertical="center"/>
      <protection hidden="1"/>
    </xf>
    <xf numFmtId="166" fontId="10" fillId="11" borderId="2" xfId="0" applyNumberFormat="1" applyFont="1" applyFill="1" applyBorder="1" applyAlignment="1">
      <alignment horizontal="center" vertical="center"/>
    </xf>
    <xf numFmtId="166" fontId="10" fillId="11" borderId="0" xfId="0" applyNumberFormat="1" applyFont="1" applyFill="1" applyAlignment="1">
      <alignment horizontal="center" vertical="center"/>
    </xf>
    <xf numFmtId="166" fontId="10" fillId="11" borderId="4" xfId="0" applyNumberFormat="1" applyFont="1" applyFill="1" applyBorder="1" applyAlignment="1">
      <alignment horizontal="center" vertical="center"/>
    </xf>
    <xf numFmtId="0" fontId="12" fillId="6" borderId="19" xfId="0" applyFont="1" applyFill="1" applyBorder="1" applyAlignment="1">
      <alignment horizontal="right" vertical="center"/>
    </xf>
    <xf numFmtId="0" fontId="12" fillId="6" borderId="20" xfId="0" applyFont="1" applyFill="1" applyBorder="1" applyAlignment="1">
      <alignment horizontal="right" vertical="center"/>
    </xf>
    <xf numFmtId="0" fontId="12" fillId="6" borderId="21" xfId="0" applyFont="1" applyFill="1" applyBorder="1" applyAlignment="1">
      <alignment horizontal="right" vertical="center"/>
    </xf>
    <xf numFmtId="165" fontId="9" fillId="4" borderId="8" xfId="2" quotePrefix="1" applyNumberFormat="1" applyFont="1" applyFill="1" applyBorder="1" applyAlignment="1" applyProtection="1">
      <alignment horizontal="center" vertical="center" wrapText="1"/>
      <protection hidden="1"/>
    </xf>
    <xf numFmtId="165" fontId="9" fillId="4" borderId="15" xfId="2" quotePrefix="1" applyNumberFormat="1" applyFont="1" applyFill="1" applyBorder="1" applyAlignment="1" applyProtection="1">
      <alignment horizontal="center" vertical="center" wrapText="1"/>
      <protection hidden="1"/>
    </xf>
    <xf numFmtId="165" fontId="9" fillId="4" borderId="11" xfId="2" quotePrefix="1" applyNumberFormat="1" applyFont="1" applyFill="1" applyBorder="1" applyAlignment="1" applyProtection="1">
      <alignment horizontal="center" vertical="center" wrapText="1"/>
      <protection hidden="1"/>
    </xf>
    <xf numFmtId="0" fontId="12" fillId="6" borderId="14" xfId="0" applyFont="1" applyFill="1" applyBorder="1" applyAlignment="1">
      <alignment horizontal="right" vertical="center"/>
    </xf>
    <xf numFmtId="0" fontId="12" fillId="6" borderId="29" xfId="0" applyFont="1" applyFill="1" applyBorder="1" applyAlignment="1">
      <alignment horizontal="right" vertical="center"/>
    </xf>
    <xf numFmtId="0" fontId="12" fillId="6" borderId="30" xfId="0" applyFont="1" applyFill="1" applyBorder="1" applyAlignment="1">
      <alignment horizontal="right" vertical="center"/>
    </xf>
    <xf numFmtId="0" fontId="13" fillId="7" borderId="26" xfId="0" applyFont="1" applyFill="1" applyBorder="1" applyAlignment="1">
      <alignment horizontal="center" vertical="center" wrapText="1"/>
    </xf>
    <xf numFmtId="0" fontId="13" fillId="7" borderId="22" xfId="0" applyFont="1" applyFill="1" applyBorder="1" applyAlignment="1">
      <alignment horizontal="center" vertical="center" wrapText="1"/>
    </xf>
    <xf numFmtId="0" fontId="13" fillId="7" borderId="13" xfId="0" applyFont="1" applyFill="1" applyBorder="1" applyAlignment="1">
      <alignment horizontal="center" vertical="center" wrapText="1"/>
    </xf>
    <xf numFmtId="0" fontId="14" fillId="6" borderId="19" xfId="0" applyFont="1" applyFill="1" applyBorder="1" applyAlignment="1">
      <alignment horizontal="right" vertical="center"/>
    </xf>
    <xf numFmtId="0" fontId="14" fillId="6" borderId="20" xfId="0" applyFont="1" applyFill="1" applyBorder="1" applyAlignment="1">
      <alignment horizontal="right" vertical="center"/>
    </xf>
    <xf numFmtId="0" fontId="14" fillId="6" borderId="21" xfId="0" applyFont="1" applyFill="1" applyBorder="1" applyAlignment="1">
      <alignment horizontal="right" vertical="center"/>
    </xf>
    <xf numFmtId="0" fontId="10" fillId="2" borderId="0" xfId="1" applyFont="1" applyFill="1" applyAlignment="1">
      <alignment horizontal="center" vertical="center" wrapText="1"/>
    </xf>
    <xf numFmtId="0" fontId="4" fillId="0" borderId="0" xfId="1" applyFont="1" applyAlignment="1" applyProtection="1">
      <alignment horizontal="center" vertical="center" wrapText="1"/>
      <protection hidden="1"/>
    </xf>
    <xf numFmtId="0" fontId="19" fillId="0" borderId="0" xfId="0" applyFont="1" applyAlignment="1">
      <alignment horizontal="center" vertical="center" wrapText="1"/>
    </xf>
    <xf numFmtId="0" fontId="10" fillId="12" borderId="13" xfId="0" applyFont="1" applyFill="1" applyBorder="1" applyAlignment="1">
      <alignment horizontal="center" vertical="center" wrapText="1"/>
    </xf>
    <xf numFmtId="0" fontId="10" fillId="12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5" fillId="0" borderId="0" xfId="0" applyFont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4" fillId="0" borderId="0" xfId="0" applyFont="1" applyAlignment="1">
      <alignment horizontal="center" vertical="center" wrapText="1"/>
    </xf>
  </cellXfs>
  <cellStyles count="3">
    <cellStyle name="Normal" xfId="0" builtinId="0"/>
    <cellStyle name="Normal 18" xfId="1" xr:uid="{99B3F317-E2F4-47A1-8C0E-CBE4BDD1014F}"/>
    <cellStyle name="Vírgula 2" xfId="2" xr:uid="{A7D0C3F0-CDFF-49A3-8A1F-36BC8F2521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4</xdr:col>
      <xdr:colOff>1303988</xdr:colOff>
      <xdr:row>8</xdr:row>
      <xdr:rowOff>45357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DBB02708-2EBF-444D-8057-8E0064991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" y="190500"/>
          <a:ext cx="2949908" cy="320040"/>
        </a:xfrm>
        <a:prstGeom prst="rect">
          <a:avLst/>
        </a:prstGeom>
      </xdr:spPr>
    </xdr:pic>
    <xdr:clientData/>
  </xdr:twoCellAnchor>
  <xdr:twoCellAnchor>
    <xdr:from>
      <xdr:col>4</xdr:col>
      <xdr:colOff>1356022</xdr:colOff>
      <xdr:row>2</xdr:row>
      <xdr:rowOff>141693</xdr:rowOff>
    </xdr:from>
    <xdr:to>
      <xdr:col>4</xdr:col>
      <xdr:colOff>1356022</xdr:colOff>
      <xdr:row>5</xdr:row>
      <xdr:rowOff>111439</xdr:rowOff>
    </xdr:to>
    <xdr:cxnSp macro="">
      <xdr:nvCxnSpPr>
        <xdr:cNvPr id="3" name="Straight Connector 6">
          <a:extLst>
            <a:ext uri="{FF2B5EF4-FFF2-40B4-BE49-F238E27FC236}">
              <a16:creationId xmlns:a16="http://schemas.microsoft.com/office/drawing/2014/main" id="{1D01A4BF-F3B5-415B-8A2C-93ACAB41C2B5}"/>
            </a:ext>
          </a:extLst>
        </xdr:cNvPr>
        <xdr:cNvCxnSpPr/>
      </xdr:nvCxnSpPr>
      <xdr:spPr>
        <a:xfrm>
          <a:off x="3375322" y="190500"/>
          <a:ext cx="0" cy="0"/>
        </a:xfrm>
        <a:prstGeom prst="line">
          <a:avLst/>
        </a:prstGeom>
        <a:ln w="12700">
          <a:solidFill>
            <a:srgbClr val="01147E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de1\custos\Users\92025823\AppData\Local\Microsoft\Windows\Temporary%20Internet%20Files\Content.Outlook\P5EB9S7P\CONSOLIDADA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.silva\AppData\Local\Microsoft\Windows\Temporary%20Internet%20Files\Content.Outlook\PLO5JG7R\Concorr&#234;ncia%202008%20Programa&#231;&#227;o%20Visual\CE-RS-RJ\Concorr&#234;ncia%202008%20Programa&#231;&#227;o%20Visual\CLIENTES\ITAMINAS\C&#193;LCULO%20DE%20BD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de1\custos\COMUNICA&#199;&#195;O\2010\MERCHANDISING\Informa&#231;&#245;es%20Vitrine\Loja%20Pr&#243;pria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de1\custos\Documents%20and%20Settings\12024722\Configura&#231;&#245;es%20locais\Temporary%20Internet%20Files\OLK8B\Base_Lojas_SP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"/>
      <sheetName val="RS"/>
      <sheetName val="PR SC"/>
      <sheetName val="Plan2"/>
      <sheetName val="NE"/>
      <sheetName val="CO"/>
      <sheetName val="RJ_ES"/>
      <sheetName val="BA_SE"/>
      <sheetName val="NO"/>
      <sheetName val="MG"/>
      <sheetName val="Lojas Cabo"/>
      <sheetName val="Lojas Padrão Antigo"/>
    </sheetNames>
    <sheetDataSet>
      <sheetData sheetId="0"/>
      <sheetData sheetId="1"/>
      <sheetData sheetId="2"/>
      <sheetData sheetId="3">
        <row r="3">
          <cell r="A3" t="str">
            <v>SP</v>
          </cell>
          <cell r="F3" t="str">
            <v>AC</v>
          </cell>
        </row>
        <row r="4">
          <cell r="A4" t="str">
            <v>RJ/ES</v>
          </cell>
          <cell r="F4" t="str">
            <v>AL</v>
          </cell>
        </row>
        <row r="5">
          <cell r="A5" t="str">
            <v>MG</v>
          </cell>
          <cell r="F5" t="str">
            <v>AM</v>
          </cell>
        </row>
        <row r="6">
          <cell r="A6" t="str">
            <v>PR/SC</v>
          </cell>
          <cell r="F6" t="str">
            <v>AP</v>
          </cell>
        </row>
        <row r="7">
          <cell r="A7" t="str">
            <v>RS</v>
          </cell>
          <cell r="F7" t="str">
            <v>BA</v>
          </cell>
        </row>
        <row r="8">
          <cell r="A8" t="str">
            <v>CO</v>
          </cell>
          <cell r="F8" t="str">
            <v>CE</v>
          </cell>
        </row>
        <row r="9">
          <cell r="A9" t="str">
            <v>BA/SE</v>
          </cell>
          <cell r="F9" t="str">
            <v>DF</v>
          </cell>
        </row>
        <row r="10">
          <cell r="A10" t="str">
            <v>NE</v>
          </cell>
          <cell r="F10" t="str">
            <v>ES</v>
          </cell>
        </row>
        <row r="11">
          <cell r="A11" t="str">
            <v>NO</v>
          </cell>
          <cell r="F11" t="str">
            <v>GO</v>
          </cell>
        </row>
        <row r="12">
          <cell r="F12" t="str">
            <v>MA</v>
          </cell>
        </row>
        <row r="13">
          <cell r="F13" t="str">
            <v>MG</v>
          </cell>
        </row>
        <row r="14">
          <cell r="F14" t="str">
            <v>MS</v>
          </cell>
        </row>
        <row r="15">
          <cell r="F15" t="str">
            <v>MT</v>
          </cell>
        </row>
        <row r="16">
          <cell r="F16" t="str">
            <v>PA</v>
          </cell>
        </row>
        <row r="17">
          <cell r="F17" t="str">
            <v>PB</v>
          </cell>
        </row>
        <row r="18">
          <cell r="F18" t="str">
            <v>PE</v>
          </cell>
        </row>
        <row r="19">
          <cell r="F19" t="str">
            <v>PI</v>
          </cell>
        </row>
        <row r="20">
          <cell r="F20" t="str">
            <v>PR</v>
          </cell>
        </row>
        <row r="21">
          <cell r="F21" t="str">
            <v>RJ</v>
          </cell>
        </row>
        <row r="22">
          <cell r="F22" t="str">
            <v>RN</v>
          </cell>
        </row>
        <row r="23">
          <cell r="F23" t="str">
            <v>RO</v>
          </cell>
        </row>
        <row r="24">
          <cell r="F24" t="str">
            <v>RR</v>
          </cell>
        </row>
        <row r="25">
          <cell r="F25" t="str">
            <v>RS</v>
          </cell>
        </row>
        <row r="26">
          <cell r="F26" t="str">
            <v>SC</v>
          </cell>
        </row>
        <row r="27">
          <cell r="F27" t="str">
            <v>SE</v>
          </cell>
        </row>
        <row r="28">
          <cell r="F28" t="str">
            <v>SP</v>
          </cell>
        </row>
        <row r="29">
          <cell r="F29" t="str">
            <v>TO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I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 SC"/>
      <sheetName val="Plan2"/>
      <sheetName val="bdi"/>
    </sheetNames>
    <sheetDataSet>
      <sheetData sheetId="0"/>
      <sheetData sheetId="1">
        <row r="3">
          <cell r="E3" t="str">
            <v>sim</v>
          </cell>
        </row>
        <row r="4">
          <cell r="E4" t="str">
            <v>não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"/>
      <sheetName val="Central"/>
      <sheetName val="Coeficientes"/>
      <sheetName val="Combos"/>
      <sheetName val="Plan1"/>
      <sheetName val="Plan2"/>
      <sheetName val="bdi"/>
    </sheetNames>
    <sheetDataSet>
      <sheetData sheetId="0" refreshError="1"/>
      <sheetData sheetId="1" refreshError="1"/>
      <sheetData sheetId="2" refreshError="1"/>
      <sheetData sheetId="3">
        <row r="6">
          <cell r="A6" t="str">
            <v>RUA</v>
          </cell>
          <cell r="B6" t="str">
            <v>RUA</v>
          </cell>
        </row>
        <row r="7">
          <cell r="A7" t="str">
            <v>SHOP</v>
          </cell>
          <cell r="B7" t="str">
            <v>AVENIDA</v>
          </cell>
        </row>
        <row r="8">
          <cell r="A8" t="str">
            <v>QUIOSQ</v>
          </cell>
        </row>
      </sheetData>
      <sheetData sheetId="4" refreshError="1"/>
      <sheetData sheetId="5" refreshError="1"/>
      <sheetData sheetId="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DBAC0-C09C-42C5-9B1F-D9EE88184B48}">
  <dimension ref="A1:AP594"/>
  <sheetViews>
    <sheetView showGridLines="0" tabSelected="1" topLeftCell="A11" zoomScale="70" zoomScaleNormal="70" workbookViewId="0">
      <selection activeCell="B11" sqref="B11"/>
    </sheetView>
  </sheetViews>
  <sheetFormatPr defaultColWidth="9.140625" defaultRowHeight="0" customHeight="1" zeroHeight="1" x14ac:dyDescent="0.2"/>
  <cols>
    <col min="1" max="1" width="2.85546875" style="5" customWidth="1"/>
    <col min="2" max="2" width="2.5703125" style="5" customWidth="1"/>
    <col min="3" max="3" width="13.42578125" style="5" customWidth="1"/>
    <col min="4" max="4" width="10.5703125" style="5" customWidth="1"/>
    <col min="5" max="5" width="103.5703125" style="5" customWidth="1"/>
    <col min="6" max="6" width="24.7109375" style="5" customWidth="1"/>
    <col min="7" max="7" width="23.7109375" style="95" customWidth="1"/>
    <col min="8" max="8" width="10.140625" style="95" customWidth="1"/>
    <col min="9" max="10" width="19.5703125" style="95" customWidth="1"/>
    <col min="11" max="11" width="19.5703125" style="96" customWidth="1"/>
    <col min="12" max="12" width="23.42578125" style="95" customWidth="1"/>
    <col min="13" max="13" width="21" style="5" customWidth="1"/>
    <col min="14" max="14" width="19.85546875" style="5" customWidth="1"/>
    <col min="15" max="15" width="23.7109375" style="5" customWidth="1"/>
    <col min="16" max="16" width="20.5703125" style="97" customWidth="1"/>
    <col min="17" max="17" width="27.42578125" style="97" customWidth="1"/>
    <col min="18" max="19" width="23.5703125" style="97" customWidth="1"/>
    <col min="20" max="20" width="9.7109375" style="97" customWidth="1"/>
    <col min="21" max="21" width="24.85546875" style="97" customWidth="1"/>
    <col min="22" max="22" width="23.7109375" style="97" customWidth="1"/>
    <col min="23" max="23" width="18.28515625" style="97" customWidth="1"/>
    <col min="24" max="24" width="24.85546875" style="97" customWidth="1"/>
    <col min="25" max="25" width="28" style="97" customWidth="1"/>
    <col min="26" max="26" width="18.7109375" style="97" customWidth="1"/>
    <col min="27" max="27" width="18.28515625" style="97" customWidth="1"/>
    <col min="28" max="28" width="18" style="97" customWidth="1"/>
    <col min="29" max="29" width="20.140625" style="97" customWidth="1"/>
    <col min="30" max="30" width="111.85546875" style="130" customWidth="1"/>
    <col min="31" max="31" width="7.42578125" style="97" customWidth="1"/>
    <col min="32" max="33" width="2.7109375" style="5" customWidth="1"/>
    <col min="34" max="34" width="2.85546875" style="5" customWidth="1"/>
    <col min="35" max="16384" width="9.140625" style="5"/>
  </cols>
  <sheetData>
    <row r="1" spans="1:42" ht="15" hidden="1" customHeight="1" x14ac:dyDescent="0.2">
      <c r="A1" s="1" t="s">
        <v>0</v>
      </c>
      <c r="B1" s="1" t="s">
        <v>0</v>
      </c>
      <c r="C1" s="1" t="s">
        <v>0</v>
      </c>
      <c r="D1" s="1"/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/>
      <c r="K1" s="2"/>
      <c r="L1" s="1"/>
      <c r="M1" s="1" t="s">
        <v>0</v>
      </c>
      <c r="N1" s="1"/>
      <c r="O1" s="1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121"/>
      <c r="AE1" s="3"/>
      <c r="AF1" s="1"/>
      <c r="AG1" s="1"/>
      <c r="AH1" s="1" t="s">
        <v>0</v>
      </c>
      <c r="AI1" s="4"/>
      <c r="AJ1" s="4"/>
      <c r="AK1" s="4"/>
      <c r="AL1" s="4"/>
      <c r="AM1" s="4"/>
      <c r="AN1" s="4"/>
      <c r="AO1" s="4"/>
      <c r="AP1" s="4"/>
    </row>
    <row r="2" spans="1:42" ht="12.75" hidden="1" x14ac:dyDescent="0.2">
      <c r="A2" s="1" t="s">
        <v>0</v>
      </c>
      <c r="B2" s="6"/>
      <c r="C2" s="6"/>
      <c r="D2" s="6"/>
      <c r="E2" s="6"/>
      <c r="F2" s="6"/>
      <c r="G2" s="7"/>
      <c r="H2" s="7"/>
      <c r="I2" s="7"/>
      <c r="J2" s="7"/>
      <c r="K2" s="8"/>
      <c r="L2" s="7"/>
      <c r="M2" s="6"/>
      <c r="N2" s="6"/>
      <c r="O2" s="6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122"/>
      <c r="AE2" s="9"/>
      <c r="AF2" s="6"/>
      <c r="AG2" s="6"/>
      <c r="AH2" s="1" t="s">
        <v>0</v>
      </c>
      <c r="AI2" s="4"/>
      <c r="AJ2" s="4"/>
      <c r="AK2" s="4"/>
      <c r="AL2" s="4"/>
      <c r="AM2" s="4"/>
      <c r="AN2" s="4"/>
      <c r="AO2" s="4"/>
      <c r="AP2" s="4"/>
    </row>
    <row r="3" spans="1:42" ht="12.75" hidden="1" x14ac:dyDescent="0.2">
      <c r="A3" s="1" t="s">
        <v>0</v>
      </c>
      <c r="B3" s="6"/>
      <c r="C3" s="6"/>
      <c r="D3" s="6"/>
      <c r="E3" s="6"/>
      <c r="F3" s="6"/>
      <c r="G3" s="7"/>
      <c r="H3" s="7"/>
      <c r="I3" s="7"/>
      <c r="J3" s="7"/>
      <c r="K3" s="8"/>
      <c r="L3" s="7"/>
      <c r="M3" s="6"/>
      <c r="N3" s="6"/>
      <c r="O3" s="6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122"/>
      <c r="AE3" s="9"/>
      <c r="AF3" s="6"/>
      <c r="AG3" s="6"/>
      <c r="AH3" s="1" t="s">
        <v>0</v>
      </c>
      <c r="AI3" s="4"/>
      <c r="AJ3" s="4"/>
      <c r="AK3" s="4"/>
      <c r="AL3" s="4"/>
      <c r="AM3" s="4"/>
      <c r="AN3" s="4"/>
      <c r="AO3" s="4"/>
      <c r="AP3" s="4"/>
    </row>
    <row r="4" spans="1:42" ht="12.75" hidden="1" x14ac:dyDescent="0.2">
      <c r="A4" s="1" t="s">
        <v>0</v>
      </c>
      <c r="B4" s="6"/>
      <c r="C4" s="6"/>
      <c r="D4" s="6"/>
      <c r="E4" s="6"/>
      <c r="F4" s="6"/>
      <c r="G4" s="7"/>
      <c r="H4" s="7"/>
      <c r="I4" s="7"/>
      <c r="J4" s="7"/>
      <c r="K4" s="8"/>
      <c r="L4" s="7"/>
      <c r="M4" s="6"/>
      <c r="N4" s="6"/>
      <c r="O4" s="6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122"/>
      <c r="AE4" s="9"/>
      <c r="AF4" s="6"/>
      <c r="AG4" s="6"/>
      <c r="AH4" s="1" t="s">
        <v>0</v>
      </c>
      <c r="AI4" s="4"/>
      <c r="AJ4" s="4"/>
      <c r="AK4" s="4"/>
      <c r="AL4" s="4"/>
      <c r="AM4" s="4"/>
      <c r="AN4" s="4"/>
      <c r="AO4" s="4"/>
      <c r="AP4" s="4"/>
    </row>
    <row r="5" spans="1:42" ht="12.75" hidden="1" x14ac:dyDescent="0.2">
      <c r="A5" s="1" t="s">
        <v>0</v>
      </c>
      <c r="B5" s="6"/>
      <c r="C5" s="6"/>
      <c r="D5" s="6"/>
      <c r="E5" s="6"/>
      <c r="F5" s="6"/>
      <c r="G5" s="7"/>
      <c r="H5" s="7"/>
      <c r="I5" s="7"/>
      <c r="J5" s="7"/>
      <c r="K5" s="8"/>
      <c r="L5" s="7"/>
      <c r="M5" s="6"/>
      <c r="N5" s="6"/>
      <c r="O5" s="6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122"/>
      <c r="AE5" s="9"/>
      <c r="AF5" s="6"/>
      <c r="AG5" s="6"/>
      <c r="AH5" s="1" t="s">
        <v>0</v>
      </c>
      <c r="AI5" s="4"/>
      <c r="AJ5" s="4"/>
      <c r="AK5" s="4"/>
      <c r="AL5" s="4"/>
      <c r="AM5" s="4"/>
      <c r="AN5" s="4"/>
      <c r="AO5" s="4"/>
      <c r="AP5" s="4"/>
    </row>
    <row r="6" spans="1:42" ht="12.75" hidden="1" x14ac:dyDescent="0.2">
      <c r="A6" s="1" t="s">
        <v>0</v>
      </c>
      <c r="B6" s="6"/>
      <c r="C6" s="6"/>
      <c r="D6" s="6"/>
      <c r="E6" s="6"/>
      <c r="F6" s="6"/>
      <c r="G6" s="7"/>
      <c r="H6" s="7"/>
      <c r="I6" s="7"/>
      <c r="J6" s="7"/>
      <c r="K6" s="8"/>
      <c r="L6" s="7"/>
      <c r="M6" s="6"/>
      <c r="N6" s="6"/>
      <c r="O6" s="6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122"/>
      <c r="AE6" s="9"/>
      <c r="AF6" s="6"/>
      <c r="AG6" s="6"/>
      <c r="AH6" s="1" t="s">
        <v>0</v>
      </c>
      <c r="AI6" s="4"/>
      <c r="AJ6" s="4"/>
      <c r="AK6" s="4"/>
      <c r="AL6" s="4"/>
      <c r="AM6" s="4"/>
      <c r="AN6" s="4"/>
      <c r="AO6" s="4"/>
      <c r="AP6" s="4"/>
    </row>
    <row r="7" spans="1:42" ht="24" hidden="1" customHeight="1" x14ac:dyDescent="0.25">
      <c r="A7" s="1"/>
      <c r="B7" s="6"/>
      <c r="C7"/>
      <c r="D7"/>
      <c r="E7"/>
      <c r="F7"/>
      <c r="G7" s="10"/>
      <c r="H7" s="10"/>
      <c r="I7" s="10"/>
      <c r="J7" s="10"/>
      <c r="K7" s="11"/>
      <c r="L7" s="10"/>
      <c r="M7"/>
      <c r="N7"/>
      <c r="O7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3"/>
      <c r="AE7" s="12"/>
      <c r="AF7"/>
      <c r="AG7"/>
      <c r="AH7" s="1"/>
      <c r="AI7" s="4"/>
      <c r="AJ7" s="4"/>
      <c r="AK7" s="4"/>
      <c r="AL7" s="4"/>
      <c r="AM7" s="4"/>
      <c r="AN7" s="4"/>
      <c r="AO7" s="4"/>
      <c r="AP7" s="4"/>
    </row>
    <row r="8" spans="1:42" ht="1.5" hidden="1" customHeight="1" x14ac:dyDescent="0.2">
      <c r="A8" s="1" t="s">
        <v>0</v>
      </c>
      <c r="B8" s="6"/>
      <c r="C8" s="1"/>
      <c r="D8" s="1"/>
      <c r="E8" s="1"/>
      <c r="F8" s="1"/>
      <c r="G8" s="1"/>
      <c r="H8" s="1"/>
      <c r="I8" s="1"/>
      <c r="J8" s="1"/>
      <c r="K8" s="2"/>
      <c r="L8" s="1"/>
      <c r="M8" s="1"/>
      <c r="N8" s="1"/>
      <c r="O8" s="1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121"/>
      <c r="AE8" s="3"/>
      <c r="AF8" s="13"/>
      <c r="AG8" s="13"/>
      <c r="AH8" s="1" t="s">
        <v>0</v>
      </c>
      <c r="AI8" s="4"/>
      <c r="AJ8" s="4"/>
      <c r="AK8" s="4"/>
      <c r="AL8" s="4"/>
      <c r="AM8" s="4"/>
      <c r="AN8" s="4"/>
      <c r="AO8" s="4"/>
      <c r="AP8" s="4"/>
    </row>
    <row r="9" spans="1:42" ht="15" hidden="1" x14ac:dyDescent="0.25">
      <c r="A9" s="1" t="s">
        <v>0</v>
      </c>
      <c r="B9" s="6"/>
      <c r="C9" s="14" t="s">
        <v>1</v>
      </c>
      <c r="D9" s="14"/>
      <c r="E9" s="6"/>
      <c r="F9" s="6"/>
      <c r="G9" s="7"/>
      <c r="H9" s="7"/>
      <c r="I9" s="7"/>
      <c r="J9" s="7"/>
      <c r="K9" s="8"/>
      <c r="L9" s="7"/>
      <c r="M9" s="6"/>
      <c r="N9" s="6"/>
      <c r="O9" s="6"/>
      <c r="P9" s="9"/>
      <c r="Q9" s="9"/>
      <c r="R9" s="9"/>
      <c r="S9" s="9"/>
      <c r="T9" s="9"/>
      <c r="U9" s="99"/>
      <c r="V9" s="100"/>
      <c r="W9" s="100"/>
      <c r="X9" s="100"/>
      <c r="Y9" s="100"/>
      <c r="Z9" s="100"/>
      <c r="AA9" s="100"/>
      <c r="AB9" s="100"/>
      <c r="AC9" s="100"/>
      <c r="AD9" s="100"/>
      <c r="AE9" s="9"/>
      <c r="AF9" s="6"/>
      <c r="AG9" s="6"/>
      <c r="AH9" s="1" t="s">
        <v>0</v>
      </c>
      <c r="AI9" s="4"/>
      <c r="AJ9" s="4"/>
      <c r="AK9" s="4"/>
      <c r="AL9" s="4"/>
      <c r="AM9" s="4"/>
      <c r="AN9" s="4"/>
      <c r="AO9" s="4"/>
      <c r="AP9" s="4"/>
    </row>
    <row r="10" spans="1:42" ht="26.25" hidden="1" customHeight="1" x14ac:dyDescent="0.2">
      <c r="A10" s="1" t="s">
        <v>0</v>
      </c>
      <c r="B10" s="6"/>
      <c r="C10" s="15"/>
      <c r="D10" s="15"/>
      <c r="E10" s="4"/>
      <c r="F10" s="4"/>
      <c r="G10" s="16"/>
      <c r="H10" s="16"/>
      <c r="I10" s="16"/>
      <c r="J10" s="16"/>
      <c r="K10" s="17"/>
      <c r="L10" s="16"/>
      <c r="M10" s="4"/>
      <c r="N10" s="4"/>
      <c r="O10" s="4"/>
      <c r="P10" s="18"/>
      <c r="Q10" s="18"/>
      <c r="R10" s="18"/>
      <c r="S10" s="18"/>
      <c r="T10" s="18"/>
      <c r="U10" s="101"/>
      <c r="V10" s="102"/>
      <c r="W10" s="102"/>
      <c r="X10" s="102"/>
      <c r="Y10" s="102"/>
      <c r="Z10" s="102"/>
      <c r="AA10" s="102"/>
      <c r="AB10" s="102"/>
      <c r="AC10" s="102"/>
      <c r="AD10" s="102"/>
      <c r="AE10" s="18"/>
      <c r="AF10" s="4"/>
      <c r="AG10" s="4"/>
      <c r="AH10" s="1" t="s">
        <v>0</v>
      </c>
      <c r="AI10" s="4"/>
      <c r="AJ10" s="4"/>
      <c r="AK10" s="4"/>
      <c r="AL10" s="4"/>
      <c r="AM10" s="4"/>
      <c r="AN10" s="4"/>
      <c r="AO10" s="4"/>
      <c r="AP10" s="4"/>
    </row>
    <row r="11" spans="1:42" ht="44.25" customHeight="1" x14ac:dyDescent="0.2">
      <c r="A11" s="1" t="s">
        <v>0</v>
      </c>
      <c r="B11" s="6"/>
      <c r="C11" s="19" t="s">
        <v>2</v>
      </c>
      <c r="D11" s="20" t="s">
        <v>3</v>
      </c>
      <c r="E11" s="20" t="s">
        <v>4</v>
      </c>
      <c r="F11" s="20" t="s">
        <v>5</v>
      </c>
      <c r="G11" s="20" t="s">
        <v>6</v>
      </c>
      <c r="H11" s="21" t="s">
        <v>7</v>
      </c>
      <c r="I11" s="22" t="s">
        <v>8</v>
      </c>
      <c r="J11" s="22" t="s">
        <v>9</v>
      </c>
      <c r="K11" s="22" t="s">
        <v>10</v>
      </c>
      <c r="L11" s="22" t="s">
        <v>11</v>
      </c>
      <c r="M11" s="22" t="s">
        <v>12</v>
      </c>
      <c r="N11" s="22" t="s">
        <v>13</v>
      </c>
      <c r="O11" s="22" t="s">
        <v>14</v>
      </c>
      <c r="P11" s="22" t="s">
        <v>15</v>
      </c>
      <c r="Q11" s="22" t="s">
        <v>16</v>
      </c>
      <c r="R11" s="22" t="s">
        <v>17</v>
      </c>
      <c r="S11" s="22" t="s">
        <v>18</v>
      </c>
      <c r="T11" s="23"/>
      <c r="U11" s="24" t="s">
        <v>19</v>
      </c>
      <c r="V11" s="25" t="s">
        <v>20</v>
      </c>
      <c r="W11" s="26" t="s">
        <v>21</v>
      </c>
      <c r="X11" s="24" t="s">
        <v>22</v>
      </c>
      <c r="Y11" s="27" t="s">
        <v>23</v>
      </c>
      <c r="Z11" s="26" t="s">
        <v>21</v>
      </c>
      <c r="AA11" s="28" t="s">
        <v>24</v>
      </c>
      <c r="AB11" s="27" t="s">
        <v>25</v>
      </c>
      <c r="AC11" s="27" t="s">
        <v>26</v>
      </c>
      <c r="AD11" s="27" t="s">
        <v>27</v>
      </c>
      <c r="AE11" s="29"/>
      <c r="AF11" s="4"/>
      <c r="AG11" s="4"/>
      <c r="AH11" s="1" t="s">
        <v>0</v>
      </c>
      <c r="AI11" s="4"/>
      <c r="AJ11" s="4"/>
      <c r="AK11" s="4"/>
      <c r="AL11" s="4"/>
      <c r="AM11" s="4"/>
      <c r="AN11" s="4"/>
      <c r="AO11" s="4"/>
      <c r="AP11" s="4"/>
    </row>
    <row r="12" spans="1:42" ht="35.1" customHeight="1" x14ac:dyDescent="0.2">
      <c r="A12" s="1"/>
      <c r="B12" s="6"/>
      <c r="C12" s="30" t="s">
        <v>28</v>
      </c>
      <c r="D12" s="30">
        <v>1</v>
      </c>
      <c r="E12" s="31" t="s">
        <v>29</v>
      </c>
      <c r="F12" s="30" t="s">
        <v>30</v>
      </c>
      <c r="G12" s="31" t="s">
        <v>31</v>
      </c>
      <c r="H12" s="31" t="s">
        <v>32</v>
      </c>
      <c r="I12" s="32">
        <v>1886</v>
      </c>
      <c r="J12" s="32" t="s">
        <v>33</v>
      </c>
      <c r="K12" s="32" t="s">
        <v>34</v>
      </c>
      <c r="L12" s="32">
        <v>9863</v>
      </c>
      <c r="M12" s="30" t="s">
        <v>35</v>
      </c>
      <c r="N12" s="30" t="s">
        <v>35</v>
      </c>
      <c r="O12" s="33" t="s">
        <v>36</v>
      </c>
      <c r="P12" s="30">
        <v>5</v>
      </c>
      <c r="Q12" s="34" t="s">
        <v>37</v>
      </c>
      <c r="R12" s="35" t="s">
        <v>38</v>
      </c>
      <c r="S12" s="35" t="s">
        <v>39</v>
      </c>
      <c r="T12" s="36"/>
      <c r="U12" s="37">
        <v>1</v>
      </c>
      <c r="V12" s="38">
        <f>5380-300</f>
        <v>5080</v>
      </c>
      <c r="W12" s="39">
        <f>V12*U12</f>
        <v>5080</v>
      </c>
      <c r="X12" s="37">
        <v>4</v>
      </c>
      <c r="Y12" s="62">
        <f>6280-300</f>
        <v>5980</v>
      </c>
      <c r="Z12" s="39">
        <f>Y12*X12</f>
        <v>23920</v>
      </c>
      <c r="AA12" s="103"/>
      <c r="AB12" s="103"/>
      <c r="AC12" s="40">
        <f>Z12+W12</f>
        <v>29000</v>
      </c>
      <c r="AD12" s="98"/>
      <c r="AE12" s="41"/>
      <c r="AF12" s="4"/>
      <c r="AG12" s="4"/>
      <c r="AH12" s="1"/>
      <c r="AI12" s="4"/>
      <c r="AJ12" s="4"/>
      <c r="AK12" s="4"/>
      <c r="AL12" s="4"/>
      <c r="AM12" s="4"/>
      <c r="AN12" s="4"/>
      <c r="AO12" s="4"/>
      <c r="AP12" s="4"/>
    </row>
    <row r="13" spans="1:42" ht="35.1" customHeight="1" x14ac:dyDescent="0.2">
      <c r="A13" s="1"/>
      <c r="B13" s="6"/>
      <c r="C13" s="30" t="s">
        <v>28</v>
      </c>
      <c r="D13" s="30">
        <v>2</v>
      </c>
      <c r="E13" s="31" t="s">
        <v>40</v>
      </c>
      <c r="F13" s="30" t="s">
        <v>41</v>
      </c>
      <c r="G13" s="31" t="s">
        <v>42</v>
      </c>
      <c r="H13" s="31" t="s">
        <v>32</v>
      </c>
      <c r="I13" s="32">
        <v>1634</v>
      </c>
      <c r="J13" s="32" t="s">
        <v>33</v>
      </c>
      <c r="K13" s="32" t="s">
        <v>34</v>
      </c>
      <c r="L13" s="32">
        <v>3589</v>
      </c>
      <c r="M13" s="30" t="s">
        <v>35</v>
      </c>
      <c r="N13" s="30" t="s">
        <v>35</v>
      </c>
      <c r="O13" s="33" t="s">
        <v>36</v>
      </c>
      <c r="P13" s="30">
        <v>4</v>
      </c>
      <c r="Q13" s="34" t="s">
        <v>37</v>
      </c>
      <c r="R13" s="35" t="s">
        <v>38</v>
      </c>
      <c r="S13" s="35" t="s">
        <v>39</v>
      </c>
      <c r="T13" s="36"/>
      <c r="U13" s="37">
        <v>0</v>
      </c>
      <c r="V13" s="38">
        <f t="shared" ref="V13:V23" si="0">5380-300</f>
        <v>5080</v>
      </c>
      <c r="W13" s="39">
        <f t="shared" ref="W13:W23" si="1">V13*U13</f>
        <v>0</v>
      </c>
      <c r="X13" s="37">
        <v>4</v>
      </c>
      <c r="Y13" s="62">
        <f t="shared" ref="Y13:Y23" si="2">6280-300</f>
        <v>5980</v>
      </c>
      <c r="Z13" s="39">
        <f t="shared" ref="Z13:Z23" si="3">Y13*X13</f>
        <v>23920</v>
      </c>
      <c r="AA13" s="104"/>
      <c r="AB13" s="104"/>
      <c r="AC13" s="40">
        <f t="shared" ref="AC13:AC23" si="4">Z13+W13</f>
        <v>23920</v>
      </c>
      <c r="AD13" s="98"/>
      <c r="AE13" s="41"/>
      <c r="AF13" s="4"/>
      <c r="AG13" s="4"/>
      <c r="AH13" s="1"/>
      <c r="AI13" s="4"/>
      <c r="AJ13" s="4"/>
      <c r="AK13" s="4"/>
      <c r="AL13" s="4"/>
      <c r="AM13" s="4"/>
      <c r="AN13" s="4"/>
      <c r="AO13" s="4"/>
      <c r="AP13" s="4"/>
    </row>
    <row r="14" spans="1:42" ht="35.1" customHeight="1" x14ac:dyDescent="0.2">
      <c r="A14" s="1"/>
      <c r="B14" s="6"/>
      <c r="C14" s="30" t="s">
        <v>28</v>
      </c>
      <c r="D14" s="30">
        <v>3</v>
      </c>
      <c r="E14" s="31" t="s">
        <v>43</v>
      </c>
      <c r="F14" s="30" t="s">
        <v>44</v>
      </c>
      <c r="G14" s="31" t="s">
        <v>31</v>
      </c>
      <c r="H14" s="31" t="s">
        <v>32</v>
      </c>
      <c r="I14" s="32">
        <v>1538</v>
      </c>
      <c r="J14" s="32" t="s">
        <v>33</v>
      </c>
      <c r="K14" s="32" t="s">
        <v>34</v>
      </c>
      <c r="L14" s="32">
        <v>2552</v>
      </c>
      <c r="M14" s="30" t="s">
        <v>35</v>
      </c>
      <c r="N14" s="30" t="s">
        <v>35</v>
      </c>
      <c r="O14" s="33" t="s">
        <v>36</v>
      </c>
      <c r="P14" s="30">
        <v>5</v>
      </c>
      <c r="Q14" s="34" t="s">
        <v>37</v>
      </c>
      <c r="R14" s="35" t="s">
        <v>38</v>
      </c>
      <c r="S14" s="35" t="s">
        <v>39</v>
      </c>
      <c r="T14" s="36"/>
      <c r="U14" s="37">
        <v>1</v>
      </c>
      <c r="V14" s="38">
        <f t="shared" si="0"/>
        <v>5080</v>
      </c>
      <c r="W14" s="39">
        <f t="shared" si="1"/>
        <v>5080</v>
      </c>
      <c r="X14" s="37">
        <v>4</v>
      </c>
      <c r="Y14" s="62">
        <f t="shared" si="2"/>
        <v>5980</v>
      </c>
      <c r="Z14" s="39">
        <f t="shared" si="3"/>
        <v>23920</v>
      </c>
      <c r="AA14" s="104"/>
      <c r="AB14" s="104"/>
      <c r="AC14" s="40">
        <f t="shared" si="4"/>
        <v>29000</v>
      </c>
      <c r="AD14" s="98"/>
      <c r="AE14" s="41"/>
      <c r="AF14" s="4"/>
      <c r="AG14" s="4"/>
      <c r="AH14" s="1"/>
      <c r="AI14" s="4"/>
      <c r="AJ14" s="4"/>
      <c r="AK14" s="4"/>
      <c r="AL14" s="4"/>
      <c r="AM14" s="4"/>
      <c r="AN14" s="4"/>
      <c r="AO14" s="4"/>
      <c r="AP14" s="4"/>
    </row>
    <row r="15" spans="1:42" ht="35.1" customHeight="1" x14ac:dyDescent="0.2">
      <c r="A15" s="1"/>
      <c r="B15" s="6"/>
      <c r="C15" s="30" t="s">
        <v>28</v>
      </c>
      <c r="D15" s="30">
        <v>4</v>
      </c>
      <c r="E15" s="31" t="s">
        <v>45</v>
      </c>
      <c r="F15" s="30" t="s">
        <v>46</v>
      </c>
      <c r="G15" s="31" t="s">
        <v>31</v>
      </c>
      <c r="H15" s="31" t="s">
        <v>32</v>
      </c>
      <c r="I15" s="32">
        <v>0</v>
      </c>
      <c r="J15" s="32">
        <v>4539</v>
      </c>
      <c r="K15" s="32" t="s">
        <v>34</v>
      </c>
      <c r="L15" s="32">
        <v>4539</v>
      </c>
      <c r="M15" s="30" t="s">
        <v>47</v>
      </c>
      <c r="N15" s="30" t="s">
        <v>48</v>
      </c>
      <c r="O15" s="33" t="s">
        <v>49</v>
      </c>
      <c r="P15" s="30">
        <v>1</v>
      </c>
      <c r="Q15" s="34" t="s">
        <v>37</v>
      </c>
      <c r="R15" s="35" t="s">
        <v>38</v>
      </c>
      <c r="S15" s="35" t="s">
        <v>39</v>
      </c>
      <c r="T15" s="36"/>
      <c r="U15" s="37">
        <v>1</v>
      </c>
      <c r="V15" s="38">
        <f t="shared" si="0"/>
        <v>5080</v>
      </c>
      <c r="W15" s="39">
        <f t="shared" si="1"/>
        <v>5080</v>
      </c>
      <c r="X15" s="37">
        <v>0</v>
      </c>
      <c r="Y15" s="62">
        <f t="shared" si="2"/>
        <v>5980</v>
      </c>
      <c r="Z15" s="39">
        <f t="shared" si="3"/>
        <v>0</v>
      </c>
      <c r="AA15" s="104"/>
      <c r="AB15" s="104"/>
      <c r="AC15" s="40">
        <f t="shared" si="4"/>
        <v>5080</v>
      </c>
      <c r="AD15" s="98" t="s">
        <v>599</v>
      </c>
      <c r="AE15" s="41"/>
      <c r="AF15" s="4"/>
      <c r="AG15" s="4"/>
      <c r="AH15" s="1"/>
      <c r="AI15" s="4"/>
      <c r="AJ15" s="4"/>
      <c r="AK15" s="4"/>
      <c r="AL15" s="4"/>
      <c r="AM15" s="4"/>
      <c r="AN15" s="4"/>
      <c r="AO15" s="4"/>
      <c r="AP15" s="4"/>
    </row>
    <row r="16" spans="1:42" ht="35.1" customHeight="1" x14ac:dyDescent="0.2">
      <c r="A16" s="1"/>
      <c r="B16" s="6"/>
      <c r="C16" s="30" t="s">
        <v>28</v>
      </c>
      <c r="D16" s="30">
        <v>5</v>
      </c>
      <c r="E16" s="31" t="s">
        <v>50</v>
      </c>
      <c r="F16" s="30" t="s">
        <v>51</v>
      </c>
      <c r="G16" s="31" t="s">
        <v>31</v>
      </c>
      <c r="H16" s="31" t="s">
        <v>32</v>
      </c>
      <c r="I16" s="32">
        <v>3428</v>
      </c>
      <c r="J16" s="32" t="s">
        <v>33</v>
      </c>
      <c r="K16" s="32" t="s">
        <v>34</v>
      </c>
      <c r="L16" s="32">
        <v>12696</v>
      </c>
      <c r="M16" s="30" t="s">
        <v>52</v>
      </c>
      <c r="N16" s="30" t="s">
        <v>52</v>
      </c>
      <c r="O16" s="33" t="s">
        <v>53</v>
      </c>
      <c r="P16" s="30">
        <v>6</v>
      </c>
      <c r="Q16" s="34" t="s">
        <v>37</v>
      </c>
      <c r="R16" s="35" t="s">
        <v>38</v>
      </c>
      <c r="S16" s="35" t="s">
        <v>39</v>
      </c>
      <c r="T16" s="36"/>
      <c r="U16" s="37">
        <v>2</v>
      </c>
      <c r="V16" s="38">
        <f t="shared" si="0"/>
        <v>5080</v>
      </c>
      <c r="W16" s="39">
        <f t="shared" si="1"/>
        <v>10160</v>
      </c>
      <c r="X16" s="37">
        <v>4</v>
      </c>
      <c r="Y16" s="62">
        <f t="shared" si="2"/>
        <v>5980</v>
      </c>
      <c r="Z16" s="39">
        <f t="shared" si="3"/>
        <v>23920</v>
      </c>
      <c r="AA16" s="104"/>
      <c r="AB16" s="104"/>
      <c r="AC16" s="40">
        <f t="shared" si="4"/>
        <v>34080</v>
      </c>
      <c r="AD16" s="98"/>
      <c r="AE16" s="41"/>
      <c r="AF16" s="4"/>
      <c r="AG16" s="4"/>
      <c r="AH16" s="1"/>
      <c r="AI16" s="4"/>
      <c r="AJ16" s="4"/>
      <c r="AK16" s="4"/>
      <c r="AL16" s="4"/>
      <c r="AM16" s="4"/>
      <c r="AN16" s="4"/>
      <c r="AO16" s="4"/>
      <c r="AP16" s="4"/>
    </row>
    <row r="17" spans="1:42" ht="35.1" customHeight="1" x14ac:dyDescent="0.2">
      <c r="A17" s="1"/>
      <c r="B17" s="6"/>
      <c r="C17" s="30" t="s">
        <v>28</v>
      </c>
      <c r="D17" s="30">
        <v>6</v>
      </c>
      <c r="E17" s="31" t="s">
        <v>54</v>
      </c>
      <c r="F17" s="30" t="s">
        <v>41</v>
      </c>
      <c r="G17" s="31" t="s">
        <v>42</v>
      </c>
      <c r="H17" s="31" t="s">
        <v>32</v>
      </c>
      <c r="I17" s="32">
        <v>2402</v>
      </c>
      <c r="J17" s="32" t="s">
        <v>33</v>
      </c>
      <c r="K17" s="32" t="s">
        <v>34</v>
      </c>
      <c r="L17" s="32">
        <v>4442</v>
      </c>
      <c r="M17" s="30" t="s">
        <v>35</v>
      </c>
      <c r="N17" s="30" t="s">
        <v>35</v>
      </c>
      <c r="O17" s="33" t="s">
        <v>55</v>
      </c>
      <c r="P17" s="30">
        <v>6</v>
      </c>
      <c r="Q17" s="34" t="s">
        <v>37</v>
      </c>
      <c r="R17" s="35" t="s">
        <v>38</v>
      </c>
      <c r="S17" s="35" t="s">
        <v>39</v>
      </c>
      <c r="T17" s="36"/>
      <c r="U17" s="37">
        <v>2</v>
      </c>
      <c r="V17" s="38">
        <f t="shared" si="0"/>
        <v>5080</v>
      </c>
      <c r="W17" s="39">
        <f t="shared" si="1"/>
        <v>10160</v>
      </c>
      <c r="X17" s="37">
        <v>4</v>
      </c>
      <c r="Y17" s="62">
        <f t="shared" si="2"/>
        <v>5980</v>
      </c>
      <c r="Z17" s="39">
        <f t="shared" si="3"/>
        <v>23920</v>
      </c>
      <c r="AA17" s="104"/>
      <c r="AB17" s="104"/>
      <c r="AC17" s="40">
        <f t="shared" si="4"/>
        <v>34080</v>
      </c>
      <c r="AD17" s="98"/>
      <c r="AE17" s="41"/>
      <c r="AF17" s="4"/>
      <c r="AG17" s="4"/>
      <c r="AH17" s="1"/>
      <c r="AI17" s="4"/>
      <c r="AJ17" s="4"/>
      <c r="AK17" s="4"/>
      <c r="AL17" s="4"/>
      <c r="AM17" s="4"/>
      <c r="AN17" s="4"/>
      <c r="AO17" s="4"/>
      <c r="AP17" s="4"/>
    </row>
    <row r="18" spans="1:42" ht="35.1" customHeight="1" x14ac:dyDescent="0.2">
      <c r="A18" s="1"/>
      <c r="B18" s="6"/>
      <c r="C18" s="30" t="s">
        <v>28</v>
      </c>
      <c r="D18" s="30">
        <v>8</v>
      </c>
      <c r="E18" s="31" t="s">
        <v>56</v>
      </c>
      <c r="F18" s="30" t="s">
        <v>57</v>
      </c>
      <c r="G18" s="31" t="s">
        <v>58</v>
      </c>
      <c r="H18" s="31" t="s">
        <v>32</v>
      </c>
      <c r="I18" s="32">
        <v>1798</v>
      </c>
      <c r="J18" s="32" t="s">
        <v>33</v>
      </c>
      <c r="K18" s="32" t="s">
        <v>34</v>
      </c>
      <c r="L18" s="32">
        <v>2949</v>
      </c>
      <c r="M18" s="30" t="s">
        <v>35</v>
      </c>
      <c r="N18" s="30" t="s">
        <v>35</v>
      </c>
      <c r="O18" s="33" t="s">
        <v>36</v>
      </c>
      <c r="P18" s="30">
        <v>4</v>
      </c>
      <c r="Q18" s="34" t="s">
        <v>37</v>
      </c>
      <c r="R18" s="35" t="s">
        <v>38</v>
      </c>
      <c r="S18" s="35" t="s">
        <v>39</v>
      </c>
      <c r="T18" s="36"/>
      <c r="U18" s="37">
        <v>0</v>
      </c>
      <c r="V18" s="38">
        <f t="shared" si="0"/>
        <v>5080</v>
      </c>
      <c r="W18" s="39">
        <f t="shared" si="1"/>
        <v>0</v>
      </c>
      <c r="X18" s="37">
        <v>4</v>
      </c>
      <c r="Y18" s="62">
        <f t="shared" si="2"/>
        <v>5980</v>
      </c>
      <c r="Z18" s="39">
        <f t="shared" si="3"/>
        <v>23920</v>
      </c>
      <c r="AA18" s="104"/>
      <c r="AB18" s="104"/>
      <c r="AC18" s="40">
        <f t="shared" si="4"/>
        <v>23920</v>
      </c>
      <c r="AD18" s="98" t="s">
        <v>602</v>
      </c>
      <c r="AE18" s="41"/>
      <c r="AF18" s="4"/>
      <c r="AG18" s="4"/>
      <c r="AH18" s="1"/>
      <c r="AI18" s="4"/>
      <c r="AJ18" s="4"/>
      <c r="AK18" s="4"/>
      <c r="AL18" s="4"/>
      <c r="AM18" s="4"/>
      <c r="AN18" s="4"/>
      <c r="AO18" s="4"/>
      <c r="AP18" s="4"/>
    </row>
    <row r="19" spans="1:42" ht="35.1" customHeight="1" x14ac:dyDescent="0.2">
      <c r="A19" s="1"/>
      <c r="B19" s="6"/>
      <c r="C19" s="30" t="s">
        <v>28</v>
      </c>
      <c r="D19" s="30">
        <v>9</v>
      </c>
      <c r="E19" s="31" t="s">
        <v>59</v>
      </c>
      <c r="F19" s="30" t="s">
        <v>60</v>
      </c>
      <c r="G19" s="31" t="s">
        <v>61</v>
      </c>
      <c r="H19" s="31" t="s">
        <v>32</v>
      </c>
      <c r="I19" s="32">
        <v>1653</v>
      </c>
      <c r="J19" s="32" t="s">
        <v>33</v>
      </c>
      <c r="K19" s="32" t="s">
        <v>34</v>
      </c>
      <c r="L19" s="32">
        <v>5887</v>
      </c>
      <c r="M19" s="30" t="s">
        <v>35</v>
      </c>
      <c r="N19" s="30" t="s">
        <v>35</v>
      </c>
      <c r="O19" s="33" t="s">
        <v>36</v>
      </c>
      <c r="P19" s="30">
        <v>4</v>
      </c>
      <c r="Q19" s="34" t="s">
        <v>37</v>
      </c>
      <c r="R19" s="35" t="s">
        <v>38</v>
      </c>
      <c r="S19" s="35" t="s">
        <v>39</v>
      </c>
      <c r="T19" s="36"/>
      <c r="U19" s="37">
        <v>0</v>
      </c>
      <c r="V19" s="38">
        <f t="shared" si="0"/>
        <v>5080</v>
      </c>
      <c r="W19" s="39">
        <f t="shared" si="1"/>
        <v>0</v>
      </c>
      <c r="X19" s="37">
        <v>4</v>
      </c>
      <c r="Y19" s="62">
        <f t="shared" si="2"/>
        <v>5980</v>
      </c>
      <c r="Z19" s="39">
        <f t="shared" si="3"/>
        <v>23920</v>
      </c>
      <c r="AA19" s="104"/>
      <c r="AB19" s="104"/>
      <c r="AC19" s="40">
        <f t="shared" si="4"/>
        <v>23920</v>
      </c>
      <c r="AD19" s="98" t="s">
        <v>602</v>
      </c>
      <c r="AE19" s="41"/>
      <c r="AF19" s="4"/>
      <c r="AG19" s="4"/>
      <c r="AH19" s="1"/>
      <c r="AI19" s="4"/>
      <c r="AJ19" s="4"/>
      <c r="AK19" s="4"/>
      <c r="AL19" s="4"/>
      <c r="AM19" s="4"/>
      <c r="AN19" s="4"/>
      <c r="AO19" s="4"/>
      <c r="AP19" s="4"/>
    </row>
    <row r="20" spans="1:42" ht="35.1" customHeight="1" x14ac:dyDescent="0.2">
      <c r="A20" s="1"/>
      <c r="B20" s="6"/>
      <c r="C20" s="30" t="s">
        <v>28</v>
      </c>
      <c r="D20" s="30">
        <v>10</v>
      </c>
      <c r="E20" s="31" t="s">
        <v>62</v>
      </c>
      <c r="F20" s="30" t="s">
        <v>63</v>
      </c>
      <c r="G20" s="31" t="s">
        <v>31</v>
      </c>
      <c r="H20" s="31" t="s">
        <v>32</v>
      </c>
      <c r="I20" s="32">
        <v>2301</v>
      </c>
      <c r="J20" s="32" t="s">
        <v>33</v>
      </c>
      <c r="K20" s="32" t="s">
        <v>34</v>
      </c>
      <c r="L20" s="32">
        <v>15711</v>
      </c>
      <c r="M20" s="30" t="s">
        <v>35</v>
      </c>
      <c r="N20" s="30" t="s">
        <v>35</v>
      </c>
      <c r="O20" s="33" t="s">
        <v>55</v>
      </c>
      <c r="P20" s="30">
        <v>4</v>
      </c>
      <c r="Q20" s="34" t="s">
        <v>37</v>
      </c>
      <c r="R20" s="35" t="s">
        <v>38</v>
      </c>
      <c r="S20" s="35" t="s">
        <v>39</v>
      </c>
      <c r="T20" s="36"/>
      <c r="U20" s="37">
        <v>0</v>
      </c>
      <c r="V20" s="38">
        <f t="shared" si="0"/>
        <v>5080</v>
      </c>
      <c r="W20" s="39">
        <f t="shared" si="1"/>
        <v>0</v>
      </c>
      <c r="X20" s="37">
        <v>4</v>
      </c>
      <c r="Y20" s="62">
        <f t="shared" si="2"/>
        <v>5980</v>
      </c>
      <c r="Z20" s="39">
        <f t="shared" si="3"/>
        <v>23920</v>
      </c>
      <c r="AA20" s="104"/>
      <c r="AB20" s="104"/>
      <c r="AC20" s="40">
        <f t="shared" si="4"/>
        <v>23920</v>
      </c>
      <c r="AD20" s="98"/>
      <c r="AE20" s="41"/>
      <c r="AF20" s="4"/>
      <c r="AG20" s="4"/>
      <c r="AH20" s="1"/>
      <c r="AI20" s="4"/>
      <c r="AJ20" s="4"/>
      <c r="AK20" s="4"/>
      <c r="AL20" s="4"/>
      <c r="AM20" s="4"/>
      <c r="AN20" s="4"/>
      <c r="AO20" s="4"/>
      <c r="AP20" s="4"/>
    </row>
    <row r="21" spans="1:42" ht="35.1" customHeight="1" x14ac:dyDescent="0.2">
      <c r="A21" s="1"/>
      <c r="B21" s="6"/>
      <c r="C21" s="30" t="s">
        <v>28</v>
      </c>
      <c r="D21" s="30">
        <v>11</v>
      </c>
      <c r="E21" s="31" t="s">
        <v>64</v>
      </c>
      <c r="F21" s="30" t="s">
        <v>65</v>
      </c>
      <c r="G21" s="31" t="s">
        <v>66</v>
      </c>
      <c r="H21" s="31" t="s">
        <v>32</v>
      </c>
      <c r="I21" s="32">
        <v>1495</v>
      </c>
      <c r="J21" s="32" t="s">
        <v>33</v>
      </c>
      <c r="K21" s="32" t="s">
        <v>34</v>
      </c>
      <c r="L21" s="32">
        <v>6796</v>
      </c>
      <c r="M21" s="30" t="s">
        <v>35</v>
      </c>
      <c r="N21" s="30" t="s">
        <v>35</v>
      </c>
      <c r="O21" s="33" t="s">
        <v>36</v>
      </c>
      <c r="P21" s="30">
        <v>3</v>
      </c>
      <c r="Q21" s="34" t="s">
        <v>37</v>
      </c>
      <c r="R21" s="35" t="s">
        <v>38</v>
      </c>
      <c r="S21" s="35" t="s">
        <v>39</v>
      </c>
      <c r="T21" s="36"/>
      <c r="U21" s="37">
        <v>0</v>
      </c>
      <c r="V21" s="38">
        <f t="shared" si="0"/>
        <v>5080</v>
      </c>
      <c r="W21" s="39">
        <f t="shared" si="1"/>
        <v>0</v>
      </c>
      <c r="X21" s="37">
        <v>3</v>
      </c>
      <c r="Y21" s="62">
        <f t="shared" si="2"/>
        <v>5980</v>
      </c>
      <c r="Z21" s="39">
        <f t="shared" si="3"/>
        <v>17940</v>
      </c>
      <c r="AA21" s="104"/>
      <c r="AB21" s="104"/>
      <c r="AC21" s="40">
        <f t="shared" si="4"/>
        <v>17940</v>
      </c>
      <c r="AD21" s="98" t="s">
        <v>603</v>
      </c>
      <c r="AE21" s="41"/>
      <c r="AF21" s="4"/>
      <c r="AG21" s="4"/>
      <c r="AH21" s="1"/>
      <c r="AI21" s="4"/>
      <c r="AJ21" s="4"/>
      <c r="AK21" s="4"/>
      <c r="AL21" s="4"/>
      <c r="AM21" s="4"/>
      <c r="AN21" s="4"/>
      <c r="AO21" s="4"/>
      <c r="AP21" s="4"/>
    </row>
    <row r="22" spans="1:42" ht="35.1" customHeight="1" x14ac:dyDescent="0.2">
      <c r="A22" s="1"/>
      <c r="B22" s="6"/>
      <c r="C22" s="30" t="s">
        <v>28</v>
      </c>
      <c r="D22" s="30">
        <v>12</v>
      </c>
      <c r="E22" s="31" t="s">
        <v>67</v>
      </c>
      <c r="F22" s="30" t="s">
        <v>68</v>
      </c>
      <c r="G22" s="31" t="s">
        <v>69</v>
      </c>
      <c r="H22" s="31" t="s">
        <v>32</v>
      </c>
      <c r="I22" s="32">
        <f>AVERAGE(I12:I14)</f>
        <v>1686</v>
      </c>
      <c r="J22" s="32" t="s">
        <v>33</v>
      </c>
      <c r="K22" s="32" t="s">
        <v>34</v>
      </c>
      <c r="L22" s="32">
        <f>L17</f>
        <v>4442</v>
      </c>
      <c r="M22" s="30" t="s">
        <v>35</v>
      </c>
      <c r="N22" s="30" t="s">
        <v>35</v>
      </c>
      <c r="O22" s="33" t="s">
        <v>36</v>
      </c>
      <c r="P22" s="30">
        <v>1</v>
      </c>
      <c r="Q22" s="34" t="s">
        <v>37</v>
      </c>
      <c r="R22" s="35" t="s">
        <v>38</v>
      </c>
      <c r="S22" s="35" t="s">
        <v>39</v>
      </c>
      <c r="T22" s="36"/>
      <c r="U22" s="37">
        <v>0</v>
      </c>
      <c r="V22" s="38">
        <f t="shared" si="0"/>
        <v>5080</v>
      </c>
      <c r="W22" s="39">
        <f t="shared" si="1"/>
        <v>0</v>
      </c>
      <c r="X22" s="37">
        <v>1</v>
      </c>
      <c r="Y22" s="62">
        <f t="shared" si="2"/>
        <v>5980</v>
      </c>
      <c r="Z22" s="39">
        <f t="shared" si="3"/>
        <v>5980</v>
      </c>
      <c r="AA22" s="104"/>
      <c r="AB22" s="104"/>
      <c r="AC22" s="40">
        <f t="shared" si="4"/>
        <v>5980</v>
      </c>
      <c r="AD22" s="98" t="s">
        <v>600</v>
      </c>
      <c r="AE22" s="41"/>
      <c r="AF22" s="4"/>
      <c r="AG22" s="4"/>
      <c r="AH22" s="1"/>
      <c r="AI22" s="4"/>
      <c r="AJ22" s="4"/>
      <c r="AK22" s="4"/>
      <c r="AL22" s="4"/>
      <c r="AM22" s="4"/>
      <c r="AN22" s="4"/>
      <c r="AO22" s="4"/>
      <c r="AP22" s="4"/>
    </row>
    <row r="23" spans="1:42" ht="35.1" customHeight="1" x14ac:dyDescent="0.2">
      <c r="A23" s="1"/>
      <c r="B23" s="6"/>
      <c r="C23" s="30" t="s">
        <v>28</v>
      </c>
      <c r="D23" s="30">
        <v>13</v>
      </c>
      <c r="E23" s="31" t="s">
        <v>70</v>
      </c>
      <c r="F23" s="30" t="s">
        <v>41</v>
      </c>
      <c r="G23" s="31" t="s">
        <v>42</v>
      </c>
      <c r="H23" s="31" t="s">
        <v>32</v>
      </c>
      <c r="I23" s="32">
        <v>1538</v>
      </c>
      <c r="J23" s="32" t="s">
        <v>33</v>
      </c>
      <c r="K23" s="32" t="s">
        <v>34</v>
      </c>
      <c r="L23" s="32">
        <f>L14</f>
        <v>2552</v>
      </c>
      <c r="M23" s="30" t="s">
        <v>35</v>
      </c>
      <c r="N23" s="30" t="s">
        <v>35</v>
      </c>
      <c r="O23" s="33" t="s">
        <v>36</v>
      </c>
      <c r="P23" s="30">
        <v>2</v>
      </c>
      <c r="Q23" s="34" t="s">
        <v>37</v>
      </c>
      <c r="R23" s="35" t="s">
        <v>38</v>
      </c>
      <c r="S23" s="35" t="s">
        <v>39</v>
      </c>
      <c r="T23" s="36"/>
      <c r="U23" s="37">
        <v>0</v>
      </c>
      <c r="V23" s="38">
        <f t="shared" si="0"/>
        <v>5080</v>
      </c>
      <c r="W23" s="39">
        <f t="shared" si="1"/>
        <v>0</v>
      </c>
      <c r="X23" s="37">
        <v>2</v>
      </c>
      <c r="Y23" s="62">
        <f t="shared" si="2"/>
        <v>5980</v>
      </c>
      <c r="Z23" s="39">
        <f t="shared" si="3"/>
        <v>11960</v>
      </c>
      <c r="AA23" s="104"/>
      <c r="AB23" s="104"/>
      <c r="AC23" s="40">
        <f t="shared" si="4"/>
        <v>11960</v>
      </c>
      <c r="AD23" s="98" t="s">
        <v>601</v>
      </c>
      <c r="AE23" s="41"/>
      <c r="AF23" s="4"/>
      <c r="AG23" s="4"/>
      <c r="AH23" s="1"/>
      <c r="AI23" s="4"/>
      <c r="AJ23" s="4"/>
      <c r="AK23" s="4"/>
      <c r="AL23" s="4"/>
      <c r="AM23" s="4"/>
      <c r="AN23" s="4"/>
      <c r="AO23" s="4"/>
      <c r="AP23" s="4"/>
    </row>
    <row r="24" spans="1:42" ht="35.1" customHeight="1" thickBot="1" x14ac:dyDescent="0.25">
      <c r="A24" s="1"/>
      <c r="B24" s="6"/>
      <c r="C24" s="106" t="s">
        <v>71</v>
      </c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8"/>
      <c r="P24" s="42">
        <f>SUM(P12:P23)</f>
        <v>45</v>
      </c>
      <c r="Q24" s="43"/>
      <c r="R24" s="44"/>
      <c r="S24" s="45"/>
      <c r="T24" s="46"/>
      <c r="U24" s="47">
        <f>SUM(U12:U23)</f>
        <v>7</v>
      </c>
      <c r="V24" s="48">
        <f>W24/U24</f>
        <v>5080</v>
      </c>
      <c r="W24" s="49">
        <f>SUM(W12:W23)</f>
        <v>35560</v>
      </c>
      <c r="X24" s="47">
        <f>SUM(X12:X23)</f>
        <v>38</v>
      </c>
      <c r="Y24" s="48">
        <f>Z24/X24</f>
        <v>5980</v>
      </c>
      <c r="Z24" s="50">
        <f>SUM(Z12:Z23)</f>
        <v>227240</v>
      </c>
      <c r="AA24" s="105"/>
      <c r="AB24" s="105"/>
      <c r="AC24" s="50">
        <f>SUM(AC12:AC23)</f>
        <v>262800</v>
      </c>
      <c r="AD24" s="124"/>
      <c r="AE24" s="41"/>
      <c r="AF24" s="4"/>
      <c r="AG24" s="4"/>
      <c r="AH24" s="1"/>
      <c r="AI24" s="4"/>
      <c r="AJ24" s="4"/>
      <c r="AK24" s="4"/>
      <c r="AL24" s="4"/>
      <c r="AM24" s="4"/>
      <c r="AN24" s="4"/>
      <c r="AO24" s="4"/>
      <c r="AP24" s="4"/>
    </row>
    <row r="25" spans="1:42" ht="44.25" customHeight="1" x14ac:dyDescent="0.2">
      <c r="A25" s="1" t="s">
        <v>0</v>
      </c>
      <c r="B25" s="6"/>
      <c r="C25" s="51" t="s">
        <v>2</v>
      </c>
      <c r="D25" s="19" t="s">
        <v>3</v>
      </c>
      <c r="E25" s="20" t="s">
        <v>4</v>
      </c>
      <c r="F25" s="20" t="s">
        <v>5</v>
      </c>
      <c r="G25" s="20" t="s">
        <v>6</v>
      </c>
      <c r="H25" s="21" t="s">
        <v>7</v>
      </c>
      <c r="I25" s="52" t="s">
        <v>8</v>
      </c>
      <c r="J25" s="53" t="s">
        <v>9</v>
      </c>
      <c r="K25" s="53" t="s">
        <v>10</v>
      </c>
      <c r="L25" s="53" t="s">
        <v>11</v>
      </c>
      <c r="M25" s="53" t="s">
        <v>12</v>
      </c>
      <c r="N25" s="53" t="s">
        <v>13</v>
      </c>
      <c r="O25" s="53" t="s">
        <v>14</v>
      </c>
      <c r="P25" s="53" t="s">
        <v>15</v>
      </c>
      <c r="Q25" s="53" t="s">
        <v>16</v>
      </c>
      <c r="R25" s="54" t="s">
        <v>17</v>
      </c>
      <c r="S25" s="55" t="s">
        <v>18</v>
      </c>
      <c r="T25" s="109"/>
      <c r="U25" s="25" t="s">
        <v>19</v>
      </c>
      <c r="V25" s="25" t="s">
        <v>20</v>
      </c>
      <c r="W25" s="27" t="s">
        <v>21</v>
      </c>
      <c r="X25" s="25" t="s">
        <v>22</v>
      </c>
      <c r="Y25" s="27" t="s">
        <v>23</v>
      </c>
      <c r="Z25" s="27" t="s">
        <v>21</v>
      </c>
      <c r="AA25" s="56" t="s">
        <v>24</v>
      </c>
      <c r="AB25" s="56" t="s">
        <v>25</v>
      </c>
      <c r="AC25" s="56" t="s">
        <v>26</v>
      </c>
      <c r="AD25" s="27" t="s">
        <v>27</v>
      </c>
      <c r="AE25" s="29"/>
      <c r="AF25" s="4"/>
      <c r="AG25" s="4"/>
      <c r="AH25" s="1" t="s">
        <v>0</v>
      </c>
      <c r="AI25" s="4"/>
      <c r="AJ25" s="4"/>
      <c r="AK25" s="4"/>
      <c r="AL25" s="4"/>
      <c r="AM25" s="4"/>
      <c r="AN25" s="4"/>
      <c r="AO25" s="4"/>
      <c r="AP25" s="4"/>
    </row>
    <row r="26" spans="1:42" ht="35.1" customHeight="1" x14ac:dyDescent="0.2">
      <c r="A26" s="1"/>
      <c r="B26" s="6"/>
      <c r="C26" s="30" t="s">
        <v>72</v>
      </c>
      <c r="D26" s="30">
        <v>1</v>
      </c>
      <c r="E26" s="31" t="s">
        <v>73</v>
      </c>
      <c r="F26" s="30" t="s">
        <v>74</v>
      </c>
      <c r="G26" s="31" t="s">
        <v>75</v>
      </c>
      <c r="H26" s="30" t="s">
        <v>76</v>
      </c>
      <c r="I26" s="57">
        <v>1905</v>
      </c>
      <c r="J26" s="57">
        <v>898</v>
      </c>
      <c r="K26" s="32" t="s">
        <v>34</v>
      </c>
      <c r="L26" s="57">
        <v>8128</v>
      </c>
      <c r="M26" s="30" t="s">
        <v>77</v>
      </c>
      <c r="N26" s="30" t="s">
        <v>77</v>
      </c>
      <c r="O26" s="30" t="s">
        <v>77</v>
      </c>
      <c r="P26" s="30">
        <v>5</v>
      </c>
      <c r="Q26" s="30" t="s">
        <v>78</v>
      </c>
      <c r="R26" s="58" t="s">
        <v>79</v>
      </c>
      <c r="S26" s="35" t="s">
        <v>80</v>
      </c>
      <c r="T26" s="110"/>
      <c r="U26" s="59">
        <v>1</v>
      </c>
      <c r="V26" s="38">
        <f>5562</f>
        <v>5562</v>
      </c>
      <c r="W26" s="40">
        <f>V26*U26</f>
        <v>5562</v>
      </c>
      <c r="X26" s="60">
        <v>4</v>
      </c>
      <c r="Y26" s="61">
        <f>6367</f>
        <v>6367</v>
      </c>
      <c r="Z26" s="40">
        <f>Y26*X26</f>
        <v>25468</v>
      </c>
      <c r="AA26" s="62">
        <v>1000</v>
      </c>
      <c r="AB26" s="61" t="s">
        <v>598</v>
      </c>
      <c r="AC26" s="40">
        <f>Z26+W26+AA26</f>
        <v>32030</v>
      </c>
      <c r="AD26" s="98"/>
      <c r="AE26" s="29"/>
      <c r="AF26" s="4"/>
      <c r="AG26" s="4"/>
      <c r="AH26" s="1"/>
      <c r="AI26" s="4"/>
      <c r="AJ26" s="4"/>
      <c r="AK26" s="4"/>
      <c r="AL26" s="4"/>
      <c r="AM26" s="4"/>
      <c r="AN26" s="4"/>
      <c r="AO26" s="4"/>
      <c r="AP26" s="4"/>
    </row>
    <row r="27" spans="1:42" ht="35.1" customHeight="1" x14ac:dyDescent="0.2">
      <c r="A27" s="1"/>
      <c r="B27" s="6"/>
      <c r="C27" s="30" t="s">
        <v>72</v>
      </c>
      <c r="D27" s="30">
        <v>2</v>
      </c>
      <c r="E27" s="31" t="s">
        <v>81</v>
      </c>
      <c r="F27" s="30" t="s">
        <v>82</v>
      </c>
      <c r="G27" s="31" t="s">
        <v>75</v>
      </c>
      <c r="H27" s="30" t="s">
        <v>76</v>
      </c>
      <c r="I27" s="57">
        <v>945</v>
      </c>
      <c r="J27" s="57">
        <v>665</v>
      </c>
      <c r="K27" s="32" t="s">
        <v>34</v>
      </c>
      <c r="L27" s="57">
        <v>3020</v>
      </c>
      <c r="M27" s="30" t="s">
        <v>77</v>
      </c>
      <c r="N27" s="30" t="s">
        <v>77</v>
      </c>
      <c r="O27" s="30" t="s">
        <v>83</v>
      </c>
      <c r="P27" s="30">
        <v>2</v>
      </c>
      <c r="Q27" s="30" t="s">
        <v>78</v>
      </c>
      <c r="R27" s="58" t="s">
        <v>79</v>
      </c>
      <c r="S27" s="35" t="s">
        <v>80</v>
      </c>
      <c r="T27" s="110"/>
      <c r="U27" s="59">
        <v>0</v>
      </c>
      <c r="V27" s="38">
        <f>5562</f>
        <v>5562</v>
      </c>
      <c r="W27" s="40">
        <f t="shared" ref="W27:W47" si="5">V27*U27</f>
        <v>0</v>
      </c>
      <c r="X27" s="60">
        <v>2</v>
      </c>
      <c r="Y27" s="61">
        <f>6367</f>
        <v>6367</v>
      </c>
      <c r="Z27" s="40">
        <f t="shared" ref="Z27:Z47" si="6">Y27*X27</f>
        <v>12734</v>
      </c>
      <c r="AA27" s="62">
        <v>1000</v>
      </c>
      <c r="AB27" s="61" t="s">
        <v>598</v>
      </c>
      <c r="AC27" s="40">
        <f t="shared" ref="AC27:AC47" si="7">Z27+W27+AA27</f>
        <v>13734</v>
      </c>
      <c r="AD27" s="98"/>
      <c r="AE27" s="29"/>
      <c r="AF27" s="4"/>
      <c r="AG27" s="4"/>
      <c r="AH27" s="1"/>
      <c r="AI27" s="4"/>
      <c r="AJ27" s="4"/>
      <c r="AK27" s="4"/>
      <c r="AL27" s="4"/>
      <c r="AM27" s="4"/>
      <c r="AN27" s="4"/>
      <c r="AO27" s="4"/>
      <c r="AP27" s="4"/>
    </row>
    <row r="28" spans="1:42" ht="35.1" customHeight="1" x14ac:dyDescent="0.2">
      <c r="A28" s="1"/>
      <c r="B28" s="6"/>
      <c r="C28" s="30" t="s">
        <v>72</v>
      </c>
      <c r="D28" s="30">
        <v>3</v>
      </c>
      <c r="E28" s="31" t="s">
        <v>84</v>
      </c>
      <c r="F28" s="30" t="s">
        <v>85</v>
      </c>
      <c r="G28" s="31" t="s">
        <v>75</v>
      </c>
      <c r="H28" s="30" t="s">
        <v>76</v>
      </c>
      <c r="I28" s="57">
        <v>2253</v>
      </c>
      <c r="J28" s="57">
        <v>1608</v>
      </c>
      <c r="K28" s="32" t="s">
        <v>34</v>
      </c>
      <c r="L28" s="57">
        <v>12887</v>
      </c>
      <c r="M28" s="30" t="s">
        <v>86</v>
      </c>
      <c r="N28" s="30" t="s">
        <v>86</v>
      </c>
      <c r="O28" s="30" t="s">
        <v>86</v>
      </c>
      <c r="P28" s="30">
        <v>7</v>
      </c>
      <c r="Q28" s="30" t="s">
        <v>78</v>
      </c>
      <c r="R28" s="58" t="s">
        <v>79</v>
      </c>
      <c r="S28" s="35" t="s">
        <v>80</v>
      </c>
      <c r="T28" s="110"/>
      <c r="U28" s="59">
        <v>3</v>
      </c>
      <c r="V28" s="38">
        <f>5562</f>
        <v>5562</v>
      </c>
      <c r="W28" s="40">
        <f t="shared" si="5"/>
        <v>16686</v>
      </c>
      <c r="X28" s="60">
        <v>4</v>
      </c>
      <c r="Y28" s="61">
        <f>6367</f>
        <v>6367</v>
      </c>
      <c r="Z28" s="40">
        <f t="shared" si="6"/>
        <v>25468</v>
      </c>
      <c r="AA28" s="62">
        <v>1000</v>
      </c>
      <c r="AB28" s="61" t="s">
        <v>598</v>
      </c>
      <c r="AC28" s="40">
        <f t="shared" si="7"/>
        <v>43154</v>
      </c>
      <c r="AD28" s="98"/>
      <c r="AE28" s="29"/>
      <c r="AF28" s="4"/>
      <c r="AG28" s="4"/>
      <c r="AH28" s="1"/>
      <c r="AI28" s="4"/>
      <c r="AJ28" s="4"/>
      <c r="AK28" s="4"/>
      <c r="AL28" s="4"/>
      <c r="AM28" s="4"/>
      <c r="AN28" s="4"/>
      <c r="AO28" s="4"/>
      <c r="AP28" s="4"/>
    </row>
    <row r="29" spans="1:42" ht="35.1" customHeight="1" x14ac:dyDescent="0.2">
      <c r="A29" s="1"/>
      <c r="B29" s="6"/>
      <c r="C29" s="30" t="s">
        <v>72</v>
      </c>
      <c r="D29" s="30">
        <v>5</v>
      </c>
      <c r="E29" s="31" t="s">
        <v>87</v>
      </c>
      <c r="F29" s="30" t="s">
        <v>88</v>
      </c>
      <c r="G29" s="31" t="s">
        <v>89</v>
      </c>
      <c r="H29" s="30" t="s">
        <v>76</v>
      </c>
      <c r="I29" s="57">
        <v>1410</v>
      </c>
      <c r="J29" s="57">
        <v>540</v>
      </c>
      <c r="K29" s="32" t="s">
        <v>34</v>
      </c>
      <c r="L29" s="57">
        <v>6915</v>
      </c>
      <c r="M29" s="30" t="s">
        <v>77</v>
      </c>
      <c r="N29" s="30" t="s">
        <v>77</v>
      </c>
      <c r="O29" s="30" t="s">
        <v>77</v>
      </c>
      <c r="P29" s="30">
        <v>5</v>
      </c>
      <c r="Q29" s="30" t="s">
        <v>78</v>
      </c>
      <c r="R29" s="58" t="s">
        <v>79</v>
      </c>
      <c r="S29" s="35" t="s">
        <v>80</v>
      </c>
      <c r="T29" s="110"/>
      <c r="U29" s="59">
        <v>1</v>
      </c>
      <c r="V29" s="38">
        <f>5562</f>
        <v>5562</v>
      </c>
      <c r="W29" s="40">
        <f t="shared" si="5"/>
        <v>5562</v>
      </c>
      <c r="X29" s="60">
        <v>4</v>
      </c>
      <c r="Y29" s="61">
        <f>6367</f>
        <v>6367</v>
      </c>
      <c r="Z29" s="40">
        <f t="shared" si="6"/>
        <v>25468</v>
      </c>
      <c r="AA29" s="62">
        <v>1000</v>
      </c>
      <c r="AB29" s="61" t="s">
        <v>598</v>
      </c>
      <c r="AC29" s="40">
        <f t="shared" si="7"/>
        <v>32030</v>
      </c>
      <c r="AD29" s="98"/>
      <c r="AE29" s="29"/>
      <c r="AF29" s="4"/>
      <c r="AG29" s="4"/>
      <c r="AH29" s="1"/>
      <c r="AI29" s="4"/>
      <c r="AJ29" s="4"/>
      <c r="AK29" s="4"/>
      <c r="AL29" s="4"/>
      <c r="AM29" s="4"/>
      <c r="AN29" s="4"/>
      <c r="AO29" s="4"/>
      <c r="AP29" s="4"/>
    </row>
    <row r="30" spans="1:42" ht="35.1" customHeight="1" x14ac:dyDescent="0.2">
      <c r="A30" s="1"/>
      <c r="B30" s="6"/>
      <c r="C30" s="30" t="s">
        <v>72</v>
      </c>
      <c r="D30" s="30">
        <v>6</v>
      </c>
      <c r="E30" s="31" t="s">
        <v>90</v>
      </c>
      <c r="F30" s="30" t="s">
        <v>91</v>
      </c>
      <c r="G30" s="31" t="s">
        <v>75</v>
      </c>
      <c r="H30" s="30" t="s">
        <v>76</v>
      </c>
      <c r="I30" s="57">
        <v>2186</v>
      </c>
      <c r="J30" s="57">
        <v>706</v>
      </c>
      <c r="K30" s="32" t="s">
        <v>34</v>
      </c>
      <c r="L30" s="57">
        <v>13655</v>
      </c>
      <c r="M30" s="30" t="s">
        <v>86</v>
      </c>
      <c r="N30" s="30" t="s">
        <v>86</v>
      </c>
      <c r="O30" s="30" t="s">
        <v>86</v>
      </c>
      <c r="P30" s="30">
        <v>7</v>
      </c>
      <c r="Q30" s="30" t="s">
        <v>78</v>
      </c>
      <c r="R30" s="58" t="s">
        <v>79</v>
      </c>
      <c r="S30" s="35" t="s">
        <v>80</v>
      </c>
      <c r="T30" s="110"/>
      <c r="U30" s="59">
        <v>3</v>
      </c>
      <c r="V30" s="38">
        <f>5562</f>
        <v>5562</v>
      </c>
      <c r="W30" s="40">
        <f t="shared" si="5"/>
        <v>16686</v>
      </c>
      <c r="X30" s="60">
        <v>4</v>
      </c>
      <c r="Y30" s="61">
        <f>6367</f>
        <v>6367</v>
      </c>
      <c r="Z30" s="40">
        <f t="shared" si="6"/>
        <v>25468</v>
      </c>
      <c r="AA30" s="62">
        <v>1000</v>
      </c>
      <c r="AB30" s="61" t="s">
        <v>598</v>
      </c>
      <c r="AC30" s="40">
        <f t="shared" si="7"/>
        <v>43154</v>
      </c>
      <c r="AD30" s="98"/>
      <c r="AE30" s="29"/>
      <c r="AF30" s="4"/>
      <c r="AG30" s="4"/>
      <c r="AH30" s="1"/>
      <c r="AI30" s="4"/>
      <c r="AJ30" s="4"/>
      <c r="AK30" s="4"/>
      <c r="AL30" s="4"/>
      <c r="AM30" s="4"/>
      <c r="AN30" s="4"/>
      <c r="AO30" s="4"/>
      <c r="AP30" s="4"/>
    </row>
    <row r="31" spans="1:42" ht="35.1" customHeight="1" x14ac:dyDescent="0.2">
      <c r="A31" s="1"/>
      <c r="B31" s="6"/>
      <c r="C31" s="30" t="s">
        <v>72</v>
      </c>
      <c r="D31" s="30">
        <v>8</v>
      </c>
      <c r="E31" s="31" t="s">
        <v>92</v>
      </c>
      <c r="F31" s="30" t="s">
        <v>93</v>
      </c>
      <c r="G31" s="31" t="s">
        <v>94</v>
      </c>
      <c r="H31" s="30" t="s">
        <v>76</v>
      </c>
      <c r="I31" s="57">
        <v>2001</v>
      </c>
      <c r="J31" s="57">
        <v>866</v>
      </c>
      <c r="K31" s="32" t="s">
        <v>34</v>
      </c>
      <c r="L31" s="57">
        <v>6709</v>
      </c>
      <c r="M31" s="30" t="s">
        <v>86</v>
      </c>
      <c r="N31" s="30" t="s">
        <v>86</v>
      </c>
      <c r="O31" s="30" t="s">
        <v>86</v>
      </c>
      <c r="P31" s="30">
        <v>7</v>
      </c>
      <c r="Q31" s="30" t="s">
        <v>78</v>
      </c>
      <c r="R31" s="58" t="s">
        <v>79</v>
      </c>
      <c r="S31" s="35" t="s">
        <v>80</v>
      </c>
      <c r="T31" s="110"/>
      <c r="U31" s="59">
        <v>3</v>
      </c>
      <c r="V31" s="38">
        <f>5562</f>
        <v>5562</v>
      </c>
      <c r="W31" s="40">
        <f t="shared" si="5"/>
        <v>16686</v>
      </c>
      <c r="X31" s="60">
        <v>4</v>
      </c>
      <c r="Y31" s="61">
        <f>6367</f>
        <v>6367</v>
      </c>
      <c r="Z31" s="40">
        <f t="shared" si="6"/>
        <v>25468</v>
      </c>
      <c r="AA31" s="62">
        <v>1000</v>
      </c>
      <c r="AB31" s="61" t="s">
        <v>598</v>
      </c>
      <c r="AC31" s="40">
        <f t="shared" si="7"/>
        <v>43154</v>
      </c>
      <c r="AD31" s="98"/>
      <c r="AE31" s="29"/>
      <c r="AF31" s="4"/>
      <c r="AG31" s="4"/>
      <c r="AH31" s="1"/>
      <c r="AI31" s="4"/>
      <c r="AJ31" s="4"/>
      <c r="AK31" s="4"/>
      <c r="AL31" s="4"/>
      <c r="AM31" s="4"/>
      <c r="AN31" s="4"/>
      <c r="AO31" s="4"/>
      <c r="AP31" s="4"/>
    </row>
    <row r="32" spans="1:42" ht="35.1" customHeight="1" x14ac:dyDescent="0.2">
      <c r="A32" s="1"/>
      <c r="B32" s="6"/>
      <c r="C32" s="30" t="s">
        <v>72</v>
      </c>
      <c r="D32" s="30">
        <v>9</v>
      </c>
      <c r="E32" s="31" t="s">
        <v>95</v>
      </c>
      <c r="F32" s="30" t="s">
        <v>96</v>
      </c>
      <c r="G32" s="31" t="s">
        <v>75</v>
      </c>
      <c r="H32" s="30" t="s">
        <v>76</v>
      </c>
      <c r="I32" s="57">
        <v>1326</v>
      </c>
      <c r="J32" s="57">
        <v>748</v>
      </c>
      <c r="K32" s="32" t="s">
        <v>34</v>
      </c>
      <c r="L32" s="57">
        <v>5852</v>
      </c>
      <c r="M32" s="30" t="s">
        <v>77</v>
      </c>
      <c r="N32" s="30" t="s">
        <v>77</v>
      </c>
      <c r="O32" s="30" t="s">
        <v>77</v>
      </c>
      <c r="P32" s="30">
        <v>5</v>
      </c>
      <c r="Q32" s="30" t="s">
        <v>78</v>
      </c>
      <c r="R32" s="58" t="s">
        <v>79</v>
      </c>
      <c r="S32" s="35" t="s">
        <v>80</v>
      </c>
      <c r="T32" s="110"/>
      <c r="U32" s="59">
        <v>1</v>
      </c>
      <c r="V32" s="38">
        <f>5562</f>
        <v>5562</v>
      </c>
      <c r="W32" s="40">
        <f t="shared" si="5"/>
        <v>5562</v>
      </c>
      <c r="X32" s="60">
        <v>4</v>
      </c>
      <c r="Y32" s="61">
        <f>6367</f>
        <v>6367</v>
      </c>
      <c r="Z32" s="40">
        <f t="shared" si="6"/>
        <v>25468</v>
      </c>
      <c r="AA32" s="62">
        <v>1000</v>
      </c>
      <c r="AB32" s="61" t="s">
        <v>598</v>
      </c>
      <c r="AC32" s="40">
        <f t="shared" si="7"/>
        <v>32030</v>
      </c>
      <c r="AD32" s="98"/>
      <c r="AE32" s="29"/>
      <c r="AF32" s="4"/>
      <c r="AG32" s="4"/>
      <c r="AH32" s="1"/>
      <c r="AI32" s="4"/>
      <c r="AJ32" s="4"/>
      <c r="AK32" s="4"/>
      <c r="AL32" s="4"/>
      <c r="AM32" s="4"/>
      <c r="AN32" s="4"/>
      <c r="AO32" s="4"/>
      <c r="AP32" s="4"/>
    </row>
    <row r="33" spans="1:42" ht="35.1" customHeight="1" x14ac:dyDescent="0.2">
      <c r="A33" s="1"/>
      <c r="B33" s="6"/>
      <c r="C33" s="30" t="s">
        <v>72</v>
      </c>
      <c r="D33" s="30">
        <v>10</v>
      </c>
      <c r="E33" s="31" t="s">
        <v>97</v>
      </c>
      <c r="F33" s="30" t="s">
        <v>98</v>
      </c>
      <c r="G33" s="31" t="s">
        <v>99</v>
      </c>
      <c r="H33" s="30" t="s">
        <v>76</v>
      </c>
      <c r="I33" s="57">
        <v>1841</v>
      </c>
      <c r="J33" s="57">
        <v>1223</v>
      </c>
      <c r="K33" s="32" t="s">
        <v>34</v>
      </c>
      <c r="L33" s="57">
        <v>6903</v>
      </c>
      <c r="M33" s="30" t="s">
        <v>86</v>
      </c>
      <c r="N33" s="30" t="s">
        <v>86</v>
      </c>
      <c r="O33" s="30" t="s">
        <v>86</v>
      </c>
      <c r="P33" s="30">
        <v>7</v>
      </c>
      <c r="Q33" s="30" t="s">
        <v>78</v>
      </c>
      <c r="R33" s="58" t="s">
        <v>79</v>
      </c>
      <c r="S33" s="35" t="s">
        <v>80</v>
      </c>
      <c r="T33" s="110"/>
      <c r="U33" s="59">
        <v>3</v>
      </c>
      <c r="V33" s="38">
        <f>5562</f>
        <v>5562</v>
      </c>
      <c r="W33" s="40">
        <f t="shared" si="5"/>
        <v>16686</v>
      </c>
      <c r="X33" s="60">
        <v>4</v>
      </c>
      <c r="Y33" s="61">
        <f>6367</f>
        <v>6367</v>
      </c>
      <c r="Z33" s="40">
        <f t="shared" si="6"/>
        <v>25468</v>
      </c>
      <c r="AA33" s="62">
        <v>1000</v>
      </c>
      <c r="AB33" s="61" t="s">
        <v>598</v>
      </c>
      <c r="AC33" s="40">
        <f t="shared" si="7"/>
        <v>43154</v>
      </c>
      <c r="AD33" s="98"/>
      <c r="AE33" s="29"/>
      <c r="AF33" s="4"/>
      <c r="AG33" s="4"/>
      <c r="AH33" s="1"/>
      <c r="AI33" s="4"/>
      <c r="AJ33" s="4"/>
      <c r="AK33" s="4"/>
      <c r="AL33" s="4"/>
      <c r="AM33" s="4"/>
      <c r="AN33" s="4"/>
      <c r="AO33" s="4"/>
      <c r="AP33" s="4"/>
    </row>
    <row r="34" spans="1:42" ht="35.1" customHeight="1" x14ac:dyDescent="0.2">
      <c r="A34" s="1"/>
      <c r="B34" s="6"/>
      <c r="C34" s="30" t="s">
        <v>72</v>
      </c>
      <c r="D34" s="30">
        <v>11</v>
      </c>
      <c r="E34" s="31" t="s">
        <v>100</v>
      </c>
      <c r="F34" s="30" t="s">
        <v>101</v>
      </c>
      <c r="G34" s="31" t="s">
        <v>75</v>
      </c>
      <c r="H34" s="30" t="s">
        <v>76</v>
      </c>
      <c r="I34" s="57">
        <v>364</v>
      </c>
      <c r="J34" s="57">
        <v>99</v>
      </c>
      <c r="K34" s="32" t="s">
        <v>34</v>
      </c>
      <c r="L34" s="57">
        <v>748</v>
      </c>
      <c r="M34" s="30" t="s">
        <v>102</v>
      </c>
      <c r="N34" s="30" t="s">
        <v>102</v>
      </c>
      <c r="O34" s="30" t="s">
        <v>83</v>
      </c>
      <c r="P34" s="30">
        <v>2</v>
      </c>
      <c r="Q34" s="30" t="s">
        <v>78</v>
      </c>
      <c r="R34" s="58" t="s">
        <v>79</v>
      </c>
      <c r="S34" s="35" t="s">
        <v>80</v>
      </c>
      <c r="T34" s="110"/>
      <c r="U34" s="59">
        <v>0</v>
      </c>
      <c r="V34" s="38">
        <f>5562</f>
        <v>5562</v>
      </c>
      <c r="W34" s="40">
        <f t="shared" si="5"/>
        <v>0</v>
      </c>
      <c r="X34" s="60">
        <v>2</v>
      </c>
      <c r="Y34" s="61">
        <f>6367</f>
        <v>6367</v>
      </c>
      <c r="Z34" s="40">
        <f t="shared" si="6"/>
        <v>12734</v>
      </c>
      <c r="AA34" s="62">
        <v>1000</v>
      </c>
      <c r="AB34" s="61" t="s">
        <v>598</v>
      </c>
      <c r="AC34" s="40">
        <f t="shared" si="7"/>
        <v>13734</v>
      </c>
      <c r="AD34" s="98"/>
      <c r="AE34" s="29"/>
      <c r="AF34" s="4"/>
      <c r="AG34" s="4"/>
      <c r="AH34" s="1"/>
      <c r="AI34" s="4"/>
      <c r="AJ34" s="4"/>
      <c r="AK34" s="4"/>
      <c r="AL34" s="4"/>
      <c r="AM34" s="4"/>
      <c r="AN34" s="4"/>
      <c r="AO34" s="4"/>
      <c r="AP34" s="4"/>
    </row>
    <row r="35" spans="1:42" ht="35.1" customHeight="1" x14ac:dyDescent="0.2">
      <c r="A35" s="1"/>
      <c r="B35" s="6"/>
      <c r="C35" s="30" t="s">
        <v>72</v>
      </c>
      <c r="D35" s="30">
        <v>12</v>
      </c>
      <c r="E35" s="31" t="s">
        <v>103</v>
      </c>
      <c r="F35" s="30" t="s">
        <v>104</v>
      </c>
      <c r="G35" s="31" t="s">
        <v>105</v>
      </c>
      <c r="H35" s="30" t="s">
        <v>76</v>
      </c>
      <c r="I35" s="57">
        <v>2053</v>
      </c>
      <c r="J35" s="57">
        <v>1818</v>
      </c>
      <c r="K35" s="32" t="s">
        <v>34</v>
      </c>
      <c r="L35" s="57">
        <v>11274</v>
      </c>
      <c r="M35" s="30" t="s">
        <v>77</v>
      </c>
      <c r="N35" s="30" t="s">
        <v>77</v>
      </c>
      <c r="O35" s="30" t="s">
        <v>77</v>
      </c>
      <c r="P35" s="30">
        <v>5</v>
      </c>
      <c r="Q35" s="30" t="s">
        <v>78</v>
      </c>
      <c r="R35" s="58" t="s">
        <v>79</v>
      </c>
      <c r="S35" s="35" t="s">
        <v>80</v>
      </c>
      <c r="T35" s="110"/>
      <c r="U35" s="59">
        <v>1</v>
      </c>
      <c r="V35" s="38">
        <f>5562</f>
        <v>5562</v>
      </c>
      <c r="W35" s="40">
        <f t="shared" si="5"/>
        <v>5562</v>
      </c>
      <c r="X35" s="60">
        <v>4</v>
      </c>
      <c r="Y35" s="61">
        <f>6367</f>
        <v>6367</v>
      </c>
      <c r="Z35" s="40">
        <f t="shared" si="6"/>
        <v>25468</v>
      </c>
      <c r="AA35" s="62">
        <v>1000</v>
      </c>
      <c r="AB35" s="61" t="s">
        <v>598</v>
      </c>
      <c r="AC35" s="40">
        <f t="shared" si="7"/>
        <v>32030</v>
      </c>
      <c r="AD35" s="98"/>
      <c r="AE35" s="29"/>
      <c r="AF35" s="4"/>
      <c r="AG35" s="4"/>
      <c r="AH35" s="1"/>
      <c r="AI35" s="4"/>
      <c r="AJ35" s="4"/>
      <c r="AK35" s="4"/>
      <c r="AL35" s="4"/>
      <c r="AM35" s="4"/>
      <c r="AN35" s="4"/>
      <c r="AO35" s="4"/>
      <c r="AP35" s="4"/>
    </row>
    <row r="36" spans="1:42" ht="35.1" customHeight="1" x14ac:dyDescent="0.2">
      <c r="A36" s="1"/>
      <c r="B36" s="6"/>
      <c r="C36" s="30" t="s">
        <v>72</v>
      </c>
      <c r="D36" s="30">
        <v>13</v>
      </c>
      <c r="E36" s="31" t="s">
        <v>106</v>
      </c>
      <c r="F36" s="30" t="s">
        <v>107</v>
      </c>
      <c r="G36" s="31" t="s">
        <v>75</v>
      </c>
      <c r="H36" s="30" t="s">
        <v>76</v>
      </c>
      <c r="I36" s="57">
        <v>2084</v>
      </c>
      <c r="J36" s="57">
        <v>1184</v>
      </c>
      <c r="K36" s="32" t="s">
        <v>34</v>
      </c>
      <c r="L36" s="57">
        <v>6935</v>
      </c>
      <c r="M36" s="30" t="s">
        <v>77</v>
      </c>
      <c r="N36" s="30" t="s">
        <v>77</v>
      </c>
      <c r="O36" s="30" t="s">
        <v>77</v>
      </c>
      <c r="P36" s="30">
        <v>5</v>
      </c>
      <c r="Q36" s="30" t="s">
        <v>78</v>
      </c>
      <c r="R36" s="58" t="s">
        <v>79</v>
      </c>
      <c r="S36" s="35" t="s">
        <v>80</v>
      </c>
      <c r="T36" s="110"/>
      <c r="U36" s="59">
        <v>1</v>
      </c>
      <c r="V36" s="38">
        <f>5562</f>
        <v>5562</v>
      </c>
      <c r="W36" s="40">
        <f t="shared" si="5"/>
        <v>5562</v>
      </c>
      <c r="X36" s="60">
        <v>4</v>
      </c>
      <c r="Y36" s="61">
        <f>6367</f>
        <v>6367</v>
      </c>
      <c r="Z36" s="40">
        <f t="shared" si="6"/>
        <v>25468</v>
      </c>
      <c r="AA36" s="62">
        <v>1000</v>
      </c>
      <c r="AB36" s="61" t="s">
        <v>598</v>
      </c>
      <c r="AC36" s="40">
        <f t="shared" si="7"/>
        <v>32030</v>
      </c>
      <c r="AD36" s="98"/>
      <c r="AE36" s="29"/>
      <c r="AF36" s="4"/>
      <c r="AG36" s="4"/>
      <c r="AH36" s="1"/>
      <c r="AI36" s="4"/>
      <c r="AJ36" s="4"/>
      <c r="AK36" s="4"/>
      <c r="AL36" s="4"/>
      <c r="AM36" s="4"/>
      <c r="AN36" s="4"/>
      <c r="AO36" s="4"/>
      <c r="AP36" s="4"/>
    </row>
    <row r="37" spans="1:42" ht="35.1" customHeight="1" x14ac:dyDescent="0.2">
      <c r="A37" s="1"/>
      <c r="B37" s="6"/>
      <c r="C37" s="30" t="s">
        <v>72</v>
      </c>
      <c r="D37" s="30">
        <v>14</v>
      </c>
      <c r="E37" s="31" t="s">
        <v>108</v>
      </c>
      <c r="F37" s="30" t="s">
        <v>109</v>
      </c>
      <c r="G37" s="31" t="s">
        <v>75</v>
      </c>
      <c r="H37" s="30" t="s">
        <v>76</v>
      </c>
      <c r="I37" s="57">
        <v>941</v>
      </c>
      <c r="J37" s="57">
        <v>447</v>
      </c>
      <c r="K37" s="32" t="s">
        <v>34</v>
      </c>
      <c r="L37" s="57">
        <v>5106</v>
      </c>
      <c r="M37" s="30" t="s">
        <v>77</v>
      </c>
      <c r="N37" s="30" t="s">
        <v>77</v>
      </c>
      <c r="O37" s="30" t="s">
        <v>77</v>
      </c>
      <c r="P37" s="30">
        <v>5</v>
      </c>
      <c r="Q37" s="30" t="s">
        <v>78</v>
      </c>
      <c r="R37" s="58" t="s">
        <v>79</v>
      </c>
      <c r="S37" s="35" t="s">
        <v>80</v>
      </c>
      <c r="T37" s="110"/>
      <c r="U37" s="59">
        <v>1</v>
      </c>
      <c r="V37" s="38">
        <f>5562</f>
        <v>5562</v>
      </c>
      <c r="W37" s="40">
        <f t="shared" si="5"/>
        <v>5562</v>
      </c>
      <c r="X37" s="60">
        <v>4</v>
      </c>
      <c r="Y37" s="61">
        <f>6367</f>
        <v>6367</v>
      </c>
      <c r="Z37" s="40">
        <f t="shared" si="6"/>
        <v>25468</v>
      </c>
      <c r="AA37" s="62">
        <v>1000</v>
      </c>
      <c r="AB37" s="61" t="s">
        <v>598</v>
      </c>
      <c r="AC37" s="40">
        <f t="shared" si="7"/>
        <v>32030</v>
      </c>
      <c r="AD37" s="98"/>
      <c r="AE37" s="29"/>
      <c r="AF37" s="4"/>
      <c r="AG37" s="4"/>
      <c r="AH37" s="1"/>
      <c r="AI37" s="4"/>
      <c r="AJ37" s="4"/>
      <c r="AK37" s="4"/>
      <c r="AL37" s="4"/>
      <c r="AM37" s="4"/>
      <c r="AN37" s="4"/>
      <c r="AO37" s="4"/>
      <c r="AP37" s="4"/>
    </row>
    <row r="38" spans="1:42" ht="35.1" customHeight="1" x14ac:dyDescent="0.2">
      <c r="A38" s="1"/>
      <c r="B38" s="6"/>
      <c r="C38" s="30" t="s">
        <v>72</v>
      </c>
      <c r="D38" s="30">
        <v>15</v>
      </c>
      <c r="E38" s="31" t="s">
        <v>110</v>
      </c>
      <c r="F38" s="30" t="s">
        <v>111</v>
      </c>
      <c r="G38" s="31" t="s">
        <v>75</v>
      </c>
      <c r="H38" s="30" t="s">
        <v>76</v>
      </c>
      <c r="I38" s="57">
        <v>2140</v>
      </c>
      <c r="J38" s="57">
        <v>902</v>
      </c>
      <c r="K38" s="32" t="s">
        <v>34</v>
      </c>
      <c r="L38" s="57">
        <v>11418</v>
      </c>
      <c r="M38" s="30" t="s">
        <v>112</v>
      </c>
      <c r="N38" s="30" t="s">
        <v>112</v>
      </c>
      <c r="O38" s="30" t="s">
        <v>112</v>
      </c>
      <c r="P38" s="30">
        <v>9</v>
      </c>
      <c r="Q38" s="30" t="s">
        <v>78</v>
      </c>
      <c r="R38" s="58" t="s">
        <v>79</v>
      </c>
      <c r="S38" s="35" t="s">
        <v>80</v>
      </c>
      <c r="T38" s="110"/>
      <c r="U38" s="59">
        <v>5</v>
      </c>
      <c r="V38" s="38">
        <f>5562</f>
        <v>5562</v>
      </c>
      <c r="W38" s="40">
        <f t="shared" si="5"/>
        <v>27810</v>
      </c>
      <c r="X38" s="60">
        <v>4</v>
      </c>
      <c r="Y38" s="61">
        <f>6367</f>
        <v>6367</v>
      </c>
      <c r="Z38" s="40">
        <f t="shared" si="6"/>
        <v>25468</v>
      </c>
      <c r="AA38" s="62">
        <v>1000</v>
      </c>
      <c r="AB38" s="61" t="s">
        <v>598</v>
      </c>
      <c r="AC38" s="40">
        <f t="shared" si="7"/>
        <v>54278</v>
      </c>
      <c r="AD38" s="98"/>
      <c r="AE38" s="29"/>
      <c r="AF38" s="4"/>
      <c r="AG38" s="4"/>
      <c r="AH38" s="1"/>
      <c r="AI38" s="4"/>
      <c r="AJ38" s="4"/>
      <c r="AK38" s="4"/>
      <c r="AL38" s="4"/>
      <c r="AM38" s="4"/>
      <c r="AN38" s="4"/>
      <c r="AO38" s="4"/>
      <c r="AP38" s="4"/>
    </row>
    <row r="39" spans="1:42" ht="35.1" customHeight="1" x14ac:dyDescent="0.2">
      <c r="A39" s="1"/>
      <c r="B39" s="6"/>
      <c r="C39" s="30" t="s">
        <v>72</v>
      </c>
      <c r="D39" s="30" t="s">
        <v>113</v>
      </c>
      <c r="E39" s="31" t="s">
        <v>110</v>
      </c>
      <c r="F39" s="30" t="s">
        <v>111</v>
      </c>
      <c r="G39" s="31" t="s">
        <v>75</v>
      </c>
      <c r="H39" s="30" t="s">
        <v>76</v>
      </c>
      <c r="I39" s="57">
        <v>2000</v>
      </c>
      <c r="J39" s="57">
        <v>0</v>
      </c>
      <c r="K39" s="32" t="s">
        <v>34</v>
      </c>
      <c r="L39" s="57">
        <v>2000</v>
      </c>
      <c r="M39" s="30" t="s">
        <v>114</v>
      </c>
      <c r="N39" s="30" t="s">
        <v>49</v>
      </c>
      <c r="O39" s="30" t="s">
        <v>49</v>
      </c>
      <c r="P39" s="30">
        <v>3</v>
      </c>
      <c r="Q39" s="30" t="s">
        <v>78</v>
      </c>
      <c r="R39" s="58" t="s">
        <v>79</v>
      </c>
      <c r="S39" s="35" t="s">
        <v>80</v>
      </c>
      <c r="T39" s="110"/>
      <c r="U39" s="59">
        <v>0</v>
      </c>
      <c r="V39" s="38">
        <f>5562</f>
        <v>5562</v>
      </c>
      <c r="W39" s="40">
        <f t="shared" si="5"/>
        <v>0</v>
      </c>
      <c r="X39" s="60">
        <v>3</v>
      </c>
      <c r="Y39" s="61">
        <f>6367</f>
        <v>6367</v>
      </c>
      <c r="Z39" s="40">
        <f t="shared" si="6"/>
        <v>19101</v>
      </c>
      <c r="AA39" s="62">
        <v>1000</v>
      </c>
      <c r="AB39" s="61" t="s">
        <v>598</v>
      </c>
      <c r="AC39" s="40">
        <f t="shared" si="7"/>
        <v>20101</v>
      </c>
      <c r="AD39" s="98"/>
      <c r="AE39" s="29"/>
      <c r="AF39" s="4"/>
      <c r="AG39" s="4"/>
      <c r="AH39" s="1"/>
      <c r="AI39" s="4"/>
      <c r="AJ39" s="4"/>
      <c r="AK39" s="4"/>
      <c r="AL39" s="4"/>
      <c r="AM39" s="4"/>
      <c r="AN39" s="4"/>
      <c r="AO39" s="4"/>
      <c r="AP39" s="4"/>
    </row>
    <row r="40" spans="1:42" ht="35.1" customHeight="1" x14ac:dyDescent="0.2">
      <c r="A40" s="1"/>
      <c r="B40" s="6"/>
      <c r="C40" s="30" t="s">
        <v>72</v>
      </c>
      <c r="D40" s="30">
        <v>16</v>
      </c>
      <c r="E40" s="31" t="s">
        <v>115</v>
      </c>
      <c r="F40" s="30" t="s">
        <v>116</v>
      </c>
      <c r="G40" s="31" t="s">
        <v>117</v>
      </c>
      <c r="H40" s="30" t="s">
        <v>76</v>
      </c>
      <c r="I40" s="57">
        <v>1958</v>
      </c>
      <c r="J40" s="57">
        <v>1190</v>
      </c>
      <c r="K40" s="32" t="s">
        <v>34</v>
      </c>
      <c r="L40" s="57">
        <v>8761</v>
      </c>
      <c r="M40" s="30" t="s">
        <v>112</v>
      </c>
      <c r="N40" s="30" t="s">
        <v>112</v>
      </c>
      <c r="O40" s="30" t="s">
        <v>112</v>
      </c>
      <c r="P40" s="30">
        <v>7</v>
      </c>
      <c r="Q40" s="30" t="s">
        <v>78</v>
      </c>
      <c r="R40" s="58" t="s">
        <v>79</v>
      </c>
      <c r="S40" s="35" t="s">
        <v>80</v>
      </c>
      <c r="T40" s="110"/>
      <c r="U40" s="59">
        <v>3</v>
      </c>
      <c r="V40" s="38">
        <f>5562</f>
        <v>5562</v>
      </c>
      <c r="W40" s="40">
        <f t="shared" si="5"/>
        <v>16686</v>
      </c>
      <c r="X40" s="60">
        <v>4</v>
      </c>
      <c r="Y40" s="61">
        <f>6367</f>
        <v>6367</v>
      </c>
      <c r="Z40" s="40">
        <f t="shared" si="6"/>
        <v>25468</v>
      </c>
      <c r="AA40" s="62">
        <v>1000</v>
      </c>
      <c r="AB40" s="61" t="s">
        <v>598</v>
      </c>
      <c r="AC40" s="40">
        <f t="shared" si="7"/>
        <v>43154</v>
      </c>
      <c r="AD40" s="98"/>
      <c r="AE40" s="29"/>
      <c r="AF40" s="4"/>
      <c r="AG40" s="4"/>
      <c r="AH40" s="1"/>
      <c r="AI40" s="4"/>
      <c r="AJ40" s="4"/>
      <c r="AK40" s="4"/>
      <c r="AL40" s="4"/>
      <c r="AM40" s="4"/>
      <c r="AN40" s="4"/>
      <c r="AO40" s="4"/>
      <c r="AP40" s="4"/>
    </row>
    <row r="41" spans="1:42" ht="35.1" customHeight="1" x14ac:dyDescent="0.2">
      <c r="A41" s="1"/>
      <c r="B41" s="6"/>
      <c r="C41" s="30" t="s">
        <v>72</v>
      </c>
      <c r="D41" s="30">
        <v>17</v>
      </c>
      <c r="E41" s="31" t="s">
        <v>118</v>
      </c>
      <c r="F41" s="30" t="s">
        <v>119</v>
      </c>
      <c r="G41" s="31" t="s">
        <v>75</v>
      </c>
      <c r="H41" s="30" t="s">
        <v>76</v>
      </c>
      <c r="I41" s="57">
        <v>917</v>
      </c>
      <c r="J41" s="57">
        <v>288</v>
      </c>
      <c r="K41" s="32" t="s">
        <v>34</v>
      </c>
      <c r="L41" s="57">
        <v>6153</v>
      </c>
      <c r="M41" s="30" t="s">
        <v>77</v>
      </c>
      <c r="N41" s="30" t="s">
        <v>77</v>
      </c>
      <c r="O41" s="30" t="s">
        <v>77</v>
      </c>
      <c r="P41" s="30">
        <v>5</v>
      </c>
      <c r="Q41" s="30" t="s">
        <v>78</v>
      </c>
      <c r="R41" s="58" t="s">
        <v>79</v>
      </c>
      <c r="S41" s="35" t="s">
        <v>80</v>
      </c>
      <c r="T41" s="110"/>
      <c r="U41" s="59">
        <v>1</v>
      </c>
      <c r="V41" s="38">
        <f>5562</f>
        <v>5562</v>
      </c>
      <c r="W41" s="40">
        <f t="shared" si="5"/>
        <v>5562</v>
      </c>
      <c r="X41" s="60">
        <v>4</v>
      </c>
      <c r="Y41" s="61">
        <f>6367</f>
        <v>6367</v>
      </c>
      <c r="Z41" s="40">
        <f t="shared" si="6"/>
        <v>25468</v>
      </c>
      <c r="AA41" s="62">
        <v>1000</v>
      </c>
      <c r="AB41" s="61" t="s">
        <v>598</v>
      </c>
      <c r="AC41" s="40">
        <f t="shared" si="7"/>
        <v>32030</v>
      </c>
      <c r="AD41" s="98"/>
      <c r="AE41" s="29"/>
      <c r="AF41" s="4"/>
      <c r="AG41" s="4"/>
      <c r="AH41" s="1"/>
      <c r="AI41" s="4"/>
      <c r="AJ41" s="4"/>
      <c r="AK41" s="4"/>
      <c r="AL41" s="4"/>
      <c r="AM41" s="4"/>
      <c r="AN41" s="4"/>
      <c r="AO41" s="4"/>
      <c r="AP41" s="4"/>
    </row>
    <row r="42" spans="1:42" ht="35.1" customHeight="1" x14ac:dyDescent="0.2">
      <c r="A42" s="1"/>
      <c r="B42" s="6"/>
      <c r="C42" s="30" t="s">
        <v>72</v>
      </c>
      <c r="D42" s="30">
        <v>18</v>
      </c>
      <c r="E42" s="31" t="s">
        <v>120</v>
      </c>
      <c r="F42" s="30" t="s">
        <v>121</v>
      </c>
      <c r="G42" s="31" t="s">
        <v>75</v>
      </c>
      <c r="H42" s="30" t="s">
        <v>76</v>
      </c>
      <c r="I42" s="63" t="s">
        <v>122</v>
      </c>
      <c r="J42" s="57">
        <v>14000</v>
      </c>
      <c r="K42" s="32" t="s">
        <v>34</v>
      </c>
      <c r="L42" s="57">
        <v>14000</v>
      </c>
      <c r="M42" s="30" t="s">
        <v>123</v>
      </c>
      <c r="N42" s="30" t="s">
        <v>49</v>
      </c>
      <c r="O42" s="30" t="s">
        <v>49</v>
      </c>
      <c r="P42" s="30">
        <v>2</v>
      </c>
      <c r="Q42" s="30" t="s">
        <v>78</v>
      </c>
      <c r="R42" s="58" t="s">
        <v>79</v>
      </c>
      <c r="S42" s="35" t="s">
        <v>80</v>
      </c>
      <c r="T42" s="110"/>
      <c r="U42" s="59">
        <v>0</v>
      </c>
      <c r="V42" s="38">
        <f>5562</f>
        <v>5562</v>
      </c>
      <c r="W42" s="40">
        <f t="shared" si="5"/>
        <v>0</v>
      </c>
      <c r="X42" s="60">
        <v>2</v>
      </c>
      <c r="Y42" s="61">
        <f>6367</f>
        <v>6367</v>
      </c>
      <c r="Z42" s="40">
        <f t="shared" si="6"/>
        <v>12734</v>
      </c>
      <c r="AA42" s="62">
        <v>1000</v>
      </c>
      <c r="AB42" s="61" t="s">
        <v>598</v>
      </c>
      <c r="AC42" s="40">
        <f t="shared" si="7"/>
        <v>13734</v>
      </c>
      <c r="AD42" s="98"/>
      <c r="AE42" s="29"/>
      <c r="AF42" s="4"/>
      <c r="AG42" s="4"/>
      <c r="AH42" s="1"/>
      <c r="AI42" s="4"/>
      <c r="AJ42" s="4"/>
      <c r="AK42" s="4"/>
      <c r="AL42" s="4"/>
      <c r="AM42" s="4"/>
      <c r="AN42" s="4"/>
      <c r="AO42" s="4"/>
      <c r="AP42" s="4"/>
    </row>
    <row r="43" spans="1:42" ht="35.1" customHeight="1" x14ac:dyDescent="0.2">
      <c r="A43" s="1"/>
      <c r="B43" s="6"/>
      <c r="C43" s="30" t="s">
        <v>72</v>
      </c>
      <c r="D43" s="30">
        <v>19</v>
      </c>
      <c r="E43" s="31" t="s">
        <v>124</v>
      </c>
      <c r="F43" s="30" t="s">
        <v>125</v>
      </c>
      <c r="G43" s="31" t="s">
        <v>75</v>
      </c>
      <c r="H43" s="30" t="s">
        <v>76</v>
      </c>
      <c r="I43" s="57">
        <v>1727</v>
      </c>
      <c r="J43" s="57">
        <v>503</v>
      </c>
      <c r="K43" s="32" t="s">
        <v>34</v>
      </c>
      <c r="L43" s="57">
        <v>3615</v>
      </c>
      <c r="M43" s="30" t="s">
        <v>77</v>
      </c>
      <c r="N43" s="30" t="s">
        <v>77</v>
      </c>
      <c r="O43" s="30" t="s">
        <v>77</v>
      </c>
      <c r="P43" s="30">
        <v>5</v>
      </c>
      <c r="Q43" s="30" t="s">
        <v>78</v>
      </c>
      <c r="R43" s="58" t="s">
        <v>79</v>
      </c>
      <c r="S43" s="35" t="s">
        <v>80</v>
      </c>
      <c r="T43" s="110"/>
      <c r="U43" s="59">
        <v>1</v>
      </c>
      <c r="V43" s="38">
        <f>5562</f>
        <v>5562</v>
      </c>
      <c r="W43" s="40">
        <f t="shared" si="5"/>
        <v>5562</v>
      </c>
      <c r="X43" s="60">
        <v>4</v>
      </c>
      <c r="Y43" s="61">
        <f>6367</f>
        <v>6367</v>
      </c>
      <c r="Z43" s="40">
        <f t="shared" si="6"/>
        <v>25468</v>
      </c>
      <c r="AA43" s="62">
        <v>1000</v>
      </c>
      <c r="AB43" s="61" t="s">
        <v>598</v>
      </c>
      <c r="AC43" s="40">
        <f t="shared" si="7"/>
        <v>32030</v>
      </c>
      <c r="AD43" s="98"/>
      <c r="AE43" s="29"/>
      <c r="AF43" s="4"/>
      <c r="AG43" s="4"/>
      <c r="AH43" s="1"/>
      <c r="AI43" s="4"/>
      <c r="AJ43" s="4"/>
      <c r="AK43" s="4"/>
      <c r="AL43" s="4"/>
      <c r="AM43" s="4"/>
      <c r="AN43" s="4"/>
      <c r="AO43" s="4"/>
      <c r="AP43" s="4"/>
    </row>
    <row r="44" spans="1:42" ht="35.1" customHeight="1" x14ac:dyDescent="0.2">
      <c r="A44" s="1"/>
      <c r="B44" s="6"/>
      <c r="C44" s="30" t="s">
        <v>72</v>
      </c>
      <c r="D44" s="30">
        <v>21</v>
      </c>
      <c r="E44" s="31" t="s">
        <v>126</v>
      </c>
      <c r="F44" s="30" t="s">
        <v>127</v>
      </c>
      <c r="G44" s="31" t="s">
        <v>75</v>
      </c>
      <c r="H44" s="30" t="s">
        <v>76</v>
      </c>
      <c r="I44" s="57">
        <v>1513</v>
      </c>
      <c r="J44" s="57">
        <v>524</v>
      </c>
      <c r="K44" s="32" t="s">
        <v>34</v>
      </c>
      <c r="L44" s="57">
        <v>3272</v>
      </c>
      <c r="M44" s="30" t="s">
        <v>77</v>
      </c>
      <c r="N44" s="30" t="s">
        <v>77</v>
      </c>
      <c r="O44" s="30" t="s">
        <v>77</v>
      </c>
      <c r="P44" s="30">
        <v>5</v>
      </c>
      <c r="Q44" s="30" t="s">
        <v>78</v>
      </c>
      <c r="R44" s="58" t="s">
        <v>79</v>
      </c>
      <c r="S44" s="35" t="s">
        <v>80</v>
      </c>
      <c r="T44" s="110"/>
      <c r="U44" s="59">
        <v>1</v>
      </c>
      <c r="V44" s="38">
        <f>5562</f>
        <v>5562</v>
      </c>
      <c r="W44" s="40">
        <f t="shared" si="5"/>
        <v>5562</v>
      </c>
      <c r="X44" s="60">
        <v>4</v>
      </c>
      <c r="Y44" s="61">
        <f>6367</f>
        <v>6367</v>
      </c>
      <c r="Z44" s="40">
        <f t="shared" si="6"/>
        <v>25468</v>
      </c>
      <c r="AA44" s="62">
        <v>1000</v>
      </c>
      <c r="AB44" s="61" t="s">
        <v>598</v>
      </c>
      <c r="AC44" s="40">
        <f t="shared" si="7"/>
        <v>32030</v>
      </c>
      <c r="AD44" s="98"/>
      <c r="AE44" s="29"/>
      <c r="AF44" s="4"/>
      <c r="AG44" s="4"/>
      <c r="AH44" s="1"/>
      <c r="AI44" s="4"/>
      <c r="AJ44" s="4"/>
      <c r="AK44" s="4"/>
      <c r="AL44" s="4"/>
      <c r="AM44" s="4"/>
      <c r="AN44" s="4"/>
      <c r="AO44" s="4"/>
      <c r="AP44" s="4"/>
    </row>
    <row r="45" spans="1:42" ht="35.1" customHeight="1" x14ac:dyDescent="0.2">
      <c r="A45" s="1"/>
      <c r="B45" s="6"/>
      <c r="C45" s="30" t="s">
        <v>72</v>
      </c>
      <c r="D45" s="30">
        <v>22</v>
      </c>
      <c r="E45" s="31" t="s">
        <v>128</v>
      </c>
      <c r="F45" s="30" t="s">
        <v>129</v>
      </c>
      <c r="G45" s="31" t="s">
        <v>130</v>
      </c>
      <c r="H45" s="30" t="s">
        <v>76</v>
      </c>
      <c r="I45" s="30">
        <v>1679.06</v>
      </c>
      <c r="J45" s="30">
        <v>609.36</v>
      </c>
      <c r="K45" s="32" t="s">
        <v>34</v>
      </c>
      <c r="L45" s="30">
        <v>6414.4599999999991</v>
      </c>
      <c r="M45" s="30" t="s">
        <v>77</v>
      </c>
      <c r="N45" s="30" t="s">
        <v>77</v>
      </c>
      <c r="O45" s="30" t="s">
        <v>77</v>
      </c>
      <c r="P45" s="30">
        <v>5</v>
      </c>
      <c r="Q45" s="30" t="s">
        <v>78</v>
      </c>
      <c r="R45" s="58" t="s">
        <v>79</v>
      </c>
      <c r="S45" s="35" t="s">
        <v>80</v>
      </c>
      <c r="T45" s="110"/>
      <c r="U45" s="59">
        <v>1</v>
      </c>
      <c r="V45" s="38">
        <f>5562</f>
        <v>5562</v>
      </c>
      <c r="W45" s="40">
        <f t="shared" si="5"/>
        <v>5562</v>
      </c>
      <c r="X45" s="60">
        <v>4</v>
      </c>
      <c r="Y45" s="61">
        <f>6367</f>
        <v>6367</v>
      </c>
      <c r="Z45" s="40">
        <f t="shared" si="6"/>
        <v>25468</v>
      </c>
      <c r="AA45" s="62">
        <v>1000</v>
      </c>
      <c r="AB45" s="61" t="s">
        <v>598</v>
      </c>
      <c r="AC45" s="40">
        <f t="shared" si="7"/>
        <v>32030</v>
      </c>
      <c r="AD45" s="98"/>
      <c r="AE45" s="29"/>
      <c r="AF45" s="4"/>
      <c r="AG45" s="4"/>
      <c r="AH45" s="1"/>
      <c r="AI45" s="4"/>
      <c r="AJ45" s="4"/>
      <c r="AK45" s="4"/>
      <c r="AL45" s="4"/>
      <c r="AM45" s="4"/>
      <c r="AN45" s="4"/>
      <c r="AO45" s="4"/>
      <c r="AP45" s="4"/>
    </row>
    <row r="46" spans="1:42" ht="35.1" customHeight="1" x14ac:dyDescent="0.2">
      <c r="A46" s="1"/>
      <c r="B46" s="6"/>
      <c r="C46" s="30" t="s">
        <v>72</v>
      </c>
      <c r="D46" s="30">
        <v>24</v>
      </c>
      <c r="E46" s="31" t="s">
        <v>131</v>
      </c>
      <c r="F46" s="30" t="s">
        <v>132</v>
      </c>
      <c r="G46" s="31" t="s">
        <v>105</v>
      </c>
      <c r="H46" s="30" t="s">
        <v>76</v>
      </c>
      <c r="I46" s="30">
        <v>2112.77</v>
      </c>
      <c r="J46" s="30">
        <v>688.75</v>
      </c>
      <c r="K46" s="32" t="s">
        <v>34</v>
      </c>
      <c r="L46" s="57">
        <v>9362</v>
      </c>
      <c r="M46" s="30" t="s">
        <v>112</v>
      </c>
      <c r="N46" s="30" t="s">
        <v>112</v>
      </c>
      <c r="O46" s="30" t="s">
        <v>112</v>
      </c>
      <c r="P46" s="30">
        <v>9</v>
      </c>
      <c r="Q46" s="30" t="s">
        <v>78</v>
      </c>
      <c r="R46" s="58" t="s">
        <v>79</v>
      </c>
      <c r="S46" s="35" t="s">
        <v>80</v>
      </c>
      <c r="T46" s="110"/>
      <c r="U46" s="59">
        <v>5</v>
      </c>
      <c r="V46" s="38">
        <f>5562</f>
        <v>5562</v>
      </c>
      <c r="W46" s="40">
        <f t="shared" si="5"/>
        <v>27810</v>
      </c>
      <c r="X46" s="60">
        <v>4</v>
      </c>
      <c r="Y46" s="61">
        <f>6367</f>
        <v>6367</v>
      </c>
      <c r="Z46" s="40">
        <f t="shared" si="6"/>
        <v>25468</v>
      </c>
      <c r="AA46" s="62">
        <v>1000</v>
      </c>
      <c r="AB46" s="61" t="s">
        <v>598</v>
      </c>
      <c r="AC46" s="40">
        <f t="shared" si="7"/>
        <v>54278</v>
      </c>
      <c r="AD46" s="98"/>
      <c r="AE46" s="29"/>
      <c r="AF46" s="4"/>
      <c r="AG46" s="4"/>
      <c r="AH46" s="1"/>
      <c r="AI46" s="4"/>
      <c r="AJ46" s="4"/>
      <c r="AK46" s="4"/>
      <c r="AL46" s="4"/>
      <c r="AM46" s="4"/>
      <c r="AN46" s="4"/>
      <c r="AO46" s="4"/>
      <c r="AP46" s="4"/>
    </row>
    <row r="47" spans="1:42" ht="35.1" customHeight="1" x14ac:dyDescent="0.2">
      <c r="A47" s="1"/>
      <c r="B47" s="6"/>
      <c r="C47" s="30" t="s">
        <v>72</v>
      </c>
      <c r="D47" s="30">
        <v>23</v>
      </c>
      <c r="E47" s="31" t="s">
        <v>133</v>
      </c>
      <c r="F47" s="30" t="s">
        <v>134</v>
      </c>
      <c r="G47" s="31" t="s">
        <v>135</v>
      </c>
      <c r="H47" s="30" t="s">
        <v>76</v>
      </c>
      <c r="I47" s="30">
        <v>1400</v>
      </c>
      <c r="J47" s="30">
        <v>400</v>
      </c>
      <c r="K47" s="32" t="s">
        <v>34</v>
      </c>
      <c r="L47" s="57">
        <v>2890</v>
      </c>
      <c r="M47" s="30" t="s">
        <v>77</v>
      </c>
      <c r="N47" s="30" t="s">
        <v>77</v>
      </c>
      <c r="O47" s="30" t="s">
        <v>77</v>
      </c>
      <c r="P47" s="30">
        <v>5</v>
      </c>
      <c r="Q47" s="30" t="s">
        <v>78</v>
      </c>
      <c r="R47" s="58" t="s">
        <v>79</v>
      </c>
      <c r="S47" s="35" t="s">
        <v>80</v>
      </c>
      <c r="T47" s="111"/>
      <c r="U47" s="59">
        <v>1</v>
      </c>
      <c r="V47" s="38">
        <f>5562</f>
        <v>5562</v>
      </c>
      <c r="W47" s="40">
        <f t="shared" si="5"/>
        <v>5562</v>
      </c>
      <c r="X47" s="60">
        <v>4</v>
      </c>
      <c r="Y47" s="61">
        <f>6367</f>
        <v>6367</v>
      </c>
      <c r="Z47" s="40">
        <f t="shared" si="6"/>
        <v>25468</v>
      </c>
      <c r="AA47" s="62">
        <v>1000</v>
      </c>
      <c r="AB47" s="61" t="s">
        <v>598</v>
      </c>
      <c r="AC47" s="40">
        <f t="shared" si="7"/>
        <v>32030</v>
      </c>
      <c r="AD47" s="98"/>
      <c r="AE47" s="29"/>
      <c r="AF47" s="4"/>
      <c r="AG47" s="4"/>
      <c r="AH47" s="1"/>
      <c r="AI47" s="4"/>
      <c r="AJ47" s="4"/>
      <c r="AK47" s="4"/>
      <c r="AL47" s="4"/>
      <c r="AM47" s="4"/>
      <c r="AN47" s="4"/>
      <c r="AO47" s="4"/>
      <c r="AP47" s="4"/>
    </row>
    <row r="48" spans="1:42" ht="35.1" customHeight="1" x14ac:dyDescent="0.2">
      <c r="A48" s="1"/>
      <c r="B48" s="6"/>
      <c r="C48" s="106" t="s">
        <v>71</v>
      </c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8"/>
      <c r="P48" s="64">
        <f>SUM(P26:P47)</f>
        <v>117</v>
      </c>
      <c r="Q48" s="43"/>
      <c r="R48" s="43"/>
      <c r="S48" s="45"/>
      <c r="T48" s="45"/>
      <c r="U48" s="65">
        <f>SUM(U26:U47)</f>
        <v>36</v>
      </c>
      <c r="V48" s="50">
        <f>W48/U48</f>
        <v>5562</v>
      </c>
      <c r="W48" s="50">
        <f>SUM(W26:W47)</f>
        <v>200232</v>
      </c>
      <c r="X48" s="65">
        <f>SUM(X26:X47)</f>
        <v>81</v>
      </c>
      <c r="Y48" s="66">
        <f>Z48/X48</f>
        <v>6367</v>
      </c>
      <c r="Z48" s="50">
        <f>SUM(Z26:Z47)</f>
        <v>515727</v>
      </c>
      <c r="AA48" s="50">
        <f>SUM(AA26:AA47)</f>
        <v>22000</v>
      </c>
      <c r="AB48" s="45"/>
      <c r="AC48" s="50">
        <f>SUM(AC26:AC47)</f>
        <v>737959</v>
      </c>
      <c r="AD48" s="125"/>
      <c r="AE48" s="45"/>
      <c r="AF48" s="4"/>
      <c r="AG48" s="4"/>
      <c r="AH48" s="1"/>
      <c r="AI48" s="4"/>
      <c r="AJ48" s="4"/>
      <c r="AK48" s="4"/>
      <c r="AL48" s="4"/>
      <c r="AM48" s="4"/>
      <c r="AN48" s="4"/>
      <c r="AO48" s="4"/>
      <c r="AP48" s="4"/>
    </row>
    <row r="49" spans="1:42" ht="44.25" customHeight="1" x14ac:dyDescent="0.2">
      <c r="A49" s="1" t="s">
        <v>0</v>
      </c>
      <c r="B49" s="6"/>
      <c r="C49" s="51" t="s">
        <v>2</v>
      </c>
      <c r="D49" s="51" t="s">
        <v>3</v>
      </c>
      <c r="E49" s="51" t="s">
        <v>4</v>
      </c>
      <c r="F49" s="51" t="s">
        <v>5</v>
      </c>
      <c r="G49" s="51" t="s">
        <v>6</v>
      </c>
      <c r="H49" s="51" t="s">
        <v>7</v>
      </c>
      <c r="I49" s="52" t="s">
        <v>8</v>
      </c>
      <c r="J49" s="53" t="s">
        <v>9</v>
      </c>
      <c r="K49" s="53" t="s">
        <v>10</v>
      </c>
      <c r="L49" s="53" t="s">
        <v>11</v>
      </c>
      <c r="M49" s="53" t="s">
        <v>12</v>
      </c>
      <c r="N49" s="53" t="s">
        <v>13</v>
      </c>
      <c r="O49" s="53" t="s">
        <v>14</v>
      </c>
      <c r="P49" s="53" t="s">
        <v>15</v>
      </c>
      <c r="Q49" s="53" t="s">
        <v>16</v>
      </c>
      <c r="R49" s="54" t="s">
        <v>17</v>
      </c>
      <c r="S49" s="55" t="s">
        <v>18</v>
      </c>
      <c r="T49" s="109"/>
      <c r="U49" s="68" t="s">
        <v>19</v>
      </c>
      <c r="V49" s="68" t="s">
        <v>20</v>
      </c>
      <c r="W49" s="56" t="s">
        <v>26</v>
      </c>
      <c r="X49" s="68" t="s">
        <v>22</v>
      </c>
      <c r="Y49" s="56" t="s">
        <v>23</v>
      </c>
      <c r="Z49" s="56" t="s">
        <v>26</v>
      </c>
      <c r="AA49" s="56" t="s">
        <v>24</v>
      </c>
      <c r="AB49" s="56" t="s">
        <v>25</v>
      </c>
      <c r="AC49" s="56" t="s">
        <v>26</v>
      </c>
      <c r="AD49" s="27" t="s">
        <v>27</v>
      </c>
      <c r="AE49" s="29"/>
      <c r="AF49" s="4"/>
      <c r="AG49" s="4"/>
      <c r="AH49" s="1" t="s">
        <v>0</v>
      </c>
      <c r="AI49" s="4"/>
      <c r="AJ49" s="4"/>
      <c r="AK49" s="4"/>
      <c r="AL49" s="4"/>
      <c r="AM49" s="4"/>
      <c r="AN49" s="4"/>
      <c r="AO49" s="4"/>
      <c r="AP49" s="4"/>
    </row>
    <row r="50" spans="1:42" ht="35.1" customHeight="1" x14ac:dyDescent="0.2">
      <c r="A50" s="1"/>
      <c r="B50" s="6"/>
      <c r="C50" s="30" t="s">
        <v>136</v>
      </c>
      <c r="D50" s="30">
        <v>2</v>
      </c>
      <c r="E50" s="31" t="s">
        <v>137</v>
      </c>
      <c r="F50" s="30" t="s">
        <v>138</v>
      </c>
      <c r="G50" s="31" t="s">
        <v>139</v>
      </c>
      <c r="H50" s="30" t="s">
        <v>76</v>
      </c>
      <c r="I50" s="34">
        <v>1050</v>
      </c>
      <c r="J50" s="34">
        <v>400</v>
      </c>
      <c r="K50" s="69" t="s">
        <v>140</v>
      </c>
      <c r="L50" s="70">
        <f>I50+J50</f>
        <v>1450</v>
      </c>
      <c r="M50" s="34" t="s">
        <v>141</v>
      </c>
      <c r="N50" s="34" t="s">
        <v>142</v>
      </c>
      <c r="O50" s="34" t="s">
        <v>143</v>
      </c>
      <c r="P50" s="30">
        <v>2</v>
      </c>
      <c r="Q50" s="30" t="s">
        <v>144</v>
      </c>
      <c r="R50" s="58" t="s">
        <v>38</v>
      </c>
      <c r="S50" s="35" t="s">
        <v>39</v>
      </c>
      <c r="T50" s="110"/>
      <c r="U50" s="59">
        <v>0</v>
      </c>
      <c r="V50" s="38">
        <f>5380-300</f>
        <v>5080</v>
      </c>
      <c r="W50" s="40">
        <f t="shared" ref="W50:W89" si="8">V50*U50</f>
        <v>0</v>
      </c>
      <c r="X50" s="59">
        <v>2</v>
      </c>
      <c r="Y50" s="62">
        <f>6280-300</f>
        <v>5980</v>
      </c>
      <c r="Z50" s="40">
        <f>Y50*X50</f>
        <v>11960</v>
      </c>
      <c r="AA50" s="71"/>
      <c r="AB50" s="71"/>
      <c r="AC50" s="40">
        <f>Z50+W50</f>
        <v>11960</v>
      </c>
      <c r="AD50" s="98"/>
      <c r="AE50" s="29"/>
      <c r="AF50" s="4"/>
      <c r="AG50" s="4"/>
      <c r="AH50" s="1"/>
      <c r="AI50" s="4"/>
      <c r="AJ50" s="4"/>
      <c r="AK50" s="4"/>
      <c r="AL50" s="4"/>
      <c r="AM50" s="4"/>
      <c r="AN50" s="4"/>
      <c r="AO50" s="4"/>
      <c r="AP50" s="4"/>
    </row>
    <row r="51" spans="1:42" ht="35.1" customHeight="1" x14ac:dyDescent="0.2">
      <c r="A51" s="1"/>
      <c r="B51" s="6"/>
      <c r="C51" s="30" t="s">
        <v>136</v>
      </c>
      <c r="D51" s="30">
        <v>3</v>
      </c>
      <c r="E51" s="31" t="s">
        <v>145</v>
      </c>
      <c r="F51" s="30" t="s">
        <v>146</v>
      </c>
      <c r="G51" s="31" t="s">
        <v>139</v>
      </c>
      <c r="H51" s="30" t="s">
        <v>76</v>
      </c>
      <c r="I51" s="34">
        <v>760</v>
      </c>
      <c r="J51" s="34">
        <v>330</v>
      </c>
      <c r="K51" s="69" t="s">
        <v>147</v>
      </c>
      <c r="L51" s="70">
        <f t="shared" ref="L51:L89" si="9">I51+J51</f>
        <v>1090</v>
      </c>
      <c r="M51" s="34" t="s">
        <v>141</v>
      </c>
      <c r="N51" s="34" t="s">
        <v>142</v>
      </c>
      <c r="O51" s="34" t="s">
        <v>143</v>
      </c>
      <c r="P51" s="30">
        <v>2</v>
      </c>
      <c r="Q51" s="30" t="s">
        <v>148</v>
      </c>
      <c r="R51" s="58" t="s">
        <v>38</v>
      </c>
      <c r="S51" s="35" t="s">
        <v>39</v>
      </c>
      <c r="T51" s="110"/>
      <c r="U51" s="59">
        <v>0</v>
      </c>
      <c r="V51" s="38">
        <f t="shared" ref="V51:V89" si="10">5380-300</f>
        <v>5080</v>
      </c>
      <c r="W51" s="40">
        <f t="shared" si="8"/>
        <v>0</v>
      </c>
      <c r="X51" s="59">
        <v>2</v>
      </c>
      <c r="Y51" s="62">
        <f t="shared" ref="Y51:Y114" si="11">6280-300</f>
        <v>5980</v>
      </c>
      <c r="Z51" s="40">
        <f t="shared" ref="Z51:Z89" si="12">Y51*X51</f>
        <v>11960</v>
      </c>
      <c r="AA51" s="71"/>
      <c r="AB51" s="71"/>
      <c r="AC51" s="40">
        <f t="shared" ref="AC51:AC89" si="13">Z51+W51</f>
        <v>11960</v>
      </c>
      <c r="AD51" s="98"/>
      <c r="AE51" s="29"/>
      <c r="AF51" s="4"/>
      <c r="AG51" s="4"/>
      <c r="AH51" s="1"/>
      <c r="AI51" s="4"/>
      <c r="AJ51" s="4"/>
      <c r="AK51" s="4"/>
      <c r="AL51" s="4"/>
      <c r="AM51" s="4"/>
      <c r="AN51" s="4"/>
      <c r="AO51" s="4"/>
      <c r="AP51" s="4"/>
    </row>
    <row r="52" spans="1:42" ht="35.1" customHeight="1" x14ac:dyDescent="0.2">
      <c r="A52" s="1"/>
      <c r="B52" s="6"/>
      <c r="C52" s="30" t="s">
        <v>136</v>
      </c>
      <c r="D52" s="30">
        <v>4</v>
      </c>
      <c r="E52" s="31" t="s">
        <v>149</v>
      </c>
      <c r="F52" s="30" t="s">
        <v>150</v>
      </c>
      <c r="G52" s="31" t="s">
        <v>139</v>
      </c>
      <c r="H52" s="30" t="s">
        <v>76</v>
      </c>
      <c r="I52" s="34">
        <v>2100</v>
      </c>
      <c r="J52" s="34">
        <v>546</v>
      </c>
      <c r="K52" s="69" t="s">
        <v>147</v>
      </c>
      <c r="L52" s="70">
        <f t="shared" si="9"/>
        <v>2646</v>
      </c>
      <c r="M52" s="34" t="s">
        <v>141</v>
      </c>
      <c r="N52" s="34" t="s">
        <v>142</v>
      </c>
      <c r="O52" s="34" t="s">
        <v>151</v>
      </c>
      <c r="P52" s="30">
        <v>3</v>
      </c>
      <c r="Q52" s="30" t="s">
        <v>152</v>
      </c>
      <c r="R52" s="58" t="s">
        <v>38</v>
      </c>
      <c r="S52" s="35" t="s">
        <v>39</v>
      </c>
      <c r="T52" s="110"/>
      <c r="U52" s="59">
        <v>0</v>
      </c>
      <c r="V52" s="38">
        <f t="shared" si="10"/>
        <v>5080</v>
      </c>
      <c r="W52" s="40">
        <f t="shared" si="8"/>
        <v>0</v>
      </c>
      <c r="X52" s="59">
        <v>3</v>
      </c>
      <c r="Y52" s="62">
        <f t="shared" si="11"/>
        <v>5980</v>
      </c>
      <c r="Z52" s="40">
        <f t="shared" si="12"/>
        <v>17940</v>
      </c>
      <c r="AA52" s="71"/>
      <c r="AB52" s="71"/>
      <c r="AC52" s="40">
        <f t="shared" si="13"/>
        <v>17940</v>
      </c>
      <c r="AD52" s="98"/>
      <c r="AE52" s="29"/>
      <c r="AF52" s="4"/>
      <c r="AG52" s="4"/>
      <c r="AH52" s="1"/>
      <c r="AI52" s="4"/>
      <c r="AJ52" s="4"/>
      <c r="AK52" s="4"/>
      <c r="AL52" s="4"/>
      <c r="AM52" s="4"/>
      <c r="AN52" s="4"/>
      <c r="AO52" s="4"/>
      <c r="AP52" s="4"/>
    </row>
    <row r="53" spans="1:42" ht="35.1" customHeight="1" x14ac:dyDescent="0.2">
      <c r="A53" s="1"/>
      <c r="B53" s="6"/>
      <c r="C53" s="30" t="s">
        <v>136</v>
      </c>
      <c r="D53" s="30">
        <v>7</v>
      </c>
      <c r="E53" s="31" t="s">
        <v>153</v>
      </c>
      <c r="F53" s="30" t="s">
        <v>154</v>
      </c>
      <c r="G53" s="31" t="s">
        <v>155</v>
      </c>
      <c r="H53" s="30" t="s">
        <v>76</v>
      </c>
      <c r="I53" s="34">
        <v>1100</v>
      </c>
      <c r="J53" s="34">
        <v>1194</v>
      </c>
      <c r="K53" s="69" t="s">
        <v>140</v>
      </c>
      <c r="L53" s="70">
        <f t="shared" si="9"/>
        <v>2294</v>
      </c>
      <c r="M53" s="34" t="s">
        <v>156</v>
      </c>
      <c r="N53" s="34" t="s">
        <v>142</v>
      </c>
      <c r="O53" s="34" t="s">
        <v>151</v>
      </c>
      <c r="P53" s="30">
        <v>2</v>
      </c>
      <c r="Q53" s="30" t="s">
        <v>152</v>
      </c>
      <c r="R53" s="58" t="s">
        <v>38</v>
      </c>
      <c r="S53" s="35" t="s">
        <v>39</v>
      </c>
      <c r="T53" s="110"/>
      <c r="U53" s="59">
        <v>0</v>
      </c>
      <c r="V53" s="38">
        <f t="shared" si="10"/>
        <v>5080</v>
      </c>
      <c r="W53" s="40">
        <f t="shared" si="8"/>
        <v>0</v>
      </c>
      <c r="X53" s="59">
        <v>2</v>
      </c>
      <c r="Y53" s="62">
        <f t="shared" si="11"/>
        <v>5980</v>
      </c>
      <c r="Z53" s="40">
        <f t="shared" si="12"/>
        <v>11960</v>
      </c>
      <c r="AA53" s="71"/>
      <c r="AB53" s="71"/>
      <c r="AC53" s="40">
        <f t="shared" si="13"/>
        <v>11960</v>
      </c>
      <c r="AD53" s="98"/>
      <c r="AE53" s="29"/>
      <c r="AF53" s="4"/>
      <c r="AG53" s="4"/>
      <c r="AH53" s="1"/>
      <c r="AI53" s="4"/>
      <c r="AJ53" s="4"/>
      <c r="AK53" s="4"/>
      <c r="AL53" s="4"/>
      <c r="AM53" s="4"/>
      <c r="AN53" s="4"/>
      <c r="AO53" s="4"/>
      <c r="AP53" s="4"/>
    </row>
    <row r="54" spans="1:42" ht="35.1" customHeight="1" x14ac:dyDescent="0.2">
      <c r="A54" s="1"/>
      <c r="B54" s="6"/>
      <c r="C54" s="30" t="s">
        <v>136</v>
      </c>
      <c r="D54" s="30">
        <v>8</v>
      </c>
      <c r="E54" s="31" t="s">
        <v>157</v>
      </c>
      <c r="F54" s="30" t="s">
        <v>158</v>
      </c>
      <c r="G54" s="31" t="s">
        <v>159</v>
      </c>
      <c r="H54" s="30" t="s">
        <v>76</v>
      </c>
      <c r="I54" s="34">
        <v>840</v>
      </c>
      <c r="J54" s="34">
        <v>642</v>
      </c>
      <c r="K54" s="69" t="s">
        <v>147</v>
      </c>
      <c r="L54" s="70">
        <f t="shared" si="9"/>
        <v>1482</v>
      </c>
      <c r="M54" s="34" t="s">
        <v>160</v>
      </c>
      <c r="N54" s="34" t="s">
        <v>142</v>
      </c>
      <c r="O54" s="34" t="s">
        <v>161</v>
      </c>
      <c r="P54" s="30">
        <v>2</v>
      </c>
      <c r="Q54" s="30" t="s">
        <v>162</v>
      </c>
      <c r="R54" s="58" t="s">
        <v>38</v>
      </c>
      <c r="S54" s="35" t="s">
        <v>39</v>
      </c>
      <c r="T54" s="110"/>
      <c r="U54" s="59">
        <v>0</v>
      </c>
      <c r="V54" s="38">
        <f t="shared" si="10"/>
        <v>5080</v>
      </c>
      <c r="W54" s="40">
        <f t="shared" si="8"/>
        <v>0</v>
      </c>
      <c r="X54" s="59">
        <v>2</v>
      </c>
      <c r="Y54" s="62">
        <f t="shared" si="11"/>
        <v>5980</v>
      </c>
      <c r="Z54" s="40">
        <f t="shared" si="12"/>
        <v>11960</v>
      </c>
      <c r="AA54" s="71"/>
      <c r="AB54" s="71"/>
      <c r="AC54" s="40">
        <f t="shared" si="13"/>
        <v>11960</v>
      </c>
      <c r="AD54" s="98"/>
      <c r="AE54" s="29"/>
      <c r="AF54" s="4"/>
      <c r="AG54" s="4"/>
      <c r="AH54" s="1"/>
      <c r="AI54" s="4"/>
      <c r="AJ54" s="4"/>
      <c r="AK54" s="4"/>
      <c r="AL54" s="4"/>
      <c r="AM54" s="4"/>
      <c r="AN54" s="4"/>
      <c r="AO54" s="4"/>
      <c r="AP54" s="4"/>
    </row>
    <row r="55" spans="1:42" ht="35.1" customHeight="1" x14ac:dyDescent="0.2">
      <c r="A55" s="1"/>
      <c r="B55" s="6"/>
      <c r="C55" s="30" t="s">
        <v>136</v>
      </c>
      <c r="D55" s="30">
        <v>9</v>
      </c>
      <c r="E55" s="31" t="s">
        <v>163</v>
      </c>
      <c r="F55" s="30" t="s">
        <v>164</v>
      </c>
      <c r="G55" s="31" t="s">
        <v>165</v>
      </c>
      <c r="H55" s="30" t="s">
        <v>76</v>
      </c>
      <c r="I55" s="34">
        <v>700</v>
      </c>
      <c r="J55" s="34">
        <v>281</v>
      </c>
      <c r="K55" s="69" t="s">
        <v>147</v>
      </c>
      <c r="L55" s="70">
        <f t="shared" si="9"/>
        <v>981</v>
      </c>
      <c r="M55" s="34" t="s">
        <v>141</v>
      </c>
      <c r="N55" s="34" t="s">
        <v>142</v>
      </c>
      <c r="O55" s="34" t="s">
        <v>151</v>
      </c>
      <c r="P55" s="30">
        <v>2</v>
      </c>
      <c r="Q55" s="30" t="s">
        <v>152</v>
      </c>
      <c r="R55" s="58" t="s">
        <v>38</v>
      </c>
      <c r="S55" s="35" t="s">
        <v>39</v>
      </c>
      <c r="T55" s="110"/>
      <c r="U55" s="59">
        <v>0</v>
      </c>
      <c r="V55" s="38">
        <f t="shared" si="10"/>
        <v>5080</v>
      </c>
      <c r="W55" s="40">
        <f t="shared" si="8"/>
        <v>0</v>
      </c>
      <c r="X55" s="59">
        <v>2</v>
      </c>
      <c r="Y55" s="62">
        <f t="shared" si="11"/>
        <v>5980</v>
      </c>
      <c r="Z55" s="40">
        <f t="shared" si="12"/>
        <v>11960</v>
      </c>
      <c r="AA55" s="71"/>
      <c r="AB55" s="71"/>
      <c r="AC55" s="40">
        <f t="shared" si="13"/>
        <v>11960</v>
      </c>
      <c r="AD55" s="98"/>
      <c r="AE55" s="29"/>
      <c r="AF55" s="4"/>
      <c r="AG55" s="4"/>
      <c r="AH55" s="1"/>
      <c r="AI55" s="4"/>
      <c r="AJ55" s="4"/>
      <c r="AK55" s="4"/>
      <c r="AL55" s="4"/>
      <c r="AM55" s="4"/>
      <c r="AN55" s="4"/>
      <c r="AO55" s="4"/>
      <c r="AP55" s="4"/>
    </row>
    <row r="56" spans="1:42" ht="35.1" customHeight="1" x14ac:dyDescent="0.2">
      <c r="A56" s="1"/>
      <c r="B56" s="6"/>
      <c r="C56" s="30" t="s">
        <v>136</v>
      </c>
      <c r="D56" s="30">
        <v>10</v>
      </c>
      <c r="E56" s="31" t="s">
        <v>166</v>
      </c>
      <c r="F56" s="30" t="s">
        <v>167</v>
      </c>
      <c r="G56" s="31" t="s">
        <v>168</v>
      </c>
      <c r="H56" s="30" t="s">
        <v>76</v>
      </c>
      <c r="I56" s="34">
        <v>1650</v>
      </c>
      <c r="J56" s="34">
        <v>710</v>
      </c>
      <c r="K56" s="69" t="s">
        <v>140</v>
      </c>
      <c r="L56" s="70">
        <f t="shared" si="9"/>
        <v>2360</v>
      </c>
      <c r="M56" s="34" t="s">
        <v>141</v>
      </c>
      <c r="N56" s="34" t="s">
        <v>142</v>
      </c>
      <c r="O56" s="34" t="s">
        <v>151</v>
      </c>
      <c r="P56" s="30">
        <v>3</v>
      </c>
      <c r="Q56" s="30" t="s">
        <v>152</v>
      </c>
      <c r="R56" s="58" t="s">
        <v>38</v>
      </c>
      <c r="S56" s="35" t="s">
        <v>39</v>
      </c>
      <c r="T56" s="110"/>
      <c r="U56" s="59">
        <v>0</v>
      </c>
      <c r="V56" s="38">
        <f t="shared" si="10"/>
        <v>5080</v>
      </c>
      <c r="W56" s="40">
        <f t="shared" si="8"/>
        <v>0</v>
      </c>
      <c r="X56" s="59">
        <v>3</v>
      </c>
      <c r="Y56" s="62">
        <f t="shared" si="11"/>
        <v>5980</v>
      </c>
      <c r="Z56" s="40">
        <f t="shared" si="12"/>
        <v>17940</v>
      </c>
      <c r="AA56" s="71"/>
      <c r="AB56" s="71"/>
      <c r="AC56" s="40">
        <f t="shared" si="13"/>
        <v>17940</v>
      </c>
      <c r="AD56" s="98"/>
      <c r="AE56" s="29"/>
      <c r="AF56" s="4"/>
      <c r="AG56" s="4"/>
      <c r="AH56" s="1"/>
      <c r="AI56" s="4"/>
      <c r="AJ56" s="4"/>
      <c r="AK56" s="4"/>
      <c r="AL56" s="4"/>
      <c r="AM56" s="4"/>
      <c r="AN56" s="4"/>
      <c r="AO56" s="4"/>
      <c r="AP56" s="4"/>
    </row>
    <row r="57" spans="1:42" ht="35.1" customHeight="1" x14ac:dyDescent="0.2">
      <c r="A57" s="1"/>
      <c r="B57" s="6"/>
      <c r="C57" s="30" t="s">
        <v>136</v>
      </c>
      <c r="D57" s="30">
        <v>11</v>
      </c>
      <c r="E57" s="31" t="s">
        <v>169</v>
      </c>
      <c r="F57" s="30" t="s">
        <v>170</v>
      </c>
      <c r="G57" s="31" t="s">
        <v>165</v>
      </c>
      <c r="H57" s="30" t="s">
        <v>76</v>
      </c>
      <c r="I57" s="34">
        <v>1550</v>
      </c>
      <c r="J57" s="34">
        <v>420</v>
      </c>
      <c r="K57" s="69" t="s">
        <v>140</v>
      </c>
      <c r="L57" s="70">
        <f t="shared" si="9"/>
        <v>1970</v>
      </c>
      <c r="M57" s="34" t="s">
        <v>156</v>
      </c>
      <c r="N57" s="34" t="s">
        <v>142</v>
      </c>
      <c r="O57" s="34" t="s">
        <v>151</v>
      </c>
      <c r="P57" s="30">
        <v>2</v>
      </c>
      <c r="Q57" s="30" t="s">
        <v>152</v>
      </c>
      <c r="R57" s="58" t="s">
        <v>38</v>
      </c>
      <c r="S57" s="35" t="s">
        <v>39</v>
      </c>
      <c r="T57" s="110"/>
      <c r="U57" s="59">
        <v>0</v>
      </c>
      <c r="V57" s="38">
        <f t="shared" si="10"/>
        <v>5080</v>
      </c>
      <c r="W57" s="40">
        <f t="shared" si="8"/>
        <v>0</v>
      </c>
      <c r="X57" s="59">
        <v>2</v>
      </c>
      <c r="Y57" s="62">
        <f t="shared" si="11"/>
        <v>5980</v>
      </c>
      <c r="Z57" s="40">
        <f t="shared" si="12"/>
        <v>11960</v>
      </c>
      <c r="AA57" s="71"/>
      <c r="AB57" s="71"/>
      <c r="AC57" s="40">
        <f t="shared" si="13"/>
        <v>11960</v>
      </c>
      <c r="AD57" s="98"/>
      <c r="AE57" s="29"/>
      <c r="AF57" s="4"/>
      <c r="AG57" s="4"/>
      <c r="AH57" s="1"/>
      <c r="AI57" s="4"/>
      <c r="AJ57" s="4"/>
      <c r="AK57" s="4"/>
      <c r="AL57" s="4"/>
      <c r="AM57" s="4"/>
      <c r="AN57" s="4"/>
      <c r="AO57" s="4"/>
      <c r="AP57" s="4"/>
    </row>
    <row r="58" spans="1:42" ht="35.1" customHeight="1" x14ac:dyDescent="0.2">
      <c r="A58" s="1"/>
      <c r="B58" s="6"/>
      <c r="C58" s="30" t="s">
        <v>136</v>
      </c>
      <c r="D58" s="30">
        <v>12</v>
      </c>
      <c r="E58" s="31" t="s">
        <v>171</v>
      </c>
      <c r="F58" s="30" t="s">
        <v>172</v>
      </c>
      <c r="G58" s="31" t="s">
        <v>173</v>
      </c>
      <c r="H58" s="30" t="s">
        <v>76</v>
      </c>
      <c r="I58" s="34">
        <v>1400</v>
      </c>
      <c r="J58" s="34">
        <v>670</v>
      </c>
      <c r="K58" s="69" t="s">
        <v>140</v>
      </c>
      <c r="L58" s="70">
        <f t="shared" si="9"/>
        <v>2070</v>
      </c>
      <c r="M58" s="34" t="s">
        <v>141</v>
      </c>
      <c r="N58" s="34" t="s">
        <v>142</v>
      </c>
      <c r="O58" s="34" t="s">
        <v>151</v>
      </c>
      <c r="P58" s="30">
        <v>2</v>
      </c>
      <c r="Q58" s="30" t="s">
        <v>152</v>
      </c>
      <c r="R58" s="58" t="s">
        <v>38</v>
      </c>
      <c r="S58" s="35" t="s">
        <v>39</v>
      </c>
      <c r="T58" s="110"/>
      <c r="U58" s="59">
        <v>0</v>
      </c>
      <c r="V58" s="38">
        <f t="shared" si="10"/>
        <v>5080</v>
      </c>
      <c r="W58" s="40">
        <f t="shared" si="8"/>
        <v>0</v>
      </c>
      <c r="X58" s="59">
        <v>2</v>
      </c>
      <c r="Y58" s="62">
        <f t="shared" si="11"/>
        <v>5980</v>
      </c>
      <c r="Z58" s="40">
        <f t="shared" si="12"/>
        <v>11960</v>
      </c>
      <c r="AA58" s="71"/>
      <c r="AB58" s="71"/>
      <c r="AC58" s="40">
        <f t="shared" si="13"/>
        <v>11960</v>
      </c>
      <c r="AD58" s="98"/>
      <c r="AE58" s="29"/>
      <c r="AF58" s="4"/>
      <c r="AG58" s="4"/>
      <c r="AH58" s="1"/>
      <c r="AI58" s="4"/>
      <c r="AJ58" s="4"/>
      <c r="AK58" s="4"/>
      <c r="AL58" s="4"/>
      <c r="AM58" s="4"/>
      <c r="AN58" s="4"/>
      <c r="AO58" s="4"/>
      <c r="AP58" s="4"/>
    </row>
    <row r="59" spans="1:42" ht="35.1" customHeight="1" x14ac:dyDescent="0.2">
      <c r="A59" s="1"/>
      <c r="B59" s="6"/>
      <c r="C59" s="30" t="s">
        <v>136</v>
      </c>
      <c r="D59" s="30">
        <v>13</v>
      </c>
      <c r="E59" s="31" t="s">
        <v>174</v>
      </c>
      <c r="F59" s="30" t="s">
        <v>175</v>
      </c>
      <c r="G59" s="31" t="s">
        <v>139</v>
      </c>
      <c r="H59" s="30" t="s">
        <v>76</v>
      </c>
      <c r="I59" s="34">
        <v>960</v>
      </c>
      <c r="J59" s="34">
        <v>458</v>
      </c>
      <c r="K59" s="69" t="s">
        <v>147</v>
      </c>
      <c r="L59" s="70">
        <f t="shared" si="9"/>
        <v>1418</v>
      </c>
      <c r="M59" s="34" t="s">
        <v>141</v>
      </c>
      <c r="N59" s="34" t="s">
        <v>142</v>
      </c>
      <c r="O59" s="34" t="s">
        <v>151</v>
      </c>
      <c r="P59" s="30">
        <v>2</v>
      </c>
      <c r="Q59" s="30" t="s">
        <v>152</v>
      </c>
      <c r="R59" s="58" t="s">
        <v>38</v>
      </c>
      <c r="S59" s="35" t="s">
        <v>39</v>
      </c>
      <c r="T59" s="110"/>
      <c r="U59" s="59">
        <v>0</v>
      </c>
      <c r="V59" s="38">
        <f t="shared" si="10"/>
        <v>5080</v>
      </c>
      <c r="W59" s="40">
        <f t="shared" si="8"/>
        <v>0</v>
      </c>
      <c r="X59" s="59">
        <v>2</v>
      </c>
      <c r="Y59" s="62">
        <f t="shared" si="11"/>
        <v>5980</v>
      </c>
      <c r="Z59" s="40">
        <f t="shared" si="12"/>
        <v>11960</v>
      </c>
      <c r="AA59" s="71"/>
      <c r="AB59" s="71"/>
      <c r="AC59" s="40">
        <f t="shared" si="13"/>
        <v>11960</v>
      </c>
      <c r="AD59" s="98"/>
      <c r="AE59" s="29"/>
      <c r="AF59" s="4"/>
      <c r="AG59" s="4"/>
      <c r="AH59" s="1"/>
      <c r="AI59" s="4"/>
      <c r="AJ59" s="4"/>
      <c r="AK59" s="4"/>
      <c r="AL59" s="4"/>
      <c r="AM59" s="4"/>
      <c r="AN59" s="4"/>
      <c r="AO59" s="4"/>
      <c r="AP59" s="4"/>
    </row>
    <row r="60" spans="1:42" ht="35.1" customHeight="1" x14ac:dyDescent="0.2">
      <c r="A60" s="1"/>
      <c r="B60" s="6"/>
      <c r="C60" s="30" t="s">
        <v>136</v>
      </c>
      <c r="D60" s="30">
        <v>14</v>
      </c>
      <c r="E60" s="31" t="s">
        <v>176</v>
      </c>
      <c r="F60" s="30" t="s">
        <v>177</v>
      </c>
      <c r="G60" s="31" t="s">
        <v>178</v>
      </c>
      <c r="H60" s="30" t="s">
        <v>76</v>
      </c>
      <c r="I60" s="34">
        <v>1600</v>
      </c>
      <c r="J60" s="34">
        <v>615</v>
      </c>
      <c r="K60" s="69" t="s">
        <v>140</v>
      </c>
      <c r="L60" s="70">
        <f t="shared" si="9"/>
        <v>2215</v>
      </c>
      <c r="M60" s="34" t="s">
        <v>141</v>
      </c>
      <c r="N60" s="34" t="s">
        <v>142</v>
      </c>
      <c r="O60" s="34" t="s">
        <v>151</v>
      </c>
      <c r="P60" s="30">
        <v>2</v>
      </c>
      <c r="Q60" s="30" t="s">
        <v>152</v>
      </c>
      <c r="R60" s="58" t="s">
        <v>38</v>
      </c>
      <c r="S60" s="35" t="s">
        <v>39</v>
      </c>
      <c r="T60" s="110"/>
      <c r="U60" s="59">
        <v>0</v>
      </c>
      <c r="V60" s="38">
        <f t="shared" si="10"/>
        <v>5080</v>
      </c>
      <c r="W60" s="40">
        <f t="shared" si="8"/>
        <v>0</v>
      </c>
      <c r="X60" s="59">
        <v>2</v>
      </c>
      <c r="Y60" s="62">
        <f t="shared" si="11"/>
        <v>5980</v>
      </c>
      <c r="Z60" s="40">
        <f t="shared" si="12"/>
        <v>11960</v>
      </c>
      <c r="AA60" s="71"/>
      <c r="AB60" s="71"/>
      <c r="AC60" s="40">
        <f t="shared" si="13"/>
        <v>11960</v>
      </c>
      <c r="AD60" s="98"/>
      <c r="AE60" s="29"/>
      <c r="AF60" s="4"/>
      <c r="AG60" s="4"/>
      <c r="AH60" s="1"/>
      <c r="AI60" s="4"/>
      <c r="AJ60" s="4"/>
      <c r="AK60" s="4"/>
      <c r="AL60" s="4"/>
      <c r="AM60" s="4"/>
      <c r="AN60" s="4"/>
      <c r="AO60" s="4"/>
      <c r="AP60" s="4"/>
    </row>
    <row r="61" spans="1:42" ht="35.1" customHeight="1" x14ac:dyDescent="0.2">
      <c r="A61" s="1"/>
      <c r="B61" s="6"/>
      <c r="C61" s="30" t="s">
        <v>136</v>
      </c>
      <c r="D61" s="30">
        <v>18</v>
      </c>
      <c r="E61" s="31" t="s">
        <v>179</v>
      </c>
      <c r="F61" s="30" t="s">
        <v>180</v>
      </c>
      <c r="G61" s="31" t="s">
        <v>181</v>
      </c>
      <c r="H61" s="30" t="s">
        <v>76</v>
      </c>
      <c r="I61" s="34">
        <v>1650</v>
      </c>
      <c r="J61" s="34">
        <v>780</v>
      </c>
      <c r="K61" s="69" t="s">
        <v>140</v>
      </c>
      <c r="L61" s="70">
        <f t="shared" si="9"/>
        <v>2430</v>
      </c>
      <c r="M61" s="34" t="s">
        <v>141</v>
      </c>
      <c r="N61" s="34" t="s">
        <v>142</v>
      </c>
      <c r="O61" s="34" t="s">
        <v>151</v>
      </c>
      <c r="P61" s="30">
        <v>3</v>
      </c>
      <c r="Q61" s="30" t="s">
        <v>152</v>
      </c>
      <c r="R61" s="58" t="s">
        <v>38</v>
      </c>
      <c r="S61" s="35" t="s">
        <v>39</v>
      </c>
      <c r="T61" s="110"/>
      <c r="U61" s="59">
        <v>0</v>
      </c>
      <c r="V61" s="38">
        <f t="shared" si="10"/>
        <v>5080</v>
      </c>
      <c r="W61" s="40">
        <f t="shared" si="8"/>
        <v>0</v>
      </c>
      <c r="X61" s="59">
        <v>3</v>
      </c>
      <c r="Y61" s="62">
        <f t="shared" si="11"/>
        <v>5980</v>
      </c>
      <c r="Z61" s="40">
        <f t="shared" si="12"/>
        <v>17940</v>
      </c>
      <c r="AA61" s="71"/>
      <c r="AB61" s="71"/>
      <c r="AC61" s="40">
        <f t="shared" si="13"/>
        <v>17940</v>
      </c>
      <c r="AD61" s="98"/>
      <c r="AE61" s="29"/>
      <c r="AF61" s="4"/>
      <c r="AG61" s="4"/>
      <c r="AH61" s="1"/>
      <c r="AI61" s="4"/>
      <c r="AJ61" s="4"/>
      <c r="AK61" s="4"/>
      <c r="AL61" s="4"/>
      <c r="AM61" s="4"/>
      <c r="AN61" s="4"/>
      <c r="AO61" s="4"/>
      <c r="AP61" s="4"/>
    </row>
    <row r="62" spans="1:42" ht="35.1" customHeight="1" x14ac:dyDescent="0.2">
      <c r="A62" s="1"/>
      <c r="B62" s="6"/>
      <c r="C62" s="30" t="s">
        <v>136</v>
      </c>
      <c r="D62" s="30">
        <v>20</v>
      </c>
      <c r="E62" s="31" t="s">
        <v>182</v>
      </c>
      <c r="F62" s="30" t="s">
        <v>183</v>
      </c>
      <c r="G62" s="31" t="s">
        <v>139</v>
      </c>
      <c r="H62" s="30" t="s">
        <v>76</v>
      </c>
      <c r="I62" s="34">
        <v>2100</v>
      </c>
      <c r="J62" s="34">
        <v>2500</v>
      </c>
      <c r="K62" s="69" t="s">
        <v>140</v>
      </c>
      <c r="L62" s="70">
        <f t="shared" si="9"/>
        <v>4600</v>
      </c>
      <c r="M62" s="34" t="s">
        <v>156</v>
      </c>
      <c r="N62" s="34" t="s">
        <v>142</v>
      </c>
      <c r="O62" s="34" t="s">
        <v>151</v>
      </c>
      <c r="P62" s="30">
        <v>3</v>
      </c>
      <c r="Q62" s="30" t="s">
        <v>184</v>
      </c>
      <c r="R62" s="58" t="s">
        <v>38</v>
      </c>
      <c r="S62" s="35" t="s">
        <v>39</v>
      </c>
      <c r="T62" s="110"/>
      <c r="U62" s="59">
        <v>0</v>
      </c>
      <c r="V62" s="38">
        <f t="shared" si="10"/>
        <v>5080</v>
      </c>
      <c r="W62" s="40">
        <f t="shared" si="8"/>
        <v>0</v>
      </c>
      <c r="X62" s="59">
        <v>3</v>
      </c>
      <c r="Y62" s="62">
        <f t="shared" si="11"/>
        <v>5980</v>
      </c>
      <c r="Z62" s="40">
        <f t="shared" si="12"/>
        <v>17940</v>
      </c>
      <c r="AA62" s="71"/>
      <c r="AB62" s="71"/>
      <c r="AC62" s="40">
        <f t="shared" si="13"/>
        <v>17940</v>
      </c>
      <c r="AD62" s="98"/>
      <c r="AE62" s="29"/>
      <c r="AF62" s="4"/>
      <c r="AG62" s="4"/>
      <c r="AH62" s="1"/>
      <c r="AI62" s="4"/>
      <c r="AJ62" s="4"/>
      <c r="AK62" s="4"/>
      <c r="AL62" s="4"/>
      <c r="AM62" s="4"/>
      <c r="AN62" s="4"/>
      <c r="AO62" s="4"/>
      <c r="AP62" s="4"/>
    </row>
    <row r="63" spans="1:42" ht="35.1" customHeight="1" x14ac:dyDescent="0.2">
      <c r="A63" s="1"/>
      <c r="B63" s="6"/>
      <c r="C63" s="30" t="s">
        <v>136</v>
      </c>
      <c r="D63" s="30">
        <v>21</v>
      </c>
      <c r="E63" s="31" t="s">
        <v>185</v>
      </c>
      <c r="F63" s="30" t="s">
        <v>186</v>
      </c>
      <c r="G63" s="31" t="s">
        <v>187</v>
      </c>
      <c r="H63" s="30" t="s">
        <v>76</v>
      </c>
      <c r="I63" s="34">
        <v>1400</v>
      </c>
      <c r="J63" s="34">
        <v>486</v>
      </c>
      <c r="K63" s="69" t="s">
        <v>147</v>
      </c>
      <c r="L63" s="70">
        <f t="shared" si="9"/>
        <v>1886</v>
      </c>
      <c r="M63" s="34" t="s">
        <v>141</v>
      </c>
      <c r="N63" s="34" t="s">
        <v>142</v>
      </c>
      <c r="O63" s="34" t="s">
        <v>151</v>
      </c>
      <c r="P63" s="30">
        <v>2</v>
      </c>
      <c r="Q63" s="30" t="s">
        <v>188</v>
      </c>
      <c r="R63" s="58" t="s">
        <v>38</v>
      </c>
      <c r="S63" s="35" t="s">
        <v>39</v>
      </c>
      <c r="T63" s="110"/>
      <c r="U63" s="59">
        <v>0</v>
      </c>
      <c r="V63" s="38">
        <f t="shared" si="10"/>
        <v>5080</v>
      </c>
      <c r="W63" s="40">
        <f t="shared" si="8"/>
        <v>0</v>
      </c>
      <c r="X63" s="59">
        <v>2</v>
      </c>
      <c r="Y63" s="62">
        <f t="shared" si="11"/>
        <v>5980</v>
      </c>
      <c r="Z63" s="40">
        <f t="shared" si="12"/>
        <v>11960</v>
      </c>
      <c r="AA63" s="71"/>
      <c r="AB63" s="71"/>
      <c r="AC63" s="40">
        <f t="shared" si="13"/>
        <v>11960</v>
      </c>
      <c r="AD63" s="98"/>
      <c r="AE63" s="29"/>
      <c r="AF63" s="4"/>
      <c r="AG63" s="4"/>
      <c r="AH63" s="1"/>
      <c r="AI63" s="4"/>
      <c r="AJ63" s="4"/>
      <c r="AK63" s="4"/>
      <c r="AL63" s="4"/>
      <c r="AM63" s="4"/>
      <c r="AN63" s="4"/>
      <c r="AO63" s="4"/>
      <c r="AP63" s="4"/>
    </row>
    <row r="64" spans="1:42" ht="35.1" customHeight="1" x14ac:dyDescent="0.2">
      <c r="A64" s="1"/>
      <c r="B64" s="6"/>
      <c r="C64" s="30" t="s">
        <v>136</v>
      </c>
      <c r="D64" s="30">
        <v>23</v>
      </c>
      <c r="E64" s="31" t="s">
        <v>189</v>
      </c>
      <c r="F64" s="30" t="s">
        <v>190</v>
      </c>
      <c r="G64" s="31" t="s">
        <v>191</v>
      </c>
      <c r="H64" s="30" t="s">
        <v>76</v>
      </c>
      <c r="I64" s="34">
        <v>1400</v>
      </c>
      <c r="J64" s="34">
        <v>385</v>
      </c>
      <c r="K64" s="69" t="s">
        <v>140</v>
      </c>
      <c r="L64" s="70">
        <f t="shared" si="9"/>
        <v>1785</v>
      </c>
      <c r="M64" s="34" t="s">
        <v>141</v>
      </c>
      <c r="N64" s="34" t="s">
        <v>142</v>
      </c>
      <c r="O64" s="34" t="s">
        <v>151</v>
      </c>
      <c r="P64" s="30">
        <v>2</v>
      </c>
      <c r="Q64" s="30" t="s">
        <v>152</v>
      </c>
      <c r="R64" s="58" t="s">
        <v>38</v>
      </c>
      <c r="S64" s="35" t="s">
        <v>39</v>
      </c>
      <c r="T64" s="110"/>
      <c r="U64" s="59">
        <v>0</v>
      </c>
      <c r="V64" s="38">
        <f t="shared" si="10"/>
        <v>5080</v>
      </c>
      <c r="W64" s="40">
        <f t="shared" si="8"/>
        <v>0</v>
      </c>
      <c r="X64" s="59">
        <v>2</v>
      </c>
      <c r="Y64" s="62">
        <f t="shared" si="11"/>
        <v>5980</v>
      </c>
      <c r="Z64" s="40">
        <f t="shared" si="12"/>
        <v>11960</v>
      </c>
      <c r="AA64" s="71"/>
      <c r="AB64" s="71"/>
      <c r="AC64" s="40">
        <f t="shared" si="13"/>
        <v>11960</v>
      </c>
      <c r="AD64" s="98"/>
      <c r="AE64" s="29"/>
      <c r="AF64" s="4"/>
      <c r="AG64" s="4"/>
      <c r="AH64" s="1"/>
      <c r="AI64" s="4"/>
      <c r="AJ64" s="4"/>
      <c r="AK64" s="4"/>
      <c r="AL64" s="4"/>
      <c r="AM64" s="4"/>
      <c r="AN64" s="4"/>
      <c r="AO64" s="4"/>
      <c r="AP64" s="4"/>
    </row>
    <row r="65" spans="1:42" ht="35.1" customHeight="1" x14ac:dyDescent="0.2">
      <c r="A65" s="1"/>
      <c r="B65" s="6"/>
      <c r="C65" s="30" t="s">
        <v>136</v>
      </c>
      <c r="D65" s="30">
        <v>25</v>
      </c>
      <c r="E65" s="31" t="s">
        <v>192</v>
      </c>
      <c r="F65" s="30" t="s">
        <v>193</v>
      </c>
      <c r="G65" s="31" t="s">
        <v>178</v>
      </c>
      <c r="H65" s="30" t="s">
        <v>76</v>
      </c>
      <c r="I65" s="34">
        <v>1200</v>
      </c>
      <c r="J65" s="34">
        <v>550</v>
      </c>
      <c r="K65" s="69" t="s">
        <v>140</v>
      </c>
      <c r="L65" s="70">
        <f t="shared" si="9"/>
        <v>1750</v>
      </c>
      <c r="M65" s="34" t="s">
        <v>141</v>
      </c>
      <c r="N65" s="34" t="s">
        <v>142</v>
      </c>
      <c r="O65" s="34" t="s">
        <v>151</v>
      </c>
      <c r="P65" s="30">
        <v>2</v>
      </c>
      <c r="Q65" s="30" t="s">
        <v>152</v>
      </c>
      <c r="R65" s="58" t="s">
        <v>38</v>
      </c>
      <c r="S65" s="35" t="s">
        <v>39</v>
      </c>
      <c r="T65" s="110"/>
      <c r="U65" s="59">
        <v>0</v>
      </c>
      <c r="V65" s="38">
        <f t="shared" si="10"/>
        <v>5080</v>
      </c>
      <c r="W65" s="40">
        <f t="shared" si="8"/>
        <v>0</v>
      </c>
      <c r="X65" s="59">
        <v>2</v>
      </c>
      <c r="Y65" s="62">
        <f t="shared" si="11"/>
        <v>5980</v>
      </c>
      <c r="Z65" s="40">
        <f t="shared" si="12"/>
        <v>11960</v>
      </c>
      <c r="AA65" s="71"/>
      <c r="AB65" s="71"/>
      <c r="AC65" s="40">
        <f t="shared" si="13"/>
        <v>11960</v>
      </c>
      <c r="AD65" s="98"/>
      <c r="AE65" s="29"/>
      <c r="AF65" s="4"/>
      <c r="AG65" s="4"/>
      <c r="AH65" s="1"/>
      <c r="AI65" s="4"/>
      <c r="AJ65" s="4"/>
      <c r="AK65" s="4"/>
      <c r="AL65" s="4"/>
      <c r="AM65" s="4"/>
      <c r="AN65" s="4"/>
      <c r="AO65" s="4"/>
      <c r="AP65" s="4"/>
    </row>
    <row r="66" spans="1:42" ht="35.1" customHeight="1" x14ac:dyDescent="0.2">
      <c r="A66" s="1"/>
      <c r="B66" s="6"/>
      <c r="C66" s="30" t="s">
        <v>136</v>
      </c>
      <c r="D66" s="30">
        <v>26</v>
      </c>
      <c r="E66" s="31" t="s">
        <v>194</v>
      </c>
      <c r="F66" s="30" t="s">
        <v>195</v>
      </c>
      <c r="G66" s="31" t="s">
        <v>196</v>
      </c>
      <c r="H66" s="30" t="s">
        <v>76</v>
      </c>
      <c r="I66" s="34">
        <v>1650</v>
      </c>
      <c r="J66" s="34">
        <v>935</v>
      </c>
      <c r="K66" s="69" t="s">
        <v>140</v>
      </c>
      <c r="L66" s="70">
        <f t="shared" si="9"/>
        <v>2585</v>
      </c>
      <c r="M66" s="34" t="s">
        <v>141</v>
      </c>
      <c r="N66" s="34" t="s">
        <v>142</v>
      </c>
      <c r="O66" s="34" t="s">
        <v>151</v>
      </c>
      <c r="P66" s="30">
        <v>2</v>
      </c>
      <c r="Q66" s="30" t="s">
        <v>197</v>
      </c>
      <c r="R66" s="58" t="s">
        <v>38</v>
      </c>
      <c r="S66" s="35" t="s">
        <v>39</v>
      </c>
      <c r="T66" s="110"/>
      <c r="U66" s="59">
        <v>0</v>
      </c>
      <c r="V66" s="38">
        <f t="shared" si="10"/>
        <v>5080</v>
      </c>
      <c r="W66" s="40">
        <f t="shared" si="8"/>
        <v>0</v>
      </c>
      <c r="X66" s="59">
        <v>2</v>
      </c>
      <c r="Y66" s="62">
        <f t="shared" si="11"/>
        <v>5980</v>
      </c>
      <c r="Z66" s="40">
        <f t="shared" si="12"/>
        <v>11960</v>
      </c>
      <c r="AA66" s="71"/>
      <c r="AB66" s="71"/>
      <c r="AC66" s="40">
        <f t="shared" si="13"/>
        <v>11960</v>
      </c>
      <c r="AD66" s="98"/>
      <c r="AE66" s="29"/>
      <c r="AF66" s="4"/>
      <c r="AG66" s="4"/>
      <c r="AH66" s="1"/>
      <c r="AI66" s="4"/>
      <c r="AJ66" s="4"/>
      <c r="AK66" s="4"/>
      <c r="AL66" s="4"/>
      <c r="AM66" s="4"/>
      <c r="AN66" s="4"/>
      <c r="AO66" s="4"/>
      <c r="AP66" s="4"/>
    </row>
    <row r="67" spans="1:42" ht="35.1" customHeight="1" x14ac:dyDescent="0.2">
      <c r="A67" s="1"/>
      <c r="B67" s="6"/>
      <c r="C67" s="30" t="s">
        <v>136</v>
      </c>
      <c r="D67" s="30">
        <v>27</v>
      </c>
      <c r="E67" s="31" t="s">
        <v>198</v>
      </c>
      <c r="F67" s="30" t="s">
        <v>199</v>
      </c>
      <c r="G67" s="31" t="s">
        <v>178</v>
      </c>
      <c r="H67" s="30" t="s">
        <v>76</v>
      </c>
      <c r="I67" s="34">
        <v>1150</v>
      </c>
      <c r="J67" s="34">
        <v>650</v>
      </c>
      <c r="K67" s="69" t="s">
        <v>140</v>
      </c>
      <c r="L67" s="70">
        <f t="shared" si="9"/>
        <v>1800</v>
      </c>
      <c r="M67" s="34" t="s">
        <v>141</v>
      </c>
      <c r="N67" s="34" t="s">
        <v>142</v>
      </c>
      <c r="O67" s="34" t="s">
        <v>151</v>
      </c>
      <c r="P67" s="30">
        <v>2</v>
      </c>
      <c r="Q67" s="30" t="s">
        <v>152</v>
      </c>
      <c r="R67" s="58" t="s">
        <v>38</v>
      </c>
      <c r="S67" s="35" t="s">
        <v>39</v>
      </c>
      <c r="T67" s="110"/>
      <c r="U67" s="59">
        <v>0</v>
      </c>
      <c r="V67" s="38">
        <f t="shared" si="10"/>
        <v>5080</v>
      </c>
      <c r="W67" s="40">
        <f t="shared" si="8"/>
        <v>0</v>
      </c>
      <c r="X67" s="59">
        <v>2</v>
      </c>
      <c r="Y67" s="62">
        <f t="shared" si="11"/>
        <v>5980</v>
      </c>
      <c r="Z67" s="40">
        <f t="shared" si="12"/>
        <v>11960</v>
      </c>
      <c r="AA67" s="71"/>
      <c r="AB67" s="71"/>
      <c r="AC67" s="40">
        <f t="shared" si="13"/>
        <v>11960</v>
      </c>
      <c r="AD67" s="98"/>
      <c r="AE67" s="29"/>
      <c r="AF67" s="4"/>
      <c r="AG67" s="4"/>
      <c r="AH67" s="1"/>
      <c r="AI67" s="4"/>
      <c r="AJ67" s="4"/>
      <c r="AK67" s="4"/>
      <c r="AL67" s="4"/>
      <c r="AM67" s="4"/>
      <c r="AN67" s="4"/>
      <c r="AO67" s="4"/>
      <c r="AP67" s="4"/>
    </row>
    <row r="68" spans="1:42" ht="35.1" customHeight="1" x14ac:dyDescent="0.2">
      <c r="A68" s="1"/>
      <c r="B68" s="6"/>
      <c r="C68" s="30" t="s">
        <v>136</v>
      </c>
      <c r="D68" s="30">
        <v>28</v>
      </c>
      <c r="E68" s="31" t="s">
        <v>200</v>
      </c>
      <c r="F68" s="30" t="s">
        <v>201</v>
      </c>
      <c r="G68" s="31" t="s">
        <v>191</v>
      </c>
      <c r="H68" s="30" t="s">
        <v>76</v>
      </c>
      <c r="I68" s="34">
        <v>2100</v>
      </c>
      <c r="J68" s="34">
        <v>1980</v>
      </c>
      <c r="K68" s="69" t="s">
        <v>140</v>
      </c>
      <c r="L68" s="70">
        <f t="shared" si="9"/>
        <v>4080</v>
      </c>
      <c r="M68" s="34" t="s">
        <v>202</v>
      </c>
      <c r="N68" s="34" t="s">
        <v>202</v>
      </c>
      <c r="O68" s="34" t="s">
        <v>151</v>
      </c>
      <c r="P68" s="30">
        <v>2</v>
      </c>
      <c r="Q68" s="30" t="s">
        <v>152</v>
      </c>
      <c r="R68" s="58" t="s">
        <v>38</v>
      </c>
      <c r="S68" s="35" t="s">
        <v>39</v>
      </c>
      <c r="T68" s="110"/>
      <c r="U68" s="59">
        <v>0</v>
      </c>
      <c r="V68" s="38">
        <f t="shared" si="10"/>
        <v>5080</v>
      </c>
      <c r="W68" s="40">
        <f t="shared" si="8"/>
        <v>0</v>
      </c>
      <c r="X68" s="59">
        <v>2</v>
      </c>
      <c r="Y68" s="62">
        <f t="shared" si="11"/>
        <v>5980</v>
      </c>
      <c r="Z68" s="40">
        <f t="shared" si="12"/>
        <v>11960</v>
      </c>
      <c r="AA68" s="71"/>
      <c r="AB68" s="71"/>
      <c r="AC68" s="40">
        <f t="shared" si="13"/>
        <v>11960</v>
      </c>
      <c r="AD68" s="98"/>
      <c r="AE68" s="29"/>
      <c r="AF68" s="4"/>
      <c r="AG68" s="4"/>
      <c r="AH68" s="1"/>
      <c r="AI68" s="4"/>
      <c r="AJ68" s="4"/>
      <c r="AK68" s="4"/>
      <c r="AL68" s="4"/>
      <c r="AM68" s="4"/>
      <c r="AN68" s="4"/>
      <c r="AO68" s="4"/>
      <c r="AP68" s="4"/>
    </row>
    <row r="69" spans="1:42" ht="35.1" customHeight="1" x14ac:dyDescent="0.2">
      <c r="A69" s="1"/>
      <c r="B69" s="6"/>
      <c r="C69" s="30" t="s">
        <v>136</v>
      </c>
      <c r="D69" s="30">
        <v>29</v>
      </c>
      <c r="E69" s="31" t="s">
        <v>203</v>
      </c>
      <c r="F69" s="30" t="s">
        <v>204</v>
      </c>
      <c r="G69" s="31" t="s">
        <v>181</v>
      </c>
      <c r="H69" s="30" t="s">
        <v>76</v>
      </c>
      <c r="I69" s="34">
        <v>1350</v>
      </c>
      <c r="J69" s="34">
        <v>1280</v>
      </c>
      <c r="K69" s="69" t="s">
        <v>140</v>
      </c>
      <c r="L69" s="70">
        <f t="shared" si="9"/>
        <v>2630</v>
      </c>
      <c r="M69" s="34" t="s">
        <v>142</v>
      </c>
      <c r="N69" s="34" t="s">
        <v>142</v>
      </c>
      <c r="O69" s="34" t="s">
        <v>151</v>
      </c>
      <c r="P69" s="30">
        <v>2</v>
      </c>
      <c r="Q69" s="30" t="s">
        <v>152</v>
      </c>
      <c r="R69" s="58" t="s">
        <v>38</v>
      </c>
      <c r="S69" s="35" t="s">
        <v>39</v>
      </c>
      <c r="T69" s="110"/>
      <c r="U69" s="59">
        <v>0</v>
      </c>
      <c r="V69" s="38">
        <f t="shared" si="10"/>
        <v>5080</v>
      </c>
      <c r="W69" s="40">
        <f t="shared" si="8"/>
        <v>0</v>
      </c>
      <c r="X69" s="59">
        <v>2</v>
      </c>
      <c r="Y69" s="62">
        <f t="shared" si="11"/>
        <v>5980</v>
      </c>
      <c r="Z69" s="40">
        <f t="shared" si="12"/>
        <v>11960</v>
      </c>
      <c r="AA69" s="71"/>
      <c r="AB69" s="71"/>
      <c r="AC69" s="40">
        <f t="shared" si="13"/>
        <v>11960</v>
      </c>
      <c r="AD69" s="98"/>
      <c r="AE69" s="29"/>
      <c r="AF69" s="4"/>
      <c r="AG69" s="4"/>
      <c r="AH69" s="1"/>
      <c r="AI69" s="4"/>
      <c r="AJ69" s="4"/>
      <c r="AK69" s="4"/>
      <c r="AL69" s="4"/>
      <c r="AM69" s="4"/>
      <c r="AN69" s="4"/>
      <c r="AO69" s="4"/>
      <c r="AP69" s="4"/>
    </row>
    <row r="70" spans="1:42" ht="35.1" customHeight="1" x14ac:dyDescent="0.2">
      <c r="A70" s="1"/>
      <c r="B70" s="6"/>
      <c r="C70" s="30" t="s">
        <v>136</v>
      </c>
      <c r="D70" s="30">
        <v>30</v>
      </c>
      <c r="E70" s="31" t="s">
        <v>205</v>
      </c>
      <c r="F70" s="30" t="s">
        <v>206</v>
      </c>
      <c r="G70" s="31" t="s">
        <v>207</v>
      </c>
      <c r="H70" s="30" t="s">
        <v>76</v>
      </c>
      <c r="I70" s="34">
        <v>1300</v>
      </c>
      <c r="J70" s="34">
        <v>700</v>
      </c>
      <c r="K70" s="69" t="s">
        <v>140</v>
      </c>
      <c r="L70" s="70">
        <f t="shared" si="9"/>
        <v>2000</v>
      </c>
      <c r="M70" s="34" t="s">
        <v>208</v>
      </c>
      <c r="N70" s="34" t="s">
        <v>142</v>
      </c>
      <c r="O70" s="34" t="s">
        <v>151</v>
      </c>
      <c r="P70" s="30">
        <v>2</v>
      </c>
      <c r="Q70" s="30" t="s">
        <v>152</v>
      </c>
      <c r="R70" s="58" t="s">
        <v>38</v>
      </c>
      <c r="S70" s="35" t="s">
        <v>39</v>
      </c>
      <c r="T70" s="110"/>
      <c r="U70" s="59">
        <v>0</v>
      </c>
      <c r="V70" s="38">
        <f t="shared" si="10"/>
        <v>5080</v>
      </c>
      <c r="W70" s="40">
        <f t="shared" si="8"/>
        <v>0</v>
      </c>
      <c r="X70" s="59">
        <v>2</v>
      </c>
      <c r="Y70" s="62">
        <f t="shared" si="11"/>
        <v>5980</v>
      </c>
      <c r="Z70" s="40">
        <f t="shared" si="12"/>
        <v>11960</v>
      </c>
      <c r="AA70" s="71"/>
      <c r="AB70" s="71"/>
      <c r="AC70" s="40">
        <f t="shared" si="13"/>
        <v>11960</v>
      </c>
      <c r="AD70" s="98"/>
      <c r="AE70" s="29"/>
      <c r="AF70" s="4"/>
      <c r="AG70" s="4"/>
      <c r="AH70" s="1"/>
      <c r="AI70" s="4"/>
      <c r="AJ70" s="4"/>
      <c r="AK70" s="4"/>
      <c r="AL70" s="4"/>
      <c r="AM70" s="4"/>
      <c r="AN70" s="4"/>
      <c r="AO70" s="4"/>
      <c r="AP70" s="4"/>
    </row>
    <row r="71" spans="1:42" ht="35.1" customHeight="1" x14ac:dyDescent="0.2">
      <c r="A71" s="1"/>
      <c r="B71" s="6"/>
      <c r="C71" s="30" t="s">
        <v>136</v>
      </c>
      <c r="D71" s="30">
        <v>31</v>
      </c>
      <c r="E71" s="31" t="s">
        <v>209</v>
      </c>
      <c r="F71" s="30" t="s">
        <v>210</v>
      </c>
      <c r="G71" s="31" t="s">
        <v>211</v>
      </c>
      <c r="H71" s="30" t="s">
        <v>76</v>
      </c>
      <c r="I71" s="34">
        <v>1300</v>
      </c>
      <c r="J71" s="34">
        <v>480</v>
      </c>
      <c r="K71" s="69" t="s">
        <v>140</v>
      </c>
      <c r="L71" s="70">
        <f t="shared" si="9"/>
        <v>1780</v>
      </c>
      <c r="M71" s="34" t="s">
        <v>151</v>
      </c>
      <c r="N71" s="34" t="s">
        <v>142</v>
      </c>
      <c r="O71" s="34" t="s">
        <v>212</v>
      </c>
      <c r="P71" s="30">
        <v>2</v>
      </c>
      <c r="Q71" s="30" t="s">
        <v>152</v>
      </c>
      <c r="R71" s="58" t="s">
        <v>38</v>
      </c>
      <c r="S71" s="35" t="s">
        <v>39</v>
      </c>
      <c r="T71" s="110"/>
      <c r="U71" s="59">
        <v>0</v>
      </c>
      <c r="V71" s="38">
        <f t="shared" si="10"/>
        <v>5080</v>
      </c>
      <c r="W71" s="40">
        <f t="shared" si="8"/>
        <v>0</v>
      </c>
      <c r="X71" s="59">
        <v>2</v>
      </c>
      <c r="Y71" s="62">
        <f t="shared" si="11"/>
        <v>5980</v>
      </c>
      <c r="Z71" s="40">
        <f t="shared" si="12"/>
        <v>11960</v>
      </c>
      <c r="AA71" s="71"/>
      <c r="AB71" s="71"/>
      <c r="AC71" s="40">
        <f t="shared" si="13"/>
        <v>11960</v>
      </c>
      <c r="AD71" s="98"/>
      <c r="AE71" s="29"/>
      <c r="AF71" s="4"/>
      <c r="AG71" s="4"/>
      <c r="AH71" s="1"/>
      <c r="AI71" s="4"/>
      <c r="AJ71" s="4"/>
      <c r="AK71" s="4"/>
      <c r="AL71" s="4"/>
      <c r="AM71" s="4"/>
      <c r="AN71" s="4"/>
      <c r="AO71" s="4"/>
      <c r="AP71" s="4"/>
    </row>
    <row r="72" spans="1:42" ht="35.1" customHeight="1" x14ac:dyDescent="0.2">
      <c r="A72" s="1"/>
      <c r="B72" s="6"/>
      <c r="C72" s="30" t="s">
        <v>136</v>
      </c>
      <c r="D72" s="30">
        <v>32</v>
      </c>
      <c r="E72" s="31" t="s">
        <v>213</v>
      </c>
      <c r="F72" s="30" t="s">
        <v>214</v>
      </c>
      <c r="G72" s="31" t="s">
        <v>215</v>
      </c>
      <c r="H72" s="30" t="s">
        <v>76</v>
      </c>
      <c r="I72" s="34">
        <v>1400</v>
      </c>
      <c r="J72" s="34">
        <v>700</v>
      </c>
      <c r="K72" s="69" t="s">
        <v>140</v>
      </c>
      <c r="L72" s="70">
        <f t="shared" si="9"/>
        <v>2100</v>
      </c>
      <c r="M72" s="34" t="s">
        <v>141</v>
      </c>
      <c r="N72" s="34" t="s">
        <v>142</v>
      </c>
      <c r="O72" s="34" t="s">
        <v>151</v>
      </c>
      <c r="P72" s="30">
        <v>2</v>
      </c>
      <c r="Q72" s="30" t="s">
        <v>152</v>
      </c>
      <c r="R72" s="58" t="s">
        <v>38</v>
      </c>
      <c r="S72" s="35" t="s">
        <v>39</v>
      </c>
      <c r="T72" s="110"/>
      <c r="U72" s="59">
        <v>0</v>
      </c>
      <c r="V72" s="38">
        <f t="shared" si="10"/>
        <v>5080</v>
      </c>
      <c r="W72" s="40">
        <f t="shared" si="8"/>
        <v>0</v>
      </c>
      <c r="X72" s="59">
        <v>2</v>
      </c>
      <c r="Y72" s="62">
        <f t="shared" si="11"/>
        <v>5980</v>
      </c>
      <c r="Z72" s="40">
        <f t="shared" si="12"/>
        <v>11960</v>
      </c>
      <c r="AA72" s="71"/>
      <c r="AB72" s="71"/>
      <c r="AC72" s="40">
        <f t="shared" si="13"/>
        <v>11960</v>
      </c>
      <c r="AD72" s="98"/>
      <c r="AE72" s="29"/>
      <c r="AF72" s="4"/>
      <c r="AG72" s="4"/>
      <c r="AH72" s="1"/>
      <c r="AI72" s="4"/>
      <c r="AJ72" s="4"/>
      <c r="AK72" s="4"/>
      <c r="AL72" s="4"/>
      <c r="AM72" s="4"/>
      <c r="AN72" s="4"/>
      <c r="AO72" s="4"/>
      <c r="AP72" s="4"/>
    </row>
    <row r="73" spans="1:42" ht="35.1" customHeight="1" x14ac:dyDescent="0.2">
      <c r="A73" s="1"/>
      <c r="B73" s="6"/>
      <c r="C73" s="30" t="s">
        <v>136</v>
      </c>
      <c r="D73" s="30">
        <v>33</v>
      </c>
      <c r="E73" s="31" t="s">
        <v>216</v>
      </c>
      <c r="F73" s="30" t="s">
        <v>217</v>
      </c>
      <c r="G73" s="31" t="s">
        <v>218</v>
      </c>
      <c r="H73" s="30" t="s">
        <v>76</v>
      </c>
      <c r="I73" s="34">
        <v>1650</v>
      </c>
      <c r="J73" s="34">
        <v>805</v>
      </c>
      <c r="K73" s="69" t="s">
        <v>140</v>
      </c>
      <c r="L73" s="70">
        <f t="shared" si="9"/>
        <v>2455</v>
      </c>
      <c r="M73" s="34" t="s">
        <v>141</v>
      </c>
      <c r="N73" s="34" t="s">
        <v>142</v>
      </c>
      <c r="O73" s="34" t="s">
        <v>151</v>
      </c>
      <c r="P73" s="30">
        <v>2</v>
      </c>
      <c r="Q73" s="30" t="s">
        <v>152</v>
      </c>
      <c r="R73" s="58" t="s">
        <v>38</v>
      </c>
      <c r="S73" s="35" t="s">
        <v>39</v>
      </c>
      <c r="T73" s="110"/>
      <c r="U73" s="59">
        <v>0</v>
      </c>
      <c r="V73" s="38">
        <f t="shared" si="10"/>
        <v>5080</v>
      </c>
      <c r="W73" s="40">
        <f t="shared" si="8"/>
        <v>0</v>
      </c>
      <c r="X73" s="59">
        <v>2</v>
      </c>
      <c r="Y73" s="62">
        <f t="shared" si="11"/>
        <v>5980</v>
      </c>
      <c r="Z73" s="40">
        <f t="shared" si="12"/>
        <v>11960</v>
      </c>
      <c r="AA73" s="71"/>
      <c r="AB73" s="71"/>
      <c r="AC73" s="40">
        <f t="shared" si="13"/>
        <v>11960</v>
      </c>
      <c r="AD73" s="98"/>
      <c r="AE73" s="29"/>
      <c r="AF73" s="4"/>
      <c r="AG73" s="4"/>
      <c r="AH73" s="1"/>
      <c r="AI73" s="4"/>
      <c r="AJ73" s="4"/>
      <c r="AK73" s="4"/>
      <c r="AL73" s="4"/>
      <c r="AM73" s="4"/>
      <c r="AN73" s="4"/>
      <c r="AO73" s="4"/>
      <c r="AP73" s="4"/>
    </row>
    <row r="74" spans="1:42" ht="35.1" customHeight="1" x14ac:dyDescent="0.2">
      <c r="A74" s="1"/>
      <c r="B74" s="6"/>
      <c r="C74" s="30" t="s">
        <v>136</v>
      </c>
      <c r="D74" s="30">
        <v>34</v>
      </c>
      <c r="E74" s="31" t="s">
        <v>219</v>
      </c>
      <c r="F74" s="30" t="s">
        <v>220</v>
      </c>
      <c r="G74" s="31" t="s">
        <v>221</v>
      </c>
      <c r="H74" s="30" t="s">
        <v>76</v>
      </c>
      <c r="I74" s="34">
        <v>720</v>
      </c>
      <c r="J74" s="34">
        <v>506</v>
      </c>
      <c r="K74" s="69" t="s">
        <v>147</v>
      </c>
      <c r="L74" s="70">
        <f t="shared" si="9"/>
        <v>1226</v>
      </c>
      <c r="M74" s="34" t="s">
        <v>141</v>
      </c>
      <c r="N74" s="34" t="s">
        <v>142</v>
      </c>
      <c r="O74" s="34" t="s">
        <v>151</v>
      </c>
      <c r="P74" s="30">
        <v>2</v>
      </c>
      <c r="Q74" s="30" t="s">
        <v>222</v>
      </c>
      <c r="R74" s="58" t="s">
        <v>38</v>
      </c>
      <c r="S74" s="35" t="s">
        <v>39</v>
      </c>
      <c r="T74" s="110"/>
      <c r="U74" s="59">
        <v>0</v>
      </c>
      <c r="V74" s="38">
        <f t="shared" si="10"/>
        <v>5080</v>
      </c>
      <c r="W74" s="40">
        <f t="shared" si="8"/>
        <v>0</v>
      </c>
      <c r="X74" s="59">
        <v>2</v>
      </c>
      <c r="Y74" s="62">
        <f t="shared" si="11"/>
        <v>5980</v>
      </c>
      <c r="Z74" s="40">
        <f t="shared" si="12"/>
        <v>11960</v>
      </c>
      <c r="AA74" s="71"/>
      <c r="AB74" s="71"/>
      <c r="AC74" s="40">
        <f t="shared" si="13"/>
        <v>11960</v>
      </c>
      <c r="AD74" s="98"/>
      <c r="AE74" s="29"/>
      <c r="AF74" s="4"/>
      <c r="AG74" s="4"/>
      <c r="AH74" s="1"/>
      <c r="AI74" s="4"/>
      <c r="AJ74" s="4"/>
      <c r="AK74" s="4"/>
      <c r="AL74" s="4"/>
      <c r="AM74" s="4"/>
      <c r="AN74" s="4"/>
      <c r="AO74" s="4"/>
      <c r="AP74" s="4"/>
    </row>
    <row r="75" spans="1:42" ht="35.1" customHeight="1" x14ac:dyDescent="0.2">
      <c r="A75" s="1"/>
      <c r="B75" s="6"/>
      <c r="C75" s="30" t="s">
        <v>136</v>
      </c>
      <c r="D75" s="30">
        <v>35</v>
      </c>
      <c r="E75" s="31" t="s">
        <v>223</v>
      </c>
      <c r="F75" s="30" t="s">
        <v>224</v>
      </c>
      <c r="G75" s="31" t="s">
        <v>221</v>
      </c>
      <c r="H75" s="30" t="s">
        <v>76</v>
      </c>
      <c r="I75" s="34">
        <v>778</v>
      </c>
      <c r="J75" s="34">
        <v>473</v>
      </c>
      <c r="K75" s="69" t="s">
        <v>147</v>
      </c>
      <c r="L75" s="70">
        <f t="shared" si="9"/>
        <v>1251</v>
      </c>
      <c r="M75" s="34" t="s">
        <v>141</v>
      </c>
      <c r="N75" s="34" t="s">
        <v>142</v>
      </c>
      <c r="O75" s="34" t="s">
        <v>151</v>
      </c>
      <c r="P75" s="30">
        <v>2</v>
      </c>
      <c r="Q75" s="30" t="s">
        <v>222</v>
      </c>
      <c r="R75" s="58" t="s">
        <v>38</v>
      </c>
      <c r="S75" s="35" t="s">
        <v>39</v>
      </c>
      <c r="T75" s="110"/>
      <c r="U75" s="59">
        <v>0</v>
      </c>
      <c r="V75" s="38">
        <f t="shared" si="10"/>
        <v>5080</v>
      </c>
      <c r="W75" s="40">
        <f t="shared" si="8"/>
        <v>0</v>
      </c>
      <c r="X75" s="59">
        <v>2</v>
      </c>
      <c r="Y75" s="62">
        <f t="shared" si="11"/>
        <v>5980</v>
      </c>
      <c r="Z75" s="40">
        <f t="shared" si="12"/>
        <v>11960</v>
      </c>
      <c r="AA75" s="71"/>
      <c r="AB75" s="71"/>
      <c r="AC75" s="40">
        <f t="shared" si="13"/>
        <v>11960</v>
      </c>
      <c r="AD75" s="98"/>
      <c r="AE75" s="29"/>
      <c r="AF75" s="4"/>
      <c r="AG75" s="4"/>
      <c r="AH75" s="1"/>
      <c r="AI75" s="4"/>
      <c r="AJ75" s="4"/>
      <c r="AK75" s="4"/>
      <c r="AL75" s="4"/>
      <c r="AM75" s="4"/>
      <c r="AN75" s="4"/>
      <c r="AO75" s="4"/>
      <c r="AP75" s="4"/>
    </row>
    <row r="76" spans="1:42" ht="35.1" customHeight="1" x14ac:dyDescent="0.2">
      <c r="A76" s="1"/>
      <c r="B76" s="6"/>
      <c r="C76" s="30" t="s">
        <v>136</v>
      </c>
      <c r="D76" s="30">
        <v>36</v>
      </c>
      <c r="E76" s="31" t="s">
        <v>225</v>
      </c>
      <c r="F76" s="30" t="s">
        <v>226</v>
      </c>
      <c r="G76" s="31" t="s">
        <v>221</v>
      </c>
      <c r="H76" s="30" t="s">
        <v>76</v>
      </c>
      <c r="I76" s="34">
        <v>472</v>
      </c>
      <c r="J76" s="34">
        <v>165</v>
      </c>
      <c r="K76" s="69" t="s">
        <v>147</v>
      </c>
      <c r="L76" s="70">
        <f t="shared" si="9"/>
        <v>637</v>
      </c>
      <c r="M76" s="34" t="s">
        <v>141</v>
      </c>
      <c r="N76" s="34" t="s">
        <v>142</v>
      </c>
      <c r="O76" s="34" t="s">
        <v>151</v>
      </c>
      <c r="P76" s="30">
        <v>2</v>
      </c>
      <c r="Q76" s="30" t="s">
        <v>222</v>
      </c>
      <c r="R76" s="58" t="s">
        <v>38</v>
      </c>
      <c r="S76" s="35" t="s">
        <v>39</v>
      </c>
      <c r="T76" s="110"/>
      <c r="U76" s="59">
        <v>0</v>
      </c>
      <c r="V76" s="38">
        <f t="shared" si="10"/>
        <v>5080</v>
      </c>
      <c r="W76" s="40">
        <f t="shared" si="8"/>
        <v>0</v>
      </c>
      <c r="X76" s="59">
        <v>2</v>
      </c>
      <c r="Y76" s="62">
        <f t="shared" si="11"/>
        <v>5980</v>
      </c>
      <c r="Z76" s="40">
        <f t="shared" si="12"/>
        <v>11960</v>
      </c>
      <c r="AA76" s="71"/>
      <c r="AB76" s="71"/>
      <c r="AC76" s="40">
        <f t="shared" si="13"/>
        <v>11960</v>
      </c>
      <c r="AD76" s="98"/>
      <c r="AE76" s="29"/>
      <c r="AF76" s="4"/>
      <c r="AG76" s="4"/>
      <c r="AH76" s="1"/>
      <c r="AI76" s="4"/>
      <c r="AJ76" s="4"/>
      <c r="AK76" s="4"/>
      <c r="AL76" s="4"/>
      <c r="AM76" s="4"/>
      <c r="AN76" s="4"/>
      <c r="AO76" s="4"/>
      <c r="AP76" s="4"/>
    </row>
    <row r="77" spans="1:42" ht="35.1" customHeight="1" x14ac:dyDescent="0.2">
      <c r="A77" s="1"/>
      <c r="B77" s="6"/>
      <c r="C77" s="30" t="s">
        <v>136</v>
      </c>
      <c r="D77" s="30">
        <v>37</v>
      </c>
      <c r="E77" s="31" t="s">
        <v>227</v>
      </c>
      <c r="F77" s="30" t="s">
        <v>228</v>
      </c>
      <c r="G77" s="31" t="s">
        <v>229</v>
      </c>
      <c r="H77" s="30" t="s">
        <v>76</v>
      </c>
      <c r="I77" s="34">
        <v>1200</v>
      </c>
      <c r="J77" s="34">
        <v>540</v>
      </c>
      <c r="K77" s="69" t="s">
        <v>140</v>
      </c>
      <c r="L77" s="70">
        <f t="shared" si="9"/>
        <v>1740</v>
      </c>
      <c r="M77" s="34" t="s">
        <v>156</v>
      </c>
      <c r="N77" s="34" t="s">
        <v>142</v>
      </c>
      <c r="O77" s="34" t="s">
        <v>151</v>
      </c>
      <c r="P77" s="30">
        <v>2</v>
      </c>
      <c r="Q77" s="30" t="s">
        <v>222</v>
      </c>
      <c r="R77" s="58" t="s">
        <v>38</v>
      </c>
      <c r="S77" s="35" t="s">
        <v>39</v>
      </c>
      <c r="T77" s="110"/>
      <c r="U77" s="59">
        <v>0</v>
      </c>
      <c r="V77" s="38">
        <f t="shared" si="10"/>
        <v>5080</v>
      </c>
      <c r="W77" s="40">
        <f t="shared" si="8"/>
        <v>0</v>
      </c>
      <c r="X77" s="59">
        <v>2</v>
      </c>
      <c r="Y77" s="62">
        <f t="shared" si="11"/>
        <v>5980</v>
      </c>
      <c r="Z77" s="40">
        <f t="shared" si="12"/>
        <v>11960</v>
      </c>
      <c r="AA77" s="71"/>
      <c r="AB77" s="71"/>
      <c r="AC77" s="40">
        <f t="shared" si="13"/>
        <v>11960</v>
      </c>
      <c r="AD77" s="98"/>
      <c r="AE77" s="29"/>
      <c r="AF77" s="4"/>
      <c r="AG77" s="4"/>
      <c r="AH77" s="1"/>
      <c r="AI77" s="4"/>
      <c r="AJ77" s="4"/>
      <c r="AK77" s="4"/>
      <c r="AL77" s="4"/>
      <c r="AM77" s="4"/>
      <c r="AN77" s="4"/>
      <c r="AO77" s="4"/>
      <c r="AP77" s="4"/>
    </row>
    <row r="78" spans="1:42" ht="35.1" customHeight="1" x14ac:dyDescent="0.2">
      <c r="A78" s="1"/>
      <c r="B78" s="6"/>
      <c r="C78" s="30" t="s">
        <v>136</v>
      </c>
      <c r="D78" s="30">
        <v>38</v>
      </c>
      <c r="E78" s="31" t="s">
        <v>230</v>
      </c>
      <c r="F78" s="30" t="s">
        <v>231</v>
      </c>
      <c r="G78" s="31" t="s">
        <v>232</v>
      </c>
      <c r="H78" s="30" t="s">
        <v>76</v>
      </c>
      <c r="I78" s="34">
        <v>800</v>
      </c>
      <c r="J78" s="34">
        <v>210</v>
      </c>
      <c r="K78" s="69" t="s">
        <v>140</v>
      </c>
      <c r="L78" s="70">
        <f t="shared" si="9"/>
        <v>1010</v>
      </c>
      <c r="M78" s="34" t="s">
        <v>141</v>
      </c>
      <c r="N78" s="34" t="s">
        <v>142</v>
      </c>
      <c r="O78" s="34" t="s">
        <v>151</v>
      </c>
      <c r="P78" s="30">
        <v>2</v>
      </c>
      <c r="Q78" s="30" t="s">
        <v>152</v>
      </c>
      <c r="R78" s="58" t="s">
        <v>38</v>
      </c>
      <c r="S78" s="35" t="s">
        <v>39</v>
      </c>
      <c r="T78" s="110"/>
      <c r="U78" s="59">
        <v>0</v>
      </c>
      <c r="V78" s="38">
        <f t="shared" si="10"/>
        <v>5080</v>
      </c>
      <c r="W78" s="40">
        <f t="shared" si="8"/>
        <v>0</v>
      </c>
      <c r="X78" s="59">
        <v>2</v>
      </c>
      <c r="Y78" s="62">
        <f t="shared" si="11"/>
        <v>5980</v>
      </c>
      <c r="Z78" s="40">
        <f t="shared" si="12"/>
        <v>11960</v>
      </c>
      <c r="AA78" s="71"/>
      <c r="AB78" s="71"/>
      <c r="AC78" s="40">
        <f t="shared" si="13"/>
        <v>11960</v>
      </c>
      <c r="AD78" s="98"/>
      <c r="AE78" s="29"/>
      <c r="AF78" s="4"/>
      <c r="AG78" s="4"/>
      <c r="AH78" s="1"/>
      <c r="AI78" s="4"/>
      <c r="AJ78" s="4"/>
      <c r="AK78" s="4"/>
      <c r="AL78" s="4"/>
      <c r="AM78" s="4"/>
      <c r="AN78" s="4"/>
      <c r="AO78" s="4"/>
      <c r="AP78" s="4"/>
    </row>
    <row r="79" spans="1:42" ht="35.1" customHeight="1" x14ac:dyDescent="0.2">
      <c r="A79" s="1"/>
      <c r="B79" s="6"/>
      <c r="C79" s="30" t="s">
        <v>136</v>
      </c>
      <c r="D79" s="30">
        <v>39</v>
      </c>
      <c r="E79" s="31" t="s">
        <v>233</v>
      </c>
      <c r="F79" s="30" t="s">
        <v>234</v>
      </c>
      <c r="G79" s="31" t="s">
        <v>235</v>
      </c>
      <c r="H79" s="30" t="s">
        <v>76</v>
      </c>
      <c r="I79" s="34">
        <v>1460</v>
      </c>
      <c r="J79" s="34">
        <v>712</v>
      </c>
      <c r="K79" s="69" t="s">
        <v>140</v>
      </c>
      <c r="L79" s="70">
        <f t="shared" si="9"/>
        <v>2172</v>
      </c>
      <c r="M79" s="34" t="s">
        <v>156</v>
      </c>
      <c r="N79" s="34" t="s">
        <v>142</v>
      </c>
      <c r="O79" s="34" t="s">
        <v>151</v>
      </c>
      <c r="P79" s="30">
        <v>2</v>
      </c>
      <c r="Q79" s="30" t="s">
        <v>152</v>
      </c>
      <c r="R79" s="58" t="s">
        <v>38</v>
      </c>
      <c r="S79" s="35" t="s">
        <v>39</v>
      </c>
      <c r="T79" s="110"/>
      <c r="U79" s="59">
        <v>0</v>
      </c>
      <c r="V79" s="38">
        <f t="shared" si="10"/>
        <v>5080</v>
      </c>
      <c r="W79" s="40">
        <f t="shared" si="8"/>
        <v>0</v>
      </c>
      <c r="X79" s="59">
        <v>2</v>
      </c>
      <c r="Y79" s="62">
        <f t="shared" si="11"/>
        <v>5980</v>
      </c>
      <c r="Z79" s="40">
        <f t="shared" si="12"/>
        <v>11960</v>
      </c>
      <c r="AA79" s="71"/>
      <c r="AB79" s="71"/>
      <c r="AC79" s="40">
        <f t="shared" si="13"/>
        <v>11960</v>
      </c>
      <c r="AD79" s="98"/>
      <c r="AE79" s="29"/>
      <c r="AF79" s="4"/>
      <c r="AG79" s="4"/>
      <c r="AH79" s="1"/>
      <c r="AI79" s="4"/>
      <c r="AJ79" s="4"/>
      <c r="AK79" s="4"/>
      <c r="AL79" s="4"/>
      <c r="AM79" s="4"/>
      <c r="AN79" s="4"/>
      <c r="AO79" s="4"/>
      <c r="AP79" s="4"/>
    </row>
    <row r="80" spans="1:42" ht="35.1" customHeight="1" x14ac:dyDescent="0.2">
      <c r="A80" s="1"/>
      <c r="B80" s="6"/>
      <c r="C80" s="30" t="s">
        <v>136</v>
      </c>
      <c r="D80" s="30">
        <v>40</v>
      </c>
      <c r="E80" s="31" t="s">
        <v>236</v>
      </c>
      <c r="F80" s="30" t="s">
        <v>237</v>
      </c>
      <c r="G80" s="31" t="s">
        <v>238</v>
      </c>
      <c r="H80" s="30" t="s">
        <v>76</v>
      </c>
      <c r="I80" s="34">
        <v>1460</v>
      </c>
      <c r="J80" s="34">
        <v>712</v>
      </c>
      <c r="K80" s="69" t="s">
        <v>140</v>
      </c>
      <c r="L80" s="70">
        <f t="shared" si="9"/>
        <v>2172</v>
      </c>
      <c r="M80" s="34" t="s">
        <v>141</v>
      </c>
      <c r="N80" s="34" t="s">
        <v>142</v>
      </c>
      <c r="O80" s="34" t="s">
        <v>151</v>
      </c>
      <c r="P80" s="30">
        <v>2</v>
      </c>
      <c r="Q80" s="30" t="s">
        <v>152</v>
      </c>
      <c r="R80" s="58" t="s">
        <v>38</v>
      </c>
      <c r="S80" s="35" t="s">
        <v>39</v>
      </c>
      <c r="T80" s="110"/>
      <c r="U80" s="59">
        <v>0</v>
      </c>
      <c r="V80" s="38">
        <f t="shared" si="10"/>
        <v>5080</v>
      </c>
      <c r="W80" s="40">
        <f t="shared" si="8"/>
        <v>0</v>
      </c>
      <c r="X80" s="59">
        <v>2</v>
      </c>
      <c r="Y80" s="62">
        <f t="shared" si="11"/>
        <v>5980</v>
      </c>
      <c r="Z80" s="40">
        <f t="shared" si="12"/>
        <v>11960</v>
      </c>
      <c r="AA80" s="71"/>
      <c r="AB80" s="71"/>
      <c r="AC80" s="40">
        <f t="shared" si="13"/>
        <v>11960</v>
      </c>
      <c r="AD80" s="98"/>
      <c r="AE80" s="29"/>
      <c r="AF80" s="4"/>
      <c r="AG80" s="4"/>
      <c r="AH80" s="1"/>
      <c r="AI80" s="4"/>
      <c r="AJ80" s="4"/>
      <c r="AK80" s="4"/>
      <c r="AL80" s="4"/>
      <c r="AM80" s="4"/>
      <c r="AN80" s="4"/>
      <c r="AO80" s="4"/>
      <c r="AP80" s="4"/>
    </row>
    <row r="81" spans="1:42" ht="35.1" customHeight="1" x14ac:dyDescent="0.2">
      <c r="A81" s="1"/>
      <c r="B81" s="6"/>
      <c r="C81" s="30" t="s">
        <v>136</v>
      </c>
      <c r="D81" s="30">
        <v>41</v>
      </c>
      <c r="E81" s="31" t="s">
        <v>239</v>
      </c>
      <c r="F81" s="30" t="s">
        <v>240</v>
      </c>
      <c r="G81" s="31" t="s">
        <v>241</v>
      </c>
      <c r="H81" s="30" t="s">
        <v>76</v>
      </c>
      <c r="I81" s="34">
        <v>1500</v>
      </c>
      <c r="J81" s="34">
        <v>712</v>
      </c>
      <c r="K81" s="69" t="s">
        <v>140</v>
      </c>
      <c r="L81" s="70">
        <f t="shared" si="9"/>
        <v>2212</v>
      </c>
      <c r="M81" s="34" t="s">
        <v>242</v>
      </c>
      <c r="N81" s="34" t="s">
        <v>243</v>
      </c>
      <c r="O81" s="34" t="s">
        <v>244</v>
      </c>
      <c r="P81" s="30">
        <v>2</v>
      </c>
      <c r="Q81" s="30" t="s">
        <v>152</v>
      </c>
      <c r="R81" s="58" t="s">
        <v>38</v>
      </c>
      <c r="S81" s="35" t="s">
        <v>39</v>
      </c>
      <c r="T81" s="110"/>
      <c r="U81" s="59">
        <v>0</v>
      </c>
      <c r="V81" s="38">
        <f t="shared" si="10"/>
        <v>5080</v>
      </c>
      <c r="W81" s="40">
        <f t="shared" si="8"/>
        <v>0</v>
      </c>
      <c r="X81" s="59">
        <v>2</v>
      </c>
      <c r="Y81" s="62">
        <f t="shared" si="11"/>
        <v>5980</v>
      </c>
      <c r="Z81" s="40">
        <f t="shared" si="12"/>
        <v>11960</v>
      </c>
      <c r="AA81" s="71"/>
      <c r="AB81" s="71"/>
      <c r="AC81" s="40">
        <f t="shared" si="13"/>
        <v>11960</v>
      </c>
      <c r="AD81" s="98"/>
      <c r="AE81" s="29"/>
      <c r="AF81" s="4"/>
      <c r="AG81" s="4"/>
      <c r="AH81" s="1"/>
      <c r="AI81" s="4"/>
      <c r="AJ81" s="4"/>
      <c r="AK81" s="4"/>
      <c r="AL81" s="4"/>
      <c r="AM81" s="4"/>
      <c r="AN81" s="4"/>
      <c r="AO81" s="4"/>
      <c r="AP81" s="4"/>
    </row>
    <row r="82" spans="1:42" ht="35.1" customHeight="1" x14ac:dyDescent="0.2">
      <c r="A82" s="1"/>
      <c r="B82" s="6"/>
      <c r="C82" s="30" t="s">
        <v>136</v>
      </c>
      <c r="D82" s="30">
        <v>48</v>
      </c>
      <c r="E82" s="31" t="s">
        <v>245</v>
      </c>
      <c r="F82" s="30" t="s">
        <v>183</v>
      </c>
      <c r="G82" s="31" t="s">
        <v>178</v>
      </c>
      <c r="H82" s="30" t="s">
        <v>76</v>
      </c>
      <c r="I82" s="34">
        <v>1250</v>
      </c>
      <c r="J82" s="34">
        <v>1128</v>
      </c>
      <c r="K82" s="69" t="s">
        <v>147</v>
      </c>
      <c r="L82" s="70">
        <f t="shared" si="9"/>
        <v>2378</v>
      </c>
      <c r="M82" s="34" t="s">
        <v>246</v>
      </c>
      <c r="N82" s="34" t="s">
        <v>246</v>
      </c>
      <c r="O82" s="115" t="s">
        <v>247</v>
      </c>
      <c r="P82" s="30">
        <v>2</v>
      </c>
      <c r="Q82" s="30" t="s">
        <v>162</v>
      </c>
      <c r="R82" s="58" t="s">
        <v>38</v>
      </c>
      <c r="S82" s="35" t="s">
        <v>39</v>
      </c>
      <c r="T82" s="110"/>
      <c r="U82" s="59">
        <v>0</v>
      </c>
      <c r="V82" s="38">
        <f t="shared" si="10"/>
        <v>5080</v>
      </c>
      <c r="W82" s="40">
        <f t="shared" si="8"/>
        <v>0</v>
      </c>
      <c r="X82" s="59">
        <v>2</v>
      </c>
      <c r="Y82" s="62">
        <f t="shared" si="11"/>
        <v>5980</v>
      </c>
      <c r="Z82" s="40">
        <f t="shared" si="12"/>
        <v>11960</v>
      </c>
      <c r="AA82" s="71"/>
      <c r="AB82" s="71"/>
      <c r="AC82" s="40">
        <f t="shared" si="13"/>
        <v>11960</v>
      </c>
      <c r="AD82" s="98"/>
      <c r="AE82" s="29"/>
      <c r="AF82" s="4"/>
      <c r="AG82" s="4"/>
      <c r="AH82" s="1"/>
      <c r="AI82" s="4"/>
      <c r="AJ82" s="4"/>
      <c r="AK82" s="4"/>
      <c r="AL82" s="4"/>
      <c r="AM82" s="4"/>
      <c r="AN82" s="4"/>
      <c r="AO82" s="4"/>
      <c r="AP82" s="4"/>
    </row>
    <row r="83" spans="1:42" ht="35.1" customHeight="1" x14ac:dyDescent="0.2">
      <c r="A83" s="1"/>
      <c r="B83" s="6"/>
      <c r="C83" s="30" t="s">
        <v>136</v>
      </c>
      <c r="D83" s="30">
        <v>42</v>
      </c>
      <c r="E83" s="31" t="s">
        <v>248</v>
      </c>
      <c r="F83" s="30" t="s">
        <v>249</v>
      </c>
      <c r="G83" s="31" t="s">
        <v>250</v>
      </c>
      <c r="H83" s="30" t="s">
        <v>76</v>
      </c>
      <c r="I83" s="34">
        <v>1190</v>
      </c>
      <c r="J83" s="34">
        <v>865</v>
      </c>
      <c r="K83" s="69" t="s">
        <v>140</v>
      </c>
      <c r="L83" s="70">
        <f t="shared" si="9"/>
        <v>2055</v>
      </c>
      <c r="M83" s="34" t="s">
        <v>246</v>
      </c>
      <c r="N83" s="34" t="s">
        <v>246</v>
      </c>
      <c r="O83" s="116"/>
      <c r="P83" s="30">
        <v>4</v>
      </c>
      <c r="Q83" s="30" t="s">
        <v>152</v>
      </c>
      <c r="R83" s="58" t="s">
        <v>38</v>
      </c>
      <c r="S83" s="35" t="s">
        <v>39</v>
      </c>
      <c r="T83" s="110"/>
      <c r="U83" s="59">
        <v>0</v>
      </c>
      <c r="V83" s="38">
        <f t="shared" si="10"/>
        <v>5080</v>
      </c>
      <c r="W83" s="40">
        <f t="shared" si="8"/>
        <v>0</v>
      </c>
      <c r="X83" s="59">
        <v>4</v>
      </c>
      <c r="Y83" s="62">
        <f t="shared" si="11"/>
        <v>5980</v>
      </c>
      <c r="Z83" s="40">
        <f t="shared" si="12"/>
        <v>23920</v>
      </c>
      <c r="AA83" s="71"/>
      <c r="AB83" s="71"/>
      <c r="AC83" s="40">
        <f t="shared" si="13"/>
        <v>23920</v>
      </c>
      <c r="AD83" s="98"/>
      <c r="AE83" s="29"/>
      <c r="AF83" s="4"/>
      <c r="AG83" s="4"/>
      <c r="AH83" s="1"/>
      <c r="AI83" s="4"/>
      <c r="AJ83" s="4"/>
      <c r="AK83" s="4"/>
      <c r="AL83" s="4"/>
      <c r="AM83" s="4"/>
      <c r="AN83" s="4"/>
      <c r="AO83" s="4"/>
      <c r="AP83" s="4"/>
    </row>
    <row r="84" spans="1:42" ht="35.1" customHeight="1" x14ac:dyDescent="0.2">
      <c r="A84" s="1"/>
      <c r="B84" s="6"/>
      <c r="C84" s="30" t="s">
        <v>136</v>
      </c>
      <c r="D84" s="30">
        <v>43</v>
      </c>
      <c r="E84" s="31" t="s">
        <v>251</v>
      </c>
      <c r="F84" s="30" t="s">
        <v>252</v>
      </c>
      <c r="G84" s="31" t="s">
        <v>250</v>
      </c>
      <c r="H84" s="30" t="s">
        <v>76</v>
      </c>
      <c r="I84" s="34">
        <v>1200</v>
      </c>
      <c r="J84" s="34">
        <v>710</v>
      </c>
      <c r="K84" s="69" t="s">
        <v>140</v>
      </c>
      <c r="L84" s="70">
        <f t="shared" si="9"/>
        <v>1910</v>
      </c>
      <c r="M84" s="34" t="s">
        <v>246</v>
      </c>
      <c r="N84" s="34" t="s">
        <v>246</v>
      </c>
      <c r="O84" s="116"/>
      <c r="P84" s="30">
        <v>2</v>
      </c>
      <c r="Q84" s="30" t="s">
        <v>152</v>
      </c>
      <c r="R84" s="58" t="s">
        <v>38</v>
      </c>
      <c r="S84" s="35" t="s">
        <v>39</v>
      </c>
      <c r="T84" s="110"/>
      <c r="U84" s="59">
        <v>0</v>
      </c>
      <c r="V84" s="38">
        <f t="shared" si="10"/>
        <v>5080</v>
      </c>
      <c r="W84" s="40">
        <f t="shared" si="8"/>
        <v>0</v>
      </c>
      <c r="X84" s="59">
        <v>2</v>
      </c>
      <c r="Y84" s="62">
        <f t="shared" si="11"/>
        <v>5980</v>
      </c>
      <c r="Z84" s="40">
        <f t="shared" si="12"/>
        <v>11960</v>
      </c>
      <c r="AA84" s="71"/>
      <c r="AB84" s="71"/>
      <c r="AC84" s="40">
        <f t="shared" si="13"/>
        <v>11960</v>
      </c>
      <c r="AD84" s="98"/>
      <c r="AE84" s="29"/>
      <c r="AF84" s="4"/>
      <c r="AG84" s="4"/>
      <c r="AH84" s="1"/>
      <c r="AI84" s="4"/>
      <c r="AJ84" s="4"/>
      <c r="AK84" s="4"/>
      <c r="AL84" s="4"/>
      <c r="AM84" s="4"/>
      <c r="AN84" s="4"/>
      <c r="AO84" s="4"/>
      <c r="AP84" s="4"/>
    </row>
    <row r="85" spans="1:42" ht="35.1" customHeight="1" x14ac:dyDescent="0.2">
      <c r="A85" s="1"/>
      <c r="B85" s="6"/>
      <c r="C85" s="30" t="s">
        <v>136</v>
      </c>
      <c r="D85" s="30">
        <v>44</v>
      </c>
      <c r="E85" s="31" t="s">
        <v>253</v>
      </c>
      <c r="F85" s="30" t="s">
        <v>254</v>
      </c>
      <c r="G85" s="31" t="s">
        <v>250</v>
      </c>
      <c r="H85" s="30" t="s">
        <v>76</v>
      </c>
      <c r="I85" s="34">
        <v>1340</v>
      </c>
      <c r="J85" s="34">
        <v>900</v>
      </c>
      <c r="K85" s="69" t="s">
        <v>140</v>
      </c>
      <c r="L85" s="70">
        <f t="shared" si="9"/>
        <v>2240</v>
      </c>
      <c r="M85" s="34" t="s">
        <v>255</v>
      </c>
      <c r="N85" s="34" t="s">
        <v>256</v>
      </c>
      <c r="O85" s="116"/>
      <c r="P85" s="30">
        <v>2</v>
      </c>
      <c r="Q85" s="30" t="s">
        <v>152</v>
      </c>
      <c r="R85" s="58" t="s">
        <v>38</v>
      </c>
      <c r="S85" s="35" t="s">
        <v>39</v>
      </c>
      <c r="T85" s="110"/>
      <c r="U85" s="59">
        <v>0</v>
      </c>
      <c r="V85" s="38">
        <f t="shared" si="10"/>
        <v>5080</v>
      </c>
      <c r="W85" s="40">
        <f t="shared" si="8"/>
        <v>0</v>
      </c>
      <c r="X85" s="59">
        <v>2</v>
      </c>
      <c r="Y85" s="62">
        <f t="shared" si="11"/>
        <v>5980</v>
      </c>
      <c r="Z85" s="40">
        <f t="shared" si="12"/>
        <v>11960</v>
      </c>
      <c r="AA85" s="71"/>
      <c r="AB85" s="71"/>
      <c r="AC85" s="40">
        <f t="shared" si="13"/>
        <v>11960</v>
      </c>
      <c r="AD85" s="98"/>
      <c r="AE85" s="29"/>
      <c r="AF85" s="4"/>
      <c r="AG85" s="4"/>
      <c r="AH85" s="1"/>
      <c r="AI85" s="4"/>
      <c r="AJ85" s="4"/>
      <c r="AK85" s="4"/>
      <c r="AL85" s="4"/>
      <c r="AM85" s="4"/>
      <c r="AN85" s="4"/>
      <c r="AO85" s="4"/>
      <c r="AP85" s="4"/>
    </row>
    <row r="86" spans="1:42" ht="35.1" customHeight="1" x14ac:dyDescent="0.2">
      <c r="A86" s="1"/>
      <c r="B86" s="6"/>
      <c r="C86" s="30" t="s">
        <v>136</v>
      </c>
      <c r="D86" s="30">
        <v>45</v>
      </c>
      <c r="E86" s="31" t="s">
        <v>257</v>
      </c>
      <c r="F86" s="30" t="s">
        <v>258</v>
      </c>
      <c r="G86" s="31" t="s">
        <v>259</v>
      </c>
      <c r="H86" s="30" t="s">
        <v>76</v>
      </c>
      <c r="I86" s="34">
        <v>1340</v>
      </c>
      <c r="J86" s="34">
        <v>480.21</v>
      </c>
      <c r="K86" s="69" t="s">
        <v>147</v>
      </c>
      <c r="L86" s="70">
        <f t="shared" si="9"/>
        <v>1820.21</v>
      </c>
      <c r="M86" s="34" t="s">
        <v>246</v>
      </c>
      <c r="N86" s="34" t="s">
        <v>246</v>
      </c>
      <c r="O86" s="116"/>
      <c r="P86" s="30">
        <v>2</v>
      </c>
      <c r="Q86" s="30" t="s">
        <v>260</v>
      </c>
      <c r="R86" s="58" t="s">
        <v>38</v>
      </c>
      <c r="S86" s="35" t="s">
        <v>39</v>
      </c>
      <c r="T86" s="110"/>
      <c r="U86" s="59">
        <v>0</v>
      </c>
      <c r="V86" s="38">
        <f t="shared" si="10"/>
        <v>5080</v>
      </c>
      <c r="W86" s="40">
        <f t="shared" si="8"/>
        <v>0</v>
      </c>
      <c r="X86" s="59">
        <v>2</v>
      </c>
      <c r="Y86" s="62">
        <f t="shared" si="11"/>
        <v>5980</v>
      </c>
      <c r="Z86" s="40">
        <f t="shared" si="12"/>
        <v>11960</v>
      </c>
      <c r="AA86" s="71"/>
      <c r="AB86" s="71"/>
      <c r="AC86" s="40">
        <f t="shared" si="13"/>
        <v>11960</v>
      </c>
      <c r="AD86" s="98"/>
      <c r="AE86" s="29"/>
      <c r="AF86" s="4"/>
      <c r="AG86" s="4"/>
      <c r="AH86" s="1"/>
      <c r="AI86" s="4"/>
      <c r="AJ86" s="4"/>
      <c r="AK86" s="4"/>
      <c r="AL86" s="4"/>
      <c r="AM86" s="4"/>
      <c r="AN86" s="4"/>
      <c r="AO86" s="4"/>
      <c r="AP86" s="4"/>
    </row>
    <row r="87" spans="1:42" ht="35.1" customHeight="1" x14ac:dyDescent="0.2">
      <c r="A87" s="1"/>
      <c r="B87" s="6"/>
      <c r="C87" s="30" t="s">
        <v>136</v>
      </c>
      <c r="D87" s="30">
        <v>46</v>
      </c>
      <c r="E87" s="31" t="s">
        <v>261</v>
      </c>
      <c r="F87" s="30" t="s">
        <v>262</v>
      </c>
      <c r="G87" s="31" t="s">
        <v>250</v>
      </c>
      <c r="H87" s="30" t="s">
        <v>76</v>
      </c>
      <c r="I87" s="34">
        <v>790</v>
      </c>
      <c r="J87" s="34">
        <v>250</v>
      </c>
      <c r="K87" s="69" t="s">
        <v>147</v>
      </c>
      <c r="L87" s="70">
        <f t="shared" si="9"/>
        <v>1040</v>
      </c>
      <c r="M87" s="34" t="s">
        <v>246</v>
      </c>
      <c r="N87" s="34" t="s">
        <v>246</v>
      </c>
      <c r="O87" s="116"/>
      <c r="P87" s="30">
        <v>2</v>
      </c>
      <c r="Q87" s="30" t="s">
        <v>260</v>
      </c>
      <c r="R87" s="58" t="s">
        <v>38</v>
      </c>
      <c r="S87" s="35" t="s">
        <v>39</v>
      </c>
      <c r="T87" s="110"/>
      <c r="U87" s="59">
        <v>0</v>
      </c>
      <c r="V87" s="38">
        <f t="shared" si="10"/>
        <v>5080</v>
      </c>
      <c r="W87" s="40">
        <f t="shared" si="8"/>
        <v>0</v>
      </c>
      <c r="X87" s="59">
        <v>2</v>
      </c>
      <c r="Y87" s="62">
        <f t="shared" si="11"/>
        <v>5980</v>
      </c>
      <c r="Z87" s="40">
        <f t="shared" si="12"/>
        <v>11960</v>
      </c>
      <c r="AA87" s="71"/>
      <c r="AB87" s="71"/>
      <c r="AC87" s="40">
        <f t="shared" si="13"/>
        <v>11960</v>
      </c>
      <c r="AD87" s="98"/>
      <c r="AE87" s="29"/>
      <c r="AF87" s="4"/>
      <c r="AG87" s="4"/>
      <c r="AH87" s="1"/>
      <c r="AI87" s="4"/>
      <c r="AJ87" s="4"/>
      <c r="AK87" s="4"/>
      <c r="AL87" s="4"/>
      <c r="AM87" s="4"/>
      <c r="AN87" s="4"/>
      <c r="AO87" s="4"/>
      <c r="AP87" s="4"/>
    </row>
    <row r="88" spans="1:42" ht="35.1" customHeight="1" x14ac:dyDescent="0.2">
      <c r="A88" s="1"/>
      <c r="B88" s="6"/>
      <c r="C88" s="30" t="s">
        <v>136</v>
      </c>
      <c r="D88" s="30">
        <v>47</v>
      </c>
      <c r="E88" s="31" t="s">
        <v>263</v>
      </c>
      <c r="F88" s="30" t="s">
        <v>264</v>
      </c>
      <c r="G88" s="31" t="s">
        <v>265</v>
      </c>
      <c r="H88" s="30" t="s">
        <v>76</v>
      </c>
      <c r="I88" s="34">
        <v>1340</v>
      </c>
      <c r="J88" s="34">
        <v>720</v>
      </c>
      <c r="K88" s="69" t="s">
        <v>147</v>
      </c>
      <c r="L88" s="70">
        <f t="shared" si="9"/>
        <v>2060</v>
      </c>
      <c r="M88" s="34" t="s">
        <v>141</v>
      </c>
      <c r="N88" s="34" t="s">
        <v>141</v>
      </c>
      <c r="O88" s="117"/>
      <c r="P88" s="30">
        <v>2</v>
      </c>
      <c r="Q88" s="30" t="s">
        <v>162</v>
      </c>
      <c r="R88" s="58" t="s">
        <v>38</v>
      </c>
      <c r="S88" s="35" t="s">
        <v>39</v>
      </c>
      <c r="T88" s="110"/>
      <c r="U88" s="59">
        <v>0</v>
      </c>
      <c r="V88" s="38">
        <f t="shared" si="10"/>
        <v>5080</v>
      </c>
      <c r="W88" s="40">
        <f t="shared" si="8"/>
        <v>0</v>
      </c>
      <c r="X88" s="59">
        <v>2</v>
      </c>
      <c r="Y88" s="62">
        <f t="shared" si="11"/>
        <v>5980</v>
      </c>
      <c r="Z88" s="40">
        <f t="shared" si="12"/>
        <v>11960</v>
      </c>
      <c r="AA88" s="71"/>
      <c r="AB88" s="71"/>
      <c r="AC88" s="40">
        <f t="shared" si="13"/>
        <v>11960</v>
      </c>
      <c r="AD88" s="98"/>
      <c r="AE88" s="29"/>
      <c r="AF88" s="4"/>
      <c r="AG88" s="4"/>
      <c r="AH88" s="1"/>
      <c r="AI88" s="4"/>
      <c r="AJ88" s="4"/>
      <c r="AK88" s="4"/>
      <c r="AL88" s="4"/>
      <c r="AM88" s="4"/>
      <c r="AN88" s="4"/>
      <c r="AO88" s="4"/>
      <c r="AP88" s="4"/>
    </row>
    <row r="89" spans="1:42" ht="35.1" customHeight="1" x14ac:dyDescent="0.2">
      <c r="A89" s="1"/>
      <c r="B89" s="6"/>
      <c r="C89" s="30" t="s">
        <v>136</v>
      </c>
      <c r="D89" s="30">
        <v>48</v>
      </c>
      <c r="E89" s="31" t="s">
        <v>266</v>
      </c>
      <c r="F89" s="30"/>
      <c r="G89" s="31" t="s">
        <v>178</v>
      </c>
      <c r="H89" s="30" t="s">
        <v>76</v>
      </c>
      <c r="I89" s="34">
        <v>1500</v>
      </c>
      <c r="J89" s="34">
        <v>125.75</v>
      </c>
      <c r="K89" s="69" t="s">
        <v>147</v>
      </c>
      <c r="L89" s="70">
        <f t="shared" si="9"/>
        <v>1625.75</v>
      </c>
      <c r="M89" s="34" t="s">
        <v>246</v>
      </c>
      <c r="N89" s="34" t="s">
        <v>246</v>
      </c>
      <c r="O89" s="34" t="s">
        <v>246</v>
      </c>
      <c r="P89" s="30">
        <v>1</v>
      </c>
      <c r="Q89" s="30" t="s">
        <v>162</v>
      </c>
      <c r="R89" s="58" t="s">
        <v>38</v>
      </c>
      <c r="S89" s="35" t="s">
        <v>39</v>
      </c>
      <c r="T89" s="111"/>
      <c r="U89" s="59">
        <v>0</v>
      </c>
      <c r="V89" s="38">
        <f t="shared" si="10"/>
        <v>5080</v>
      </c>
      <c r="W89" s="40">
        <f t="shared" si="8"/>
        <v>0</v>
      </c>
      <c r="X89" s="59">
        <v>1</v>
      </c>
      <c r="Y89" s="62">
        <f t="shared" si="11"/>
        <v>5980</v>
      </c>
      <c r="Z89" s="40">
        <f t="shared" si="12"/>
        <v>5980</v>
      </c>
      <c r="AA89" s="71"/>
      <c r="AB89" s="71"/>
      <c r="AC89" s="40">
        <f t="shared" si="13"/>
        <v>5980</v>
      </c>
      <c r="AD89" s="98"/>
      <c r="AE89" s="29"/>
      <c r="AF89" s="4"/>
      <c r="AG89" s="4"/>
      <c r="AH89" s="1"/>
      <c r="AI89" s="4"/>
      <c r="AJ89" s="4"/>
      <c r="AK89" s="4"/>
      <c r="AL89" s="4"/>
      <c r="AM89" s="4"/>
      <c r="AN89" s="4"/>
      <c r="AO89" s="4"/>
      <c r="AP89" s="4"/>
    </row>
    <row r="90" spans="1:42" ht="35.1" customHeight="1" x14ac:dyDescent="0.2">
      <c r="A90" s="1"/>
      <c r="B90" s="6"/>
      <c r="C90" s="106" t="s">
        <v>71</v>
      </c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8"/>
      <c r="P90" s="64">
        <f>SUM(P50:P89)</f>
        <v>85</v>
      </c>
      <c r="Q90" s="43"/>
      <c r="R90" s="43"/>
      <c r="S90" s="45"/>
      <c r="T90" s="45"/>
      <c r="U90" s="72">
        <f>SUM(U50:U89)</f>
        <v>0</v>
      </c>
      <c r="V90" s="66" t="e">
        <f>W90/U90</f>
        <v>#DIV/0!</v>
      </c>
      <c r="W90" s="73">
        <f>SUM(W50:W89)</f>
        <v>0</v>
      </c>
      <c r="X90" s="72">
        <f>SUM(X50:X89)</f>
        <v>85</v>
      </c>
      <c r="Y90" s="73">
        <f>Z90/X90</f>
        <v>5980</v>
      </c>
      <c r="Z90" s="73">
        <f>SUM(Z50:Z89)</f>
        <v>508300</v>
      </c>
      <c r="AA90" s="67"/>
      <c r="AB90" s="67"/>
      <c r="AC90" s="73">
        <f>SUM(AC50:AC89)</f>
        <v>508300</v>
      </c>
      <c r="AD90" s="125"/>
      <c r="AE90" s="45"/>
      <c r="AF90" s="4"/>
      <c r="AG90" s="4"/>
      <c r="AH90" s="1"/>
      <c r="AI90" s="4"/>
      <c r="AJ90" s="4"/>
      <c r="AK90" s="4"/>
      <c r="AL90" s="4"/>
      <c r="AM90" s="4"/>
      <c r="AN90" s="4"/>
      <c r="AO90" s="4"/>
      <c r="AP90" s="4"/>
    </row>
    <row r="91" spans="1:42" ht="44.25" customHeight="1" x14ac:dyDescent="0.2">
      <c r="A91" s="1" t="s">
        <v>0</v>
      </c>
      <c r="B91" s="6"/>
      <c r="C91" s="51" t="s">
        <v>2</v>
      </c>
      <c r="D91" s="51" t="s">
        <v>3</v>
      </c>
      <c r="E91" s="51" t="s">
        <v>4</v>
      </c>
      <c r="F91" s="51" t="s">
        <v>5</v>
      </c>
      <c r="G91" s="51" t="s">
        <v>6</v>
      </c>
      <c r="H91" s="51" t="s">
        <v>7</v>
      </c>
      <c r="I91" s="52" t="s">
        <v>8</v>
      </c>
      <c r="J91" s="53" t="s">
        <v>9</v>
      </c>
      <c r="K91" s="53" t="s">
        <v>10</v>
      </c>
      <c r="L91" s="53" t="s">
        <v>11</v>
      </c>
      <c r="M91" s="53" t="s">
        <v>12</v>
      </c>
      <c r="N91" s="53" t="s">
        <v>13</v>
      </c>
      <c r="O91" s="53" t="s">
        <v>14</v>
      </c>
      <c r="P91" s="53" t="s">
        <v>15</v>
      </c>
      <c r="Q91" s="53" t="s">
        <v>16</v>
      </c>
      <c r="R91" s="54" t="s">
        <v>17</v>
      </c>
      <c r="S91" s="55" t="s">
        <v>18</v>
      </c>
      <c r="T91" s="109"/>
      <c r="U91" s="68" t="s">
        <v>19</v>
      </c>
      <c r="V91" s="68" t="s">
        <v>20</v>
      </c>
      <c r="W91" s="56" t="s">
        <v>26</v>
      </c>
      <c r="X91" s="68" t="s">
        <v>22</v>
      </c>
      <c r="Y91" s="56" t="s">
        <v>23</v>
      </c>
      <c r="Z91" s="56" t="s">
        <v>26</v>
      </c>
      <c r="AA91" s="56" t="s">
        <v>24</v>
      </c>
      <c r="AB91" s="56" t="s">
        <v>25</v>
      </c>
      <c r="AC91" s="56" t="s">
        <v>26</v>
      </c>
      <c r="AD91" s="27" t="s">
        <v>27</v>
      </c>
      <c r="AE91" s="29"/>
      <c r="AF91" s="4"/>
      <c r="AG91" s="4"/>
      <c r="AH91" s="1" t="s">
        <v>0</v>
      </c>
      <c r="AI91" s="4"/>
      <c r="AJ91" s="4"/>
      <c r="AK91" s="4"/>
      <c r="AL91" s="4"/>
      <c r="AM91" s="4"/>
      <c r="AN91" s="4"/>
      <c r="AO91" s="4"/>
      <c r="AP91" s="4"/>
    </row>
    <row r="92" spans="1:42" ht="35.1" customHeight="1" x14ac:dyDescent="0.2">
      <c r="A92" s="1"/>
      <c r="B92" s="6"/>
      <c r="C92" s="30" t="s">
        <v>267</v>
      </c>
      <c r="D92" s="30">
        <v>1</v>
      </c>
      <c r="E92" s="31" t="s">
        <v>268</v>
      </c>
      <c r="F92" s="30">
        <v>87015280</v>
      </c>
      <c r="G92" s="31" t="s">
        <v>269</v>
      </c>
      <c r="H92" s="31" t="s">
        <v>32</v>
      </c>
      <c r="I92" s="57">
        <v>2137</v>
      </c>
      <c r="J92" s="57">
        <v>397</v>
      </c>
      <c r="K92" s="32" t="s">
        <v>140</v>
      </c>
      <c r="L92" s="57">
        <v>7685.71</v>
      </c>
      <c r="M92" s="30" t="s">
        <v>270</v>
      </c>
      <c r="N92" s="30" t="s">
        <v>270</v>
      </c>
      <c r="O92" s="33" t="s">
        <v>271</v>
      </c>
      <c r="P92" s="30">
        <v>3</v>
      </c>
      <c r="Q92" s="31" t="s">
        <v>272</v>
      </c>
      <c r="R92" s="58" t="s">
        <v>38</v>
      </c>
      <c r="S92" s="35" t="s">
        <v>39</v>
      </c>
      <c r="T92" s="110"/>
      <c r="U92" s="59">
        <v>0</v>
      </c>
      <c r="V92" s="38">
        <f t="shared" ref="V92:V155" si="14">5380-300</f>
        <v>5080</v>
      </c>
      <c r="W92" s="40">
        <f t="shared" ref="W92:W155" si="15">V92*U92</f>
        <v>0</v>
      </c>
      <c r="X92" s="59">
        <v>3</v>
      </c>
      <c r="Y92" s="62">
        <f t="shared" si="11"/>
        <v>5980</v>
      </c>
      <c r="Z92" s="40">
        <f t="shared" ref="Z92:Z155" si="16">Y92*X92</f>
        <v>17940</v>
      </c>
      <c r="AA92" s="71"/>
      <c r="AB92" s="71"/>
      <c r="AC92" s="40">
        <f t="shared" ref="AC92:AC155" si="17">Z92+W92</f>
        <v>17940</v>
      </c>
      <c r="AD92" s="98"/>
      <c r="AE92" s="29"/>
      <c r="AF92" s="4"/>
      <c r="AG92" s="4"/>
      <c r="AH92" s="1"/>
      <c r="AI92" s="4"/>
      <c r="AJ92" s="4"/>
      <c r="AK92" s="4"/>
      <c r="AL92" s="4"/>
      <c r="AM92" s="4"/>
      <c r="AN92" s="4"/>
      <c r="AO92" s="4"/>
      <c r="AP92" s="4"/>
    </row>
    <row r="93" spans="1:42" ht="35.1" customHeight="1" x14ac:dyDescent="0.2">
      <c r="A93" s="1"/>
      <c r="B93" s="6"/>
      <c r="C93" s="30" t="s">
        <v>267</v>
      </c>
      <c r="D93" s="30">
        <v>2</v>
      </c>
      <c r="E93" s="31" t="s">
        <v>273</v>
      </c>
      <c r="F93" s="30">
        <v>87023280</v>
      </c>
      <c r="G93" s="31" t="s">
        <v>269</v>
      </c>
      <c r="H93" s="31" t="s">
        <v>32</v>
      </c>
      <c r="I93" s="57">
        <v>880</v>
      </c>
      <c r="J93" s="57">
        <v>215</v>
      </c>
      <c r="K93" s="32" t="s">
        <v>274</v>
      </c>
      <c r="L93" s="57">
        <v>1558.79</v>
      </c>
      <c r="M93" s="30" t="s">
        <v>275</v>
      </c>
      <c r="N93" s="30" t="s">
        <v>275</v>
      </c>
      <c r="O93" s="33" t="s">
        <v>276</v>
      </c>
      <c r="P93" s="30">
        <v>3</v>
      </c>
      <c r="Q93" s="31" t="s">
        <v>277</v>
      </c>
      <c r="R93" s="58" t="s">
        <v>38</v>
      </c>
      <c r="S93" s="35" t="s">
        <v>39</v>
      </c>
      <c r="T93" s="110"/>
      <c r="U93" s="59">
        <v>0</v>
      </c>
      <c r="V93" s="38">
        <f t="shared" si="14"/>
        <v>5080</v>
      </c>
      <c r="W93" s="40">
        <f t="shared" si="15"/>
        <v>0</v>
      </c>
      <c r="X93" s="59">
        <v>3</v>
      </c>
      <c r="Y93" s="62">
        <f t="shared" si="11"/>
        <v>5980</v>
      </c>
      <c r="Z93" s="40">
        <f t="shared" si="16"/>
        <v>17940</v>
      </c>
      <c r="AA93" s="71"/>
      <c r="AB93" s="71"/>
      <c r="AC93" s="40">
        <f t="shared" si="17"/>
        <v>17940</v>
      </c>
      <c r="AD93" s="98"/>
      <c r="AE93" s="29"/>
      <c r="AF93" s="4"/>
      <c r="AG93" s="4"/>
      <c r="AH93" s="1"/>
      <c r="AI93" s="4"/>
      <c r="AJ93" s="4"/>
      <c r="AK93" s="4"/>
      <c r="AL93" s="4"/>
      <c r="AM93" s="4"/>
      <c r="AN93" s="4"/>
      <c r="AO93" s="4"/>
      <c r="AP93" s="4"/>
    </row>
    <row r="94" spans="1:42" ht="35.1" customHeight="1" x14ac:dyDescent="0.2">
      <c r="A94" s="1"/>
      <c r="B94" s="6"/>
      <c r="C94" s="30" t="s">
        <v>267</v>
      </c>
      <c r="D94" s="30">
        <v>4</v>
      </c>
      <c r="E94" s="31" t="s">
        <v>278</v>
      </c>
      <c r="F94" s="30">
        <v>87705000</v>
      </c>
      <c r="G94" s="31" t="s">
        <v>279</v>
      </c>
      <c r="H94" s="31" t="s">
        <v>32</v>
      </c>
      <c r="I94" s="57">
        <v>1357</v>
      </c>
      <c r="J94" s="57">
        <v>597</v>
      </c>
      <c r="K94" s="32" t="s">
        <v>280</v>
      </c>
      <c r="L94" s="57">
        <v>2726.64</v>
      </c>
      <c r="M94" s="30" t="s">
        <v>275</v>
      </c>
      <c r="N94" s="30" t="s">
        <v>275</v>
      </c>
      <c r="O94" s="33" t="s">
        <v>281</v>
      </c>
      <c r="P94" s="30">
        <v>3</v>
      </c>
      <c r="Q94" s="31" t="s">
        <v>282</v>
      </c>
      <c r="R94" s="58" t="s">
        <v>38</v>
      </c>
      <c r="S94" s="35" t="s">
        <v>39</v>
      </c>
      <c r="T94" s="110"/>
      <c r="U94" s="59">
        <v>0</v>
      </c>
      <c r="V94" s="38">
        <f t="shared" si="14"/>
        <v>5080</v>
      </c>
      <c r="W94" s="40">
        <f t="shared" si="15"/>
        <v>0</v>
      </c>
      <c r="X94" s="59">
        <v>3</v>
      </c>
      <c r="Y94" s="62">
        <f t="shared" si="11"/>
        <v>5980</v>
      </c>
      <c r="Z94" s="40">
        <f t="shared" si="16"/>
        <v>17940</v>
      </c>
      <c r="AA94" s="71"/>
      <c r="AB94" s="71"/>
      <c r="AC94" s="40">
        <f t="shared" si="17"/>
        <v>17940</v>
      </c>
      <c r="AD94" s="98"/>
      <c r="AE94" s="29"/>
      <c r="AF94" s="4"/>
      <c r="AG94" s="4"/>
      <c r="AH94" s="1"/>
      <c r="AI94" s="4"/>
      <c r="AJ94" s="4"/>
      <c r="AK94" s="4"/>
      <c r="AL94" s="4"/>
      <c r="AM94" s="4"/>
      <c r="AN94" s="4"/>
      <c r="AO94" s="4"/>
      <c r="AP94" s="4"/>
    </row>
    <row r="95" spans="1:42" ht="35.1" customHeight="1" x14ac:dyDescent="0.2">
      <c r="A95" s="1"/>
      <c r="B95" s="6"/>
      <c r="C95" s="30" t="s">
        <v>267</v>
      </c>
      <c r="D95" s="30">
        <v>5</v>
      </c>
      <c r="E95" s="31" t="s">
        <v>283</v>
      </c>
      <c r="F95" s="30">
        <v>79830030</v>
      </c>
      <c r="G95" s="31" t="s">
        <v>284</v>
      </c>
      <c r="H95" s="31" t="s">
        <v>285</v>
      </c>
      <c r="I95" s="57">
        <v>2400</v>
      </c>
      <c r="J95" s="57">
        <v>975</v>
      </c>
      <c r="K95" s="32" t="s">
        <v>280</v>
      </c>
      <c r="L95" s="57">
        <v>9682.09</v>
      </c>
      <c r="M95" s="30" t="s">
        <v>286</v>
      </c>
      <c r="N95" s="30" t="s">
        <v>286</v>
      </c>
      <c r="O95" s="33" t="s">
        <v>287</v>
      </c>
      <c r="P95" s="30">
        <v>4</v>
      </c>
      <c r="Q95" s="31" t="s">
        <v>288</v>
      </c>
      <c r="R95" s="58" t="s">
        <v>38</v>
      </c>
      <c r="S95" s="35" t="s">
        <v>39</v>
      </c>
      <c r="T95" s="110"/>
      <c r="U95" s="59">
        <v>0</v>
      </c>
      <c r="V95" s="38">
        <f t="shared" si="14"/>
        <v>5080</v>
      </c>
      <c r="W95" s="40">
        <f t="shared" si="15"/>
        <v>0</v>
      </c>
      <c r="X95" s="59">
        <v>4</v>
      </c>
      <c r="Y95" s="62">
        <f t="shared" si="11"/>
        <v>5980</v>
      </c>
      <c r="Z95" s="40">
        <f t="shared" si="16"/>
        <v>23920</v>
      </c>
      <c r="AA95" s="71"/>
      <c r="AB95" s="71"/>
      <c r="AC95" s="40">
        <f t="shared" si="17"/>
        <v>23920</v>
      </c>
      <c r="AD95" s="98"/>
      <c r="AE95" s="29"/>
      <c r="AF95" s="4"/>
      <c r="AG95" s="4"/>
      <c r="AH95" s="1"/>
      <c r="AI95" s="4"/>
      <c r="AJ95" s="4"/>
      <c r="AK95" s="4"/>
      <c r="AL95" s="4"/>
      <c r="AM95" s="4"/>
      <c r="AN95" s="4"/>
      <c r="AO95" s="4"/>
      <c r="AP95" s="4"/>
    </row>
    <row r="96" spans="1:42" ht="35.1" customHeight="1" x14ac:dyDescent="0.2">
      <c r="A96" s="1"/>
      <c r="B96" s="6"/>
      <c r="C96" s="30" t="s">
        <v>267</v>
      </c>
      <c r="D96" s="30">
        <v>6</v>
      </c>
      <c r="E96" s="31" t="s">
        <v>289</v>
      </c>
      <c r="F96" s="30">
        <v>87010000</v>
      </c>
      <c r="G96" s="31" t="s">
        <v>269</v>
      </c>
      <c r="H96" s="31" t="s">
        <v>32</v>
      </c>
      <c r="I96" s="57">
        <v>2168</v>
      </c>
      <c r="J96" s="57">
        <v>841</v>
      </c>
      <c r="K96" s="32" t="s">
        <v>140</v>
      </c>
      <c r="L96" s="57">
        <v>4350.55</v>
      </c>
      <c r="M96" s="30" t="s">
        <v>290</v>
      </c>
      <c r="N96" s="30" t="s">
        <v>290</v>
      </c>
      <c r="O96" s="33" t="s">
        <v>291</v>
      </c>
      <c r="P96" s="30">
        <v>3</v>
      </c>
      <c r="Q96" s="31" t="s">
        <v>292</v>
      </c>
      <c r="R96" s="58" t="s">
        <v>38</v>
      </c>
      <c r="S96" s="35" t="s">
        <v>39</v>
      </c>
      <c r="T96" s="110"/>
      <c r="U96" s="59">
        <v>0</v>
      </c>
      <c r="V96" s="38">
        <f t="shared" si="14"/>
        <v>5080</v>
      </c>
      <c r="W96" s="40">
        <f t="shared" si="15"/>
        <v>0</v>
      </c>
      <c r="X96" s="59">
        <v>3</v>
      </c>
      <c r="Y96" s="62">
        <f t="shared" si="11"/>
        <v>5980</v>
      </c>
      <c r="Z96" s="40">
        <f t="shared" si="16"/>
        <v>17940</v>
      </c>
      <c r="AA96" s="71"/>
      <c r="AB96" s="71"/>
      <c r="AC96" s="40">
        <f t="shared" si="17"/>
        <v>17940</v>
      </c>
      <c r="AD96" s="98"/>
      <c r="AE96" s="29"/>
      <c r="AF96" s="4"/>
      <c r="AG96" s="4"/>
      <c r="AH96" s="1"/>
      <c r="AI96" s="4"/>
      <c r="AJ96" s="4"/>
      <c r="AK96" s="4"/>
      <c r="AL96" s="4"/>
      <c r="AM96" s="4"/>
      <c r="AN96" s="4"/>
      <c r="AO96" s="4"/>
      <c r="AP96" s="4"/>
    </row>
    <row r="97" spans="1:42" ht="35.1" customHeight="1" x14ac:dyDescent="0.2">
      <c r="A97" s="1"/>
      <c r="B97" s="6"/>
      <c r="C97" s="30" t="s">
        <v>267</v>
      </c>
      <c r="D97" s="30">
        <v>7</v>
      </c>
      <c r="E97" s="31" t="s">
        <v>293</v>
      </c>
      <c r="F97" s="30">
        <v>86900000</v>
      </c>
      <c r="G97" s="31" t="s">
        <v>294</v>
      </c>
      <c r="H97" s="31" t="s">
        <v>32</v>
      </c>
      <c r="I97" s="57">
        <v>2186</v>
      </c>
      <c r="J97" s="57">
        <v>1720</v>
      </c>
      <c r="K97" s="32" t="s">
        <v>140</v>
      </c>
      <c r="L97" s="57">
        <v>5404.78</v>
      </c>
      <c r="M97" s="30" t="s">
        <v>295</v>
      </c>
      <c r="N97" s="30" t="s">
        <v>295</v>
      </c>
      <c r="O97" s="33" t="s">
        <v>296</v>
      </c>
      <c r="P97" s="30">
        <v>4</v>
      </c>
      <c r="Q97" s="31" t="s">
        <v>297</v>
      </c>
      <c r="R97" s="58" t="s">
        <v>38</v>
      </c>
      <c r="S97" s="35" t="s">
        <v>39</v>
      </c>
      <c r="T97" s="110"/>
      <c r="U97" s="59">
        <v>0</v>
      </c>
      <c r="V97" s="38">
        <f t="shared" si="14"/>
        <v>5080</v>
      </c>
      <c r="W97" s="40">
        <f t="shared" si="15"/>
        <v>0</v>
      </c>
      <c r="X97" s="59">
        <v>4</v>
      </c>
      <c r="Y97" s="62">
        <f t="shared" si="11"/>
        <v>5980</v>
      </c>
      <c r="Z97" s="40">
        <f t="shared" si="16"/>
        <v>23920</v>
      </c>
      <c r="AA97" s="71"/>
      <c r="AB97" s="71"/>
      <c r="AC97" s="40">
        <f t="shared" si="17"/>
        <v>23920</v>
      </c>
      <c r="AD97" s="98"/>
      <c r="AE97" s="29"/>
      <c r="AF97" s="4"/>
      <c r="AG97" s="4"/>
      <c r="AH97" s="1"/>
      <c r="AI97" s="4"/>
      <c r="AJ97" s="4"/>
      <c r="AK97" s="4"/>
      <c r="AL97" s="4"/>
      <c r="AM97" s="4"/>
      <c r="AN97" s="4"/>
      <c r="AO97" s="4"/>
      <c r="AP97" s="4"/>
    </row>
    <row r="98" spans="1:42" ht="35.1" customHeight="1" x14ac:dyDescent="0.2">
      <c r="A98" s="1"/>
      <c r="B98" s="6"/>
      <c r="C98" s="30" t="s">
        <v>267</v>
      </c>
      <c r="D98" s="30">
        <v>8</v>
      </c>
      <c r="E98" s="31" t="s">
        <v>298</v>
      </c>
      <c r="F98" s="30">
        <v>87701000</v>
      </c>
      <c r="G98" s="31" t="s">
        <v>279</v>
      </c>
      <c r="H98" s="31" t="s">
        <v>32</v>
      </c>
      <c r="I98" s="57">
        <v>3230</v>
      </c>
      <c r="J98" s="57">
        <v>1001</v>
      </c>
      <c r="K98" s="32" t="s">
        <v>140</v>
      </c>
      <c r="L98" s="57">
        <v>6119.87</v>
      </c>
      <c r="M98" s="30" t="s">
        <v>290</v>
      </c>
      <c r="N98" s="30" t="s">
        <v>290</v>
      </c>
      <c r="O98" s="33" t="s">
        <v>291</v>
      </c>
      <c r="P98" s="30">
        <v>4</v>
      </c>
      <c r="Q98" s="31" t="s">
        <v>282</v>
      </c>
      <c r="R98" s="58" t="s">
        <v>38</v>
      </c>
      <c r="S98" s="35" t="s">
        <v>39</v>
      </c>
      <c r="T98" s="110"/>
      <c r="U98" s="59">
        <v>0</v>
      </c>
      <c r="V98" s="38">
        <f t="shared" si="14"/>
        <v>5080</v>
      </c>
      <c r="W98" s="40">
        <f t="shared" si="15"/>
        <v>0</v>
      </c>
      <c r="X98" s="59">
        <v>4</v>
      </c>
      <c r="Y98" s="62">
        <f t="shared" si="11"/>
        <v>5980</v>
      </c>
      <c r="Z98" s="40">
        <f t="shared" si="16"/>
        <v>23920</v>
      </c>
      <c r="AA98" s="71"/>
      <c r="AB98" s="71"/>
      <c r="AC98" s="40">
        <f t="shared" si="17"/>
        <v>23920</v>
      </c>
      <c r="AD98" s="98"/>
      <c r="AE98" s="29"/>
      <c r="AF98" s="4"/>
      <c r="AG98" s="4"/>
      <c r="AH98" s="1"/>
      <c r="AI98" s="4"/>
      <c r="AJ98" s="4"/>
      <c r="AK98" s="4"/>
      <c r="AL98" s="4"/>
      <c r="AM98" s="4"/>
      <c r="AN98" s="4"/>
      <c r="AO98" s="4"/>
      <c r="AP98" s="4"/>
    </row>
    <row r="99" spans="1:42" ht="35.1" customHeight="1" x14ac:dyDescent="0.2">
      <c r="A99" s="1"/>
      <c r="B99" s="6"/>
      <c r="C99" s="30" t="s">
        <v>267</v>
      </c>
      <c r="D99" s="30">
        <v>9</v>
      </c>
      <c r="E99" s="31" t="s">
        <v>299</v>
      </c>
      <c r="F99" s="30">
        <v>87033070</v>
      </c>
      <c r="G99" s="31" t="s">
        <v>269</v>
      </c>
      <c r="H99" s="31" t="s">
        <v>32</v>
      </c>
      <c r="I99" s="57">
        <v>2378</v>
      </c>
      <c r="J99" s="57">
        <v>994</v>
      </c>
      <c r="K99" s="32" t="s">
        <v>140</v>
      </c>
      <c r="L99" s="57">
        <v>7126.97</v>
      </c>
      <c r="M99" s="30" t="s">
        <v>290</v>
      </c>
      <c r="N99" s="30" t="s">
        <v>290</v>
      </c>
      <c r="O99" s="33" t="s">
        <v>300</v>
      </c>
      <c r="P99" s="30">
        <v>6</v>
      </c>
      <c r="Q99" s="31" t="s">
        <v>301</v>
      </c>
      <c r="R99" s="58" t="s">
        <v>38</v>
      </c>
      <c r="S99" s="35" t="s">
        <v>39</v>
      </c>
      <c r="T99" s="110"/>
      <c r="U99" s="59">
        <v>2</v>
      </c>
      <c r="V99" s="38">
        <f t="shared" si="14"/>
        <v>5080</v>
      </c>
      <c r="W99" s="40">
        <f t="shared" si="15"/>
        <v>10160</v>
      </c>
      <c r="X99" s="59">
        <v>4</v>
      </c>
      <c r="Y99" s="62">
        <f t="shared" si="11"/>
        <v>5980</v>
      </c>
      <c r="Z99" s="40">
        <f t="shared" si="16"/>
        <v>23920</v>
      </c>
      <c r="AA99" s="71"/>
      <c r="AB99" s="71"/>
      <c r="AC99" s="40">
        <f t="shared" si="17"/>
        <v>34080</v>
      </c>
      <c r="AD99" s="98"/>
      <c r="AE99" s="29"/>
      <c r="AF99" s="4"/>
      <c r="AG99" s="4"/>
      <c r="AH99" s="1"/>
      <c r="AI99" s="4"/>
      <c r="AJ99" s="4"/>
      <c r="AK99" s="4"/>
      <c r="AL99" s="4"/>
      <c r="AM99" s="4"/>
      <c r="AN99" s="4"/>
      <c r="AO99" s="4"/>
      <c r="AP99" s="4"/>
    </row>
    <row r="100" spans="1:42" ht="35.1" customHeight="1" x14ac:dyDescent="0.2">
      <c r="A100" s="1"/>
      <c r="B100" s="6"/>
      <c r="C100" s="30" t="s">
        <v>267</v>
      </c>
      <c r="D100" s="30">
        <v>11</v>
      </c>
      <c r="E100" s="31" t="s">
        <v>302</v>
      </c>
      <c r="F100" s="30">
        <v>87013210</v>
      </c>
      <c r="G100" s="31" t="s">
        <v>269</v>
      </c>
      <c r="H100" s="31" t="s">
        <v>32</v>
      </c>
      <c r="I100" s="57">
        <v>2434</v>
      </c>
      <c r="J100" s="57">
        <v>805</v>
      </c>
      <c r="K100" s="32" t="s">
        <v>303</v>
      </c>
      <c r="L100" s="57">
        <v>5255.64</v>
      </c>
      <c r="M100" s="30" t="s">
        <v>295</v>
      </c>
      <c r="N100" s="30" t="s">
        <v>295</v>
      </c>
      <c r="O100" s="33" t="s">
        <v>300</v>
      </c>
      <c r="P100" s="30">
        <v>4</v>
      </c>
      <c r="Q100" s="31" t="s">
        <v>304</v>
      </c>
      <c r="R100" s="58" t="s">
        <v>38</v>
      </c>
      <c r="S100" s="35" t="s">
        <v>39</v>
      </c>
      <c r="T100" s="110"/>
      <c r="U100" s="59">
        <v>0</v>
      </c>
      <c r="V100" s="38">
        <f t="shared" si="14"/>
        <v>5080</v>
      </c>
      <c r="W100" s="40">
        <f t="shared" si="15"/>
        <v>0</v>
      </c>
      <c r="X100" s="59">
        <v>4</v>
      </c>
      <c r="Y100" s="62">
        <f t="shared" si="11"/>
        <v>5980</v>
      </c>
      <c r="Z100" s="40">
        <f t="shared" si="16"/>
        <v>23920</v>
      </c>
      <c r="AA100" s="71"/>
      <c r="AB100" s="71"/>
      <c r="AC100" s="40">
        <f t="shared" si="17"/>
        <v>23920</v>
      </c>
      <c r="AD100" s="98"/>
      <c r="AE100" s="29"/>
      <c r="AF100" s="4"/>
      <c r="AG100" s="4"/>
      <c r="AH100" s="1"/>
      <c r="AI100" s="4"/>
      <c r="AJ100" s="4"/>
      <c r="AK100" s="4"/>
      <c r="AL100" s="4"/>
      <c r="AM100" s="4"/>
      <c r="AN100" s="4"/>
      <c r="AO100" s="4"/>
      <c r="AP100" s="4"/>
    </row>
    <row r="101" spans="1:42" ht="35.1" customHeight="1" x14ac:dyDescent="0.2">
      <c r="A101" s="1"/>
      <c r="B101" s="6"/>
      <c r="C101" s="30" t="s">
        <v>267</v>
      </c>
      <c r="D101" s="30">
        <v>13</v>
      </c>
      <c r="E101" s="31" t="s">
        <v>305</v>
      </c>
      <c r="F101" s="30">
        <v>87200338</v>
      </c>
      <c r="G101" s="31" t="s">
        <v>306</v>
      </c>
      <c r="H101" s="31" t="s">
        <v>32</v>
      </c>
      <c r="I101" s="57">
        <v>2106</v>
      </c>
      <c r="J101" s="57">
        <v>657</v>
      </c>
      <c r="K101" s="32" t="s">
        <v>140</v>
      </c>
      <c r="L101" s="57">
        <v>4874.8</v>
      </c>
      <c r="M101" s="30" t="s">
        <v>290</v>
      </c>
      <c r="N101" s="30" t="s">
        <v>290</v>
      </c>
      <c r="O101" s="33" t="s">
        <v>307</v>
      </c>
      <c r="P101" s="30">
        <v>4</v>
      </c>
      <c r="Q101" s="31" t="s">
        <v>282</v>
      </c>
      <c r="R101" s="58" t="s">
        <v>38</v>
      </c>
      <c r="S101" s="35" t="s">
        <v>39</v>
      </c>
      <c r="T101" s="110"/>
      <c r="U101" s="59">
        <v>0</v>
      </c>
      <c r="V101" s="38">
        <f t="shared" si="14"/>
        <v>5080</v>
      </c>
      <c r="W101" s="40">
        <f t="shared" si="15"/>
        <v>0</v>
      </c>
      <c r="X101" s="59">
        <v>4</v>
      </c>
      <c r="Y101" s="62">
        <f t="shared" si="11"/>
        <v>5980</v>
      </c>
      <c r="Z101" s="40">
        <f t="shared" si="16"/>
        <v>23920</v>
      </c>
      <c r="AA101" s="71"/>
      <c r="AB101" s="71"/>
      <c r="AC101" s="40">
        <f t="shared" si="17"/>
        <v>23920</v>
      </c>
      <c r="AD101" s="98"/>
      <c r="AE101" s="29"/>
      <c r="AF101" s="4"/>
      <c r="AG101" s="4"/>
      <c r="AH101" s="1"/>
      <c r="AI101" s="4"/>
      <c r="AJ101" s="4"/>
      <c r="AK101" s="4"/>
      <c r="AL101" s="4"/>
      <c r="AM101" s="4"/>
      <c r="AN101" s="4"/>
      <c r="AO101" s="4"/>
      <c r="AP101" s="4"/>
    </row>
    <row r="102" spans="1:42" ht="35.1" customHeight="1" x14ac:dyDescent="0.2">
      <c r="A102" s="1"/>
      <c r="B102" s="6"/>
      <c r="C102" s="30" t="s">
        <v>267</v>
      </c>
      <c r="D102" s="30">
        <v>18</v>
      </c>
      <c r="E102" s="31" t="s">
        <v>308</v>
      </c>
      <c r="F102" s="30">
        <v>86060000</v>
      </c>
      <c r="G102" s="31" t="s">
        <v>309</v>
      </c>
      <c r="H102" s="31" t="s">
        <v>32</v>
      </c>
      <c r="I102" s="57">
        <v>1281</v>
      </c>
      <c r="J102" s="57">
        <v>637</v>
      </c>
      <c r="K102" s="32" t="s">
        <v>140</v>
      </c>
      <c r="L102" s="57">
        <v>2870</v>
      </c>
      <c r="M102" s="30" t="s">
        <v>295</v>
      </c>
      <c r="N102" s="30" t="s">
        <v>295</v>
      </c>
      <c r="O102" s="33" t="s">
        <v>310</v>
      </c>
      <c r="P102" s="30">
        <v>4</v>
      </c>
      <c r="Q102" s="31" t="s">
        <v>311</v>
      </c>
      <c r="R102" s="58" t="s">
        <v>38</v>
      </c>
      <c r="S102" s="35" t="s">
        <v>39</v>
      </c>
      <c r="T102" s="110"/>
      <c r="U102" s="59">
        <v>0</v>
      </c>
      <c r="V102" s="38">
        <f t="shared" si="14"/>
        <v>5080</v>
      </c>
      <c r="W102" s="40">
        <f t="shared" si="15"/>
        <v>0</v>
      </c>
      <c r="X102" s="59">
        <v>4</v>
      </c>
      <c r="Y102" s="62">
        <f t="shared" si="11"/>
        <v>5980</v>
      </c>
      <c r="Z102" s="40">
        <f t="shared" si="16"/>
        <v>23920</v>
      </c>
      <c r="AA102" s="71"/>
      <c r="AB102" s="71"/>
      <c r="AC102" s="40">
        <f t="shared" si="17"/>
        <v>23920</v>
      </c>
      <c r="AD102" s="98"/>
      <c r="AE102" s="29"/>
      <c r="AF102" s="4"/>
      <c r="AG102" s="4"/>
      <c r="AH102" s="1"/>
      <c r="AI102" s="4"/>
      <c r="AJ102" s="4"/>
      <c r="AK102" s="4"/>
      <c r="AL102" s="4"/>
      <c r="AM102" s="4"/>
      <c r="AN102" s="4"/>
      <c r="AO102" s="4"/>
      <c r="AP102" s="4"/>
    </row>
    <row r="103" spans="1:42" ht="35.1" customHeight="1" x14ac:dyDescent="0.2">
      <c r="A103" s="1"/>
      <c r="B103" s="6"/>
      <c r="C103" s="30" t="s">
        <v>267</v>
      </c>
      <c r="D103" s="30">
        <v>19</v>
      </c>
      <c r="E103" s="31" t="s">
        <v>312</v>
      </c>
      <c r="F103" s="30">
        <v>86071000</v>
      </c>
      <c r="G103" s="31" t="s">
        <v>309</v>
      </c>
      <c r="H103" s="31" t="s">
        <v>32</v>
      </c>
      <c r="I103" s="57">
        <v>2623</v>
      </c>
      <c r="J103" s="57">
        <v>1125</v>
      </c>
      <c r="K103" s="32" t="s">
        <v>140</v>
      </c>
      <c r="L103" s="57">
        <v>4415</v>
      </c>
      <c r="M103" s="30" t="s">
        <v>290</v>
      </c>
      <c r="N103" s="30" t="s">
        <v>290</v>
      </c>
      <c r="O103" s="33" t="s">
        <v>313</v>
      </c>
      <c r="P103" s="30">
        <v>4</v>
      </c>
      <c r="Q103" s="31" t="s">
        <v>297</v>
      </c>
      <c r="R103" s="58" t="s">
        <v>38</v>
      </c>
      <c r="S103" s="35" t="s">
        <v>39</v>
      </c>
      <c r="T103" s="110"/>
      <c r="U103" s="59">
        <v>0</v>
      </c>
      <c r="V103" s="38">
        <f t="shared" si="14"/>
        <v>5080</v>
      </c>
      <c r="W103" s="40">
        <f t="shared" si="15"/>
        <v>0</v>
      </c>
      <c r="X103" s="59">
        <v>4</v>
      </c>
      <c r="Y103" s="62">
        <f t="shared" si="11"/>
        <v>5980</v>
      </c>
      <c r="Z103" s="40">
        <f t="shared" si="16"/>
        <v>23920</v>
      </c>
      <c r="AA103" s="71"/>
      <c r="AB103" s="71"/>
      <c r="AC103" s="40">
        <f t="shared" si="17"/>
        <v>23920</v>
      </c>
      <c r="AD103" s="98"/>
      <c r="AE103" s="29"/>
      <c r="AF103" s="4"/>
      <c r="AG103" s="4"/>
      <c r="AH103" s="1"/>
      <c r="AI103" s="4"/>
      <c r="AJ103" s="4"/>
      <c r="AK103" s="4"/>
      <c r="AL103" s="4"/>
      <c r="AM103" s="4"/>
      <c r="AN103" s="4"/>
      <c r="AO103" s="4"/>
      <c r="AP103" s="4"/>
    </row>
    <row r="104" spans="1:42" ht="35.1" customHeight="1" x14ac:dyDescent="0.2">
      <c r="A104" s="1"/>
      <c r="B104" s="6"/>
      <c r="C104" s="30" t="s">
        <v>267</v>
      </c>
      <c r="D104" s="30">
        <v>22</v>
      </c>
      <c r="E104" s="31" t="s">
        <v>314</v>
      </c>
      <c r="F104" s="30">
        <v>87013000</v>
      </c>
      <c r="G104" s="31" t="s">
        <v>269</v>
      </c>
      <c r="H104" s="31" t="s">
        <v>32</v>
      </c>
      <c r="I104" s="57">
        <v>1699</v>
      </c>
      <c r="J104" s="57">
        <v>1418</v>
      </c>
      <c r="K104" s="32" t="s">
        <v>140</v>
      </c>
      <c r="L104" s="57">
        <v>6228.12</v>
      </c>
      <c r="M104" s="30" t="s">
        <v>290</v>
      </c>
      <c r="N104" s="30" t="s">
        <v>290</v>
      </c>
      <c r="O104" s="33" t="s">
        <v>300</v>
      </c>
      <c r="P104" s="30">
        <v>2</v>
      </c>
      <c r="Q104" s="31" t="s">
        <v>292</v>
      </c>
      <c r="R104" s="58" t="s">
        <v>38</v>
      </c>
      <c r="S104" s="35" t="s">
        <v>39</v>
      </c>
      <c r="T104" s="110"/>
      <c r="U104" s="59">
        <v>0</v>
      </c>
      <c r="V104" s="38">
        <f t="shared" si="14"/>
        <v>5080</v>
      </c>
      <c r="W104" s="40">
        <f t="shared" si="15"/>
        <v>0</v>
      </c>
      <c r="X104" s="59">
        <v>2</v>
      </c>
      <c r="Y104" s="62">
        <f t="shared" si="11"/>
        <v>5980</v>
      </c>
      <c r="Z104" s="40">
        <f t="shared" si="16"/>
        <v>11960</v>
      </c>
      <c r="AA104" s="71"/>
      <c r="AB104" s="71"/>
      <c r="AC104" s="40">
        <f t="shared" si="17"/>
        <v>11960</v>
      </c>
      <c r="AD104" s="98" t="s">
        <v>601</v>
      </c>
      <c r="AE104" s="29"/>
      <c r="AF104" s="4"/>
      <c r="AG104" s="4"/>
      <c r="AH104" s="1"/>
      <c r="AI104" s="4"/>
      <c r="AJ104" s="4"/>
      <c r="AK104" s="4"/>
      <c r="AL104" s="4"/>
      <c r="AM104" s="4"/>
      <c r="AN104" s="4"/>
      <c r="AO104" s="4"/>
      <c r="AP104" s="4"/>
    </row>
    <row r="105" spans="1:42" ht="35.1" customHeight="1" x14ac:dyDescent="0.2">
      <c r="A105" s="1"/>
      <c r="B105" s="6"/>
      <c r="C105" s="30" t="s">
        <v>267</v>
      </c>
      <c r="D105" s="30">
        <v>24</v>
      </c>
      <c r="E105" s="31" t="s">
        <v>315</v>
      </c>
      <c r="F105" s="30">
        <v>86701660</v>
      </c>
      <c r="G105" s="31" t="s">
        <v>316</v>
      </c>
      <c r="H105" s="31" t="s">
        <v>32</v>
      </c>
      <c r="I105" s="57">
        <v>2613</v>
      </c>
      <c r="J105" s="57">
        <v>1115</v>
      </c>
      <c r="K105" s="32" t="s">
        <v>140</v>
      </c>
      <c r="L105" s="57">
        <v>7405.87</v>
      </c>
      <c r="M105" s="30" t="s">
        <v>290</v>
      </c>
      <c r="N105" s="30" t="s">
        <v>290</v>
      </c>
      <c r="O105" s="33" t="s">
        <v>313</v>
      </c>
      <c r="P105" s="30">
        <v>3</v>
      </c>
      <c r="Q105" s="31" t="s">
        <v>297</v>
      </c>
      <c r="R105" s="58" t="s">
        <v>38</v>
      </c>
      <c r="S105" s="35" t="s">
        <v>39</v>
      </c>
      <c r="T105" s="110"/>
      <c r="U105" s="59">
        <v>0</v>
      </c>
      <c r="V105" s="38">
        <f t="shared" si="14"/>
        <v>5080</v>
      </c>
      <c r="W105" s="40">
        <f t="shared" si="15"/>
        <v>0</v>
      </c>
      <c r="X105" s="59">
        <v>3</v>
      </c>
      <c r="Y105" s="62">
        <f t="shared" si="11"/>
        <v>5980</v>
      </c>
      <c r="Z105" s="40">
        <f t="shared" si="16"/>
        <v>17940</v>
      </c>
      <c r="AA105" s="71"/>
      <c r="AB105" s="71"/>
      <c r="AC105" s="40">
        <f t="shared" si="17"/>
        <v>17940</v>
      </c>
      <c r="AD105" s="98"/>
      <c r="AE105" s="29"/>
      <c r="AF105" s="4"/>
      <c r="AG105" s="4"/>
      <c r="AH105" s="1"/>
      <c r="AI105" s="4"/>
      <c r="AJ105" s="4"/>
      <c r="AK105" s="4"/>
      <c r="AL105" s="4"/>
      <c r="AM105" s="4"/>
      <c r="AN105" s="4"/>
      <c r="AO105" s="4"/>
      <c r="AP105" s="4"/>
    </row>
    <row r="106" spans="1:42" ht="35.1" customHeight="1" x14ac:dyDescent="0.2">
      <c r="A106" s="1"/>
      <c r="B106" s="6"/>
      <c r="C106" s="30" t="s">
        <v>267</v>
      </c>
      <c r="D106" s="30">
        <v>25</v>
      </c>
      <c r="E106" s="31" t="s">
        <v>317</v>
      </c>
      <c r="F106" s="30">
        <v>85901000</v>
      </c>
      <c r="G106" s="31" t="s">
        <v>318</v>
      </c>
      <c r="H106" s="31" t="s">
        <v>32</v>
      </c>
      <c r="I106" s="57">
        <v>2623</v>
      </c>
      <c r="J106" s="57">
        <v>1623</v>
      </c>
      <c r="K106" s="32" t="s">
        <v>140</v>
      </c>
      <c r="L106" s="57">
        <v>13955.65</v>
      </c>
      <c r="M106" s="30" t="s">
        <v>290</v>
      </c>
      <c r="N106" s="30" t="s">
        <v>290</v>
      </c>
      <c r="O106" s="33" t="s">
        <v>291</v>
      </c>
      <c r="P106" s="30">
        <v>5</v>
      </c>
      <c r="Q106" s="31" t="s">
        <v>282</v>
      </c>
      <c r="R106" s="58" t="s">
        <v>38</v>
      </c>
      <c r="S106" s="35" t="s">
        <v>39</v>
      </c>
      <c r="T106" s="110"/>
      <c r="U106" s="59">
        <v>1</v>
      </c>
      <c r="V106" s="38">
        <f t="shared" si="14"/>
        <v>5080</v>
      </c>
      <c r="W106" s="40">
        <f t="shared" si="15"/>
        <v>5080</v>
      </c>
      <c r="X106" s="59">
        <v>4</v>
      </c>
      <c r="Y106" s="62">
        <f t="shared" si="11"/>
        <v>5980</v>
      </c>
      <c r="Z106" s="40">
        <f t="shared" si="16"/>
        <v>23920</v>
      </c>
      <c r="AA106" s="71"/>
      <c r="AB106" s="71"/>
      <c r="AC106" s="40">
        <f t="shared" si="17"/>
        <v>29000</v>
      </c>
      <c r="AD106" s="98"/>
      <c r="AE106" s="29"/>
      <c r="AF106" s="4"/>
      <c r="AG106" s="4"/>
      <c r="AH106" s="1"/>
      <c r="AI106" s="4"/>
      <c r="AJ106" s="4"/>
      <c r="AK106" s="4"/>
      <c r="AL106" s="4"/>
      <c r="AM106" s="4"/>
      <c r="AN106" s="4"/>
      <c r="AO106" s="4"/>
      <c r="AP106" s="4"/>
    </row>
    <row r="107" spans="1:42" ht="35.1" customHeight="1" x14ac:dyDescent="0.2">
      <c r="A107" s="1"/>
      <c r="B107" s="6"/>
      <c r="C107" s="30" t="s">
        <v>267</v>
      </c>
      <c r="D107" s="30">
        <v>27</v>
      </c>
      <c r="E107" s="31" t="s">
        <v>319</v>
      </c>
      <c r="F107" s="30">
        <v>16200008</v>
      </c>
      <c r="G107" s="31" t="s">
        <v>320</v>
      </c>
      <c r="H107" s="31" t="s">
        <v>76</v>
      </c>
      <c r="I107" s="57">
        <v>2040</v>
      </c>
      <c r="J107" s="57">
        <v>688</v>
      </c>
      <c r="K107" s="32" t="s">
        <v>303</v>
      </c>
      <c r="L107" s="57">
        <v>4516.1099999999997</v>
      </c>
      <c r="M107" s="30" t="s">
        <v>286</v>
      </c>
      <c r="N107" s="30" t="s">
        <v>286</v>
      </c>
      <c r="O107" s="33" t="s">
        <v>321</v>
      </c>
      <c r="P107" s="30">
        <v>3</v>
      </c>
      <c r="Q107" s="31" t="s">
        <v>322</v>
      </c>
      <c r="R107" s="58" t="s">
        <v>38</v>
      </c>
      <c r="S107" s="35" t="s">
        <v>39</v>
      </c>
      <c r="T107" s="110"/>
      <c r="U107" s="59">
        <v>0</v>
      </c>
      <c r="V107" s="38">
        <f t="shared" si="14"/>
        <v>5080</v>
      </c>
      <c r="W107" s="40">
        <f t="shared" si="15"/>
        <v>0</v>
      </c>
      <c r="X107" s="59">
        <v>3</v>
      </c>
      <c r="Y107" s="62">
        <f t="shared" si="11"/>
        <v>5980</v>
      </c>
      <c r="Z107" s="40">
        <f t="shared" si="16"/>
        <v>17940</v>
      </c>
      <c r="AA107" s="71"/>
      <c r="AB107" s="71"/>
      <c r="AC107" s="40">
        <f t="shared" si="17"/>
        <v>17940</v>
      </c>
      <c r="AD107" s="98"/>
      <c r="AE107" s="29"/>
      <c r="AF107" s="4"/>
      <c r="AG107" s="4"/>
      <c r="AH107" s="1"/>
      <c r="AI107" s="4"/>
      <c r="AJ107" s="4"/>
      <c r="AK107" s="4"/>
      <c r="AL107" s="4"/>
      <c r="AM107" s="4"/>
      <c r="AN107" s="4"/>
      <c r="AO107" s="4"/>
      <c r="AP107" s="4"/>
    </row>
    <row r="108" spans="1:42" ht="35.1" customHeight="1" x14ac:dyDescent="0.2">
      <c r="A108" s="1"/>
      <c r="B108" s="6"/>
      <c r="C108" s="30" t="s">
        <v>267</v>
      </c>
      <c r="D108" s="30">
        <v>30</v>
      </c>
      <c r="E108" s="31" t="s">
        <v>323</v>
      </c>
      <c r="F108" s="30">
        <v>86300000</v>
      </c>
      <c r="G108" s="31" t="s">
        <v>324</v>
      </c>
      <c r="H108" s="31" t="s">
        <v>32</v>
      </c>
      <c r="I108" s="57">
        <v>2186</v>
      </c>
      <c r="J108" s="57">
        <v>751</v>
      </c>
      <c r="K108" s="32" t="s">
        <v>140</v>
      </c>
      <c r="L108" s="57">
        <v>4718.16</v>
      </c>
      <c r="M108" s="30" t="s">
        <v>290</v>
      </c>
      <c r="N108" s="30" t="s">
        <v>290</v>
      </c>
      <c r="O108" s="33" t="s">
        <v>291</v>
      </c>
      <c r="P108" s="30">
        <v>4</v>
      </c>
      <c r="Q108" s="31" t="s">
        <v>297</v>
      </c>
      <c r="R108" s="58" t="s">
        <v>38</v>
      </c>
      <c r="S108" s="35" t="s">
        <v>39</v>
      </c>
      <c r="T108" s="110"/>
      <c r="U108" s="59">
        <v>0</v>
      </c>
      <c r="V108" s="38">
        <f t="shared" si="14"/>
        <v>5080</v>
      </c>
      <c r="W108" s="40">
        <f t="shared" si="15"/>
        <v>0</v>
      </c>
      <c r="X108" s="59">
        <v>4</v>
      </c>
      <c r="Y108" s="62">
        <f t="shared" si="11"/>
        <v>5980</v>
      </c>
      <c r="Z108" s="40">
        <f t="shared" si="16"/>
        <v>23920</v>
      </c>
      <c r="AA108" s="71"/>
      <c r="AB108" s="71"/>
      <c r="AC108" s="40">
        <f t="shared" si="17"/>
        <v>23920</v>
      </c>
      <c r="AD108" s="98"/>
      <c r="AE108" s="29"/>
      <c r="AF108" s="4"/>
      <c r="AG108" s="4"/>
      <c r="AH108" s="1"/>
      <c r="AI108" s="4"/>
      <c r="AJ108" s="4"/>
      <c r="AK108" s="4"/>
      <c r="AL108" s="4"/>
      <c r="AM108" s="4"/>
      <c r="AN108" s="4"/>
      <c r="AO108" s="4"/>
      <c r="AP108" s="4"/>
    </row>
    <row r="109" spans="1:42" ht="35.1" customHeight="1" x14ac:dyDescent="0.2">
      <c r="A109" s="1"/>
      <c r="B109" s="6"/>
      <c r="C109" s="30" t="s">
        <v>267</v>
      </c>
      <c r="D109" s="30">
        <v>31</v>
      </c>
      <c r="E109" s="31" t="s">
        <v>325</v>
      </c>
      <c r="F109" s="30">
        <v>15608060</v>
      </c>
      <c r="G109" s="31" t="s">
        <v>326</v>
      </c>
      <c r="H109" s="31" t="s">
        <v>76</v>
      </c>
      <c r="I109" s="57">
        <v>2936</v>
      </c>
      <c r="J109" s="57">
        <v>1731</v>
      </c>
      <c r="K109" s="32" t="s">
        <v>274</v>
      </c>
      <c r="L109" s="57">
        <v>19835.47</v>
      </c>
      <c r="M109" s="30" t="s">
        <v>327</v>
      </c>
      <c r="N109" s="30" t="s">
        <v>327</v>
      </c>
      <c r="O109" s="33" t="s">
        <v>300</v>
      </c>
      <c r="P109" s="30">
        <v>4</v>
      </c>
      <c r="Q109" s="31" t="s">
        <v>292</v>
      </c>
      <c r="R109" s="58" t="s">
        <v>38</v>
      </c>
      <c r="S109" s="35" t="s">
        <v>39</v>
      </c>
      <c r="T109" s="110"/>
      <c r="U109" s="59">
        <v>0</v>
      </c>
      <c r="V109" s="38">
        <f t="shared" si="14"/>
        <v>5080</v>
      </c>
      <c r="W109" s="40">
        <f t="shared" si="15"/>
        <v>0</v>
      </c>
      <c r="X109" s="59">
        <v>4</v>
      </c>
      <c r="Y109" s="62">
        <f t="shared" si="11"/>
        <v>5980</v>
      </c>
      <c r="Z109" s="40">
        <f t="shared" si="16"/>
        <v>23920</v>
      </c>
      <c r="AA109" s="71"/>
      <c r="AB109" s="71"/>
      <c r="AC109" s="40">
        <f t="shared" si="17"/>
        <v>23920</v>
      </c>
      <c r="AD109" s="98"/>
      <c r="AE109" s="29"/>
      <c r="AF109" s="4"/>
      <c r="AG109" s="4"/>
      <c r="AH109" s="1"/>
      <c r="AI109" s="4"/>
      <c r="AJ109" s="4"/>
      <c r="AK109" s="4"/>
      <c r="AL109" s="4"/>
      <c r="AM109" s="4"/>
      <c r="AN109" s="4"/>
      <c r="AO109" s="4"/>
      <c r="AP109" s="4"/>
    </row>
    <row r="110" spans="1:42" ht="35.1" customHeight="1" x14ac:dyDescent="0.2">
      <c r="A110" s="1"/>
      <c r="B110" s="6"/>
      <c r="C110" s="30" t="s">
        <v>267</v>
      </c>
      <c r="D110" s="30">
        <v>32</v>
      </c>
      <c r="E110" s="31" t="s">
        <v>328</v>
      </c>
      <c r="F110" s="30">
        <v>87053330</v>
      </c>
      <c r="G110" s="31" t="s">
        <v>269</v>
      </c>
      <c r="H110" s="31" t="s">
        <v>32</v>
      </c>
      <c r="I110" s="57">
        <v>2075</v>
      </c>
      <c r="J110" s="57">
        <v>864</v>
      </c>
      <c r="K110" s="32" t="s">
        <v>140</v>
      </c>
      <c r="L110" s="57">
        <v>7341</v>
      </c>
      <c r="M110" s="30" t="s">
        <v>290</v>
      </c>
      <c r="N110" s="30" t="s">
        <v>290</v>
      </c>
      <c r="O110" s="33" t="s">
        <v>300</v>
      </c>
      <c r="P110" s="30">
        <v>5</v>
      </c>
      <c r="Q110" s="31" t="s">
        <v>329</v>
      </c>
      <c r="R110" s="58" t="s">
        <v>38</v>
      </c>
      <c r="S110" s="35" t="s">
        <v>39</v>
      </c>
      <c r="T110" s="110"/>
      <c r="U110" s="59">
        <v>1</v>
      </c>
      <c r="V110" s="38">
        <f t="shared" si="14"/>
        <v>5080</v>
      </c>
      <c r="W110" s="40">
        <f t="shared" si="15"/>
        <v>5080</v>
      </c>
      <c r="X110" s="59">
        <v>4</v>
      </c>
      <c r="Y110" s="62">
        <f t="shared" si="11"/>
        <v>5980</v>
      </c>
      <c r="Z110" s="40">
        <f t="shared" si="16"/>
        <v>23920</v>
      </c>
      <c r="AA110" s="71"/>
      <c r="AB110" s="71"/>
      <c r="AC110" s="40">
        <f t="shared" si="17"/>
        <v>29000</v>
      </c>
      <c r="AD110" s="98"/>
      <c r="AE110" s="29"/>
      <c r="AF110" s="4"/>
      <c r="AG110" s="4"/>
      <c r="AH110" s="1"/>
      <c r="AI110" s="4"/>
      <c r="AJ110" s="4"/>
      <c r="AK110" s="4"/>
      <c r="AL110" s="4"/>
      <c r="AM110" s="4"/>
      <c r="AN110" s="4"/>
      <c r="AO110" s="4"/>
      <c r="AP110" s="4"/>
    </row>
    <row r="111" spans="1:42" ht="35.1" customHeight="1" x14ac:dyDescent="0.2">
      <c r="A111" s="1"/>
      <c r="B111" s="6"/>
      <c r="C111" s="30" t="s">
        <v>267</v>
      </c>
      <c r="D111" s="30">
        <v>33</v>
      </c>
      <c r="E111" s="31" t="s">
        <v>330</v>
      </c>
      <c r="F111" s="30">
        <v>86360000</v>
      </c>
      <c r="G111" s="31" t="s">
        <v>331</v>
      </c>
      <c r="H111" s="31" t="s">
        <v>32</v>
      </c>
      <c r="I111" s="57">
        <v>1970</v>
      </c>
      <c r="J111" s="57">
        <v>604</v>
      </c>
      <c r="K111" s="32" t="s">
        <v>140</v>
      </c>
      <c r="L111" s="57">
        <v>3474.17</v>
      </c>
      <c r="M111" s="30" t="s">
        <v>300</v>
      </c>
      <c r="N111" s="30" t="s">
        <v>300</v>
      </c>
      <c r="O111" s="33" t="s">
        <v>281</v>
      </c>
      <c r="P111" s="30">
        <v>4</v>
      </c>
      <c r="Q111" s="31" t="s">
        <v>297</v>
      </c>
      <c r="R111" s="58" t="s">
        <v>38</v>
      </c>
      <c r="S111" s="35" t="s">
        <v>39</v>
      </c>
      <c r="T111" s="110"/>
      <c r="U111" s="59">
        <v>0</v>
      </c>
      <c r="V111" s="38">
        <f t="shared" si="14"/>
        <v>5080</v>
      </c>
      <c r="W111" s="40">
        <f t="shared" si="15"/>
        <v>0</v>
      </c>
      <c r="X111" s="59">
        <v>4</v>
      </c>
      <c r="Y111" s="62">
        <f t="shared" si="11"/>
        <v>5980</v>
      </c>
      <c r="Z111" s="40">
        <f t="shared" si="16"/>
        <v>23920</v>
      </c>
      <c r="AA111" s="71"/>
      <c r="AB111" s="71"/>
      <c r="AC111" s="40">
        <f t="shared" si="17"/>
        <v>23920</v>
      </c>
      <c r="AD111" s="98"/>
      <c r="AE111" s="29"/>
      <c r="AF111" s="4"/>
      <c r="AG111" s="4"/>
      <c r="AH111" s="1"/>
      <c r="AI111" s="4"/>
      <c r="AJ111" s="4"/>
      <c r="AK111" s="4"/>
      <c r="AL111" s="4"/>
      <c r="AM111" s="4"/>
      <c r="AN111" s="4"/>
      <c r="AO111" s="4"/>
      <c r="AP111" s="4"/>
    </row>
    <row r="112" spans="1:42" ht="35.1" customHeight="1" x14ac:dyDescent="0.2">
      <c r="A112" s="1"/>
      <c r="B112" s="6"/>
      <c r="C112" s="30" t="s">
        <v>267</v>
      </c>
      <c r="D112" s="30">
        <v>34</v>
      </c>
      <c r="E112" s="31" t="s">
        <v>332</v>
      </c>
      <c r="F112" s="30">
        <v>86600099</v>
      </c>
      <c r="G112" s="31" t="s">
        <v>333</v>
      </c>
      <c r="H112" s="31" t="s">
        <v>32</v>
      </c>
      <c r="I112" s="57">
        <v>2460</v>
      </c>
      <c r="J112" s="57">
        <v>860</v>
      </c>
      <c r="K112" s="32" t="s">
        <v>140</v>
      </c>
      <c r="L112" s="57">
        <v>5520.8</v>
      </c>
      <c r="M112" s="30" t="s">
        <v>290</v>
      </c>
      <c r="N112" s="30" t="s">
        <v>290</v>
      </c>
      <c r="O112" s="33" t="s">
        <v>313</v>
      </c>
      <c r="P112" s="30">
        <v>4</v>
      </c>
      <c r="Q112" s="31" t="s">
        <v>334</v>
      </c>
      <c r="R112" s="58" t="s">
        <v>38</v>
      </c>
      <c r="S112" s="35" t="s">
        <v>39</v>
      </c>
      <c r="T112" s="110"/>
      <c r="U112" s="59">
        <v>0</v>
      </c>
      <c r="V112" s="38">
        <f t="shared" si="14"/>
        <v>5080</v>
      </c>
      <c r="W112" s="40">
        <f t="shared" si="15"/>
        <v>0</v>
      </c>
      <c r="X112" s="59">
        <v>4</v>
      </c>
      <c r="Y112" s="62">
        <f t="shared" si="11"/>
        <v>5980</v>
      </c>
      <c r="Z112" s="40">
        <f t="shared" si="16"/>
        <v>23920</v>
      </c>
      <c r="AA112" s="71"/>
      <c r="AB112" s="71"/>
      <c r="AC112" s="40">
        <f t="shared" si="17"/>
        <v>23920</v>
      </c>
      <c r="AD112" s="98"/>
      <c r="AE112" s="29"/>
      <c r="AF112" s="4"/>
      <c r="AG112" s="4"/>
      <c r="AH112" s="1"/>
      <c r="AI112" s="4"/>
      <c r="AJ112" s="4"/>
      <c r="AK112" s="4"/>
      <c r="AL112" s="4"/>
      <c r="AM112" s="4"/>
      <c r="AN112" s="4"/>
      <c r="AO112" s="4"/>
      <c r="AP112" s="4"/>
    </row>
    <row r="113" spans="1:42" ht="35.1" customHeight="1" x14ac:dyDescent="0.2">
      <c r="A113" s="1"/>
      <c r="B113" s="6"/>
      <c r="C113" s="30" t="s">
        <v>267</v>
      </c>
      <c r="D113" s="30">
        <v>35</v>
      </c>
      <c r="E113" s="31" t="s">
        <v>335</v>
      </c>
      <c r="F113" s="30">
        <v>87200079</v>
      </c>
      <c r="G113" s="31" t="s">
        <v>306</v>
      </c>
      <c r="H113" s="31" t="s">
        <v>32</v>
      </c>
      <c r="I113" s="57">
        <v>1537</v>
      </c>
      <c r="J113" s="57">
        <v>520</v>
      </c>
      <c r="K113" s="32" t="s">
        <v>140</v>
      </c>
      <c r="L113" s="57">
        <v>5414.62</v>
      </c>
      <c r="M113" s="30" t="s">
        <v>290</v>
      </c>
      <c r="N113" s="30" t="s">
        <v>290</v>
      </c>
      <c r="O113" s="33" t="s">
        <v>336</v>
      </c>
      <c r="P113" s="30">
        <v>3</v>
      </c>
      <c r="Q113" s="31" t="s">
        <v>282</v>
      </c>
      <c r="R113" s="58" t="s">
        <v>38</v>
      </c>
      <c r="S113" s="35" t="s">
        <v>39</v>
      </c>
      <c r="T113" s="110"/>
      <c r="U113" s="59">
        <v>0</v>
      </c>
      <c r="V113" s="38">
        <f t="shared" si="14"/>
        <v>5080</v>
      </c>
      <c r="W113" s="40">
        <f t="shared" si="15"/>
        <v>0</v>
      </c>
      <c r="X113" s="59">
        <v>3</v>
      </c>
      <c r="Y113" s="62">
        <f t="shared" si="11"/>
        <v>5980</v>
      </c>
      <c r="Z113" s="40">
        <f t="shared" si="16"/>
        <v>17940</v>
      </c>
      <c r="AA113" s="71"/>
      <c r="AB113" s="71"/>
      <c r="AC113" s="40">
        <f t="shared" si="17"/>
        <v>17940</v>
      </c>
      <c r="AD113" s="98"/>
      <c r="AE113" s="29"/>
      <c r="AF113" s="4"/>
      <c r="AG113" s="4"/>
      <c r="AH113" s="1"/>
      <c r="AI113" s="4"/>
      <c r="AJ113" s="4"/>
      <c r="AK113" s="4"/>
      <c r="AL113" s="4"/>
      <c r="AM113" s="4"/>
      <c r="AN113" s="4"/>
      <c r="AO113" s="4"/>
      <c r="AP113" s="4"/>
    </row>
    <row r="114" spans="1:42" ht="35.1" customHeight="1" x14ac:dyDescent="0.2">
      <c r="A114" s="1"/>
      <c r="B114" s="6"/>
      <c r="C114" s="30" t="s">
        <v>267</v>
      </c>
      <c r="D114" s="30">
        <v>36</v>
      </c>
      <c r="E114" s="31" t="s">
        <v>337</v>
      </c>
      <c r="F114" s="30">
        <v>87140000</v>
      </c>
      <c r="G114" s="31" t="s">
        <v>338</v>
      </c>
      <c r="H114" s="31" t="s">
        <v>32</v>
      </c>
      <c r="I114" s="57">
        <v>2309</v>
      </c>
      <c r="J114" s="57">
        <v>512</v>
      </c>
      <c r="K114" s="32" t="s">
        <v>140</v>
      </c>
      <c r="L114" s="57">
        <v>4322.59</v>
      </c>
      <c r="M114" s="30" t="s">
        <v>275</v>
      </c>
      <c r="N114" s="30" t="s">
        <v>275</v>
      </c>
      <c r="O114" s="33" t="s">
        <v>300</v>
      </c>
      <c r="P114" s="30">
        <v>3</v>
      </c>
      <c r="Q114" s="31" t="s">
        <v>301</v>
      </c>
      <c r="R114" s="58" t="s">
        <v>38</v>
      </c>
      <c r="S114" s="35" t="s">
        <v>39</v>
      </c>
      <c r="T114" s="110"/>
      <c r="U114" s="59">
        <v>0</v>
      </c>
      <c r="V114" s="38">
        <f t="shared" si="14"/>
        <v>5080</v>
      </c>
      <c r="W114" s="40">
        <f t="shared" si="15"/>
        <v>0</v>
      </c>
      <c r="X114" s="59">
        <v>3</v>
      </c>
      <c r="Y114" s="62">
        <f t="shared" si="11"/>
        <v>5980</v>
      </c>
      <c r="Z114" s="40">
        <f t="shared" si="16"/>
        <v>17940</v>
      </c>
      <c r="AA114" s="71"/>
      <c r="AB114" s="71"/>
      <c r="AC114" s="40">
        <f t="shared" si="17"/>
        <v>17940</v>
      </c>
      <c r="AD114" s="98"/>
      <c r="AE114" s="29"/>
      <c r="AF114" s="4"/>
      <c r="AG114" s="4"/>
      <c r="AH114" s="1"/>
      <c r="AI114" s="4"/>
      <c r="AJ114" s="4"/>
      <c r="AK114" s="4"/>
      <c r="AL114" s="4"/>
      <c r="AM114" s="4"/>
      <c r="AN114" s="4"/>
      <c r="AO114" s="4"/>
      <c r="AP114" s="4"/>
    </row>
    <row r="115" spans="1:42" ht="35.1" customHeight="1" x14ac:dyDescent="0.2">
      <c r="A115" s="1"/>
      <c r="B115" s="6"/>
      <c r="C115" s="30" t="s">
        <v>267</v>
      </c>
      <c r="D115" s="30">
        <v>37</v>
      </c>
      <c r="E115" s="31" t="s">
        <v>339</v>
      </c>
      <c r="F115" s="30">
        <v>87501060</v>
      </c>
      <c r="G115" s="31" t="s">
        <v>340</v>
      </c>
      <c r="H115" s="31" t="s">
        <v>32</v>
      </c>
      <c r="I115" s="57">
        <v>2483</v>
      </c>
      <c r="J115" s="57">
        <v>618</v>
      </c>
      <c r="K115" s="32" t="s">
        <v>140</v>
      </c>
      <c r="L115" s="57">
        <v>8604.77</v>
      </c>
      <c r="M115" s="30" t="s">
        <v>290</v>
      </c>
      <c r="N115" s="30" t="s">
        <v>290</v>
      </c>
      <c r="O115" s="33" t="s">
        <v>341</v>
      </c>
      <c r="P115" s="30">
        <v>5</v>
      </c>
      <c r="Q115" s="31" t="s">
        <v>282</v>
      </c>
      <c r="R115" s="58" t="s">
        <v>38</v>
      </c>
      <c r="S115" s="35" t="s">
        <v>39</v>
      </c>
      <c r="T115" s="110"/>
      <c r="U115" s="59">
        <v>1</v>
      </c>
      <c r="V115" s="38">
        <f t="shared" si="14"/>
        <v>5080</v>
      </c>
      <c r="W115" s="40">
        <f t="shared" si="15"/>
        <v>5080</v>
      </c>
      <c r="X115" s="59">
        <v>4</v>
      </c>
      <c r="Y115" s="62">
        <f t="shared" ref="Y115:Y157" si="18">6280-300</f>
        <v>5980</v>
      </c>
      <c r="Z115" s="40">
        <f t="shared" si="16"/>
        <v>23920</v>
      </c>
      <c r="AA115" s="71"/>
      <c r="AB115" s="71"/>
      <c r="AC115" s="40">
        <f t="shared" si="17"/>
        <v>29000</v>
      </c>
      <c r="AD115" s="98"/>
      <c r="AE115" s="29"/>
      <c r="AF115" s="4"/>
      <c r="AG115" s="4"/>
      <c r="AH115" s="1"/>
      <c r="AI115" s="4"/>
      <c r="AJ115" s="4"/>
      <c r="AK115" s="4"/>
      <c r="AL115" s="4"/>
      <c r="AM115" s="4"/>
      <c r="AN115" s="4"/>
      <c r="AO115" s="4"/>
      <c r="AP115" s="4"/>
    </row>
    <row r="116" spans="1:42" ht="35.1" customHeight="1" x14ac:dyDescent="0.2">
      <c r="A116" s="1"/>
      <c r="B116" s="6"/>
      <c r="C116" s="30" t="s">
        <v>267</v>
      </c>
      <c r="D116" s="30">
        <v>38</v>
      </c>
      <c r="E116" s="31" t="s">
        <v>342</v>
      </c>
      <c r="F116" s="30">
        <v>87047731</v>
      </c>
      <c r="G116" s="31" t="s">
        <v>269</v>
      </c>
      <c r="H116" s="31" t="s">
        <v>32</v>
      </c>
      <c r="I116" s="57">
        <v>2304</v>
      </c>
      <c r="J116" s="57">
        <v>513</v>
      </c>
      <c r="K116" s="32" t="s">
        <v>140</v>
      </c>
      <c r="L116" s="57">
        <v>7138.98</v>
      </c>
      <c r="M116" s="30" t="s">
        <v>290</v>
      </c>
      <c r="N116" s="30" t="s">
        <v>290</v>
      </c>
      <c r="O116" s="33" t="s">
        <v>341</v>
      </c>
      <c r="P116" s="30">
        <v>4</v>
      </c>
      <c r="Q116" s="31" t="s">
        <v>301</v>
      </c>
      <c r="R116" s="58" t="s">
        <v>38</v>
      </c>
      <c r="S116" s="35" t="s">
        <v>39</v>
      </c>
      <c r="T116" s="110"/>
      <c r="U116" s="59">
        <v>0</v>
      </c>
      <c r="V116" s="38">
        <f t="shared" si="14"/>
        <v>5080</v>
      </c>
      <c r="W116" s="40">
        <f t="shared" si="15"/>
        <v>0</v>
      </c>
      <c r="X116" s="59">
        <v>4</v>
      </c>
      <c r="Y116" s="62">
        <f t="shared" si="18"/>
        <v>5980</v>
      </c>
      <c r="Z116" s="40">
        <f t="shared" si="16"/>
        <v>23920</v>
      </c>
      <c r="AA116" s="71"/>
      <c r="AB116" s="71"/>
      <c r="AC116" s="40">
        <f t="shared" si="17"/>
        <v>23920</v>
      </c>
      <c r="AD116" s="98"/>
      <c r="AE116" s="29"/>
      <c r="AF116" s="4"/>
      <c r="AG116" s="4"/>
      <c r="AH116" s="1"/>
      <c r="AI116" s="4"/>
      <c r="AJ116" s="4"/>
      <c r="AK116" s="4"/>
      <c r="AL116" s="4"/>
      <c r="AM116" s="4"/>
      <c r="AN116" s="4"/>
      <c r="AO116" s="4"/>
      <c r="AP116" s="4"/>
    </row>
    <row r="117" spans="1:42" ht="35.1" customHeight="1" x14ac:dyDescent="0.2">
      <c r="A117" s="1"/>
      <c r="B117" s="6"/>
      <c r="C117" s="30" t="s">
        <v>267</v>
      </c>
      <c r="D117" s="30">
        <v>39</v>
      </c>
      <c r="E117" s="31" t="s">
        <v>343</v>
      </c>
      <c r="F117" s="30">
        <v>19900100</v>
      </c>
      <c r="G117" s="31" t="s">
        <v>178</v>
      </c>
      <c r="H117" s="31" t="s">
        <v>76</v>
      </c>
      <c r="I117" s="57">
        <v>2394</v>
      </c>
      <c r="J117" s="57">
        <v>1029</v>
      </c>
      <c r="K117" s="32" t="s">
        <v>140</v>
      </c>
      <c r="L117" s="57">
        <v>25684.97</v>
      </c>
      <c r="M117" s="30" t="s">
        <v>290</v>
      </c>
      <c r="N117" s="30" t="s">
        <v>290</v>
      </c>
      <c r="O117" s="33" t="s">
        <v>341</v>
      </c>
      <c r="P117" s="30">
        <v>3</v>
      </c>
      <c r="Q117" s="31" t="s">
        <v>344</v>
      </c>
      <c r="R117" s="58" t="s">
        <v>38</v>
      </c>
      <c r="S117" s="35" t="s">
        <v>39</v>
      </c>
      <c r="T117" s="110"/>
      <c r="U117" s="59">
        <v>0</v>
      </c>
      <c r="V117" s="38">
        <f t="shared" si="14"/>
        <v>5080</v>
      </c>
      <c r="W117" s="40">
        <f t="shared" si="15"/>
        <v>0</v>
      </c>
      <c r="X117" s="59">
        <v>3</v>
      </c>
      <c r="Y117" s="62">
        <f t="shared" si="18"/>
        <v>5980</v>
      </c>
      <c r="Z117" s="40">
        <f t="shared" si="16"/>
        <v>17940</v>
      </c>
      <c r="AA117" s="71"/>
      <c r="AB117" s="71"/>
      <c r="AC117" s="40">
        <f t="shared" si="17"/>
        <v>17940</v>
      </c>
      <c r="AD117" s="98"/>
      <c r="AE117" s="29"/>
      <c r="AF117" s="4"/>
      <c r="AG117" s="4"/>
      <c r="AH117" s="1"/>
      <c r="AI117" s="4"/>
      <c r="AJ117" s="4"/>
      <c r="AK117" s="4"/>
      <c r="AL117" s="4"/>
      <c r="AM117" s="4"/>
      <c r="AN117" s="4"/>
      <c r="AO117" s="4"/>
      <c r="AP117" s="4"/>
    </row>
    <row r="118" spans="1:42" ht="35.1" customHeight="1" x14ac:dyDescent="0.2">
      <c r="A118" s="1"/>
      <c r="B118" s="6"/>
      <c r="C118" s="30" t="s">
        <v>267</v>
      </c>
      <c r="D118" s="30">
        <v>41</v>
      </c>
      <c r="E118" s="31" t="s">
        <v>345</v>
      </c>
      <c r="F118" s="30">
        <v>16400075</v>
      </c>
      <c r="G118" s="31" t="s">
        <v>191</v>
      </c>
      <c r="H118" s="31" t="s">
        <v>76</v>
      </c>
      <c r="I118" s="57">
        <v>2184</v>
      </c>
      <c r="J118" s="57">
        <v>760</v>
      </c>
      <c r="K118" s="32" t="s">
        <v>274</v>
      </c>
      <c r="L118" s="57">
        <v>5561.26</v>
      </c>
      <c r="M118" s="30" t="s">
        <v>286</v>
      </c>
      <c r="N118" s="30" t="s">
        <v>286</v>
      </c>
      <c r="O118" s="33" t="s">
        <v>346</v>
      </c>
      <c r="P118" s="30">
        <v>5</v>
      </c>
      <c r="Q118" s="31" t="s">
        <v>344</v>
      </c>
      <c r="R118" s="58" t="s">
        <v>38</v>
      </c>
      <c r="S118" s="35" t="s">
        <v>39</v>
      </c>
      <c r="T118" s="110"/>
      <c r="U118" s="59">
        <v>1</v>
      </c>
      <c r="V118" s="38">
        <f t="shared" si="14"/>
        <v>5080</v>
      </c>
      <c r="W118" s="40">
        <f t="shared" si="15"/>
        <v>5080</v>
      </c>
      <c r="X118" s="59">
        <v>4</v>
      </c>
      <c r="Y118" s="62">
        <f t="shared" si="18"/>
        <v>5980</v>
      </c>
      <c r="Z118" s="40">
        <f t="shared" si="16"/>
        <v>23920</v>
      </c>
      <c r="AA118" s="71"/>
      <c r="AB118" s="71"/>
      <c r="AC118" s="40">
        <f t="shared" si="17"/>
        <v>29000</v>
      </c>
      <c r="AD118" s="98"/>
      <c r="AE118" s="29"/>
      <c r="AF118" s="4"/>
      <c r="AG118" s="4"/>
      <c r="AH118" s="1"/>
      <c r="AI118" s="4"/>
      <c r="AJ118" s="4"/>
      <c r="AK118" s="4"/>
      <c r="AL118" s="4"/>
      <c r="AM118" s="4"/>
      <c r="AN118" s="4"/>
      <c r="AO118" s="4"/>
      <c r="AP118" s="4"/>
    </row>
    <row r="119" spans="1:42" ht="35.1" customHeight="1" x14ac:dyDescent="0.2">
      <c r="A119" s="1"/>
      <c r="B119" s="6"/>
      <c r="C119" s="30" t="s">
        <v>267</v>
      </c>
      <c r="D119" s="30">
        <v>42</v>
      </c>
      <c r="E119" s="31" t="s">
        <v>347</v>
      </c>
      <c r="F119" s="30">
        <v>16400046</v>
      </c>
      <c r="G119" s="31" t="s">
        <v>191</v>
      </c>
      <c r="H119" s="31" t="s">
        <v>76</v>
      </c>
      <c r="I119" s="57">
        <v>1510</v>
      </c>
      <c r="J119" s="57">
        <v>405</v>
      </c>
      <c r="K119" s="32" t="s">
        <v>274</v>
      </c>
      <c r="L119" s="57">
        <v>2697.67</v>
      </c>
      <c r="M119" s="30" t="s">
        <v>270</v>
      </c>
      <c r="N119" s="30" t="s">
        <v>270</v>
      </c>
      <c r="O119" s="33" t="s">
        <v>348</v>
      </c>
      <c r="P119" s="30">
        <v>3</v>
      </c>
      <c r="Q119" s="31" t="s">
        <v>344</v>
      </c>
      <c r="R119" s="58" t="s">
        <v>38</v>
      </c>
      <c r="S119" s="35" t="s">
        <v>39</v>
      </c>
      <c r="T119" s="110"/>
      <c r="U119" s="59">
        <v>0</v>
      </c>
      <c r="V119" s="38">
        <f t="shared" si="14"/>
        <v>5080</v>
      </c>
      <c r="W119" s="40">
        <f t="shared" si="15"/>
        <v>0</v>
      </c>
      <c r="X119" s="59">
        <v>3</v>
      </c>
      <c r="Y119" s="62">
        <f t="shared" si="18"/>
        <v>5980</v>
      </c>
      <c r="Z119" s="40">
        <f t="shared" si="16"/>
        <v>17940</v>
      </c>
      <c r="AA119" s="71"/>
      <c r="AB119" s="71"/>
      <c r="AC119" s="40">
        <f t="shared" si="17"/>
        <v>17940</v>
      </c>
      <c r="AD119" s="98"/>
      <c r="AE119" s="29"/>
      <c r="AF119" s="4"/>
      <c r="AG119" s="4"/>
      <c r="AH119" s="1"/>
      <c r="AI119" s="4"/>
      <c r="AJ119" s="4"/>
      <c r="AK119" s="4"/>
      <c r="AL119" s="4"/>
      <c r="AM119" s="4"/>
      <c r="AN119" s="4"/>
      <c r="AO119" s="4"/>
      <c r="AP119" s="4"/>
    </row>
    <row r="120" spans="1:42" ht="35.1" customHeight="1" x14ac:dyDescent="0.2">
      <c r="A120" s="1"/>
      <c r="B120" s="6"/>
      <c r="C120" s="30" t="s">
        <v>267</v>
      </c>
      <c r="D120" s="30">
        <v>43</v>
      </c>
      <c r="E120" s="31" t="s">
        <v>349</v>
      </c>
      <c r="F120" s="30">
        <v>19815340</v>
      </c>
      <c r="G120" s="31" t="s">
        <v>139</v>
      </c>
      <c r="H120" s="31" t="s">
        <v>76</v>
      </c>
      <c r="I120" s="57">
        <v>2353</v>
      </c>
      <c r="J120" s="57">
        <v>1046</v>
      </c>
      <c r="K120" s="32" t="s">
        <v>140</v>
      </c>
      <c r="L120" s="57">
        <v>9505.74</v>
      </c>
      <c r="M120" s="30" t="s">
        <v>286</v>
      </c>
      <c r="N120" s="30" t="s">
        <v>286</v>
      </c>
      <c r="O120" s="33" t="s">
        <v>287</v>
      </c>
      <c r="P120" s="30">
        <v>3</v>
      </c>
      <c r="Q120" s="31" t="s">
        <v>344</v>
      </c>
      <c r="R120" s="58" t="s">
        <v>38</v>
      </c>
      <c r="S120" s="35" t="s">
        <v>39</v>
      </c>
      <c r="T120" s="110"/>
      <c r="U120" s="59">
        <v>0</v>
      </c>
      <c r="V120" s="38">
        <f t="shared" si="14"/>
        <v>5080</v>
      </c>
      <c r="W120" s="40">
        <f t="shared" si="15"/>
        <v>0</v>
      </c>
      <c r="X120" s="59">
        <v>3</v>
      </c>
      <c r="Y120" s="62">
        <f t="shared" si="18"/>
        <v>5980</v>
      </c>
      <c r="Z120" s="40">
        <f t="shared" si="16"/>
        <v>17940</v>
      </c>
      <c r="AA120" s="71"/>
      <c r="AB120" s="71"/>
      <c r="AC120" s="40">
        <f t="shared" si="17"/>
        <v>17940</v>
      </c>
      <c r="AD120" s="98"/>
      <c r="AE120" s="29"/>
      <c r="AF120" s="4"/>
      <c r="AG120" s="4"/>
      <c r="AH120" s="1"/>
      <c r="AI120" s="4"/>
      <c r="AJ120" s="4"/>
      <c r="AK120" s="4"/>
      <c r="AL120" s="4"/>
      <c r="AM120" s="4"/>
      <c r="AN120" s="4"/>
      <c r="AO120" s="4"/>
      <c r="AP120" s="4"/>
    </row>
    <row r="121" spans="1:42" ht="35.1" customHeight="1" x14ac:dyDescent="0.2">
      <c r="A121" s="1"/>
      <c r="B121" s="6"/>
      <c r="C121" s="30" t="s">
        <v>267</v>
      </c>
      <c r="D121" s="30">
        <v>44</v>
      </c>
      <c r="E121" s="31" t="s">
        <v>350</v>
      </c>
      <c r="F121" s="30">
        <v>16200270</v>
      </c>
      <c r="G121" s="31" t="s">
        <v>320</v>
      </c>
      <c r="H121" s="31" t="s">
        <v>76</v>
      </c>
      <c r="I121" s="57">
        <v>1735</v>
      </c>
      <c r="J121" s="57">
        <v>424</v>
      </c>
      <c r="K121" s="32" t="s">
        <v>274</v>
      </c>
      <c r="L121" s="57">
        <v>4933.58</v>
      </c>
      <c r="M121" s="30" t="s">
        <v>286</v>
      </c>
      <c r="N121" s="30" t="s">
        <v>286</v>
      </c>
      <c r="O121" s="33" t="s">
        <v>287</v>
      </c>
      <c r="P121" s="30">
        <v>4</v>
      </c>
      <c r="Q121" s="31" t="s">
        <v>322</v>
      </c>
      <c r="R121" s="58" t="s">
        <v>38</v>
      </c>
      <c r="S121" s="35" t="s">
        <v>39</v>
      </c>
      <c r="T121" s="110"/>
      <c r="U121" s="59">
        <v>0</v>
      </c>
      <c r="V121" s="38">
        <f t="shared" si="14"/>
        <v>5080</v>
      </c>
      <c r="W121" s="40">
        <f t="shared" si="15"/>
        <v>0</v>
      </c>
      <c r="X121" s="59">
        <v>4</v>
      </c>
      <c r="Y121" s="62">
        <f t="shared" si="18"/>
        <v>5980</v>
      </c>
      <c r="Z121" s="40">
        <f t="shared" si="16"/>
        <v>23920</v>
      </c>
      <c r="AA121" s="71"/>
      <c r="AB121" s="71"/>
      <c r="AC121" s="40">
        <f t="shared" si="17"/>
        <v>23920</v>
      </c>
      <c r="AD121" s="98"/>
      <c r="AE121" s="29"/>
      <c r="AF121" s="4"/>
      <c r="AG121" s="4"/>
      <c r="AH121" s="1"/>
      <c r="AI121" s="4"/>
      <c r="AJ121" s="4"/>
      <c r="AK121" s="4"/>
      <c r="AL121" s="4"/>
      <c r="AM121" s="4"/>
      <c r="AN121" s="4"/>
      <c r="AO121" s="4"/>
      <c r="AP121" s="4"/>
    </row>
    <row r="122" spans="1:42" ht="35.1" customHeight="1" x14ac:dyDescent="0.2">
      <c r="A122" s="1"/>
      <c r="B122" s="6"/>
      <c r="C122" s="30" t="s">
        <v>267</v>
      </c>
      <c r="D122" s="30">
        <v>45</v>
      </c>
      <c r="E122" s="31" t="s">
        <v>351</v>
      </c>
      <c r="F122" s="30">
        <v>16074000</v>
      </c>
      <c r="G122" s="31" t="s">
        <v>352</v>
      </c>
      <c r="H122" s="31" t="s">
        <v>76</v>
      </c>
      <c r="I122" s="57">
        <v>2176</v>
      </c>
      <c r="J122" s="57">
        <v>879</v>
      </c>
      <c r="K122" s="32" t="s">
        <v>274</v>
      </c>
      <c r="L122" s="57">
        <v>8076.89</v>
      </c>
      <c r="M122" s="30" t="s">
        <v>286</v>
      </c>
      <c r="N122" s="30" t="s">
        <v>286</v>
      </c>
      <c r="O122" s="33" t="s">
        <v>287</v>
      </c>
      <c r="P122" s="30">
        <v>3</v>
      </c>
      <c r="Q122" s="31" t="s">
        <v>297</v>
      </c>
      <c r="R122" s="58" t="s">
        <v>38</v>
      </c>
      <c r="S122" s="35" t="s">
        <v>39</v>
      </c>
      <c r="T122" s="110"/>
      <c r="U122" s="59">
        <v>0</v>
      </c>
      <c r="V122" s="38">
        <f t="shared" si="14"/>
        <v>5080</v>
      </c>
      <c r="W122" s="40">
        <f t="shared" si="15"/>
        <v>0</v>
      </c>
      <c r="X122" s="59">
        <v>3</v>
      </c>
      <c r="Y122" s="62">
        <f t="shared" si="18"/>
        <v>5980</v>
      </c>
      <c r="Z122" s="40">
        <f t="shared" si="16"/>
        <v>17940</v>
      </c>
      <c r="AA122" s="71"/>
      <c r="AB122" s="71"/>
      <c r="AC122" s="40">
        <f t="shared" si="17"/>
        <v>17940</v>
      </c>
      <c r="AD122" s="98"/>
      <c r="AE122" s="29"/>
      <c r="AF122" s="4"/>
      <c r="AG122" s="4"/>
      <c r="AH122" s="1"/>
      <c r="AI122" s="4"/>
      <c r="AJ122" s="4"/>
      <c r="AK122" s="4"/>
      <c r="AL122" s="4"/>
      <c r="AM122" s="4"/>
      <c r="AN122" s="4"/>
      <c r="AO122" s="4"/>
      <c r="AP122" s="4"/>
    </row>
    <row r="123" spans="1:42" ht="35.1" customHeight="1" x14ac:dyDescent="0.2">
      <c r="A123" s="1"/>
      <c r="B123" s="6"/>
      <c r="C123" s="30" t="s">
        <v>267</v>
      </c>
      <c r="D123" s="30">
        <v>46</v>
      </c>
      <c r="E123" s="31" t="s">
        <v>353</v>
      </c>
      <c r="F123" s="30">
        <v>16370000</v>
      </c>
      <c r="G123" s="31" t="s">
        <v>354</v>
      </c>
      <c r="H123" s="31" t="s">
        <v>76</v>
      </c>
      <c r="I123" s="57">
        <v>1294</v>
      </c>
      <c r="J123" s="57">
        <v>517</v>
      </c>
      <c r="K123" s="32" t="s">
        <v>274</v>
      </c>
      <c r="L123" s="57">
        <v>2518.1999999999998</v>
      </c>
      <c r="M123" s="30" t="s">
        <v>270</v>
      </c>
      <c r="N123" s="30" t="s">
        <v>270</v>
      </c>
      <c r="O123" s="33" t="s">
        <v>348</v>
      </c>
      <c r="P123" s="30">
        <v>3</v>
      </c>
      <c r="Q123" s="31" t="s">
        <v>355</v>
      </c>
      <c r="R123" s="58" t="s">
        <v>38</v>
      </c>
      <c r="S123" s="35" t="s">
        <v>39</v>
      </c>
      <c r="T123" s="110"/>
      <c r="U123" s="59">
        <v>0</v>
      </c>
      <c r="V123" s="38">
        <f t="shared" si="14"/>
        <v>5080</v>
      </c>
      <c r="W123" s="40">
        <f t="shared" si="15"/>
        <v>0</v>
      </c>
      <c r="X123" s="59">
        <v>3</v>
      </c>
      <c r="Y123" s="62">
        <f t="shared" si="18"/>
        <v>5980</v>
      </c>
      <c r="Z123" s="40">
        <f t="shared" si="16"/>
        <v>17940</v>
      </c>
      <c r="AA123" s="71"/>
      <c r="AB123" s="71"/>
      <c r="AC123" s="40">
        <f t="shared" si="17"/>
        <v>17940</v>
      </c>
      <c r="AD123" s="98"/>
      <c r="AE123" s="29"/>
      <c r="AF123" s="4"/>
      <c r="AG123" s="4"/>
      <c r="AH123" s="1"/>
      <c r="AI123" s="4"/>
      <c r="AJ123" s="4"/>
      <c r="AK123" s="4"/>
      <c r="AL123" s="4"/>
      <c r="AM123" s="4"/>
      <c r="AN123" s="4"/>
      <c r="AO123" s="4"/>
      <c r="AP123" s="4"/>
    </row>
    <row r="124" spans="1:42" ht="35.1" customHeight="1" x14ac:dyDescent="0.2">
      <c r="A124" s="1"/>
      <c r="B124" s="6"/>
      <c r="C124" s="30" t="s">
        <v>267</v>
      </c>
      <c r="D124" s="30">
        <v>47</v>
      </c>
      <c r="E124" s="31" t="s">
        <v>356</v>
      </c>
      <c r="F124" s="30">
        <v>16403020</v>
      </c>
      <c r="G124" s="31" t="s">
        <v>191</v>
      </c>
      <c r="H124" s="31" t="s">
        <v>76</v>
      </c>
      <c r="I124" s="57">
        <v>1635</v>
      </c>
      <c r="J124" s="57">
        <v>749</v>
      </c>
      <c r="K124" s="32" t="s">
        <v>274</v>
      </c>
      <c r="L124" s="57">
        <v>3918.63</v>
      </c>
      <c r="M124" s="30" t="s">
        <v>270</v>
      </c>
      <c r="N124" s="30" t="s">
        <v>270</v>
      </c>
      <c r="O124" s="33" t="s">
        <v>357</v>
      </c>
      <c r="P124" s="30">
        <v>3</v>
      </c>
      <c r="Q124" s="31" t="s">
        <v>344</v>
      </c>
      <c r="R124" s="58" t="s">
        <v>38</v>
      </c>
      <c r="S124" s="35" t="s">
        <v>39</v>
      </c>
      <c r="T124" s="110"/>
      <c r="U124" s="59">
        <v>0</v>
      </c>
      <c r="V124" s="38">
        <f t="shared" si="14"/>
        <v>5080</v>
      </c>
      <c r="W124" s="40">
        <f t="shared" si="15"/>
        <v>0</v>
      </c>
      <c r="X124" s="59">
        <v>3</v>
      </c>
      <c r="Y124" s="62">
        <f t="shared" si="18"/>
        <v>5980</v>
      </c>
      <c r="Z124" s="40">
        <f t="shared" si="16"/>
        <v>17940</v>
      </c>
      <c r="AA124" s="71"/>
      <c r="AB124" s="71"/>
      <c r="AC124" s="40">
        <f t="shared" si="17"/>
        <v>17940</v>
      </c>
      <c r="AD124" s="98"/>
      <c r="AE124" s="29"/>
      <c r="AF124" s="4"/>
      <c r="AG124" s="4"/>
      <c r="AH124" s="1"/>
      <c r="AI124" s="4"/>
      <c r="AJ124" s="4"/>
      <c r="AK124" s="4"/>
      <c r="AL124" s="4"/>
      <c r="AM124" s="4"/>
      <c r="AN124" s="4"/>
      <c r="AO124" s="4"/>
      <c r="AP124" s="4"/>
    </row>
    <row r="125" spans="1:42" ht="35.1" customHeight="1" x14ac:dyDescent="0.2">
      <c r="A125" s="1"/>
      <c r="B125" s="6"/>
      <c r="C125" s="30" t="s">
        <v>267</v>
      </c>
      <c r="D125" s="30">
        <v>48</v>
      </c>
      <c r="E125" s="31" t="s">
        <v>358</v>
      </c>
      <c r="F125" s="30">
        <v>16201013</v>
      </c>
      <c r="G125" s="31" t="s">
        <v>320</v>
      </c>
      <c r="H125" s="31" t="s">
        <v>76</v>
      </c>
      <c r="I125" s="57">
        <v>1648</v>
      </c>
      <c r="J125" s="57">
        <v>971</v>
      </c>
      <c r="K125" s="32" t="s">
        <v>274</v>
      </c>
      <c r="L125" s="57">
        <v>4986.3999999999996</v>
      </c>
      <c r="M125" s="30" t="s">
        <v>286</v>
      </c>
      <c r="N125" s="30" t="s">
        <v>286</v>
      </c>
      <c r="O125" s="33" t="s">
        <v>287</v>
      </c>
      <c r="P125" s="30">
        <v>3</v>
      </c>
      <c r="Q125" s="31" t="s">
        <v>322</v>
      </c>
      <c r="R125" s="58" t="s">
        <v>38</v>
      </c>
      <c r="S125" s="35" t="s">
        <v>39</v>
      </c>
      <c r="T125" s="110"/>
      <c r="U125" s="59">
        <v>0</v>
      </c>
      <c r="V125" s="38">
        <f t="shared" si="14"/>
        <v>5080</v>
      </c>
      <c r="W125" s="40">
        <f t="shared" si="15"/>
        <v>0</v>
      </c>
      <c r="X125" s="59">
        <v>3</v>
      </c>
      <c r="Y125" s="62">
        <f t="shared" si="18"/>
        <v>5980</v>
      </c>
      <c r="Z125" s="40">
        <f t="shared" si="16"/>
        <v>17940</v>
      </c>
      <c r="AA125" s="71"/>
      <c r="AB125" s="71"/>
      <c r="AC125" s="40">
        <f t="shared" si="17"/>
        <v>17940</v>
      </c>
      <c r="AD125" s="98"/>
      <c r="AE125" s="29"/>
      <c r="AF125" s="4"/>
      <c r="AG125" s="4"/>
      <c r="AH125" s="1"/>
      <c r="AI125" s="4"/>
      <c r="AJ125" s="4"/>
      <c r="AK125" s="4"/>
      <c r="AL125" s="4"/>
      <c r="AM125" s="4"/>
      <c r="AN125" s="4"/>
      <c r="AO125" s="4"/>
      <c r="AP125" s="4"/>
    </row>
    <row r="126" spans="1:42" ht="35.1" customHeight="1" x14ac:dyDescent="0.2">
      <c r="A126" s="1"/>
      <c r="B126" s="6"/>
      <c r="C126" s="30" t="s">
        <v>267</v>
      </c>
      <c r="D126" s="30">
        <v>49</v>
      </c>
      <c r="E126" s="31" t="s">
        <v>359</v>
      </c>
      <c r="F126" s="30">
        <v>16370000</v>
      </c>
      <c r="G126" s="31" t="s">
        <v>354</v>
      </c>
      <c r="H126" s="31" t="s">
        <v>76</v>
      </c>
      <c r="I126" s="57">
        <v>1324</v>
      </c>
      <c r="J126" s="57">
        <v>924</v>
      </c>
      <c r="K126" s="32" t="s">
        <v>274</v>
      </c>
      <c r="L126" s="57">
        <v>3123.71</v>
      </c>
      <c r="M126" s="30" t="s">
        <v>270</v>
      </c>
      <c r="N126" s="30" t="s">
        <v>270</v>
      </c>
      <c r="O126" s="33" t="s">
        <v>357</v>
      </c>
      <c r="P126" s="30">
        <v>3</v>
      </c>
      <c r="Q126" s="31" t="s">
        <v>344</v>
      </c>
      <c r="R126" s="58" t="s">
        <v>38</v>
      </c>
      <c r="S126" s="35" t="s">
        <v>39</v>
      </c>
      <c r="T126" s="110"/>
      <c r="U126" s="59">
        <v>0</v>
      </c>
      <c r="V126" s="38">
        <f t="shared" si="14"/>
        <v>5080</v>
      </c>
      <c r="W126" s="40">
        <f t="shared" si="15"/>
        <v>0</v>
      </c>
      <c r="X126" s="59">
        <v>3</v>
      </c>
      <c r="Y126" s="62">
        <f t="shared" si="18"/>
        <v>5980</v>
      </c>
      <c r="Z126" s="40">
        <f t="shared" si="16"/>
        <v>17940</v>
      </c>
      <c r="AA126" s="71"/>
      <c r="AB126" s="71"/>
      <c r="AC126" s="40">
        <f t="shared" si="17"/>
        <v>17940</v>
      </c>
      <c r="AD126" s="98"/>
      <c r="AE126" s="29"/>
      <c r="AF126" s="4"/>
      <c r="AG126" s="4"/>
      <c r="AH126" s="1"/>
      <c r="AI126" s="4"/>
      <c r="AJ126" s="4"/>
      <c r="AK126" s="4"/>
      <c r="AL126" s="4"/>
      <c r="AM126" s="4"/>
      <c r="AN126" s="4"/>
      <c r="AO126" s="4"/>
      <c r="AP126" s="4"/>
    </row>
    <row r="127" spans="1:42" ht="35.1" customHeight="1" x14ac:dyDescent="0.2">
      <c r="A127" s="1"/>
      <c r="B127" s="6"/>
      <c r="C127" s="30" t="s">
        <v>267</v>
      </c>
      <c r="D127" s="30">
        <v>50</v>
      </c>
      <c r="E127" s="31" t="s">
        <v>360</v>
      </c>
      <c r="F127" s="30">
        <v>17520240</v>
      </c>
      <c r="G127" s="31" t="s">
        <v>361</v>
      </c>
      <c r="H127" s="31" t="s">
        <v>76</v>
      </c>
      <c r="I127" s="57">
        <v>2205</v>
      </c>
      <c r="J127" s="57">
        <v>1095</v>
      </c>
      <c r="K127" s="32" t="s">
        <v>274</v>
      </c>
      <c r="L127" s="57">
        <v>8615.2199999999993</v>
      </c>
      <c r="M127" s="30" t="s">
        <v>286</v>
      </c>
      <c r="N127" s="30" t="s">
        <v>286</v>
      </c>
      <c r="O127" s="33" t="s">
        <v>362</v>
      </c>
      <c r="P127" s="30">
        <v>3</v>
      </c>
      <c r="Q127" s="31" t="s">
        <v>344</v>
      </c>
      <c r="R127" s="58" t="s">
        <v>38</v>
      </c>
      <c r="S127" s="35" t="s">
        <v>39</v>
      </c>
      <c r="T127" s="110"/>
      <c r="U127" s="59">
        <v>0</v>
      </c>
      <c r="V127" s="38">
        <f t="shared" si="14"/>
        <v>5080</v>
      </c>
      <c r="W127" s="40">
        <f t="shared" si="15"/>
        <v>0</v>
      </c>
      <c r="X127" s="59">
        <v>3</v>
      </c>
      <c r="Y127" s="62">
        <f t="shared" si="18"/>
        <v>5980</v>
      </c>
      <c r="Z127" s="40">
        <f t="shared" si="16"/>
        <v>17940</v>
      </c>
      <c r="AA127" s="71"/>
      <c r="AB127" s="71"/>
      <c r="AC127" s="40">
        <f t="shared" si="17"/>
        <v>17940</v>
      </c>
      <c r="AD127" s="98"/>
      <c r="AE127" s="29"/>
      <c r="AF127" s="4"/>
      <c r="AG127" s="4"/>
      <c r="AH127" s="1"/>
      <c r="AI127" s="4"/>
      <c r="AJ127" s="4"/>
      <c r="AK127" s="4"/>
      <c r="AL127" s="4"/>
      <c r="AM127" s="4"/>
      <c r="AN127" s="4"/>
      <c r="AO127" s="4"/>
      <c r="AP127" s="4"/>
    </row>
    <row r="128" spans="1:42" ht="35.1" customHeight="1" x14ac:dyDescent="0.2">
      <c r="A128" s="1"/>
      <c r="B128" s="6"/>
      <c r="C128" s="30" t="s">
        <v>267</v>
      </c>
      <c r="D128" s="30">
        <v>52</v>
      </c>
      <c r="E128" s="31" t="s">
        <v>363</v>
      </c>
      <c r="F128" s="30">
        <v>87040360</v>
      </c>
      <c r="G128" s="31" t="s">
        <v>269</v>
      </c>
      <c r="H128" s="31" t="s">
        <v>32</v>
      </c>
      <c r="I128" s="57">
        <v>1831</v>
      </c>
      <c r="J128" s="57">
        <v>834</v>
      </c>
      <c r="K128" s="32" t="s">
        <v>364</v>
      </c>
      <c r="L128" s="57">
        <v>3561.52</v>
      </c>
      <c r="M128" s="30" t="s">
        <v>290</v>
      </c>
      <c r="N128" s="30" t="s">
        <v>290</v>
      </c>
      <c r="O128" s="33" t="s">
        <v>300</v>
      </c>
      <c r="P128" s="30">
        <v>4</v>
      </c>
      <c r="Q128" s="31" t="s">
        <v>301</v>
      </c>
      <c r="R128" s="58" t="s">
        <v>38</v>
      </c>
      <c r="S128" s="35" t="s">
        <v>39</v>
      </c>
      <c r="T128" s="110"/>
      <c r="U128" s="59">
        <v>0</v>
      </c>
      <c r="V128" s="38">
        <f t="shared" si="14"/>
        <v>5080</v>
      </c>
      <c r="W128" s="40">
        <f t="shared" si="15"/>
        <v>0</v>
      </c>
      <c r="X128" s="59">
        <v>4</v>
      </c>
      <c r="Y128" s="62">
        <f t="shared" si="18"/>
        <v>5980</v>
      </c>
      <c r="Z128" s="40">
        <f t="shared" si="16"/>
        <v>23920</v>
      </c>
      <c r="AA128" s="71"/>
      <c r="AB128" s="71"/>
      <c r="AC128" s="40">
        <f t="shared" si="17"/>
        <v>23920</v>
      </c>
      <c r="AD128" s="98"/>
      <c r="AE128" s="29"/>
      <c r="AF128" s="4"/>
      <c r="AG128" s="4"/>
      <c r="AH128" s="1"/>
      <c r="AI128" s="4"/>
      <c r="AJ128" s="4"/>
      <c r="AK128" s="4"/>
      <c r="AL128" s="4"/>
      <c r="AM128" s="4"/>
      <c r="AN128" s="4"/>
      <c r="AO128" s="4"/>
      <c r="AP128" s="4"/>
    </row>
    <row r="129" spans="1:42" ht="35.1" customHeight="1" x14ac:dyDescent="0.2">
      <c r="A129" s="1"/>
      <c r="B129" s="6"/>
      <c r="C129" s="30" t="s">
        <v>267</v>
      </c>
      <c r="D129" s="30">
        <v>54</v>
      </c>
      <c r="E129" s="31" t="s">
        <v>365</v>
      </c>
      <c r="F129" s="30">
        <v>87111120</v>
      </c>
      <c r="G129" s="31" t="s">
        <v>366</v>
      </c>
      <c r="H129" s="31" t="s">
        <v>32</v>
      </c>
      <c r="I129" s="57">
        <v>1114</v>
      </c>
      <c r="J129" s="57">
        <v>541</v>
      </c>
      <c r="K129" s="32" t="s">
        <v>274</v>
      </c>
      <c r="L129" s="57">
        <v>2265</v>
      </c>
      <c r="M129" s="30" t="s">
        <v>275</v>
      </c>
      <c r="N129" s="30" t="s">
        <v>275</v>
      </c>
      <c r="O129" s="33" t="s">
        <v>367</v>
      </c>
      <c r="P129" s="30">
        <v>3</v>
      </c>
      <c r="Q129" s="31" t="s">
        <v>272</v>
      </c>
      <c r="R129" s="58" t="s">
        <v>38</v>
      </c>
      <c r="S129" s="35" t="s">
        <v>39</v>
      </c>
      <c r="T129" s="110"/>
      <c r="U129" s="59">
        <v>0</v>
      </c>
      <c r="V129" s="38">
        <f t="shared" si="14"/>
        <v>5080</v>
      </c>
      <c r="W129" s="40">
        <f t="shared" si="15"/>
        <v>0</v>
      </c>
      <c r="X129" s="59">
        <v>3</v>
      </c>
      <c r="Y129" s="62">
        <f t="shared" si="18"/>
        <v>5980</v>
      </c>
      <c r="Z129" s="40">
        <f t="shared" si="16"/>
        <v>17940</v>
      </c>
      <c r="AA129" s="71"/>
      <c r="AB129" s="71"/>
      <c r="AC129" s="40">
        <f t="shared" si="17"/>
        <v>17940</v>
      </c>
      <c r="AD129" s="98"/>
      <c r="AE129" s="29"/>
      <c r="AF129" s="4"/>
      <c r="AG129" s="4"/>
      <c r="AH129" s="1"/>
      <c r="AI129" s="4"/>
      <c r="AJ129" s="4"/>
      <c r="AK129" s="4"/>
      <c r="AL129" s="4"/>
      <c r="AM129" s="4"/>
      <c r="AN129" s="4"/>
      <c r="AO129" s="4"/>
      <c r="AP129" s="4"/>
    </row>
    <row r="130" spans="1:42" ht="35.1" customHeight="1" x14ac:dyDescent="0.2">
      <c r="A130" s="1"/>
      <c r="B130" s="6"/>
      <c r="C130" s="30" t="s">
        <v>267</v>
      </c>
      <c r="D130" s="30">
        <v>55</v>
      </c>
      <c r="E130" s="31" t="s">
        <v>368</v>
      </c>
      <c r="F130" s="30">
        <v>86975000</v>
      </c>
      <c r="G130" s="31" t="s">
        <v>369</v>
      </c>
      <c r="H130" s="31" t="s">
        <v>32</v>
      </c>
      <c r="I130" s="57">
        <v>1252</v>
      </c>
      <c r="J130" s="57">
        <v>757</v>
      </c>
      <c r="K130" s="32" t="s">
        <v>274</v>
      </c>
      <c r="L130" s="57">
        <v>2704.62</v>
      </c>
      <c r="M130" s="30" t="s">
        <v>370</v>
      </c>
      <c r="N130" s="30" t="s">
        <v>370</v>
      </c>
      <c r="O130" s="33" t="s">
        <v>371</v>
      </c>
      <c r="P130" s="30">
        <v>4</v>
      </c>
      <c r="Q130" s="31" t="s">
        <v>372</v>
      </c>
      <c r="R130" s="58" t="s">
        <v>38</v>
      </c>
      <c r="S130" s="35" t="s">
        <v>39</v>
      </c>
      <c r="T130" s="110"/>
      <c r="U130" s="59">
        <v>0</v>
      </c>
      <c r="V130" s="38">
        <f t="shared" si="14"/>
        <v>5080</v>
      </c>
      <c r="W130" s="40">
        <f t="shared" si="15"/>
        <v>0</v>
      </c>
      <c r="X130" s="59">
        <v>4</v>
      </c>
      <c r="Y130" s="62">
        <f t="shared" si="18"/>
        <v>5980</v>
      </c>
      <c r="Z130" s="40">
        <f t="shared" si="16"/>
        <v>23920</v>
      </c>
      <c r="AA130" s="71"/>
      <c r="AB130" s="71"/>
      <c r="AC130" s="40">
        <f t="shared" si="17"/>
        <v>23920</v>
      </c>
      <c r="AD130" s="98"/>
      <c r="AE130" s="29"/>
      <c r="AF130" s="4"/>
      <c r="AG130" s="4"/>
      <c r="AH130" s="1"/>
      <c r="AI130" s="4"/>
      <c r="AJ130" s="4"/>
      <c r="AK130" s="4"/>
      <c r="AL130" s="4"/>
      <c r="AM130" s="4"/>
      <c r="AN130" s="4"/>
      <c r="AO130" s="4"/>
      <c r="AP130" s="4"/>
    </row>
    <row r="131" spans="1:42" ht="35.1" customHeight="1" x14ac:dyDescent="0.2">
      <c r="A131" s="1"/>
      <c r="B131" s="6"/>
      <c r="C131" s="30" t="s">
        <v>267</v>
      </c>
      <c r="D131" s="30">
        <v>56</v>
      </c>
      <c r="E131" s="31" t="s">
        <v>373</v>
      </c>
      <c r="F131" s="30">
        <v>86800702</v>
      </c>
      <c r="G131" s="31" t="s">
        <v>374</v>
      </c>
      <c r="H131" s="31" t="s">
        <v>32</v>
      </c>
      <c r="I131" s="57">
        <v>2156</v>
      </c>
      <c r="J131" s="57">
        <v>1314</v>
      </c>
      <c r="K131" s="32" t="s">
        <v>140</v>
      </c>
      <c r="L131" s="57">
        <v>4896.7700000000004</v>
      </c>
      <c r="M131" s="30" t="s">
        <v>290</v>
      </c>
      <c r="N131" s="30" t="s">
        <v>290</v>
      </c>
      <c r="O131" s="33" t="s">
        <v>291</v>
      </c>
      <c r="P131" s="30">
        <v>4</v>
      </c>
      <c r="Q131" s="31" t="s">
        <v>375</v>
      </c>
      <c r="R131" s="58" t="s">
        <v>38</v>
      </c>
      <c r="S131" s="35" t="s">
        <v>39</v>
      </c>
      <c r="T131" s="110"/>
      <c r="U131" s="59">
        <v>0</v>
      </c>
      <c r="V131" s="38">
        <f t="shared" si="14"/>
        <v>5080</v>
      </c>
      <c r="W131" s="40">
        <f t="shared" si="15"/>
        <v>0</v>
      </c>
      <c r="X131" s="59">
        <v>4</v>
      </c>
      <c r="Y131" s="62">
        <f t="shared" si="18"/>
        <v>5980</v>
      </c>
      <c r="Z131" s="40">
        <f t="shared" si="16"/>
        <v>23920</v>
      </c>
      <c r="AA131" s="71"/>
      <c r="AB131" s="71"/>
      <c r="AC131" s="40">
        <f t="shared" si="17"/>
        <v>23920</v>
      </c>
      <c r="AD131" s="98"/>
      <c r="AE131" s="29"/>
      <c r="AF131" s="4"/>
      <c r="AG131" s="4"/>
      <c r="AH131" s="1"/>
      <c r="AI131" s="4"/>
      <c r="AJ131" s="4"/>
      <c r="AK131" s="4"/>
      <c r="AL131" s="4"/>
      <c r="AM131" s="4"/>
      <c r="AN131" s="4"/>
      <c r="AO131" s="4"/>
      <c r="AP131" s="4"/>
    </row>
    <row r="132" spans="1:42" ht="35.1" customHeight="1" x14ac:dyDescent="0.2">
      <c r="A132" s="1"/>
      <c r="B132" s="6"/>
      <c r="C132" s="30" t="s">
        <v>267</v>
      </c>
      <c r="D132" s="30">
        <v>57</v>
      </c>
      <c r="E132" s="31" t="s">
        <v>376</v>
      </c>
      <c r="F132" s="30">
        <v>87015280</v>
      </c>
      <c r="G132" s="31" t="s">
        <v>269</v>
      </c>
      <c r="H132" s="31" t="s">
        <v>32</v>
      </c>
      <c r="I132" s="57">
        <v>1717</v>
      </c>
      <c r="J132" s="57">
        <v>476</v>
      </c>
      <c r="K132" s="32" t="s">
        <v>140</v>
      </c>
      <c r="L132" s="57">
        <v>3454.82</v>
      </c>
      <c r="M132" s="30" t="s">
        <v>290</v>
      </c>
      <c r="N132" s="30" t="s">
        <v>290</v>
      </c>
      <c r="O132" s="33" t="s">
        <v>300</v>
      </c>
      <c r="P132" s="30">
        <v>3</v>
      </c>
      <c r="Q132" s="31" t="s">
        <v>301</v>
      </c>
      <c r="R132" s="58" t="s">
        <v>38</v>
      </c>
      <c r="S132" s="35" t="s">
        <v>39</v>
      </c>
      <c r="T132" s="110"/>
      <c r="U132" s="59">
        <v>0</v>
      </c>
      <c r="V132" s="38">
        <f t="shared" si="14"/>
        <v>5080</v>
      </c>
      <c r="W132" s="40">
        <f t="shared" si="15"/>
        <v>0</v>
      </c>
      <c r="X132" s="59">
        <v>3</v>
      </c>
      <c r="Y132" s="62">
        <f t="shared" si="18"/>
        <v>5980</v>
      </c>
      <c r="Z132" s="40">
        <f t="shared" si="16"/>
        <v>17940</v>
      </c>
      <c r="AA132" s="71"/>
      <c r="AB132" s="71"/>
      <c r="AC132" s="40">
        <f t="shared" si="17"/>
        <v>17940</v>
      </c>
      <c r="AD132" s="98"/>
      <c r="AE132" s="29"/>
      <c r="AF132" s="4"/>
      <c r="AG132" s="4"/>
      <c r="AH132" s="1"/>
      <c r="AI132" s="4"/>
      <c r="AJ132" s="4"/>
      <c r="AK132" s="4"/>
      <c r="AL132" s="4"/>
      <c r="AM132" s="4"/>
      <c r="AN132" s="4"/>
      <c r="AO132" s="4"/>
      <c r="AP132" s="4"/>
    </row>
    <row r="133" spans="1:42" ht="35.1" customHeight="1" x14ac:dyDescent="0.2">
      <c r="A133" s="1"/>
      <c r="B133" s="6"/>
      <c r="C133" s="30" t="s">
        <v>267</v>
      </c>
      <c r="D133" s="30">
        <v>58</v>
      </c>
      <c r="E133" s="31" t="s">
        <v>377</v>
      </c>
      <c r="F133" s="30">
        <v>87033230</v>
      </c>
      <c r="G133" s="31" t="s">
        <v>269</v>
      </c>
      <c r="H133" s="31" t="s">
        <v>32</v>
      </c>
      <c r="I133" s="57">
        <v>900</v>
      </c>
      <c r="J133" s="57">
        <v>243</v>
      </c>
      <c r="K133" s="32" t="s">
        <v>140</v>
      </c>
      <c r="L133" s="57">
        <v>2513.0700000000002</v>
      </c>
      <c r="M133" s="30" t="s">
        <v>275</v>
      </c>
      <c r="N133" s="30" t="s">
        <v>275</v>
      </c>
      <c r="O133" s="33" t="s">
        <v>300</v>
      </c>
      <c r="P133" s="30">
        <v>3</v>
      </c>
      <c r="Q133" s="31" t="s">
        <v>378</v>
      </c>
      <c r="R133" s="58" t="s">
        <v>38</v>
      </c>
      <c r="S133" s="35" t="s">
        <v>39</v>
      </c>
      <c r="T133" s="110"/>
      <c r="U133" s="59">
        <v>0</v>
      </c>
      <c r="V133" s="38">
        <f t="shared" si="14"/>
        <v>5080</v>
      </c>
      <c r="W133" s="40">
        <f t="shared" si="15"/>
        <v>0</v>
      </c>
      <c r="X133" s="59">
        <v>3</v>
      </c>
      <c r="Y133" s="62">
        <f t="shared" si="18"/>
        <v>5980</v>
      </c>
      <c r="Z133" s="40">
        <f t="shared" si="16"/>
        <v>17940</v>
      </c>
      <c r="AA133" s="71"/>
      <c r="AB133" s="71"/>
      <c r="AC133" s="40">
        <f t="shared" si="17"/>
        <v>17940</v>
      </c>
      <c r="AD133" s="98"/>
      <c r="AE133" s="29"/>
      <c r="AF133" s="4"/>
      <c r="AG133" s="4"/>
      <c r="AH133" s="1"/>
      <c r="AI133" s="4"/>
      <c r="AJ133" s="4"/>
      <c r="AK133" s="4"/>
      <c r="AL133" s="4"/>
      <c r="AM133" s="4"/>
      <c r="AN133" s="4"/>
      <c r="AO133" s="4"/>
      <c r="AP133" s="4"/>
    </row>
    <row r="134" spans="1:42" ht="35.1" customHeight="1" x14ac:dyDescent="0.2">
      <c r="A134" s="1"/>
      <c r="B134" s="6"/>
      <c r="C134" s="30" t="s">
        <v>267</v>
      </c>
      <c r="D134" s="30">
        <v>59</v>
      </c>
      <c r="E134" s="31" t="s">
        <v>379</v>
      </c>
      <c r="F134" s="30">
        <v>87083130</v>
      </c>
      <c r="G134" s="31" t="s">
        <v>269</v>
      </c>
      <c r="H134" s="31" t="s">
        <v>32</v>
      </c>
      <c r="I134" s="57">
        <v>1525</v>
      </c>
      <c r="J134" s="57">
        <v>403</v>
      </c>
      <c r="K134" s="32" t="s">
        <v>140</v>
      </c>
      <c r="L134" s="57">
        <v>2361.58</v>
      </c>
      <c r="M134" s="30" t="s">
        <v>290</v>
      </c>
      <c r="N134" s="30" t="s">
        <v>290</v>
      </c>
      <c r="O134" s="33" t="s">
        <v>300</v>
      </c>
      <c r="P134" s="30">
        <v>3</v>
      </c>
      <c r="Q134" s="31" t="s">
        <v>301</v>
      </c>
      <c r="R134" s="58" t="s">
        <v>38</v>
      </c>
      <c r="S134" s="35" t="s">
        <v>39</v>
      </c>
      <c r="T134" s="110"/>
      <c r="U134" s="59">
        <v>0</v>
      </c>
      <c r="V134" s="38">
        <f t="shared" si="14"/>
        <v>5080</v>
      </c>
      <c r="W134" s="40">
        <f t="shared" si="15"/>
        <v>0</v>
      </c>
      <c r="X134" s="59">
        <v>3</v>
      </c>
      <c r="Y134" s="62">
        <f t="shared" si="18"/>
        <v>5980</v>
      </c>
      <c r="Z134" s="40">
        <f t="shared" si="16"/>
        <v>17940</v>
      </c>
      <c r="AA134" s="71"/>
      <c r="AB134" s="71"/>
      <c r="AC134" s="40">
        <f t="shared" si="17"/>
        <v>17940</v>
      </c>
      <c r="AD134" s="98"/>
      <c r="AE134" s="29"/>
      <c r="AF134" s="4"/>
      <c r="AG134" s="4"/>
      <c r="AH134" s="1"/>
      <c r="AI134" s="4"/>
      <c r="AJ134" s="4"/>
      <c r="AK134" s="4"/>
      <c r="AL134" s="4"/>
      <c r="AM134" s="4"/>
      <c r="AN134" s="4"/>
      <c r="AO134" s="4"/>
      <c r="AP134" s="4"/>
    </row>
    <row r="135" spans="1:42" ht="35.1" customHeight="1" x14ac:dyDescent="0.2">
      <c r="A135" s="1"/>
      <c r="B135" s="6"/>
      <c r="C135" s="30" t="s">
        <v>267</v>
      </c>
      <c r="D135" s="30">
        <v>60</v>
      </c>
      <c r="E135" s="31" t="s">
        <v>380</v>
      </c>
      <c r="F135" s="30">
        <v>86300000</v>
      </c>
      <c r="G135" s="31" t="s">
        <v>324</v>
      </c>
      <c r="H135" s="31" t="s">
        <v>32</v>
      </c>
      <c r="I135" s="57">
        <v>1009</v>
      </c>
      <c r="J135" s="57">
        <v>754</v>
      </c>
      <c r="K135" s="32" t="s">
        <v>274</v>
      </c>
      <c r="L135" s="57">
        <v>2255.2600000000002</v>
      </c>
      <c r="M135" s="30" t="s">
        <v>300</v>
      </c>
      <c r="N135" s="30" t="s">
        <v>300</v>
      </c>
      <c r="O135" s="33" t="s">
        <v>381</v>
      </c>
      <c r="P135" s="30">
        <v>3</v>
      </c>
      <c r="Q135" s="31" t="s">
        <v>382</v>
      </c>
      <c r="R135" s="58" t="s">
        <v>38</v>
      </c>
      <c r="S135" s="35" t="s">
        <v>39</v>
      </c>
      <c r="T135" s="110"/>
      <c r="U135" s="59">
        <v>0</v>
      </c>
      <c r="V135" s="38">
        <f t="shared" si="14"/>
        <v>5080</v>
      </c>
      <c r="W135" s="40">
        <f t="shared" si="15"/>
        <v>0</v>
      </c>
      <c r="X135" s="59">
        <v>3</v>
      </c>
      <c r="Y135" s="62">
        <f t="shared" si="18"/>
        <v>5980</v>
      </c>
      <c r="Z135" s="40">
        <f t="shared" si="16"/>
        <v>17940</v>
      </c>
      <c r="AA135" s="71"/>
      <c r="AB135" s="71"/>
      <c r="AC135" s="40">
        <f t="shared" si="17"/>
        <v>17940</v>
      </c>
      <c r="AD135" s="98"/>
      <c r="AE135" s="29"/>
      <c r="AF135" s="4"/>
      <c r="AG135" s="4"/>
      <c r="AH135" s="1"/>
      <c r="AI135" s="4"/>
      <c r="AJ135" s="4"/>
      <c r="AK135" s="4"/>
      <c r="AL135" s="4"/>
      <c r="AM135" s="4"/>
      <c r="AN135" s="4"/>
      <c r="AO135" s="4"/>
      <c r="AP135" s="4"/>
    </row>
    <row r="136" spans="1:42" ht="35.1" customHeight="1" x14ac:dyDescent="0.2">
      <c r="A136" s="1"/>
      <c r="B136" s="6"/>
      <c r="C136" s="30" t="s">
        <v>267</v>
      </c>
      <c r="D136" s="30">
        <v>62</v>
      </c>
      <c r="E136" s="31" t="s">
        <v>383</v>
      </c>
      <c r="F136" s="30">
        <v>87080000</v>
      </c>
      <c r="G136" s="31" t="s">
        <v>269</v>
      </c>
      <c r="H136" s="31" t="s">
        <v>32</v>
      </c>
      <c r="I136" s="57">
        <v>1753</v>
      </c>
      <c r="J136" s="57">
        <v>587</v>
      </c>
      <c r="K136" s="32" t="s">
        <v>140</v>
      </c>
      <c r="L136" s="57">
        <v>2648</v>
      </c>
      <c r="M136" s="30" t="s">
        <v>290</v>
      </c>
      <c r="N136" s="30" t="s">
        <v>290</v>
      </c>
      <c r="O136" s="33" t="s">
        <v>300</v>
      </c>
      <c r="P136" s="30">
        <v>3</v>
      </c>
      <c r="Q136" s="31" t="s">
        <v>301</v>
      </c>
      <c r="R136" s="58" t="s">
        <v>38</v>
      </c>
      <c r="S136" s="35" t="s">
        <v>39</v>
      </c>
      <c r="T136" s="110"/>
      <c r="U136" s="59">
        <v>0</v>
      </c>
      <c r="V136" s="38">
        <f t="shared" si="14"/>
        <v>5080</v>
      </c>
      <c r="W136" s="40">
        <f t="shared" si="15"/>
        <v>0</v>
      </c>
      <c r="X136" s="59">
        <v>3</v>
      </c>
      <c r="Y136" s="62">
        <f t="shared" si="18"/>
        <v>5980</v>
      </c>
      <c r="Z136" s="40">
        <f t="shared" si="16"/>
        <v>17940</v>
      </c>
      <c r="AA136" s="71"/>
      <c r="AB136" s="71"/>
      <c r="AC136" s="40">
        <f t="shared" si="17"/>
        <v>17940</v>
      </c>
      <c r="AD136" s="98"/>
      <c r="AE136" s="29"/>
      <c r="AF136" s="4"/>
      <c r="AG136" s="4"/>
      <c r="AH136" s="1"/>
      <c r="AI136" s="4"/>
      <c r="AJ136" s="4"/>
      <c r="AK136" s="4"/>
      <c r="AL136" s="4"/>
      <c r="AM136" s="4"/>
      <c r="AN136" s="4"/>
      <c r="AO136" s="4"/>
      <c r="AP136" s="4"/>
    </row>
    <row r="137" spans="1:42" ht="35.1" customHeight="1" x14ac:dyDescent="0.2">
      <c r="A137" s="1"/>
      <c r="B137" s="6"/>
      <c r="C137" s="30" t="s">
        <v>267</v>
      </c>
      <c r="D137" s="30">
        <v>63</v>
      </c>
      <c r="E137" s="31" t="s">
        <v>384</v>
      </c>
      <c r="F137" s="30">
        <v>87030000</v>
      </c>
      <c r="G137" s="31" t="s">
        <v>269</v>
      </c>
      <c r="H137" s="31" t="s">
        <v>32</v>
      </c>
      <c r="I137" s="57">
        <v>1990</v>
      </c>
      <c r="J137" s="57">
        <v>454</v>
      </c>
      <c r="K137" s="32" t="s">
        <v>140</v>
      </c>
      <c r="L137" s="57">
        <v>8300</v>
      </c>
      <c r="M137" s="30" t="s">
        <v>286</v>
      </c>
      <c r="N137" s="30" t="s">
        <v>286</v>
      </c>
      <c r="O137" s="33" t="s">
        <v>385</v>
      </c>
      <c r="P137" s="30">
        <v>3</v>
      </c>
      <c r="Q137" s="31" t="s">
        <v>372</v>
      </c>
      <c r="R137" s="58" t="s">
        <v>38</v>
      </c>
      <c r="S137" s="35" t="s">
        <v>39</v>
      </c>
      <c r="T137" s="110"/>
      <c r="U137" s="59">
        <v>0</v>
      </c>
      <c r="V137" s="38">
        <f t="shared" si="14"/>
        <v>5080</v>
      </c>
      <c r="W137" s="40">
        <f t="shared" si="15"/>
        <v>0</v>
      </c>
      <c r="X137" s="59">
        <v>3</v>
      </c>
      <c r="Y137" s="62">
        <f t="shared" si="18"/>
        <v>5980</v>
      </c>
      <c r="Z137" s="40">
        <f t="shared" si="16"/>
        <v>17940</v>
      </c>
      <c r="AA137" s="71"/>
      <c r="AB137" s="71"/>
      <c r="AC137" s="40">
        <f t="shared" si="17"/>
        <v>17940</v>
      </c>
      <c r="AD137" s="98"/>
      <c r="AE137" s="29"/>
      <c r="AF137" s="4"/>
      <c r="AG137" s="4"/>
      <c r="AH137" s="1"/>
      <c r="AI137" s="4"/>
      <c r="AJ137" s="4"/>
      <c r="AK137" s="4"/>
      <c r="AL137" s="4"/>
      <c r="AM137" s="4"/>
      <c r="AN137" s="4"/>
      <c r="AO137" s="4"/>
      <c r="AP137" s="4"/>
    </row>
    <row r="138" spans="1:42" ht="35.1" customHeight="1" x14ac:dyDescent="0.2">
      <c r="A138" s="1"/>
      <c r="B138" s="6"/>
      <c r="C138" s="30" t="s">
        <v>267</v>
      </c>
      <c r="D138" s="30">
        <v>64</v>
      </c>
      <c r="E138" s="31" t="s">
        <v>386</v>
      </c>
      <c r="F138" s="30">
        <v>86990000</v>
      </c>
      <c r="G138" s="31" t="s">
        <v>387</v>
      </c>
      <c r="H138" s="31" t="s">
        <v>32</v>
      </c>
      <c r="I138" s="57">
        <v>1550</v>
      </c>
      <c r="J138" s="57">
        <v>633</v>
      </c>
      <c r="K138" s="32" t="s">
        <v>140</v>
      </c>
      <c r="L138" s="57">
        <v>3282.01</v>
      </c>
      <c r="M138" s="30" t="s">
        <v>295</v>
      </c>
      <c r="N138" s="30" t="s">
        <v>295</v>
      </c>
      <c r="O138" s="33" t="s">
        <v>388</v>
      </c>
      <c r="P138" s="30">
        <v>2</v>
      </c>
      <c r="Q138" s="31" t="s">
        <v>389</v>
      </c>
      <c r="R138" s="58" t="s">
        <v>38</v>
      </c>
      <c r="S138" s="35" t="s">
        <v>39</v>
      </c>
      <c r="T138" s="110"/>
      <c r="U138" s="59">
        <v>0</v>
      </c>
      <c r="V138" s="38">
        <f t="shared" si="14"/>
        <v>5080</v>
      </c>
      <c r="W138" s="40">
        <f t="shared" si="15"/>
        <v>0</v>
      </c>
      <c r="X138" s="59">
        <v>2</v>
      </c>
      <c r="Y138" s="62">
        <f t="shared" si="18"/>
        <v>5980</v>
      </c>
      <c r="Z138" s="40">
        <f t="shared" si="16"/>
        <v>11960</v>
      </c>
      <c r="AA138" s="71"/>
      <c r="AB138" s="71"/>
      <c r="AC138" s="40">
        <f t="shared" si="17"/>
        <v>11960</v>
      </c>
      <c r="AD138" s="98"/>
      <c r="AE138" s="29"/>
      <c r="AF138" s="4"/>
      <c r="AG138" s="4"/>
      <c r="AH138" s="1"/>
      <c r="AI138" s="4"/>
      <c r="AJ138" s="4"/>
      <c r="AK138" s="4"/>
      <c r="AL138" s="4"/>
      <c r="AM138" s="4"/>
      <c r="AN138" s="4"/>
      <c r="AO138" s="4"/>
      <c r="AP138" s="4"/>
    </row>
    <row r="139" spans="1:42" ht="35.1" customHeight="1" x14ac:dyDescent="0.2">
      <c r="A139" s="1"/>
      <c r="B139" s="6"/>
      <c r="C139" s="30" t="s">
        <v>267</v>
      </c>
      <c r="D139" s="30">
        <v>65</v>
      </c>
      <c r="E139" s="31" t="s">
        <v>390</v>
      </c>
      <c r="F139" s="30">
        <v>87502000</v>
      </c>
      <c r="G139" s="31" t="s">
        <v>340</v>
      </c>
      <c r="H139" s="31" t="s">
        <v>32</v>
      </c>
      <c r="I139" s="57">
        <v>2290</v>
      </c>
      <c r="J139" s="57">
        <v>1180</v>
      </c>
      <c r="K139" s="32" t="s">
        <v>140</v>
      </c>
      <c r="L139" s="57">
        <v>4000</v>
      </c>
      <c r="M139" s="30" t="s">
        <v>290</v>
      </c>
      <c r="N139" s="30" t="s">
        <v>290</v>
      </c>
      <c r="O139" s="33" t="s">
        <v>291</v>
      </c>
      <c r="P139" s="30">
        <v>4</v>
      </c>
      <c r="Q139" s="31" t="s">
        <v>282</v>
      </c>
      <c r="R139" s="58" t="s">
        <v>38</v>
      </c>
      <c r="S139" s="35" t="s">
        <v>39</v>
      </c>
      <c r="T139" s="110"/>
      <c r="U139" s="59">
        <v>0</v>
      </c>
      <c r="V139" s="38">
        <f t="shared" si="14"/>
        <v>5080</v>
      </c>
      <c r="W139" s="40">
        <f t="shared" si="15"/>
        <v>0</v>
      </c>
      <c r="X139" s="59">
        <v>4</v>
      </c>
      <c r="Y139" s="62">
        <f t="shared" si="18"/>
        <v>5980</v>
      </c>
      <c r="Z139" s="40">
        <f t="shared" si="16"/>
        <v>23920</v>
      </c>
      <c r="AA139" s="71"/>
      <c r="AB139" s="71"/>
      <c r="AC139" s="40">
        <f t="shared" si="17"/>
        <v>23920</v>
      </c>
      <c r="AD139" s="98"/>
      <c r="AE139" s="29"/>
      <c r="AF139" s="4"/>
      <c r="AG139" s="4"/>
      <c r="AH139" s="1"/>
      <c r="AI139" s="4"/>
      <c r="AJ139" s="4"/>
      <c r="AK139" s="4"/>
      <c r="AL139" s="4"/>
      <c r="AM139" s="4"/>
      <c r="AN139" s="4"/>
      <c r="AO139" s="4"/>
      <c r="AP139" s="4"/>
    </row>
    <row r="140" spans="1:42" ht="35.1" customHeight="1" x14ac:dyDescent="0.2">
      <c r="A140" s="1"/>
      <c r="B140" s="6"/>
      <c r="C140" s="30" t="s">
        <v>267</v>
      </c>
      <c r="D140" s="30">
        <v>66</v>
      </c>
      <c r="E140" s="31" t="s">
        <v>391</v>
      </c>
      <c r="F140" s="30">
        <v>15505166</v>
      </c>
      <c r="G140" s="31" t="s">
        <v>392</v>
      </c>
      <c r="H140" s="31" t="s">
        <v>76</v>
      </c>
      <c r="I140" s="57">
        <v>2148</v>
      </c>
      <c r="J140" s="57">
        <v>1406</v>
      </c>
      <c r="K140" s="32" t="s">
        <v>140</v>
      </c>
      <c r="L140" s="57">
        <v>7053.32</v>
      </c>
      <c r="M140" s="30" t="s">
        <v>393</v>
      </c>
      <c r="N140" s="30" t="s">
        <v>393</v>
      </c>
      <c r="O140" s="33" t="s">
        <v>394</v>
      </c>
      <c r="P140" s="30">
        <v>4</v>
      </c>
      <c r="Q140" s="31" t="s">
        <v>292</v>
      </c>
      <c r="R140" s="58" t="s">
        <v>38</v>
      </c>
      <c r="S140" s="35" t="s">
        <v>39</v>
      </c>
      <c r="T140" s="110"/>
      <c r="U140" s="59">
        <v>0</v>
      </c>
      <c r="V140" s="38">
        <f t="shared" si="14"/>
        <v>5080</v>
      </c>
      <c r="W140" s="40">
        <f t="shared" si="15"/>
        <v>0</v>
      </c>
      <c r="X140" s="59">
        <v>4</v>
      </c>
      <c r="Y140" s="62">
        <f t="shared" si="18"/>
        <v>5980</v>
      </c>
      <c r="Z140" s="40">
        <f t="shared" si="16"/>
        <v>23920</v>
      </c>
      <c r="AA140" s="71"/>
      <c r="AB140" s="71"/>
      <c r="AC140" s="40">
        <f t="shared" si="17"/>
        <v>23920</v>
      </c>
      <c r="AD140" s="98"/>
      <c r="AE140" s="29"/>
      <c r="AF140" s="4"/>
      <c r="AG140" s="4"/>
      <c r="AH140" s="1"/>
      <c r="AI140" s="4"/>
      <c r="AJ140" s="4"/>
      <c r="AK140" s="4"/>
      <c r="AL140" s="4"/>
      <c r="AM140" s="4"/>
      <c r="AN140" s="4"/>
      <c r="AO140" s="4"/>
      <c r="AP140" s="4"/>
    </row>
    <row r="141" spans="1:42" ht="35.1" customHeight="1" x14ac:dyDescent="0.2">
      <c r="A141" s="1"/>
      <c r="B141" s="6"/>
      <c r="C141" s="30" t="s">
        <v>267</v>
      </c>
      <c r="D141" s="30">
        <v>67</v>
      </c>
      <c r="E141" s="31" t="s">
        <v>395</v>
      </c>
      <c r="F141" s="30">
        <v>15503027</v>
      </c>
      <c r="G141" s="31" t="s">
        <v>392</v>
      </c>
      <c r="H141" s="31" t="s">
        <v>76</v>
      </c>
      <c r="I141" s="57">
        <v>2268</v>
      </c>
      <c r="J141" s="57">
        <v>1333</v>
      </c>
      <c r="K141" s="32" t="s">
        <v>274</v>
      </c>
      <c r="L141" s="57">
        <v>7363.15</v>
      </c>
      <c r="M141" s="30" t="s">
        <v>393</v>
      </c>
      <c r="N141" s="30" t="s">
        <v>393</v>
      </c>
      <c r="O141" s="33" t="s">
        <v>394</v>
      </c>
      <c r="P141" s="30">
        <v>4</v>
      </c>
      <c r="Q141" s="31" t="s">
        <v>292</v>
      </c>
      <c r="R141" s="58" t="s">
        <v>38</v>
      </c>
      <c r="S141" s="35" t="s">
        <v>39</v>
      </c>
      <c r="T141" s="110"/>
      <c r="U141" s="59">
        <v>0</v>
      </c>
      <c r="V141" s="38">
        <f t="shared" si="14"/>
        <v>5080</v>
      </c>
      <c r="W141" s="40">
        <f t="shared" si="15"/>
        <v>0</v>
      </c>
      <c r="X141" s="59">
        <v>4</v>
      </c>
      <c r="Y141" s="62">
        <f t="shared" si="18"/>
        <v>5980</v>
      </c>
      <c r="Z141" s="40">
        <f t="shared" si="16"/>
        <v>23920</v>
      </c>
      <c r="AA141" s="71"/>
      <c r="AB141" s="71"/>
      <c r="AC141" s="40">
        <f t="shared" si="17"/>
        <v>23920</v>
      </c>
      <c r="AD141" s="98"/>
      <c r="AE141" s="29"/>
      <c r="AF141" s="4"/>
      <c r="AG141" s="4"/>
      <c r="AH141" s="1"/>
      <c r="AI141" s="4"/>
      <c r="AJ141" s="4"/>
      <c r="AK141" s="4"/>
      <c r="AL141" s="4"/>
      <c r="AM141" s="4"/>
      <c r="AN141" s="4"/>
      <c r="AO141" s="4"/>
      <c r="AP141" s="4"/>
    </row>
    <row r="142" spans="1:42" ht="35.1" customHeight="1" x14ac:dyDescent="0.2">
      <c r="A142" s="1"/>
      <c r="B142" s="6"/>
      <c r="C142" s="30" t="s">
        <v>267</v>
      </c>
      <c r="D142" s="30">
        <v>68</v>
      </c>
      <c r="E142" s="31" t="s">
        <v>396</v>
      </c>
      <c r="F142" s="30">
        <v>16303040</v>
      </c>
      <c r="G142" s="31" t="s">
        <v>397</v>
      </c>
      <c r="H142" s="31" t="s">
        <v>76</v>
      </c>
      <c r="I142" s="57">
        <v>1610</v>
      </c>
      <c r="J142" s="57">
        <v>592</v>
      </c>
      <c r="K142" s="32" t="s">
        <v>274</v>
      </c>
      <c r="L142" s="57">
        <v>3371.21</v>
      </c>
      <c r="M142" s="30" t="s">
        <v>270</v>
      </c>
      <c r="N142" s="30" t="s">
        <v>270</v>
      </c>
      <c r="O142" s="33" t="s">
        <v>398</v>
      </c>
      <c r="P142" s="30">
        <v>4</v>
      </c>
      <c r="Q142" s="31" t="s">
        <v>297</v>
      </c>
      <c r="R142" s="58" t="s">
        <v>38</v>
      </c>
      <c r="S142" s="35" t="s">
        <v>39</v>
      </c>
      <c r="T142" s="110"/>
      <c r="U142" s="59">
        <v>0</v>
      </c>
      <c r="V142" s="38">
        <f t="shared" si="14"/>
        <v>5080</v>
      </c>
      <c r="W142" s="40">
        <f t="shared" si="15"/>
        <v>0</v>
      </c>
      <c r="X142" s="59">
        <v>4</v>
      </c>
      <c r="Y142" s="62">
        <f t="shared" si="18"/>
        <v>5980</v>
      </c>
      <c r="Z142" s="40">
        <f t="shared" si="16"/>
        <v>23920</v>
      </c>
      <c r="AA142" s="71"/>
      <c r="AB142" s="71"/>
      <c r="AC142" s="40">
        <f t="shared" si="17"/>
        <v>23920</v>
      </c>
      <c r="AD142" s="98"/>
      <c r="AE142" s="29"/>
      <c r="AF142" s="4"/>
      <c r="AG142" s="4"/>
      <c r="AH142" s="1"/>
      <c r="AI142" s="4"/>
      <c r="AJ142" s="4"/>
      <c r="AK142" s="4"/>
      <c r="AL142" s="4"/>
      <c r="AM142" s="4"/>
      <c r="AN142" s="4"/>
      <c r="AO142" s="4"/>
      <c r="AP142" s="4"/>
    </row>
    <row r="143" spans="1:42" ht="35.1" customHeight="1" x14ac:dyDescent="0.2">
      <c r="A143" s="1"/>
      <c r="B143" s="6"/>
      <c r="C143" s="30" t="s">
        <v>267</v>
      </c>
      <c r="D143" s="30">
        <v>69</v>
      </c>
      <c r="E143" s="31" t="s">
        <v>399</v>
      </c>
      <c r="F143" s="30">
        <v>79644900</v>
      </c>
      <c r="G143" s="31" t="s">
        <v>400</v>
      </c>
      <c r="H143" s="31" t="s">
        <v>285</v>
      </c>
      <c r="I143" s="57">
        <v>1976</v>
      </c>
      <c r="J143" s="57">
        <v>720</v>
      </c>
      <c r="K143" s="32" t="s">
        <v>140</v>
      </c>
      <c r="L143" s="57">
        <v>4408.04</v>
      </c>
      <c r="M143" s="30" t="s">
        <v>290</v>
      </c>
      <c r="N143" s="30" t="s">
        <v>290</v>
      </c>
      <c r="O143" s="33" t="s">
        <v>401</v>
      </c>
      <c r="P143" s="30">
        <v>3</v>
      </c>
      <c r="Q143" s="31" t="s">
        <v>297</v>
      </c>
      <c r="R143" s="58" t="s">
        <v>38</v>
      </c>
      <c r="S143" s="35" t="s">
        <v>39</v>
      </c>
      <c r="T143" s="110"/>
      <c r="U143" s="59">
        <v>0</v>
      </c>
      <c r="V143" s="38">
        <f t="shared" si="14"/>
        <v>5080</v>
      </c>
      <c r="W143" s="40">
        <f t="shared" si="15"/>
        <v>0</v>
      </c>
      <c r="X143" s="59">
        <v>3</v>
      </c>
      <c r="Y143" s="62">
        <f t="shared" si="18"/>
        <v>5980</v>
      </c>
      <c r="Z143" s="40">
        <f t="shared" si="16"/>
        <v>17940</v>
      </c>
      <c r="AA143" s="71"/>
      <c r="AB143" s="71"/>
      <c r="AC143" s="40">
        <f t="shared" si="17"/>
        <v>17940</v>
      </c>
      <c r="AD143" s="98"/>
      <c r="AE143" s="29"/>
      <c r="AF143" s="4"/>
      <c r="AG143" s="4"/>
      <c r="AH143" s="1"/>
      <c r="AI143" s="4"/>
      <c r="AJ143" s="4"/>
      <c r="AK143" s="4"/>
      <c r="AL143" s="4"/>
      <c r="AM143" s="4"/>
      <c r="AN143" s="4"/>
      <c r="AO143" s="4"/>
      <c r="AP143" s="4"/>
    </row>
    <row r="144" spans="1:42" ht="35.1" customHeight="1" x14ac:dyDescent="0.2">
      <c r="A144" s="1"/>
      <c r="B144" s="6"/>
      <c r="C144" s="30" t="s">
        <v>267</v>
      </c>
      <c r="D144" s="30">
        <v>70</v>
      </c>
      <c r="E144" s="31" t="s">
        <v>402</v>
      </c>
      <c r="F144" s="30">
        <v>15053670</v>
      </c>
      <c r="G144" s="31" t="s">
        <v>403</v>
      </c>
      <c r="H144" s="31" t="s">
        <v>76</v>
      </c>
      <c r="I144" s="57">
        <v>2070</v>
      </c>
      <c r="J144" s="57">
        <v>834</v>
      </c>
      <c r="K144" s="32" t="s">
        <v>280</v>
      </c>
      <c r="L144" s="57">
        <v>32740.76</v>
      </c>
      <c r="M144" s="30" t="s">
        <v>295</v>
      </c>
      <c r="N144" s="30" t="s">
        <v>295</v>
      </c>
      <c r="O144" s="33" t="s">
        <v>300</v>
      </c>
      <c r="P144" s="30">
        <v>4</v>
      </c>
      <c r="Q144" s="31" t="s">
        <v>292</v>
      </c>
      <c r="R144" s="58" t="s">
        <v>38</v>
      </c>
      <c r="S144" s="35" t="s">
        <v>39</v>
      </c>
      <c r="T144" s="110"/>
      <c r="U144" s="59">
        <v>0</v>
      </c>
      <c r="V144" s="38">
        <f t="shared" si="14"/>
        <v>5080</v>
      </c>
      <c r="W144" s="40">
        <f t="shared" si="15"/>
        <v>0</v>
      </c>
      <c r="X144" s="59">
        <v>4</v>
      </c>
      <c r="Y144" s="62">
        <f t="shared" si="18"/>
        <v>5980</v>
      </c>
      <c r="Z144" s="40">
        <f t="shared" si="16"/>
        <v>23920</v>
      </c>
      <c r="AA144" s="71"/>
      <c r="AB144" s="71"/>
      <c r="AC144" s="40">
        <f t="shared" si="17"/>
        <v>23920</v>
      </c>
      <c r="AD144" s="98"/>
      <c r="AE144" s="29"/>
      <c r="AF144" s="4"/>
      <c r="AG144" s="4"/>
      <c r="AH144" s="1"/>
      <c r="AI144" s="4"/>
      <c r="AJ144" s="4"/>
      <c r="AK144" s="4"/>
      <c r="AL144" s="4"/>
      <c r="AM144" s="4"/>
      <c r="AN144" s="4"/>
      <c r="AO144" s="4"/>
      <c r="AP144" s="4"/>
    </row>
    <row r="145" spans="1:42" ht="35.1" customHeight="1" x14ac:dyDescent="0.2">
      <c r="A145" s="1"/>
      <c r="B145" s="6"/>
      <c r="C145" s="30" t="s">
        <v>267</v>
      </c>
      <c r="D145" s="30">
        <v>73</v>
      </c>
      <c r="E145" s="31" t="s">
        <v>404</v>
      </c>
      <c r="F145" s="30">
        <v>86077080</v>
      </c>
      <c r="G145" s="31" t="s">
        <v>309</v>
      </c>
      <c r="H145" s="31" t="s">
        <v>32</v>
      </c>
      <c r="I145" s="57">
        <v>2586</v>
      </c>
      <c r="J145" s="57">
        <v>1210</v>
      </c>
      <c r="K145" s="32" t="s">
        <v>140</v>
      </c>
      <c r="L145" s="57">
        <v>12868.01</v>
      </c>
      <c r="M145" s="30" t="s">
        <v>290</v>
      </c>
      <c r="N145" s="30" t="s">
        <v>290</v>
      </c>
      <c r="O145" s="33" t="s">
        <v>313</v>
      </c>
      <c r="P145" s="30">
        <v>4</v>
      </c>
      <c r="Q145" s="31" t="s">
        <v>297</v>
      </c>
      <c r="R145" s="58" t="s">
        <v>38</v>
      </c>
      <c r="S145" s="35" t="s">
        <v>39</v>
      </c>
      <c r="T145" s="110"/>
      <c r="U145" s="59">
        <v>0</v>
      </c>
      <c r="V145" s="38">
        <f t="shared" si="14"/>
        <v>5080</v>
      </c>
      <c r="W145" s="40">
        <f t="shared" si="15"/>
        <v>0</v>
      </c>
      <c r="X145" s="59">
        <v>4</v>
      </c>
      <c r="Y145" s="62">
        <f t="shared" si="18"/>
        <v>5980</v>
      </c>
      <c r="Z145" s="40">
        <f t="shared" si="16"/>
        <v>23920</v>
      </c>
      <c r="AA145" s="71"/>
      <c r="AB145" s="71"/>
      <c r="AC145" s="40">
        <f t="shared" si="17"/>
        <v>23920</v>
      </c>
      <c r="AD145" s="98"/>
      <c r="AE145" s="29"/>
      <c r="AF145" s="4"/>
      <c r="AG145" s="4"/>
      <c r="AH145" s="1"/>
      <c r="AI145" s="4"/>
      <c r="AJ145" s="4"/>
      <c r="AK145" s="4"/>
      <c r="AL145" s="4"/>
      <c r="AM145" s="4"/>
      <c r="AN145" s="4"/>
      <c r="AO145" s="4"/>
      <c r="AP145" s="4"/>
    </row>
    <row r="146" spans="1:42" ht="35.1" customHeight="1" x14ac:dyDescent="0.2">
      <c r="A146" s="1"/>
      <c r="B146" s="6"/>
      <c r="C146" s="30" t="s">
        <v>267</v>
      </c>
      <c r="D146" s="30">
        <v>74</v>
      </c>
      <c r="E146" s="31" t="s">
        <v>405</v>
      </c>
      <c r="F146" s="30">
        <v>19050220</v>
      </c>
      <c r="G146" s="31" t="s">
        <v>406</v>
      </c>
      <c r="H146" s="31" t="s">
        <v>76</v>
      </c>
      <c r="I146" s="57">
        <v>2459</v>
      </c>
      <c r="J146" s="57">
        <v>749</v>
      </c>
      <c r="K146" s="32" t="s">
        <v>140</v>
      </c>
      <c r="L146" s="57">
        <v>7929.72</v>
      </c>
      <c r="M146" s="30" t="s">
        <v>407</v>
      </c>
      <c r="N146" s="30" t="s">
        <v>407</v>
      </c>
      <c r="O146" s="33" t="s">
        <v>408</v>
      </c>
      <c r="P146" s="30">
        <v>4</v>
      </c>
      <c r="Q146" s="31" t="s">
        <v>297</v>
      </c>
      <c r="R146" s="58" t="s">
        <v>38</v>
      </c>
      <c r="S146" s="35" t="s">
        <v>39</v>
      </c>
      <c r="T146" s="110"/>
      <c r="U146" s="59">
        <v>0</v>
      </c>
      <c r="V146" s="38">
        <f t="shared" si="14"/>
        <v>5080</v>
      </c>
      <c r="W146" s="40">
        <f t="shared" si="15"/>
        <v>0</v>
      </c>
      <c r="X146" s="59">
        <v>4</v>
      </c>
      <c r="Y146" s="62">
        <f t="shared" si="18"/>
        <v>5980</v>
      </c>
      <c r="Z146" s="40">
        <f t="shared" si="16"/>
        <v>23920</v>
      </c>
      <c r="AA146" s="71"/>
      <c r="AB146" s="71"/>
      <c r="AC146" s="40">
        <f t="shared" si="17"/>
        <v>23920</v>
      </c>
      <c r="AD146" s="98"/>
      <c r="AE146" s="29"/>
      <c r="AF146" s="4"/>
      <c r="AG146" s="4"/>
      <c r="AH146" s="1"/>
      <c r="AI146" s="4"/>
      <c r="AJ146" s="4"/>
      <c r="AK146" s="4"/>
      <c r="AL146" s="4"/>
      <c r="AM146" s="4"/>
      <c r="AN146" s="4"/>
      <c r="AO146" s="4"/>
      <c r="AP146" s="4"/>
    </row>
    <row r="147" spans="1:42" ht="35.1" customHeight="1" x14ac:dyDescent="0.2">
      <c r="A147" s="1"/>
      <c r="B147" s="6"/>
      <c r="C147" s="30" t="s">
        <v>267</v>
      </c>
      <c r="D147" s="30">
        <v>75</v>
      </c>
      <c r="E147" s="31" t="s">
        <v>409</v>
      </c>
      <c r="F147" s="30">
        <v>15047009</v>
      </c>
      <c r="G147" s="31" t="s">
        <v>403</v>
      </c>
      <c r="H147" s="31" t="s">
        <v>76</v>
      </c>
      <c r="I147" s="57">
        <v>1400</v>
      </c>
      <c r="J147" s="57">
        <v>1490</v>
      </c>
      <c r="K147" s="32" t="s">
        <v>280</v>
      </c>
      <c r="L147" s="57">
        <v>3831.18</v>
      </c>
      <c r="M147" s="30" t="s">
        <v>270</v>
      </c>
      <c r="N147" s="30" t="s">
        <v>270</v>
      </c>
      <c r="O147" s="33" t="s">
        <v>410</v>
      </c>
      <c r="P147" s="30">
        <v>4</v>
      </c>
      <c r="Q147" s="31" t="s">
        <v>292</v>
      </c>
      <c r="R147" s="58" t="s">
        <v>38</v>
      </c>
      <c r="S147" s="35" t="s">
        <v>39</v>
      </c>
      <c r="T147" s="110"/>
      <c r="U147" s="59">
        <v>0</v>
      </c>
      <c r="V147" s="38">
        <f t="shared" si="14"/>
        <v>5080</v>
      </c>
      <c r="W147" s="40">
        <f t="shared" si="15"/>
        <v>0</v>
      </c>
      <c r="X147" s="59">
        <v>4</v>
      </c>
      <c r="Y147" s="62">
        <f t="shared" si="18"/>
        <v>5980</v>
      </c>
      <c r="Z147" s="40">
        <f t="shared" si="16"/>
        <v>23920</v>
      </c>
      <c r="AA147" s="71"/>
      <c r="AB147" s="71"/>
      <c r="AC147" s="40">
        <f t="shared" si="17"/>
        <v>23920</v>
      </c>
      <c r="AD147" s="98"/>
      <c r="AE147" s="29"/>
      <c r="AF147" s="4"/>
      <c r="AG147" s="4"/>
      <c r="AH147" s="1"/>
      <c r="AI147" s="4"/>
      <c r="AJ147" s="4"/>
      <c r="AK147" s="4"/>
      <c r="AL147" s="4"/>
      <c r="AM147" s="4"/>
      <c r="AN147" s="4"/>
      <c r="AO147" s="4"/>
      <c r="AP147" s="4"/>
    </row>
    <row r="148" spans="1:42" ht="35.1" customHeight="1" x14ac:dyDescent="0.2">
      <c r="A148" s="1"/>
      <c r="B148" s="6"/>
      <c r="C148" s="30" t="s">
        <v>267</v>
      </c>
      <c r="D148" s="30">
        <v>76</v>
      </c>
      <c r="E148" s="31" t="s">
        <v>411</v>
      </c>
      <c r="F148" s="30">
        <v>12084080</v>
      </c>
      <c r="G148" s="31" t="s">
        <v>403</v>
      </c>
      <c r="H148" s="31" t="s">
        <v>76</v>
      </c>
      <c r="I148" s="57">
        <v>1719</v>
      </c>
      <c r="J148" s="57">
        <v>782</v>
      </c>
      <c r="K148" s="32" t="s">
        <v>140</v>
      </c>
      <c r="L148" s="57">
        <v>3933.25</v>
      </c>
      <c r="M148" s="30" t="s">
        <v>270</v>
      </c>
      <c r="N148" s="30" t="s">
        <v>270</v>
      </c>
      <c r="O148" s="33" t="s">
        <v>412</v>
      </c>
      <c r="P148" s="30">
        <v>4</v>
      </c>
      <c r="Q148" s="31" t="s">
        <v>292</v>
      </c>
      <c r="R148" s="58" t="s">
        <v>38</v>
      </c>
      <c r="S148" s="35" t="s">
        <v>39</v>
      </c>
      <c r="T148" s="110"/>
      <c r="U148" s="59">
        <v>0</v>
      </c>
      <c r="V148" s="38">
        <f t="shared" si="14"/>
        <v>5080</v>
      </c>
      <c r="W148" s="40">
        <f t="shared" si="15"/>
        <v>0</v>
      </c>
      <c r="X148" s="59">
        <v>4</v>
      </c>
      <c r="Y148" s="62">
        <f t="shared" si="18"/>
        <v>5980</v>
      </c>
      <c r="Z148" s="40">
        <f t="shared" si="16"/>
        <v>23920</v>
      </c>
      <c r="AA148" s="71"/>
      <c r="AB148" s="71"/>
      <c r="AC148" s="40">
        <f t="shared" si="17"/>
        <v>23920</v>
      </c>
      <c r="AD148" s="98"/>
      <c r="AE148" s="29"/>
      <c r="AF148" s="4"/>
      <c r="AG148" s="4"/>
      <c r="AH148" s="1"/>
      <c r="AI148" s="4"/>
      <c r="AJ148" s="4"/>
      <c r="AK148" s="4"/>
      <c r="AL148" s="4"/>
      <c r="AM148" s="4"/>
      <c r="AN148" s="4"/>
      <c r="AO148" s="4"/>
      <c r="AP148" s="4"/>
    </row>
    <row r="149" spans="1:42" ht="35.1" customHeight="1" x14ac:dyDescent="0.2">
      <c r="A149" s="1"/>
      <c r="B149" s="6"/>
      <c r="C149" s="30" t="s">
        <v>267</v>
      </c>
      <c r="D149" s="30">
        <v>77</v>
      </c>
      <c r="E149" s="31" t="s">
        <v>413</v>
      </c>
      <c r="F149" s="30">
        <v>15050423</v>
      </c>
      <c r="G149" s="31" t="s">
        <v>403</v>
      </c>
      <c r="H149" s="31" t="s">
        <v>76</v>
      </c>
      <c r="I149" s="57">
        <v>1782</v>
      </c>
      <c r="J149" s="57">
        <v>1272</v>
      </c>
      <c r="K149" s="32" t="s">
        <v>414</v>
      </c>
      <c r="L149" s="57">
        <v>4242.54</v>
      </c>
      <c r="M149" s="30" t="s">
        <v>270</v>
      </c>
      <c r="N149" s="30" t="s">
        <v>270</v>
      </c>
      <c r="O149" s="33" t="s">
        <v>410</v>
      </c>
      <c r="P149" s="30">
        <v>4</v>
      </c>
      <c r="Q149" s="31" t="s">
        <v>292</v>
      </c>
      <c r="R149" s="58" t="s">
        <v>38</v>
      </c>
      <c r="S149" s="35" t="s">
        <v>39</v>
      </c>
      <c r="T149" s="110"/>
      <c r="U149" s="59">
        <v>0</v>
      </c>
      <c r="V149" s="38">
        <f t="shared" si="14"/>
        <v>5080</v>
      </c>
      <c r="W149" s="40">
        <f t="shared" si="15"/>
        <v>0</v>
      </c>
      <c r="X149" s="59">
        <v>4</v>
      </c>
      <c r="Y149" s="62">
        <f t="shared" si="18"/>
        <v>5980</v>
      </c>
      <c r="Z149" s="40">
        <f t="shared" si="16"/>
        <v>23920</v>
      </c>
      <c r="AA149" s="71"/>
      <c r="AB149" s="71"/>
      <c r="AC149" s="40">
        <f t="shared" si="17"/>
        <v>23920</v>
      </c>
      <c r="AD149" s="98"/>
      <c r="AE149" s="29"/>
      <c r="AF149" s="4"/>
      <c r="AG149" s="4"/>
      <c r="AH149" s="1"/>
      <c r="AI149" s="4"/>
      <c r="AJ149" s="4"/>
      <c r="AK149" s="4"/>
      <c r="AL149" s="4"/>
      <c r="AM149" s="4"/>
      <c r="AN149" s="4"/>
      <c r="AO149" s="4"/>
      <c r="AP149" s="4"/>
    </row>
    <row r="150" spans="1:42" ht="35.1" customHeight="1" x14ac:dyDescent="0.2">
      <c r="A150" s="1"/>
      <c r="B150" s="6"/>
      <c r="C150" s="30" t="s">
        <v>267</v>
      </c>
      <c r="D150" s="30">
        <v>78</v>
      </c>
      <c r="E150" s="31" t="s">
        <v>415</v>
      </c>
      <c r="F150" s="30">
        <v>16800000</v>
      </c>
      <c r="G150" s="31" t="s">
        <v>416</v>
      </c>
      <c r="H150" s="31" t="s">
        <v>76</v>
      </c>
      <c r="I150" s="57">
        <v>2393</v>
      </c>
      <c r="J150" s="57">
        <v>665</v>
      </c>
      <c r="K150" s="32" t="s">
        <v>140</v>
      </c>
      <c r="L150" s="57">
        <v>4600.93</v>
      </c>
      <c r="M150" s="30" t="s">
        <v>290</v>
      </c>
      <c r="N150" s="30" t="s">
        <v>290</v>
      </c>
      <c r="O150" s="33" t="s">
        <v>291</v>
      </c>
      <c r="P150" s="30">
        <v>3</v>
      </c>
      <c r="Q150" s="31" t="s">
        <v>297</v>
      </c>
      <c r="R150" s="58" t="s">
        <v>38</v>
      </c>
      <c r="S150" s="35" t="s">
        <v>39</v>
      </c>
      <c r="T150" s="110"/>
      <c r="U150" s="59">
        <v>0</v>
      </c>
      <c r="V150" s="38">
        <f t="shared" si="14"/>
        <v>5080</v>
      </c>
      <c r="W150" s="40">
        <f t="shared" si="15"/>
        <v>0</v>
      </c>
      <c r="X150" s="59">
        <v>3</v>
      </c>
      <c r="Y150" s="62">
        <f t="shared" si="18"/>
        <v>5980</v>
      </c>
      <c r="Z150" s="40">
        <f t="shared" si="16"/>
        <v>17940</v>
      </c>
      <c r="AA150" s="71"/>
      <c r="AB150" s="71"/>
      <c r="AC150" s="40">
        <f t="shared" si="17"/>
        <v>17940</v>
      </c>
      <c r="AD150" s="98"/>
      <c r="AE150" s="29"/>
      <c r="AF150" s="4"/>
      <c r="AG150" s="4"/>
      <c r="AH150" s="1"/>
      <c r="AI150" s="4"/>
      <c r="AJ150" s="4"/>
      <c r="AK150" s="4"/>
      <c r="AL150" s="4"/>
      <c r="AM150" s="4"/>
      <c r="AN150" s="4"/>
      <c r="AO150" s="4"/>
      <c r="AP150" s="4"/>
    </row>
    <row r="151" spans="1:42" ht="35.1" customHeight="1" x14ac:dyDescent="0.2">
      <c r="A151" s="1"/>
      <c r="B151" s="6"/>
      <c r="C151" s="30" t="s">
        <v>267</v>
      </c>
      <c r="D151" s="30">
        <v>79</v>
      </c>
      <c r="E151" s="31" t="s">
        <v>417</v>
      </c>
      <c r="F151" s="30">
        <v>17603060</v>
      </c>
      <c r="G151" s="31" t="s">
        <v>187</v>
      </c>
      <c r="H151" s="31" t="s">
        <v>76</v>
      </c>
      <c r="I151" s="57">
        <v>2190</v>
      </c>
      <c r="J151" s="57">
        <v>400</v>
      </c>
      <c r="K151" s="32" t="s">
        <v>140</v>
      </c>
      <c r="L151" s="57">
        <v>7471.86</v>
      </c>
      <c r="M151" s="30" t="s">
        <v>290</v>
      </c>
      <c r="N151" s="30" t="s">
        <v>290</v>
      </c>
      <c r="O151" s="33" t="s">
        <v>291</v>
      </c>
      <c r="P151" s="30">
        <v>4</v>
      </c>
      <c r="Q151" s="31" t="s">
        <v>344</v>
      </c>
      <c r="R151" s="58" t="s">
        <v>38</v>
      </c>
      <c r="S151" s="35" t="s">
        <v>39</v>
      </c>
      <c r="T151" s="110"/>
      <c r="U151" s="59">
        <v>0</v>
      </c>
      <c r="V151" s="38">
        <f t="shared" si="14"/>
        <v>5080</v>
      </c>
      <c r="W151" s="40">
        <f t="shared" si="15"/>
        <v>0</v>
      </c>
      <c r="X151" s="59">
        <v>4</v>
      </c>
      <c r="Y151" s="62">
        <f t="shared" si="18"/>
        <v>5980</v>
      </c>
      <c r="Z151" s="40">
        <f t="shared" si="16"/>
        <v>23920</v>
      </c>
      <c r="AA151" s="71"/>
      <c r="AB151" s="71"/>
      <c r="AC151" s="40">
        <f t="shared" si="17"/>
        <v>23920</v>
      </c>
      <c r="AD151" s="98"/>
      <c r="AE151" s="29"/>
      <c r="AF151" s="4"/>
      <c r="AG151" s="4"/>
      <c r="AH151" s="1"/>
      <c r="AI151" s="4"/>
      <c r="AJ151" s="4"/>
      <c r="AK151" s="4"/>
      <c r="AL151" s="4"/>
      <c r="AM151" s="4"/>
      <c r="AN151" s="4"/>
      <c r="AO151" s="4"/>
      <c r="AP151" s="4"/>
    </row>
    <row r="152" spans="1:42" ht="35.1" customHeight="1" x14ac:dyDescent="0.2">
      <c r="A152" s="1"/>
      <c r="B152" s="6"/>
      <c r="C152" s="30" t="s">
        <v>267</v>
      </c>
      <c r="D152" s="30">
        <v>80</v>
      </c>
      <c r="E152" s="31" t="s">
        <v>418</v>
      </c>
      <c r="F152" s="30">
        <v>86181010</v>
      </c>
      <c r="G152" s="31" t="s">
        <v>419</v>
      </c>
      <c r="H152" s="31" t="s">
        <v>32</v>
      </c>
      <c r="I152" s="57">
        <v>2405</v>
      </c>
      <c r="J152" s="57">
        <v>910</v>
      </c>
      <c r="K152" s="32" t="s">
        <v>140</v>
      </c>
      <c r="L152" s="57">
        <v>6090.9</v>
      </c>
      <c r="M152" s="30" t="s">
        <v>290</v>
      </c>
      <c r="N152" s="30" t="s">
        <v>290</v>
      </c>
      <c r="O152" s="33" t="s">
        <v>300</v>
      </c>
      <c r="P152" s="30">
        <v>3</v>
      </c>
      <c r="Q152" s="31" t="s">
        <v>297</v>
      </c>
      <c r="R152" s="58" t="s">
        <v>38</v>
      </c>
      <c r="S152" s="35" t="s">
        <v>39</v>
      </c>
      <c r="T152" s="110"/>
      <c r="U152" s="59">
        <v>0</v>
      </c>
      <c r="V152" s="38">
        <f t="shared" si="14"/>
        <v>5080</v>
      </c>
      <c r="W152" s="40">
        <f t="shared" si="15"/>
        <v>0</v>
      </c>
      <c r="X152" s="59">
        <v>3</v>
      </c>
      <c r="Y152" s="62">
        <f t="shared" si="18"/>
        <v>5980</v>
      </c>
      <c r="Z152" s="40">
        <f t="shared" si="16"/>
        <v>17940</v>
      </c>
      <c r="AA152" s="71"/>
      <c r="AB152" s="71"/>
      <c r="AC152" s="40">
        <f t="shared" si="17"/>
        <v>17940</v>
      </c>
      <c r="AD152" s="98"/>
      <c r="AE152" s="29"/>
      <c r="AF152" s="4"/>
      <c r="AG152" s="4"/>
      <c r="AH152" s="1"/>
      <c r="AI152" s="4"/>
      <c r="AJ152" s="4"/>
      <c r="AK152" s="4"/>
      <c r="AL152" s="4"/>
      <c r="AM152" s="4"/>
      <c r="AN152" s="4"/>
      <c r="AO152" s="4"/>
      <c r="AP152" s="4"/>
    </row>
    <row r="153" spans="1:42" ht="35.1" customHeight="1" x14ac:dyDescent="0.2">
      <c r="A153" s="1"/>
      <c r="B153" s="6"/>
      <c r="C153" s="30" t="s">
        <v>267</v>
      </c>
      <c r="D153" s="30">
        <v>82</v>
      </c>
      <c r="E153" s="31" t="s">
        <v>420</v>
      </c>
      <c r="F153" s="30">
        <v>85854240</v>
      </c>
      <c r="G153" s="31" t="s">
        <v>421</v>
      </c>
      <c r="H153" s="31" t="s">
        <v>32</v>
      </c>
      <c r="I153" s="57">
        <v>2058</v>
      </c>
      <c r="J153" s="57">
        <v>734</v>
      </c>
      <c r="K153" s="32" t="s">
        <v>274</v>
      </c>
      <c r="L153" s="57">
        <v>5182.5</v>
      </c>
      <c r="M153" s="30" t="s">
        <v>270</v>
      </c>
      <c r="N153" s="30" t="s">
        <v>270</v>
      </c>
      <c r="O153" s="33" t="s">
        <v>422</v>
      </c>
      <c r="P153" s="30">
        <v>5</v>
      </c>
      <c r="Q153" s="31" t="s">
        <v>423</v>
      </c>
      <c r="R153" s="58" t="s">
        <v>38</v>
      </c>
      <c r="S153" s="35" t="s">
        <v>39</v>
      </c>
      <c r="T153" s="110"/>
      <c r="U153" s="59">
        <v>1</v>
      </c>
      <c r="V153" s="38">
        <f t="shared" si="14"/>
        <v>5080</v>
      </c>
      <c r="W153" s="40">
        <f t="shared" si="15"/>
        <v>5080</v>
      </c>
      <c r="X153" s="59">
        <v>4</v>
      </c>
      <c r="Y153" s="62">
        <f t="shared" si="18"/>
        <v>5980</v>
      </c>
      <c r="Z153" s="40">
        <f t="shared" si="16"/>
        <v>23920</v>
      </c>
      <c r="AA153" s="71"/>
      <c r="AB153" s="71"/>
      <c r="AC153" s="40">
        <f t="shared" si="17"/>
        <v>29000</v>
      </c>
      <c r="AD153" s="98"/>
      <c r="AE153" s="29"/>
      <c r="AF153" s="4"/>
      <c r="AG153" s="4"/>
      <c r="AH153" s="1"/>
      <c r="AI153" s="4"/>
      <c r="AJ153" s="4"/>
      <c r="AK153" s="4"/>
      <c r="AL153" s="4"/>
      <c r="AM153" s="4"/>
      <c r="AN153" s="4"/>
      <c r="AO153" s="4"/>
      <c r="AP153" s="4"/>
    </row>
    <row r="154" spans="1:42" ht="35.1" customHeight="1" x14ac:dyDescent="0.2">
      <c r="A154" s="1"/>
      <c r="B154" s="6"/>
      <c r="C154" s="30" t="s">
        <v>267</v>
      </c>
      <c r="D154" s="30">
        <v>83</v>
      </c>
      <c r="E154" s="31" t="s">
        <v>424</v>
      </c>
      <c r="F154" s="30">
        <v>16900005</v>
      </c>
      <c r="G154" s="31" t="s">
        <v>425</v>
      </c>
      <c r="H154" s="31" t="s">
        <v>76</v>
      </c>
      <c r="I154" s="57">
        <v>2356</v>
      </c>
      <c r="J154" s="57">
        <v>724</v>
      </c>
      <c r="K154" s="32" t="s">
        <v>140</v>
      </c>
      <c r="L154" s="57">
        <v>7612.96</v>
      </c>
      <c r="M154" s="30" t="s">
        <v>295</v>
      </c>
      <c r="N154" s="30" t="s">
        <v>295</v>
      </c>
      <c r="O154" s="30" t="s">
        <v>300</v>
      </c>
      <c r="P154" s="30">
        <v>4</v>
      </c>
      <c r="Q154" s="31" t="s">
        <v>297</v>
      </c>
      <c r="R154" s="58" t="s">
        <v>38</v>
      </c>
      <c r="S154" s="35" t="s">
        <v>39</v>
      </c>
      <c r="T154" s="110"/>
      <c r="U154" s="59">
        <v>0</v>
      </c>
      <c r="V154" s="38">
        <f t="shared" si="14"/>
        <v>5080</v>
      </c>
      <c r="W154" s="40">
        <f t="shared" si="15"/>
        <v>0</v>
      </c>
      <c r="X154" s="59">
        <v>4</v>
      </c>
      <c r="Y154" s="62">
        <f t="shared" si="18"/>
        <v>5980</v>
      </c>
      <c r="Z154" s="40">
        <f t="shared" si="16"/>
        <v>23920</v>
      </c>
      <c r="AA154" s="71"/>
      <c r="AB154" s="71"/>
      <c r="AC154" s="40">
        <f t="shared" si="17"/>
        <v>23920</v>
      </c>
      <c r="AD154" s="98"/>
      <c r="AE154" s="29"/>
      <c r="AF154" s="4"/>
      <c r="AG154" s="4"/>
      <c r="AH154" s="1"/>
      <c r="AI154" s="4"/>
      <c r="AJ154" s="4"/>
      <c r="AK154" s="4"/>
      <c r="AL154" s="4"/>
      <c r="AM154" s="4"/>
      <c r="AN154" s="4"/>
      <c r="AO154" s="4"/>
      <c r="AP154" s="4"/>
    </row>
    <row r="155" spans="1:42" ht="35.1" customHeight="1" x14ac:dyDescent="0.2">
      <c r="A155" s="1"/>
      <c r="B155" s="6"/>
      <c r="C155" s="30" t="s">
        <v>267</v>
      </c>
      <c r="D155" s="30">
        <v>84</v>
      </c>
      <c r="E155" s="31" t="s">
        <v>426</v>
      </c>
      <c r="F155" s="30">
        <v>79950000</v>
      </c>
      <c r="G155" s="31" t="s">
        <v>427</v>
      </c>
      <c r="H155" s="31" t="s">
        <v>285</v>
      </c>
      <c r="I155" s="57">
        <v>2468</v>
      </c>
      <c r="J155" s="57">
        <v>655</v>
      </c>
      <c r="K155" s="32" t="s">
        <v>140</v>
      </c>
      <c r="L155" s="57">
        <v>5120.13</v>
      </c>
      <c r="M155" s="30" t="s">
        <v>270</v>
      </c>
      <c r="N155" s="30" t="s">
        <v>270</v>
      </c>
      <c r="O155" s="33" t="s">
        <v>428</v>
      </c>
      <c r="P155" s="30">
        <v>5</v>
      </c>
      <c r="Q155" s="31" t="s">
        <v>282</v>
      </c>
      <c r="R155" s="58" t="s">
        <v>38</v>
      </c>
      <c r="S155" s="35" t="s">
        <v>39</v>
      </c>
      <c r="T155" s="110"/>
      <c r="U155" s="59">
        <v>1</v>
      </c>
      <c r="V155" s="38">
        <f t="shared" si="14"/>
        <v>5080</v>
      </c>
      <c r="W155" s="40">
        <f t="shared" si="15"/>
        <v>5080</v>
      </c>
      <c r="X155" s="59">
        <v>4</v>
      </c>
      <c r="Y155" s="62">
        <f t="shared" si="18"/>
        <v>5980</v>
      </c>
      <c r="Z155" s="40">
        <f t="shared" si="16"/>
        <v>23920</v>
      </c>
      <c r="AA155" s="71"/>
      <c r="AB155" s="71"/>
      <c r="AC155" s="40">
        <f t="shared" si="17"/>
        <v>29000</v>
      </c>
      <c r="AD155" s="98"/>
      <c r="AE155" s="29"/>
      <c r="AF155" s="4"/>
      <c r="AG155" s="4"/>
      <c r="AH155" s="1"/>
      <c r="AI155" s="4"/>
      <c r="AJ155" s="4"/>
      <c r="AK155" s="4"/>
      <c r="AL155" s="4"/>
      <c r="AM155" s="4"/>
      <c r="AN155" s="4"/>
      <c r="AO155" s="4"/>
      <c r="AP155" s="4"/>
    </row>
    <row r="156" spans="1:42" ht="35.1" customHeight="1" x14ac:dyDescent="0.2">
      <c r="A156" s="1"/>
      <c r="B156" s="6"/>
      <c r="C156" s="30" t="s">
        <v>267</v>
      </c>
      <c r="D156" s="30">
        <v>87</v>
      </c>
      <c r="E156" s="31" t="s">
        <v>429</v>
      </c>
      <c r="F156" s="30">
        <v>15200000</v>
      </c>
      <c r="G156" s="31" t="s">
        <v>430</v>
      </c>
      <c r="H156" s="31" t="s">
        <v>76</v>
      </c>
      <c r="I156" s="57">
        <v>2211</v>
      </c>
      <c r="J156" s="57">
        <v>577</v>
      </c>
      <c r="K156" s="32" t="s">
        <v>140</v>
      </c>
      <c r="L156" s="57">
        <v>4338.92</v>
      </c>
      <c r="M156" s="30" t="s">
        <v>290</v>
      </c>
      <c r="N156" s="30" t="s">
        <v>290</v>
      </c>
      <c r="O156" s="30" t="s">
        <v>300</v>
      </c>
      <c r="P156" s="30">
        <v>4</v>
      </c>
      <c r="Q156" s="31" t="s">
        <v>292</v>
      </c>
      <c r="R156" s="58" t="s">
        <v>38</v>
      </c>
      <c r="S156" s="35" t="s">
        <v>39</v>
      </c>
      <c r="T156" s="110"/>
      <c r="U156" s="59">
        <v>0</v>
      </c>
      <c r="V156" s="38">
        <f t="shared" ref="V156" si="19">5380-300</f>
        <v>5080</v>
      </c>
      <c r="W156" s="40">
        <f t="shared" ref="W156:W157" si="20">V156*U156</f>
        <v>0</v>
      </c>
      <c r="X156" s="59">
        <v>4</v>
      </c>
      <c r="Y156" s="62">
        <f t="shared" si="18"/>
        <v>5980</v>
      </c>
      <c r="Z156" s="40">
        <f t="shared" ref="Z156:Z157" si="21">Y156*X156</f>
        <v>23920</v>
      </c>
      <c r="AA156" s="71"/>
      <c r="AB156" s="71"/>
      <c r="AC156" s="40">
        <f t="shared" ref="AC156:AC157" si="22">Z156+W156</f>
        <v>23920</v>
      </c>
      <c r="AD156" s="98"/>
      <c r="AE156" s="29"/>
      <c r="AF156" s="4"/>
      <c r="AG156" s="4"/>
      <c r="AH156" s="1"/>
      <c r="AI156" s="4"/>
      <c r="AJ156" s="4"/>
      <c r="AK156" s="4"/>
      <c r="AL156" s="4"/>
      <c r="AM156" s="4"/>
      <c r="AN156" s="4"/>
      <c r="AO156" s="4"/>
      <c r="AP156" s="4"/>
    </row>
    <row r="157" spans="1:42" ht="35.1" customHeight="1" x14ac:dyDescent="0.2">
      <c r="A157" s="1"/>
      <c r="B157" s="6"/>
      <c r="C157" s="30" t="s">
        <v>267</v>
      </c>
      <c r="D157" s="30">
        <v>85</v>
      </c>
      <c r="E157" s="31" t="s">
        <v>431</v>
      </c>
      <c r="F157" s="30">
        <v>87083240</v>
      </c>
      <c r="G157" s="31" t="s">
        <v>269</v>
      </c>
      <c r="H157" s="31" t="s">
        <v>32</v>
      </c>
      <c r="I157" s="57">
        <v>2721</v>
      </c>
      <c r="J157" s="57">
        <v>526</v>
      </c>
      <c r="K157" s="32" t="s">
        <v>140</v>
      </c>
      <c r="L157" s="57">
        <v>11120.79</v>
      </c>
      <c r="M157" s="30" t="s">
        <v>290</v>
      </c>
      <c r="N157" s="30" t="s">
        <v>290</v>
      </c>
      <c r="O157" s="30" t="s">
        <v>300</v>
      </c>
      <c r="P157" s="30">
        <v>5</v>
      </c>
      <c r="Q157" s="31" t="s">
        <v>432</v>
      </c>
      <c r="R157" s="58" t="s">
        <v>38</v>
      </c>
      <c r="S157" s="35" t="s">
        <v>39</v>
      </c>
      <c r="T157" s="110"/>
      <c r="U157" s="59">
        <v>1</v>
      </c>
      <c r="V157" s="38">
        <f>5380-300</f>
        <v>5080</v>
      </c>
      <c r="W157" s="40">
        <f t="shared" si="20"/>
        <v>5080</v>
      </c>
      <c r="X157" s="59">
        <v>4</v>
      </c>
      <c r="Y157" s="62">
        <f t="shared" si="18"/>
        <v>5980</v>
      </c>
      <c r="Z157" s="40">
        <f t="shared" si="21"/>
        <v>23920</v>
      </c>
      <c r="AA157" s="71"/>
      <c r="AB157" s="71"/>
      <c r="AC157" s="40">
        <f t="shared" si="22"/>
        <v>29000</v>
      </c>
      <c r="AD157" s="98"/>
      <c r="AE157" s="29"/>
      <c r="AF157" s="4"/>
      <c r="AG157" s="4"/>
      <c r="AH157" s="1"/>
      <c r="AI157" s="4"/>
      <c r="AJ157" s="4"/>
      <c r="AK157" s="4"/>
      <c r="AL157" s="4"/>
      <c r="AM157" s="4"/>
      <c r="AN157" s="4"/>
      <c r="AO157" s="4"/>
      <c r="AP157" s="4"/>
    </row>
    <row r="158" spans="1:42" ht="35.1" customHeight="1" x14ac:dyDescent="0.2">
      <c r="A158" s="1"/>
      <c r="B158" s="6"/>
      <c r="C158" s="118" t="s">
        <v>433</v>
      </c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20"/>
      <c r="P158" s="43">
        <f>SUM(P92:P157)</f>
        <v>242</v>
      </c>
      <c r="Q158" s="43"/>
      <c r="R158" s="44"/>
      <c r="S158" s="45"/>
      <c r="T158" s="111"/>
      <c r="U158" s="72">
        <f>SUM(U92:U157)</f>
        <v>9</v>
      </c>
      <c r="V158" s="74">
        <f>W158/U158</f>
        <v>5080</v>
      </c>
      <c r="W158" s="73">
        <f>SUM(W92:W157)</f>
        <v>45720</v>
      </c>
      <c r="X158" s="72">
        <f>SUM(X92:X157)</f>
        <v>233</v>
      </c>
      <c r="Y158" s="74">
        <f>Z158/X158</f>
        <v>5980</v>
      </c>
      <c r="Z158" s="73">
        <f>SUM(Z92:Z157)</f>
        <v>1393340</v>
      </c>
      <c r="AA158" s="45"/>
      <c r="AB158" s="45"/>
      <c r="AC158" s="73">
        <f>SUM(AC92:AC157)</f>
        <v>1439060</v>
      </c>
      <c r="AD158" s="126"/>
      <c r="AE158" s="29"/>
      <c r="AF158" s="4"/>
      <c r="AG158" s="4"/>
      <c r="AH158" s="1"/>
      <c r="AI158" s="4"/>
      <c r="AJ158" s="4"/>
      <c r="AK158" s="4"/>
      <c r="AL158" s="4"/>
      <c r="AM158" s="4"/>
      <c r="AN158" s="4"/>
      <c r="AO158" s="4"/>
      <c r="AP158" s="4"/>
    </row>
    <row r="159" spans="1:42" ht="44.25" customHeight="1" x14ac:dyDescent="0.2">
      <c r="A159" s="1" t="s">
        <v>0</v>
      </c>
      <c r="B159" s="6"/>
      <c r="C159" s="51" t="s">
        <v>2</v>
      </c>
      <c r="D159" s="51" t="s">
        <v>3</v>
      </c>
      <c r="E159" s="51" t="s">
        <v>4</v>
      </c>
      <c r="F159" s="51" t="s">
        <v>5</v>
      </c>
      <c r="G159" s="51" t="s">
        <v>6</v>
      </c>
      <c r="H159" s="51" t="s">
        <v>7</v>
      </c>
      <c r="I159" s="52" t="s">
        <v>8</v>
      </c>
      <c r="J159" s="53" t="s">
        <v>9</v>
      </c>
      <c r="K159" s="53" t="s">
        <v>10</v>
      </c>
      <c r="L159" s="53" t="s">
        <v>11</v>
      </c>
      <c r="M159" s="53" t="s">
        <v>12</v>
      </c>
      <c r="N159" s="53" t="s">
        <v>13</v>
      </c>
      <c r="O159" s="53" t="s">
        <v>14</v>
      </c>
      <c r="P159" s="53" t="s">
        <v>15</v>
      </c>
      <c r="Q159" s="53" t="s">
        <v>16</v>
      </c>
      <c r="R159" s="54" t="s">
        <v>17</v>
      </c>
      <c r="S159" s="55" t="s">
        <v>18</v>
      </c>
      <c r="T159" s="109"/>
      <c r="U159" s="68" t="s">
        <v>19</v>
      </c>
      <c r="V159" s="68" t="s">
        <v>20</v>
      </c>
      <c r="W159" s="56" t="s">
        <v>26</v>
      </c>
      <c r="X159" s="68" t="s">
        <v>22</v>
      </c>
      <c r="Y159" s="56" t="s">
        <v>23</v>
      </c>
      <c r="Z159" s="56" t="s">
        <v>26</v>
      </c>
      <c r="AA159" s="56" t="s">
        <v>24</v>
      </c>
      <c r="AB159" s="56" t="s">
        <v>25</v>
      </c>
      <c r="AC159" s="56" t="s">
        <v>26</v>
      </c>
      <c r="AD159" s="27" t="s">
        <v>27</v>
      </c>
      <c r="AE159" s="29"/>
      <c r="AF159" s="4"/>
      <c r="AG159" s="4"/>
      <c r="AH159" s="1" t="s">
        <v>0</v>
      </c>
      <c r="AI159" s="4"/>
      <c r="AJ159" s="4"/>
      <c r="AK159" s="4"/>
      <c r="AL159" s="4"/>
      <c r="AM159" s="4"/>
      <c r="AN159" s="4"/>
      <c r="AO159" s="4"/>
      <c r="AP159" s="4"/>
    </row>
    <row r="160" spans="1:42" ht="35.1" customHeight="1" x14ac:dyDescent="0.25">
      <c r="A160" s="1"/>
      <c r="B160" s="6"/>
      <c r="C160" s="30" t="s">
        <v>434</v>
      </c>
      <c r="D160" s="30">
        <v>2</v>
      </c>
      <c r="E160" s="31" t="s">
        <v>435</v>
      </c>
      <c r="F160" s="30" t="s">
        <v>436</v>
      </c>
      <c r="G160" s="31" t="s">
        <v>437</v>
      </c>
      <c r="H160" s="31" t="s">
        <v>32</v>
      </c>
      <c r="I160" s="57">
        <v>1148.25</v>
      </c>
      <c r="J160" s="57">
        <v>625.20000000000005</v>
      </c>
      <c r="K160" s="32" t="s">
        <v>438</v>
      </c>
      <c r="L160" s="75">
        <v>2467.4900000000002</v>
      </c>
      <c r="M160" s="30" t="s">
        <v>439</v>
      </c>
      <c r="N160" s="30" t="s">
        <v>439</v>
      </c>
      <c r="O160" s="30" t="s">
        <v>439</v>
      </c>
      <c r="P160" s="30">
        <v>2</v>
      </c>
      <c r="Q160" s="30" t="s">
        <v>440</v>
      </c>
      <c r="R160" s="58" t="s">
        <v>38</v>
      </c>
      <c r="S160" s="35" t="s">
        <v>39</v>
      </c>
      <c r="T160" s="110"/>
      <c r="U160" s="76">
        <v>0</v>
      </c>
      <c r="V160" s="38">
        <f>5380-300</f>
        <v>5080</v>
      </c>
      <c r="W160" s="40">
        <f t="shared" ref="W160:W206" si="23">V160*U160</f>
        <v>0</v>
      </c>
      <c r="X160" s="59">
        <v>2</v>
      </c>
      <c r="Y160" s="62">
        <f>6280-300</f>
        <v>5980</v>
      </c>
      <c r="Z160" s="40">
        <f t="shared" ref="Z160:Z206" si="24">Y160*X160</f>
        <v>11960</v>
      </c>
      <c r="AA160" s="71"/>
      <c r="AB160" s="71"/>
      <c r="AC160" s="40">
        <f t="shared" ref="AC160:AC206" si="25">Z160+W160</f>
        <v>11960</v>
      </c>
      <c r="AD160" s="98"/>
      <c r="AE160" s="29"/>
      <c r="AF160" s="4"/>
      <c r="AG160" s="4"/>
      <c r="AH160" s="1"/>
      <c r="AI160" s="4"/>
      <c r="AJ160" s="4"/>
      <c r="AK160" s="4"/>
      <c r="AL160" s="4"/>
      <c r="AM160" s="4"/>
      <c r="AN160" s="4"/>
      <c r="AO160" s="4"/>
      <c r="AP160" s="4"/>
    </row>
    <row r="161" spans="1:42" ht="35.1" customHeight="1" x14ac:dyDescent="0.25">
      <c r="A161" s="1"/>
      <c r="B161" s="6"/>
      <c r="C161" s="30" t="s">
        <v>434</v>
      </c>
      <c r="D161" s="30">
        <v>3</v>
      </c>
      <c r="E161" s="31" t="s">
        <v>441</v>
      </c>
      <c r="F161" s="30" t="s">
        <v>442</v>
      </c>
      <c r="G161" s="31" t="s">
        <v>443</v>
      </c>
      <c r="H161" s="31" t="s">
        <v>32</v>
      </c>
      <c r="I161" s="57">
        <v>3274.33</v>
      </c>
      <c r="J161" s="57">
        <v>382.6</v>
      </c>
      <c r="K161" s="32" t="s">
        <v>444</v>
      </c>
      <c r="L161" s="77">
        <v>8645.5499999999993</v>
      </c>
      <c r="M161" s="30" t="s">
        <v>445</v>
      </c>
      <c r="N161" s="30" t="s">
        <v>445</v>
      </c>
      <c r="O161" s="30" t="s">
        <v>445</v>
      </c>
      <c r="P161" s="30">
        <v>3</v>
      </c>
      <c r="Q161" s="30" t="s">
        <v>446</v>
      </c>
      <c r="R161" s="58" t="s">
        <v>38</v>
      </c>
      <c r="S161" s="35" t="s">
        <v>39</v>
      </c>
      <c r="T161" s="110"/>
      <c r="U161" s="76">
        <v>0</v>
      </c>
      <c r="V161" s="38">
        <f t="shared" ref="V161:V206" si="26">5380-300</f>
        <v>5080</v>
      </c>
      <c r="W161" s="40">
        <f t="shared" si="23"/>
        <v>0</v>
      </c>
      <c r="X161" s="59">
        <v>3</v>
      </c>
      <c r="Y161" s="62">
        <f t="shared" ref="Y161:Y206" si="27">6280-300</f>
        <v>5980</v>
      </c>
      <c r="Z161" s="40">
        <f t="shared" si="24"/>
        <v>17940</v>
      </c>
      <c r="AA161" s="71"/>
      <c r="AB161" s="71"/>
      <c r="AC161" s="40">
        <f t="shared" si="25"/>
        <v>17940</v>
      </c>
      <c r="AD161" s="98"/>
      <c r="AE161" s="29"/>
      <c r="AF161" s="4"/>
      <c r="AG161" s="4"/>
      <c r="AH161" s="1"/>
      <c r="AI161" s="4"/>
      <c r="AJ161" s="4"/>
      <c r="AK161" s="4"/>
      <c r="AL161" s="4"/>
      <c r="AM161" s="4"/>
      <c r="AN161" s="4"/>
      <c r="AO161" s="4"/>
      <c r="AP161" s="4"/>
    </row>
    <row r="162" spans="1:42" ht="35.1" customHeight="1" x14ac:dyDescent="0.25">
      <c r="A162" s="1"/>
      <c r="B162" s="6"/>
      <c r="C162" s="30" t="s">
        <v>434</v>
      </c>
      <c r="D162" s="30">
        <v>4</v>
      </c>
      <c r="E162" s="31" t="s">
        <v>447</v>
      </c>
      <c r="F162" s="30" t="s">
        <v>448</v>
      </c>
      <c r="G162" s="31" t="s">
        <v>443</v>
      </c>
      <c r="H162" s="31" t="s">
        <v>32</v>
      </c>
      <c r="I162" s="57">
        <v>0</v>
      </c>
      <c r="J162" s="57">
        <v>11659.900000000001</v>
      </c>
      <c r="K162" s="32" t="s">
        <v>449</v>
      </c>
      <c r="L162" s="77">
        <v>22994.89</v>
      </c>
      <c r="M162" s="30" t="s">
        <v>450</v>
      </c>
      <c r="N162" s="30" t="s">
        <v>450</v>
      </c>
      <c r="O162" s="33"/>
      <c r="P162" s="30">
        <v>4</v>
      </c>
      <c r="Q162" s="30"/>
      <c r="R162" s="58" t="s">
        <v>38</v>
      </c>
      <c r="S162" s="35" t="s">
        <v>39</v>
      </c>
      <c r="T162" s="110"/>
      <c r="U162" s="76">
        <v>0</v>
      </c>
      <c r="V162" s="38">
        <f t="shared" si="26"/>
        <v>5080</v>
      </c>
      <c r="W162" s="40">
        <f t="shared" si="23"/>
        <v>0</v>
      </c>
      <c r="X162" s="59">
        <v>4</v>
      </c>
      <c r="Y162" s="62">
        <f t="shared" si="27"/>
        <v>5980</v>
      </c>
      <c r="Z162" s="40">
        <f t="shared" si="24"/>
        <v>23920</v>
      </c>
      <c r="AA162" s="71"/>
      <c r="AB162" s="71"/>
      <c r="AC162" s="40">
        <f t="shared" si="25"/>
        <v>23920</v>
      </c>
      <c r="AD162" s="98"/>
      <c r="AE162" s="29"/>
      <c r="AF162" s="4"/>
      <c r="AG162" s="4"/>
      <c r="AH162" s="1"/>
      <c r="AI162" s="4"/>
      <c r="AJ162" s="4"/>
      <c r="AK162" s="4"/>
      <c r="AL162" s="4"/>
      <c r="AM162" s="4"/>
      <c r="AN162" s="4"/>
      <c r="AO162" s="4"/>
      <c r="AP162" s="4"/>
    </row>
    <row r="163" spans="1:42" ht="35.1" customHeight="1" x14ac:dyDescent="0.25">
      <c r="A163" s="1"/>
      <c r="B163" s="6"/>
      <c r="C163" s="30" t="s">
        <v>434</v>
      </c>
      <c r="D163" s="30">
        <v>5</v>
      </c>
      <c r="E163" s="31" t="s">
        <v>451</v>
      </c>
      <c r="F163" s="30" t="s">
        <v>452</v>
      </c>
      <c r="G163" s="31" t="s">
        <v>443</v>
      </c>
      <c r="H163" s="31" t="s">
        <v>32</v>
      </c>
      <c r="I163" s="57">
        <v>1335.22</v>
      </c>
      <c r="J163" s="57">
        <v>732.12</v>
      </c>
      <c r="K163" s="32" t="s">
        <v>453</v>
      </c>
      <c r="L163" s="77">
        <v>3319.46</v>
      </c>
      <c r="M163" s="30" t="s">
        <v>454</v>
      </c>
      <c r="N163" s="30" t="s">
        <v>454</v>
      </c>
      <c r="O163" s="33"/>
      <c r="P163" s="30">
        <v>2</v>
      </c>
      <c r="Q163" s="30"/>
      <c r="R163" s="58" t="s">
        <v>38</v>
      </c>
      <c r="S163" s="35" t="s">
        <v>39</v>
      </c>
      <c r="T163" s="110"/>
      <c r="U163" s="76">
        <v>0</v>
      </c>
      <c r="V163" s="38">
        <f t="shared" si="26"/>
        <v>5080</v>
      </c>
      <c r="W163" s="40">
        <f t="shared" si="23"/>
        <v>0</v>
      </c>
      <c r="X163" s="59">
        <v>2</v>
      </c>
      <c r="Y163" s="62">
        <f t="shared" si="27"/>
        <v>5980</v>
      </c>
      <c r="Z163" s="40">
        <f t="shared" si="24"/>
        <v>11960</v>
      </c>
      <c r="AA163" s="71"/>
      <c r="AB163" s="71"/>
      <c r="AC163" s="40">
        <f t="shared" si="25"/>
        <v>11960</v>
      </c>
      <c r="AD163" s="98"/>
      <c r="AE163" s="29"/>
      <c r="AF163" s="4"/>
      <c r="AG163" s="4"/>
      <c r="AH163" s="1"/>
      <c r="AI163" s="4"/>
      <c r="AJ163" s="4"/>
      <c r="AK163" s="4"/>
      <c r="AL163" s="4"/>
      <c r="AM163" s="4"/>
      <c r="AN163" s="4"/>
      <c r="AO163" s="4"/>
      <c r="AP163" s="4"/>
    </row>
    <row r="164" spans="1:42" ht="35.1" customHeight="1" x14ac:dyDescent="0.25">
      <c r="A164" s="1"/>
      <c r="B164" s="6"/>
      <c r="C164" s="30" t="s">
        <v>434</v>
      </c>
      <c r="D164" s="30">
        <v>6</v>
      </c>
      <c r="E164" s="31" t="s">
        <v>455</v>
      </c>
      <c r="F164" s="30" t="s">
        <v>456</v>
      </c>
      <c r="G164" s="31" t="s">
        <v>443</v>
      </c>
      <c r="H164" s="31" t="s">
        <v>32</v>
      </c>
      <c r="I164" s="57">
        <v>3795.31</v>
      </c>
      <c r="J164" s="57">
        <v>1151.6799999999998</v>
      </c>
      <c r="K164" s="32" t="s">
        <v>457</v>
      </c>
      <c r="L164" s="77">
        <v>20959.8</v>
      </c>
      <c r="M164" s="30" t="s">
        <v>52</v>
      </c>
      <c r="N164" s="30" t="s">
        <v>52</v>
      </c>
      <c r="O164" s="30" t="s">
        <v>52</v>
      </c>
      <c r="P164" s="30">
        <v>4</v>
      </c>
      <c r="Q164" s="30" t="s">
        <v>458</v>
      </c>
      <c r="R164" s="58" t="s">
        <v>38</v>
      </c>
      <c r="S164" s="35" t="s">
        <v>39</v>
      </c>
      <c r="T164" s="110"/>
      <c r="U164" s="76">
        <v>0</v>
      </c>
      <c r="V164" s="38">
        <f t="shared" si="26"/>
        <v>5080</v>
      </c>
      <c r="W164" s="40">
        <f t="shared" si="23"/>
        <v>0</v>
      </c>
      <c r="X164" s="59">
        <v>4</v>
      </c>
      <c r="Y164" s="62">
        <f t="shared" si="27"/>
        <v>5980</v>
      </c>
      <c r="Z164" s="40">
        <f t="shared" si="24"/>
        <v>23920</v>
      </c>
      <c r="AA164" s="71"/>
      <c r="AB164" s="71"/>
      <c r="AC164" s="40">
        <f t="shared" si="25"/>
        <v>23920</v>
      </c>
      <c r="AD164" s="98"/>
      <c r="AE164" s="29"/>
      <c r="AF164" s="4"/>
      <c r="AG164" s="4"/>
      <c r="AH164" s="1"/>
      <c r="AI164" s="4"/>
      <c r="AJ164" s="4"/>
      <c r="AK164" s="4"/>
      <c r="AL164" s="4"/>
      <c r="AM164" s="4"/>
      <c r="AN164" s="4"/>
      <c r="AO164" s="4"/>
      <c r="AP164" s="4"/>
    </row>
    <row r="165" spans="1:42" ht="35.1" customHeight="1" x14ac:dyDescent="0.25">
      <c r="A165" s="1"/>
      <c r="B165" s="6"/>
      <c r="C165" s="78" t="s">
        <v>434</v>
      </c>
      <c r="D165" s="78">
        <v>7</v>
      </c>
      <c r="E165" s="79" t="s">
        <v>459</v>
      </c>
      <c r="F165" s="78" t="s">
        <v>41</v>
      </c>
      <c r="G165" s="79" t="s">
        <v>460</v>
      </c>
      <c r="H165" s="79" t="s">
        <v>32</v>
      </c>
      <c r="I165" s="80">
        <v>932.1</v>
      </c>
      <c r="J165" s="80">
        <v>468.70299999999997</v>
      </c>
      <c r="K165" s="32" t="s">
        <v>453</v>
      </c>
      <c r="L165" s="81">
        <v>2246.12</v>
      </c>
      <c r="M165" s="30" t="s">
        <v>52</v>
      </c>
      <c r="N165" s="30" t="s">
        <v>52</v>
      </c>
      <c r="O165" s="30" t="s">
        <v>52</v>
      </c>
      <c r="P165" s="78">
        <v>2</v>
      </c>
      <c r="Q165" s="78"/>
      <c r="R165" s="58" t="s">
        <v>38</v>
      </c>
      <c r="S165" s="35" t="s">
        <v>39</v>
      </c>
      <c r="T165" s="110"/>
      <c r="U165" s="76">
        <v>0</v>
      </c>
      <c r="V165" s="38">
        <f t="shared" si="26"/>
        <v>5080</v>
      </c>
      <c r="W165" s="40">
        <f t="shared" si="23"/>
        <v>0</v>
      </c>
      <c r="X165" s="59">
        <v>2</v>
      </c>
      <c r="Y165" s="62">
        <f t="shared" si="27"/>
        <v>5980</v>
      </c>
      <c r="Z165" s="40">
        <f t="shared" si="24"/>
        <v>11960</v>
      </c>
      <c r="AA165" s="71"/>
      <c r="AB165" s="71"/>
      <c r="AC165" s="40">
        <f t="shared" si="25"/>
        <v>11960</v>
      </c>
      <c r="AD165" s="98"/>
      <c r="AE165" s="29"/>
      <c r="AF165" s="4"/>
      <c r="AG165" s="4"/>
      <c r="AH165" s="1"/>
      <c r="AI165" s="4"/>
      <c r="AJ165" s="4"/>
      <c r="AK165" s="4"/>
      <c r="AL165" s="4"/>
      <c r="AM165" s="4"/>
      <c r="AN165" s="4"/>
      <c r="AO165" s="4"/>
      <c r="AP165" s="4"/>
    </row>
    <row r="166" spans="1:42" ht="35.1" customHeight="1" x14ac:dyDescent="0.25">
      <c r="A166" s="1"/>
      <c r="B166" s="6"/>
      <c r="C166" s="30" t="s">
        <v>434</v>
      </c>
      <c r="D166" s="30">
        <v>8</v>
      </c>
      <c r="E166" s="31" t="s">
        <v>461</v>
      </c>
      <c r="F166" s="30" t="s">
        <v>462</v>
      </c>
      <c r="G166" s="31" t="s">
        <v>463</v>
      </c>
      <c r="H166" s="31" t="s">
        <v>32</v>
      </c>
      <c r="I166" s="57">
        <v>2095.5700000000002</v>
      </c>
      <c r="J166" s="57">
        <v>664.74</v>
      </c>
      <c r="K166" s="32" t="s">
        <v>453</v>
      </c>
      <c r="L166" s="77">
        <v>9058.07</v>
      </c>
      <c r="M166" s="30" t="s">
        <v>52</v>
      </c>
      <c r="N166" s="30" t="s">
        <v>52</v>
      </c>
      <c r="O166" s="30" t="s">
        <v>52</v>
      </c>
      <c r="P166" s="30">
        <v>4</v>
      </c>
      <c r="Q166" s="30" t="s">
        <v>464</v>
      </c>
      <c r="R166" s="58" t="s">
        <v>38</v>
      </c>
      <c r="S166" s="35" t="s">
        <v>39</v>
      </c>
      <c r="T166" s="110"/>
      <c r="U166" s="76">
        <v>0</v>
      </c>
      <c r="V166" s="38">
        <f t="shared" si="26"/>
        <v>5080</v>
      </c>
      <c r="W166" s="40">
        <f t="shared" si="23"/>
        <v>0</v>
      </c>
      <c r="X166" s="59">
        <v>4</v>
      </c>
      <c r="Y166" s="62">
        <f t="shared" si="27"/>
        <v>5980</v>
      </c>
      <c r="Z166" s="40">
        <f t="shared" si="24"/>
        <v>23920</v>
      </c>
      <c r="AA166" s="71"/>
      <c r="AB166" s="71"/>
      <c r="AC166" s="40">
        <f t="shared" si="25"/>
        <v>23920</v>
      </c>
      <c r="AD166" s="98"/>
      <c r="AE166" s="29"/>
      <c r="AF166" s="4"/>
      <c r="AG166" s="4"/>
      <c r="AH166" s="1"/>
      <c r="AI166" s="4"/>
      <c r="AJ166" s="4"/>
      <c r="AK166" s="4"/>
      <c r="AL166" s="4"/>
      <c r="AM166" s="4"/>
      <c r="AN166" s="4"/>
      <c r="AO166" s="4"/>
      <c r="AP166" s="4"/>
    </row>
    <row r="167" spans="1:42" ht="35.1" customHeight="1" x14ac:dyDescent="0.25">
      <c r="A167" s="1"/>
      <c r="B167" s="6"/>
      <c r="C167" s="30" t="s">
        <v>434</v>
      </c>
      <c r="D167" s="30">
        <v>9</v>
      </c>
      <c r="E167" s="31" t="s">
        <v>465</v>
      </c>
      <c r="F167" s="30" t="s">
        <v>466</v>
      </c>
      <c r="G167" s="31" t="s">
        <v>443</v>
      </c>
      <c r="H167" s="31" t="s">
        <v>32</v>
      </c>
      <c r="I167" s="57">
        <v>2094.52</v>
      </c>
      <c r="J167" s="57">
        <v>1284</v>
      </c>
      <c r="K167" s="32" t="s">
        <v>467</v>
      </c>
      <c r="L167" s="77">
        <v>7054.11</v>
      </c>
      <c r="M167" s="30" t="s">
        <v>445</v>
      </c>
      <c r="N167" s="30" t="s">
        <v>445</v>
      </c>
      <c r="O167" s="30" t="s">
        <v>445</v>
      </c>
      <c r="P167" s="30">
        <v>3</v>
      </c>
      <c r="Q167" s="30" t="s">
        <v>468</v>
      </c>
      <c r="R167" s="58" t="s">
        <v>38</v>
      </c>
      <c r="S167" s="35" t="s">
        <v>39</v>
      </c>
      <c r="T167" s="110"/>
      <c r="U167" s="76">
        <v>0</v>
      </c>
      <c r="V167" s="38">
        <f t="shared" si="26"/>
        <v>5080</v>
      </c>
      <c r="W167" s="40">
        <f t="shared" si="23"/>
        <v>0</v>
      </c>
      <c r="X167" s="59">
        <v>3</v>
      </c>
      <c r="Y167" s="62">
        <f t="shared" si="27"/>
        <v>5980</v>
      </c>
      <c r="Z167" s="40">
        <f t="shared" si="24"/>
        <v>17940</v>
      </c>
      <c r="AA167" s="71"/>
      <c r="AB167" s="71"/>
      <c r="AC167" s="40">
        <f t="shared" si="25"/>
        <v>17940</v>
      </c>
      <c r="AD167" s="98"/>
      <c r="AE167" s="29"/>
      <c r="AF167" s="4"/>
      <c r="AG167" s="4"/>
      <c r="AH167" s="1"/>
      <c r="AI167" s="4"/>
      <c r="AJ167" s="4"/>
      <c r="AK167" s="4"/>
      <c r="AL167" s="4"/>
      <c r="AM167" s="4"/>
      <c r="AN167" s="4"/>
      <c r="AO167" s="4"/>
      <c r="AP167" s="4"/>
    </row>
    <row r="168" spans="1:42" ht="35.1" customHeight="1" x14ac:dyDescent="0.25">
      <c r="A168" s="1"/>
      <c r="B168" s="6"/>
      <c r="C168" s="30" t="s">
        <v>434</v>
      </c>
      <c r="D168" s="30">
        <v>10</v>
      </c>
      <c r="E168" s="31" t="s">
        <v>469</v>
      </c>
      <c r="F168" s="30" t="s">
        <v>470</v>
      </c>
      <c r="G168" s="31" t="s">
        <v>463</v>
      </c>
      <c r="H168" s="31" t="s">
        <v>32</v>
      </c>
      <c r="I168" s="57">
        <v>2107.2600000000002</v>
      </c>
      <c r="J168" s="57">
        <v>700.93</v>
      </c>
      <c r="K168" s="32" t="s">
        <v>444</v>
      </c>
      <c r="L168" s="77">
        <v>4206.42</v>
      </c>
      <c r="M168" s="30" t="s">
        <v>52</v>
      </c>
      <c r="N168" s="30" t="s">
        <v>52</v>
      </c>
      <c r="O168" s="30" t="s">
        <v>52</v>
      </c>
      <c r="P168" s="30">
        <v>3</v>
      </c>
      <c r="Q168" s="30" t="s">
        <v>471</v>
      </c>
      <c r="R168" s="58" t="s">
        <v>38</v>
      </c>
      <c r="S168" s="35" t="s">
        <v>39</v>
      </c>
      <c r="T168" s="110"/>
      <c r="U168" s="76">
        <v>0</v>
      </c>
      <c r="V168" s="38">
        <f t="shared" si="26"/>
        <v>5080</v>
      </c>
      <c r="W168" s="40">
        <f t="shared" si="23"/>
        <v>0</v>
      </c>
      <c r="X168" s="59">
        <v>3</v>
      </c>
      <c r="Y168" s="62">
        <f t="shared" si="27"/>
        <v>5980</v>
      </c>
      <c r="Z168" s="40">
        <f t="shared" si="24"/>
        <v>17940</v>
      </c>
      <c r="AA168" s="71"/>
      <c r="AB168" s="71"/>
      <c r="AC168" s="40">
        <f t="shared" si="25"/>
        <v>17940</v>
      </c>
      <c r="AD168" s="98"/>
      <c r="AE168" s="29"/>
      <c r="AF168" s="4"/>
      <c r="AG168" s="4"/>
      <c r="AH168" s="1"/>
      <c r="AI168" s="4"/>
      <c r="AJ168" s="4"/>
      <c r="AK168" s="4"/>
      <c r="AL168" s="4"/>
      <c r="AM168" s="4"/>
      <c r="AN168" s="4"/>
      <c r="AO168" s="4"/>
      <c r="AP168" s="4"/>
    </row>
    <row r="169" spans="1:42" ht="35.1" customHeight="1" x14ac:dyDescent="0.25">
      <c r="A169" s="1"/>
      <c r="B169" s="6"/>
      <c r="C169" s="30" t="s">
        <v>434</v>
      </c>
      <c r="D169" s="30">
        <v>11</v>
      </c>
      <c r="E169" s="31" t="s">
        <v>472</v>
      </c>
      <c r="F169" s="30" t="s">
        <v>473</v>
      </c>
      <c r="G169" s="31" t="s">
        <v>474</v>
      </c>
      <c r="H169" s="31" t="s">
        <v>32</v>
      </c>
      <c r="I169" s="57">
        <v>1544.9</v>
      </c>
      <c r="J169" s="57">
        <v>577.53</v>
      </c>
      <c r="K169" s="32" t="s">
        <v>453</v>
      </c>
      <c r="L169" s="77">
        <v>3728.38</v>
      </c>
      <c r="M169" s="30" t="s">
        <v>52</v>
      </c>
      <c r="N169" s="30" t="s">
        <v>52</v>
      </c>
      <c r="O169" s="30" t="s">
        <v>52</v>
      </c>
      <c r="P169" s="30">
        <v>2</v>
      </c>
      <c r="Q169" s="30" t="s">
        <v>475</v>
      </c>
      <c r="R169" s="58" t="s">
        <v>38</v>
      </c>
      <c r="S169" s="35" t="s">
        <v>39</v>
      </c>
      <c r="T169" s="110"/>
      <c r="U169" s="76">
        <v>0</v>
      </c>
      <c r="V169" s="38">
        <f t="shared" si="26"/>
        <v>5080</v>
      </c>
      <c r="W169" s="40">
        <f t="shared" si="23"/>
        <v>0</v>
      </c>
      <c r="X169" s="59">
        <v>2</v>
      </c>
      <c r="Y169" s="62">
        <f t="shared" si="27"/>
        <v>5980</v>
      </c>
      <c r="Z169" s="40">
        <f t="shared" si="24"/>
        <v>11960</v>
      </c>
      <c r="AA169" s="71"/>
      <c r="AB169" s="71"/>
      <c r="AC169" s="40">
        <f t="shared" si="25"/>
        <v>11960</v>
      </c>
      <c r="AD169" s="98"/>
      <c r="AE169" s="29"/>
      <c r="AF169" s="4"/>
      <c r="AG169" s="4"/>
      <c r="AH169" s="1"/>
      <c r="AI169" s="4"/>
      <c r="AJ169" s="4"/>
      <c r="AK169" s="4"/>
      <c r="AL169" s="4"/>
      <c r="AM169" s="4"/>
      <c r="AN169" s="4"/>
      <c r="AO169" s="4"/>
      <c r="AP169" s="4"/>
    </row>
    <row r="170" spans="1:42" ht="35.1" customHeight="1" x14ac:dyDescent="0.25">
      <c r="A170" s="1"/>
      <c r="B170" s="6"/>
      <c r="C170" s="30" t="s">
        <v>434</v>
      </c>
      <c r="D170" s="30">
        <v>13</v>
      </c>
      <c r="E170" s="31" t="s">
        <v>476</v>
      </c>
      <c r="F170" s="30" t="s">
        <v>477</v>
      </c>
      <c r="G170" s="31" t="s">
        <v>474</v>
      </c>
      <c r="H170" s="31" t="s">
        <v>32</v>
      </c>
      <c r="I170" s="57">
        <v>1480.35</v>
      </c>
      <c r="J170" s="57">
        <v>567.41999999999996</v>
      </c>
      <c r="K170" s="32" t="s">
        <v>453</v>
      </c>
      <c r="L170" s="77">
        <v>4092.4</v>
      </c>
      <c r="M170" s="30" t="s">
        <v>52</v>
      </c>
      <c r="N170" s="30" t="s">
        <v>52</v>
      </c>
      <c r="O170" s="30" t="s">
        <v>52</v>
      </c>
      <c r="P170" s="30">
        <v>2</v>
      </c>
      <c r="Q170" s="30"/>
      <c r="R170" s="58" t="s">
        <v>38</v>
      </c>
      <c r="S170" s="35" t="s">
        <v>39</v>
      </c>
      <c r="T170" s="110"/>
      <c r="U170" s="76">
        <v>0</v>
      </c>
      <c r="V170" s="38">
        <f t="shared" si="26"/>
        <v>5080</v>
      </c>
      <c r="W170" s="40">
        <f t="shared" si="23"/>
        <v>0</v>
      </c>
      <c r="X170" s="59">
        <v>2</v>
      </c>
      <c r="Y170" s="62">
        <f t="shared" si="27"/>
        <v>5980</v>
      </c>
      <c r="Z170" s="40">
        <f t="shared" si="24"/>
        <v>11960</v>
      </c>
      <c r="AA170" s="71"/>
      <c r="AB170" s="71"/>
      <c r="AC170" s="40">
        <f t="shared" si="25"/>
        <v>11960</v>
      </c>
      <c r="AD170" s="98"/>
      <c r="AE170" s="29"/>
      <c r="AF170" s="4"/>
      <c r="AG170" s="4"/>
      <c r="AH170" s="1"/>
      <c r="AI170" s="4"/>
      <c r="AJ170" s="4"/>
      <c r="AK170" s="4"/>
      <c r="AL170" s="4"/>
      <c r="AM170" s="4"/>
      <c r="AN170" s="4"/>
      <c r="AO170" s="4"/>
      <c r="AP170" s="4"/>
    </row>
    <row r="171" spans="1:42" ht="35.1" customHeight="1" x14ac:dyDescent="0.25">
      <c r="A171" s="1"/>
      <c r="B171" s="6"/>
      <c r="C171" s="30" t="s">
        <v>434</v>
      </c>
      <c r="D171" s="30">
        <v>14</v>
      </c>
      <c r="E171" s="31" t="s">
        <v>478</v>
      </c>
      <c r="F171" s="30" t="s">
        <v>479</v>
      </c>
      <c r="G171" s="31" t="s">
        <v>443</v>
      </c>
      <c r="H171" s="31" t="s">
        <v>32</v>
      </c>
      <c r="I171" s="57">
        <v>3401</v>
      </c>
      <c r="J171" s="57">
        <v>913.37000000000012</v>
      </c>
      <c r="K171" s="32" t="s">
        <v>444</v>
      </c>
      <c r="L171" s="77">
        <v>9079</v>
      </c>
      <c r="M171" s="30" t="s">
        <v>445</v>
      </c>
      <c r="N171" s="30" t="s">
        <v>445</v>
      </c>
      <c r="O171" s="30" t="s">
        <v>445</v>
      </c>
      <c r="P171" s="30">
        <v>6</v>
      </c>
      <c r="Q171" s="30" t="s">
        <v>480</v>
      </c>
      <c r="R171" s="58" t="s">
        <v>38</v>
      </c>
      <c r="S171" s="35" t="s">
        <v>39</v>
      </c>
      <c r="T171" s="110"/>
      <c r="U171" s="76">
        <v>2</v>
      </c>
      <c r="V171" s="38">
        <f t="shared" si="26"/>
        <v>5080</v>
      </c>
      <c r="W171" s="40">
        <f t="shared" si="23"/>
        <v>10160</v>
      </c>
      <c r="X171" s="59">
        <v>4</v>
      </c>
      <c r="Y171" s="62">
        <f t="shared" si="27"/>
        <v>5980</v>
      </c>
      <c r="Z171" s="40">
        <f t="shared" si="24"/>
        <v>23920</v>
      </c>
      <c r="AA171" s="71"/>
      <c r="AB171" s="71"/>
      <c r="AC171" s="40">
        <f t="shared" si="25"/>
        <v>34080</v>
      </c>
      <c r="AD171" s="98"/>
      <c r="AE171" s="29"/>
      <c r="AF171" s="4"/>
      <c r="AG171" s="4"/>
      <c r="AH171" s="1"/>
      <c r="AI171" s="4"/>
      <c r="AJ171" s="4"/>
      <c r="AK171" s="4"/>
      <c r="AL171" s="4"/>
      <c r="AM171" s="4"/>
      <c r="AN171" s="4"/>
      <c r="AO171" s="4"/>
      <c r="AP171" s="4"/>
    </row>
    <row r="172" spans="1:42" ht="35.1" customHeight="1" x14ac:dyDescent="0.25">
      <c r="A172" s="1"/>
      <c r="B172" s="6"/>
      <c r="C172" s="82" t="s">
        <v>434</v>
      </c>
      <c r="D172" s="82">
        <v>16</v>
      </c>
      <c r="E172" s="83" t="s">
        <v>481</v>
      </c>
      <c r="F172" s="82" t="s">
        <v>482</v>
      </c>
      <c r="G172" s="83" t="s">
        <v>483</v>
      </c>
      <c r="H172" s="83" t="s">
        <v>484</v>
      </c>
      <c r="I172" s="84">
        <v>2021.44</v>
      </c>
      <c r="J172" s="84">
        <v>932.13000000000011</v>
      </c>
      <c r="K172" s="85" t="s">
        <v>485</v>
      </c>
      <c r="L172" s="86">
        <v>5206</v>
      </c>
      <c r="M172" s="82" t="s">
        <v>35</v>
      </c>
      <c r="N172" s="82" t="s">
        <v>35</v>
      </c>
      <c r="O172" s="82" t="s">
        <v>35</v>
      </c>
      <c r="P172" s="82">
        <v>6</v>
      </c>
      <c r="Q172" s="82" t="s">
        <v>486</v>
      </c>
      <c r="R172" s="58" t="s">
        <v>38</v>
      </c>
      <c r="S172" s="35" t="s">
        <v>39</v>
      </c>
      <c r="T172" s="110"/>
      <c r="U172" s="76">
        <v>2</v>
      </c>
      <c r="V172" s="38">
        <f t="shared" si="26"/>
        <v>5080</v>
      </c>
      <c r="W172" s="40">
        <f t="shared" si="23"/>
        <v>10160</v>
      </c>
      <c r="X172" s="59">
        <v>4</v>
      </c>
      <c r="Y172" s="62">
        <f t="shared" si="27"/>
        <v>5980</v>
      </c>
      <c r="Z172" s="40">
        <f t="shared" si="24"/>
        <v>23920</v>
      </c>
      <c r="AA172" s="71"/>
      <c r="AB172" s="71"/>
      <c r="AC172" s="40">
        <f t="shared" si="25"/>
        <v>34080</v>
      </c>
      <c r="AD172" s="98"/>
      <c r="AE172" s="29"/>
      <c r="AF172" s="4"/>
      <c r="AG172" s="4"/>
      <c r="AH172" s="1"/>
      <c r="AI172" s="4"/>
      <c r="AJ172" s="4"/>
      <c r="AK172" s="4"/>
      <c r="AL172" s="4"/>
      <c r="AM172" s="4"/>
      <c r="AN172" s="4"/>
      <c r="AO172" s="4"/>
      <c r="AP172" s="4"/>
    </row>
    <row r="173" spans="1:42" ht="35.1" customHeight="1" x14ac:dyDescent="0.25">
      <c r="A173" s="1"/>
      <c r="B173" s="6"/>
      <c r="C173" s="30" t="s">
        <v>434</v>
      </c>
      <c r="D173" s="30">
        <v>17</v>
      </c>
      <c r="E173" s="31" t="s">
        <v>487</v>
      </c>
      <c r="F173" s="30" t="s">
        <v>60</v>
      </c>
      <c r="G173" s="31" t="s">
        <v>488</v>
      </c>
      <c r="H173" s="31" t="s">
        <v>32</v>
      </c>
      <c r="I173" s="57">
        <v>1290.05</v>
      </c>
      <c r="J173" s="57">
        <v>796.32999999999993</v>
      </c>
      <c r="K173" s="32" t="s">
        <v>489</v>
      </c>
      <c r="L173" s="77">
        <v>4564.87</v>
      </c>
      <c r="M173" s="30" t="s">
        <v>52</v>
      </c>
      <c r="N173" s="30" t="s">
        <v>52</v>
      </c>
      <c r="O173" s="30" t="s">
        <v>52</v>
      </c>
      <c r="P173" s="30">
        <v>3</v>
      </c>
      <c r="Q173" s="30"/>
      <c r="R173" s="58" t="s">
        <v>38</v>
      </c>
      <c r="S173" s="35" t="s">
        <v>39</v>
      </c>
      <c r="T173" s="110"/>
      <c r="U173" s="76">
        <v>0</v>
      </c>
      <c r="V173" s="38">
        <f t="shared" si="26"/>
        <v>5080</v>
      </c>
      <c r="W173" s="40">
        <f t="shared" si="23"/>
        <v>0</v>
      </c>
      <c r="X173" s="59">
        <v>3</v>
      </c>
      <c r="Y173" s="62">
        <f t="shared" si="27"/>
        <v>5980</v>
      </c>
      <c r="Z173" s="40">
        <f t="shared" si="24"/>
        <v>17940</v>
      </c>
      <c r="AA173" s="71"/>
      <c r="AB173" s="71"/>
      <c r="AC173" s="40">
        <f t="shared" si="25"/>
        <v>17940</v>
      </c>
      <c r="AD173" s="98"/>
      <c r="AE173" s="29"/>
      <c r="AF173" s="4"/>
      <c r="AG173" s="4"/>
      <c r="AH173" s="1"/>
      <c r="AI173" s="4"/>
      <c r="AJ173" s="4"/>
      <c r="AK173" s="4"/>
      <c r="AL173" s="4"/>
      <c r="AM173" s="4"/>
      <c r="AN173" s="4"/>
      <c r="AO173" s="4"/>
      <c r="AP173" s="4"/>
    </row>
    <row r="174" spans="1:42" ht="35.1" customHeight="1" x14ac:dyDescent="0.25">
      <c r="A174" s="1"/>
      <c r="B174" s="6"/>
      <c r="C174" s="30" t="s">
        <v>434</v>
      </c>
      <c r="D174" s="30">
        <v>18</v>
      </c>
      <c r="E174" s="31" t="s">
        <v>490</v>
      </c>
      <c r="F174" s="30" t="s">
        <v>491</v>
      </c>
      <c r="G174" s="31" t="s">
        <v>492</v>
      </c>
      <c r="H174" s="31" t="s">
        <v>32</v>
      </c>
      <c r="I174" s="57">
        <v>1324.51</v>
      </c>
      <c r="J174" s="57">
        <v>335.62</v>
      </c>
      <c r="K174" s="32" t="s">
        <v>453</v>
      </c>
      <c r="L174" s="77">
        <v>2271</v>
      </c>
      <c r="M174" s="30" t="s">
        <v>52</v>
      </c>
      <c r="N174" s="30" t="s">
        <v>52</v>
      </c>
      <c r="O174" s="30" t="s">
        <v>52</v>
      </c>
      <c r="P174" s="30">
        <v>3</v>
      </c>
      <c r="Q174" s="30" t="s">
        <v>493</v>
      </c>
      <c r="R174" s="58" t="s">
        <v>38</v>
      </c>
      <c r="S174" s="35" t="s">
        <v>39</v>
      </c>
      <c r="T174" s="110"/>
      <c r="U174" s="76">
        <v>0</v>
      </c>
      <c r="V174" s="38">
        <f t="shared" si="26"/>
        <v>5080</v>
      </c>
      <c r="W174" s="40">
        <f t="shared" si="23"/>
        <v>0</v>
      </c>
      <c r="X174" s="59">
        <v>3</v>
      </c>
      <c r="Y174" s="62">
        <f t="shared" si="27"/>
        <v>5980</v>
      </c>
      <c r="Z174" s="40">
        <f t="shared" si="24"/>
        <v>17940</v>
      </c>
      <c r="AA174" s="71"/>
      <c r="AB174" s="71"/>
      <c r="AC174" s="40">
        <f t="shared" si="25"/>
        <v>17940</v>
      </c>
      <c r="AD174" s="98"/>
      <c r="AE174" s="29"/>
      <c r="AF174" s="4"/>
      <c r="AG174" s="4"/>
      <c r="AH174" s="1"/>
      <c r="AI174" s="4"/>
      <c r="AJ174" s="4"/>
      <c r="AK174" s="4"/>
      <c r="AL174" s="4"/>
      <c r="AM174" s="4"/>
      <c r="AN174" s="4"/>
      <c r="AO174" s="4"/>
      <c r="AP174" s="4"/>
    </row>
    <row r="175" spans="1:42" ht="35.1" customHeight="1" x14ac:dyDescent="0.25">
      <c r="A175" s="1"/>
      <c r="B175" s="6"/>
      <c r="C175" s="78" t="s">
        <v>434</v>
      </c>
      <c r="D175" s="78">
        <v>20</v>
      </c>
      <c r="E175" s="79" t="s">
        <v>494</v>
      </c>
      <c r="F175" s="78" t="s">
        <v>68</v>
      </c>
      <c r="G175" s="79" t="s">
        <v>495</v>
      </c>
      <c r="H175" s="79" t="s">
        <v>32</v>
      </c>
      <c r="I175" s="80">
        <v>814.44</v>
      </c>
      <c r="J175" s="80">
        <v>217.28</v>
      </c>
      <c r="K175" s="32" t="s">
        <v>444</v>
      </c>
      <c r="L175" s="81">
        <v>1482.6</v>
      </c>
      <c r="M175" s="30" t="s">
        <v>52</v>
      </c>
      <c r="N175" s="30" t="s">
        <v>52</v>
      </c>
      <c r="O175" s="30" t="s">
        <v>52</v>
      </c>
      <c r="P175" s="78">
        <v>2</v>
      </c>
      <c r="Q175" s="78" t="s">
        <v>496</v>
      </c>
      <c r="R175" s="58" t="s">
        <v>38</v>
      </c>
      <c r="S175" s="35" t="s">
        <v>39</v>
      </c>
      <c r="T175" s="110"/>
      <c r="U175" s="76">
        <v>0</v>
      </c>
      <c r="V175" s="38">
        <f t="shared" si="26"/>
        <v>5080</v>
      </c>
      <c r="W175" s="40">
        <f t="shared" si="23"/>
        <v>0</v>
      </c>
      <c r="X175" s="59">
        <v>2</v>
      </c>
      <c r="Y175" s="62">
        <f t="shared" si="27"/>
        <v>5980</v>
      </c>
      <c r="Z175" s="40">
        <f t="shared" si="24"/>
        <v>11960</v>
      </c>
      <c r="AA175" s="71"/>
      <c r="AB175" s="71"/>
      <c r="AC175" s="40">
        <f t="shared" si="25"/>
        <v>11960</v>
      </c>
      <c r="AD175" s="98"/>
      <c r="AE175" s="29"/>
      <c r="AF175" s="4"/>
      <c r="AG175" s="4"/>
      <c r="AH175" s="1"/>
      <c r="AI175" s="4"/>
      <c r="AJ175" s="4"/>
      <c r="AK175" s="4"/>
      <c r="AL175" s="4"/>
      <c r="AM175" s="4"/>
      <c r="AN175" s="4"/>
      <c r="AO175" s="4"/>
      <c r="AP175" s="4"/>
    </row>
    <row r="176" spans="1:42" ht="35.1" customHeight="1" x14ac:dyDescent="0.25">
      <c r="A176" s="1"/>
      <c r="B176" s="6"/>
      <c r="C176" s="30" t="s">
        <v>434</v>
      </c>
      <c r="D176" s="30">
        <v>21</v>
      </c>
      <c r="E176" s="31" t="s">
        <v>497</v>
      </c>
      <c r="F176" s="30" t="s">
        <v>498</v>
      </c>
      <c r="G176" s="31" t="s">
        <v>443</v>
      </c>
      <c r="H176" s="31" t="s">
        <v>32</v>
      </c>
      <c r="I176" s="57">
        <v>4363.95</v>
      </c>
      <c r="J176" s="57">
        <v>2068.13</v>
      </c>
      <c r="K176" s="32" t="s">
        <v>499</v>
      </c>
      <c r="L176" s="77">
        <v>34453.839999999997</v>
      </c>
      <c r="M176" s="30" t="s">
        <v>52</v>
      </c>
      <c r="N176" s="30" t="s">
        <v>52</v>
      </c>
      <c r="O176" s="30" t="s">
        <v>52</v>
      </c>
      <c r="P176" s="30">
        <v>6</v>
      </c>
      <c r="Q176" s="30" t="s">
        <v>500</v>
      </c>
      <c r="R176" s="58" t="s">
        <v>38</v>
      </c>
      <c r="S176" s="35" t="s">
        <v>39</v>
      </c>
      <c r="T176" s="110"/>
      <c r="U176" s="76">
        <v>2</v>
      </c>
      <c r="V176" s="38">
        <f t="shared" si="26"/>
        <v>5080</v>
      </c>
      <c r="W176" s="40">
        <f t="shared" si="23"/>
        <v>10160</v>
      </c>
      <c r="X176" s="59">
        <v>4</v>
      </c>
      <c r="Y176" s="62">
        <f t="shared" si="27"/>
        <v>5980</v>
      </c>
      <c r="Z176" s="40">
        <f t="shared" si="24"/>
        <v>23920</v>
      </c>
      <c r="AA176" s="71"/>
      <c r="AB176" s="71"/>
      <c r="AC176" s="40">
        <f t="shared" si="25"/>
        <v>34080</v>
      </c>
      <c r="AD176" s="98"/>
      <c r="AE176" s="29"/>
      <c r="AF176" s="4"/>
      <c r="AG176" s="4"/>
      <c r="AH176" s="1"/>
      <c r="AI176" s="4"/>
      <c r="AJ176" s="4"/>
      <c r="AK176" s="4"/>
      <c r="AL176" s="4"/>
      <c r="AM176" s="4"/>
      <c r="AN176" s="4"/>
      <c r="AO176" s="4"/>
      <c r="AP176" s="4"/>
    </row>
    <row r="177" spans="1:42" ht="35.1" customHeight="1" x14ac:dyDescent="0.25">
      <c r="A177" s="1"/>
      <c r="B177" s="6"/>
      <c r="C177" s="30" t="s">
        <v>434</v>
      </c>
      <c r="D177" s="30">
        <v>22</v>
      </c>
      <c r="E177" s="31" t="s">
        <v>501</v>
      </c>
      <c r="F177" s="30" t="s">
        <v>502</v>
      </c>
      <c r="G177" s="31" t="s">
        <v>443</v>
      </c>
      <c r="H177" s="31" t="s">
        <v>32</v>
      </c>
      <c r="I177" s="57">
        <v>1279.04</v>
      </c>
      <c r="J177" s="57">
        <v>804.82</v>
      </c>
      <c r="K177" s="32" t="s">
        <v>453</v>
      </c>
      <c r="L177" s="77">
        <v>4000</v>
      </c>
      <c r="M177" s="30" t="s">
        <v>52</v>
      </c>
      <c r="N177" s="30" t="s">
        <v>52</v>
      </c>
      <c r="O177" s="30" t="s">
        <v>52</v>
      </c>
      <c r="P177" s="30">
        <v>2</v>
      </c>
      <c r="Q177" s="30" t="s">
        <v>503</v>
      </c>
      <c r="R177" s="58" t="s">
        <v>38</v>
      </c>
      <c r="S177" s="35" t="s">
        <v>39</v>
      </c>
      <c r="T177" s="110"/>
      <c r="U177" s="76">
        <v>0</v>
      </c>
      <c r="V177" s="38">
        <f t="shared" si="26"/>
        <v>5080</v>
      </c>
      <c r="W177" s="40">
        <f t="shared" si="23"/>
        <v>0</v>
      </c>
      <c r="X177" s="59">
        <v>2</v>
      </c>
      <c r="Y177" s="62">
        <f t="shared" si="27"/>
        <v>5980</v>
      </c>
      <c r="Z177" s="40">
        <f t="shared" si="24"/>
        <v>11960</v>
      </c>
      <c r="AA177" s="71"/>
      <c r="AB177" s="71"/>
      <c r="AC177" s="40">
        <f t="shared" si="25"/>
        <v>11960</v>
      </c>
      <c r="AD177" s="98"/>
      <c r="AE177" s="29"/>
      <c r="AF177" s="4"/>
      <c r="AG177" s="4"/>
      <c r="AH177" s="1"/>
      <c r="AI177" s="4"/>
      <c r="AJ177" s="4"/>
      <c r="AK177" s="4"/>
      <c r="AL177" s="4"/>
      <c r="AM177" s="4"/>
      <c r="AN177" s="4"/>
      <c r="AO177" s="4"/>
      <c r="AP177" s="4"/>
    </row>
    <row r="178" spans="1:42" ht="35.1" customHeight="1" x14ac:dyDescent="0.25">
      <c r="A178" s="1"/>
      <c r="B178" s="6"/>
      <c r="C178" s="30" t="s">
        <v>434</v>
      </c>
      <c r="D178" s="30">
        <v>23</v>
      </c>
      <c r="E178" s="31" t="s">
        <v>504</v>
      </c>
      <c r="F178" s="30" t="s">
        <v>505</v>
      </c>
      <c r="G178" s="31" t="s">
        <v>463</v>
      </c>
      <c r="H178" s="31" t="s">
        <v>32</v>
      </c>
      <c r="I178" s="57">
        <v>2323.54</v>
      </c>
      <c r="J178" s="57">
        <v>526.47</v>
      </c>
      <c r="K178" s="32" t="s">
        <v>506</v>
      </c>
      <c r="L178" s="77">
        <v>5355.37</v>
      </c>
      <c r="M178" s="30" t="s">
        <v>52</v>
      </c>
      <c r="N178" s="30" t="s">
        <v>52</v>
      </c>
      <c r="O178" s="30" t="s">
        <v>52</v>
      </c>
      <c r="P178" s="30">
        <v>2</v>
      </c>
      <c r="Q178" s="30" t="s">
        <v>507</v>
      </c>
      <c r="R178" s="58" t="s">
        <v>38</v>
      </c>
      <c r="S178" s="35" t="s">
        <v>39</v>
      </c>
      <c r="T178" s="110"/>
      <c r="U178" s="76">
        <v>0</v>
      </c>
      <c r="V178" s="38">
        <f t="shared" si="26"/>
        <v>5080</v>
      </c>
      <c r="W178" s="40">
        <f t="shared" si="23"/>
        <v>0</v>
      </c>
      <c r="X178" s="59">
        <v>2</v>
      </c>
      <c r="Y178" s="62">
        <f t="shared" si="27"/>
        <v>5980</v>
      </c>
      <c r="Z178" s="40">
        <f t="shared" si="24"/>
        <v>11960</v>
      </c>
      <c r="AA178" s="71"/>
      <c r="AB178" s="71"/>
      <c r="AC178" s="40">
        <f t="shared" si="25"/>
        <v>11960</v>
      </c>
      <c r="AD178" s="98"/>
      <c r="AE178" s="29"/>
      <c r="AF178" s="4"/>
      <c r="AG178" s="4"/>
      <c r="AH178" s="1"/>
      <c r="AI178" s="4"/>
      <c r="AJ178" s="4"/>
      <c r="AK178" s="4"/>
      <c r="AL178" s="4"/>
      <c r="AM178" s="4"/>
      <c r="AN178" s="4"/>
      <c r="AO178" s="4"/>
      <c r="AP178" s="4"/>
    </row>
    <row r="179" spans="1:42" ht="35.1" customHeight="1" x14ac:dyDescent="0.25">
      <c r="A179" s="1"/>
      <c r="B179" s="6"/>
      <c r="C179" s="30" t="s">
        <v>434</v>
      </c>
      <c r="D179" s="87">
        <v>26</v>
      </c>
      <c r="E179" s="31" t="s">
        <v>508</v>
      </c>
      <c r="F179" s="30" t="s">
        <v>509</v>
      </c>
      <c r="G179" s="31" t="s">
        <v>443</v>
      </c>
      <c r="H179" s="31" t="s">
        <v>32</v>
      </c>
      <c r="I179" s="57"/>
      <c r="J179" s="57"/>
      <c r="K179" s="32" t="s">
        <v>457</v>
      </c>
      <c r="L179" s="77">
        <v>208</v>
      </c>
      <c r="M179" s="30" t="s">
        <v>114</v>
      </c>
      <c r="N179" s="30" t="s">
        <v>114</v>
      </c>
      <c r="O179" s="30"/>
      <c r="P179" s="30">
        <v>2</v>
      </c>
      <c r="Q179" s="30"/>
      <c r="R179" s="58" t="s">
        <v>38</v>
      </c>
      <c r="S179" s="35" t="s">
        <v>39</v>
      </c>
      <c r="T179" s="110"/>
      <c r="U179" s="76">
        <v>0</v>
      </c>
      <c r="V179" s="38">
        <f t="shared" si="26"/>
        <v>5080</v>
      </c>
      <c r="W179" s="40">
        <f t="shared" si="23"/>
        <v>0</v>
      </c>
      <c r="X179" s="59">
        <v>2</v>
      </c>
      <c r="Y179" s="62">
        <f t="shared" si="27"/>
        <v>5980</v>
      </c>
      <c r="Z179" s="40">
        <f t="shared" si="24"/>
        <v>11960</v>
      </c>
      <c r="AA179" s="71"/>
      <c r="AB179" s="71"/>
      <c r="AC179" s="40">
        <f t="shared" si="25"/>
        <v>11960</v>
      </c>
      <c r="AD179" s="98"/>
      <c r="AE179" s="29"/>
      <c r="AF179" s="4"/>
      <c r="AG179" s="4"/>
      <c r="AH179" s="1"/>
      <c r="AI179" s="4"/>
      <c r="AJ179" s="4"/>
      <c r="AK179" s="4"/>
      <c r="AL179" s="4"/>
      <c r="AM179" s="4"/>
      <c r="AN179" s="4"/>
      <c r="AO179" s="4"/>
      <c r="AP179" s="4"/>
    </row>
    <row r="180" spans="1:42" ht="35.1" customHeight="1" x14ac:dyDescent="0.25">
      <c r="A180" s="1"/>
      <c r="B180" s="6"/>
      <c r="C180" s="82" t="s">
        <v>434</v>
      </c>
      <c r="D180" s="82">
        <v>27</v>
      </c>
      <c r="E180" s="83" t="s">
        <v>510</v>
      </c>
      <c r="F180" s="82" t="s">
        <v>511</v>
      </c>
      <c r="G180" s="83" t="s">
        <v>512</v>
      </c>
      <c r="H180" s="82" t="s">
        <v>32</v>
      </c>
      <c r="I180" s="84">
        <v>1687.6</v>
      </c>
      <c r="J180" s="84">
        <v>1285.72</v>
      </c>
      <c r="K180" s="85" t="s">
        <v>489</v>
      </c>
      <c r="L180" s="86">
        <v>7676.14</v>
      </c>
      <c r="M180" s="30" t="s">
        <v>52</v>
      </c>
      <c r="N180" s="30" t="s">
        <v>52</v>
      </c>
      <c r="O180" s="30" t="s">
        <v>52</v>
      </c>
      <c r="P180" s="82">
        <v>2</v>
      </c>
      <c r="Q180" s="82" t="s">
        <v>513</v>
      </c>
      <c r="R180" s="58" t="s">
        <v>38</v>
      </c>
      <c r="S180" s="35" t="s">
        <v>39</v>
      </c>
      <c r="T180" s="110"/>
      <c r="U180" s="76">
        <v>0</v>
      </c>
      <c r="V180" s="38">
        <f t="shared" si="26"/>
        <v>5080</v>
      </c>
      <c r="W180" s="40">
        <f t="shared" si="23"/>
        <v>0</v>
      </c>
      <c r="X180" s="59">
        <v>2</v>
      </c>
      <c r="Y180" s="62">
        <f t="shared" si="27"/>
        <v>5980</v>
      </c>
      <c r="Z180" s="40">
        <f t="shared" si="24"/>
        <v>11960</v>
      </c>
      <c r="AA180" s="71"/>
      <c r="AB180" s="71"/>
      <c r="AC180" s="40">
        <f t="shared" si="25"/>
        <v>11960</v>
      </c>
      <c r="AD180" s="98"/>
      <c r="AE180" s="29"/>
      <c r="AF180" s="4"/>
      <c r="AG180" s="4"/>
      <c r="AH180" s="1"/>
      <c r="AI180" s="4"/>
      <c r="AJ180" s="4"/>
      <c r="AK180" s="4"/>
      <c r="AL180" s="4"/>
      <c r="AM180" s="4"/>
      <c r="AN180" s="4"/>
      <c r="AO180" s="4"/>
      <c r="AP180" s="4"/>
    </row>
    <row r="181" spans="1:42" ht="35.1" customHeight="1" x14ac:dyDescent="0.25">
      <c r="A181" s="1"/>
      <c r="B181" s="6"/>
      <c r="C181" s="30" t="s">
        <v>434</v>
      </c>
      <c r="D181" s="30">
        <v>28</v>
      </c>
      <c r="E181" s="31" t="s">
        <v>514</v>
      </c>
      <c r="F181" s="30" t="s">
        <v>515</v>
      </c>
      <c r="G181" s="31" t="s">
        <v>516</v>
      </c>
      <c r="H181" s="31" t="s">
        <v>32</v>
      </c>
      <c r="I181" s="57">
        <v>915.81</v>
      </c>
      <c r="J181" s="57">
        <v>449.05</v>
      </c>
      <c r="K181" s="32" t="s">
        <v>489</v>
      </c>
      <c r="L181" s="77">
        <v>1143</v>
      </c>
      <c r="M181" s="30" t="s">
        <v>52</v>
      </c>
      <c r="N181" s="30" t="s">
        <v>52</v>
      </c>
      <c r="O181" s="30" t="s">
        <v>52</v>
      </c>
      <c r="P181" s="30">
        <v>2</v>
      </c>
      <c r="Q181" s="30"/>
      <c r="R181" s="58" t="s">
        <v>38</v>
      </c>
      <c r="S181" s="35" t="s">
        <v>39</v>
      </c>
      <c r="T181" s="110"/>
      <c r="U181" s="76">
        <v>0</v>
      </c>
      <c r="V181" s="38">
        <f t="shared" si="26"/>
        <v>5080</v>
      </c>
      <c r="W181" s="40">
        <f t="shared" si="23"/>
        <v>0</v>
      </c>
      <c r="X181" s="59">
        <v>2</v>
      </c>
      <c r="Y181" s="62">
        <f t="shared" si="27"/>
        <v>5980</v>
      </c>
      <c r="Z181" s="40">
        <f t="shared" si="24"/>
        <v>11960</v>
      </c>
      <c r="AA181" s="71"/>
      <c r="AB181" s="71"/>
      <c r="AC181" s="40">
        <f t="shared" si="25"/>
        <v>11960</v>
      </c>
      <c r="AD181" s="98"/>
      <c r="AE181" s="29"/>
      <c r="AF181" s="4"/>
      <c r="AG181" s="4"/>
      <c r="AH181" s="1"/>
      <c r="AI181" s="4"/>
      <c r="AJ181" s="4"/>
      <c r="AK181" s="4"/>
      <c r="AL181" s="4"/>
      <c r="AM181" s="4"/>
      <c r="AN181" s="4"/>
      <c r="AO181" s="4"/>
      <c r="AP181" s="4"/>
    </row>
    <row r="182" spans="1:42" ht="35.1" customHeight="1" x14ac:dyDescent="0.25">
      <c r="A182" s="1"/>
      <c r="B182" s="6"/>
      <c r="C182" s="30" t="s">
        <v>434</v>
      </c>
      <c r="D182" s="30">
        <v>29</v>
      </c>
      <c r="E182" s="31" t="s">
        <v>517</v>
      </c>
      <c r="F182" s="30" t="s">
        <v>518</v>
      </c>
      <c r="G182" s="31" t="s">
        <v>443</v>
      </c>
      <c r="H182" s="31" t="s">
        <v>32</v>
      </c>
      <c r="I182" s="57">
        <v>996.16</v>
      </c>
      <c r="J182" s="57">
        <v>336.74</v>
      </c>
      <c r="K182" s="32" t="s">
        <v>444</v>
      </c>
      <c r="L182" s="77">
        <v>2273</v>
      </c>
      <c r="M182" s="30" t="s">
        <v>52</v>
      </c>
      <c r="N182" s="30" t="s">
        <v>52</v>
      </c>
      <c r="O182" s="30" t="s">
        <v>52</v>
      </c>
      <c r="P182" s="30">
        <v>2</v>
      </c>
      <c r="Q182" s="30"/>
      <c r="R182" s="58" t="s">
        <v>38</v>
      </c>
      <c r="S182" s="35" t="s">
        <v>39</v>
      </c>
      <c r="T182" s="110"/>
      <c r="U182" s="76">
        <v>0</v>
      </c>
      <c r="V182" s="38">
        <f t="shared" si="26"/>
        <v>5080</v>
      </c>
      <c r="W182" s="40">
        <f t="shared" si="23"/>
        <v>0</v>
      </c>
      <c r="X182" s="59">
        <v>2</v>
      </c>
      <c r="Y182" s="62">
        <f t="shared" si="27"/>
        <v>5980</v>
      </c>
      <c r="Z182" s="40">
        <f t="shared" si="24"/>
        <v>11960</v>
      </c>
      <c r="AA182" s="71"/>
      <c r="AB182" s="71"/>
      <c r="AC182" s="40">
        <f t="shared" si="25"/>
        <v>11960</v>
      </c>
      <c r="AD182" s="98"/>
      <c r="AE182" s="29"/>
      <c r="AF182" s="4"/>
      <c r="AG182" s="4"/>
      <c r="AH182" s="1"/>
      <c r="AI182" s="4"/>
      <c r="AJ182" s="4"/>
      <c r="AK182" s="4"/>
      <c r="AL182" s="4"/>
      <c r="AM182" s="4"/>
      <c r="AN182" s="4"/>
      <c r="AO182" s="4"/>
      <c r="AP182" s="4"/>
    </row>
    <row r="183" spans="1:42" ht="35.1" customHeight="1" x14ac:dyDescent="0.25">
      <c r="A183" s="1"/>
      <c r="B183" s="6"/>
      <c r="C183" s="30" t="s">
        <v>434</v>
      </c>
      <c r="D183" s="30">
        <v>30</v>
      </c>
      <c r="E183" s="31" t="s">
        <v>519</v>
      </c>
      <c r="F183" s="30" t="s">
        <v>515</v>
      </c>
      <c r="G183" s="31" t="s">
        <v>516</v>
      </c>
      <c r="H183" s="31" t="s">
        <v>32</v>
      </c>
      <c r="I183" s="57">
        <v>1130.23</v>
      </c>
      <c r="J183" s="57">
        <v>365.4</v>
      </c>
      <c r="K183" s="32" t="s">
        <v>520</v>
      </c>
      <c r="L183" s="77">
        <v>1745</v>
      </c>
      <c r="M183" s="30" t="s">
        <v>52</v>
      </c>
      <c r="N183" s="30" t="s">
        <v>52</v>
      </c>
      <c r="O183" s="30" t="s">
        <v>52</v>
      </c>
      <c r="P183" s="30">
        <v>2</v>
      </c>
      <c r="Q183" s="30"/>
      <c r="R183" s="58" t="s">
        <v>38</v>
      </c>
      <c r="S183" s="35" t="s">
        <v>39</v>
      </c>
      <c r="T183" s="110"/>
      <c r="U183" s="76">
        <v>0</v>
      </c>
      <c r="V183" s="38">
        <f t="shared" si="26"/>
        <v>5080</v>
      </c>
      <c r="W183" s="40">
        <f t="shared" si="23"/>
        <v>0</v>
      </c>
      <c r="X183" s="59">
        <v>2</v>
      </c>
      <c r="Y183" s="62">
        <f t="shared" si="27"/>
        <v>5980</v>
      </c>
      <c r="Z183" s="40">
        <f t="shared" si="24"/>
        <v>11960</v>
      </c>
      <c r="AA183" s="71"/>
      <c r="AB183" s="71"/>
      <c r="AC183" s="40">
        <f t="shared" si="25"/>
        <v>11960</v>
      </c>
      <c r="AD183" s="98"/>
      <c r="AE183" s="29"/>
      <c r="AF183" s="4"/>
      <c r="AG183" s="4"/>
      <c r="AH183" s="1"/>
      <c r="AI183" s="4"/>
      <c r="AJ183" s="4"/>
      <c r="AK183" s="4"/>
      <c r="AL183" s="4"/>
      <c r="AM183" s="4"/>
      <c r="AN183" s="4"/>
      <c r="AO183" s="4"/>
      <c r="AP183" s="4"/>
    </row>
    <row r="184" spans="1:42" ht="35.1" customHeight="1" x14ac:dyDescent="0.25">
      <c r="A184" s="1"/>
      <c r="B184" s="6"/>
      <c r="C184" s="30" t="s">
        <v>434</v>
      </c>
      <c r="D184" s="30">
        <v>31</v>
      </c>
      <c r="E184" s="31" t="s">
        <v>521</v>
      </c>
      <c r="F184" s="30" t="s">
        <v>522</v>
      </c>
      <c r="G184" s="31" t="s">
        <v>523</v>
      </c>
      <c r="H184" s="31" t="s">
        <v>32</v>
      </c>
      <c r="I184" s="57">
        <v>1880.09</v>
      </c>
      <c r="J184" s="57">
        <v>736.24</v>
      </c>
      <c r="K184" s="32" t="s">
        <v>453</v>
      </c>
      <c r="L184" s="77">
        <v>7065.37</v>
      </c>
      <c r="M184" s="30" t="s">
        <v>52</v>
      </c>
      <c r="N184" s="30" t="s">
        <v>52</v>
      </c>
      <c r="O184" s="30" t="s">
        <v>52</v>
      </c>
      <c r="P184" s="30">
        <v>3</v>
      </c>
      <c r="Q184" s="30" t="s">
        <v>524</v>
      </c>
      <c r="R184" s="58" t="s">
        <v>38</v>
      </c>
      <c r="S184" s="35" t="s">
        <v>39</v>
      </c>
      <c r="T184" s="110"/>
      <c r="U184" s="76">
        <v>0</v>
      </c>
      <c r="V184" s="38">
        <f t="shared" si="26"/>
        <v>5080</v>
      </c>
      <c r="W184" s="40">
        <f t="shared" si="23"/>
        <v>0</v>
      </c>
      <c r="X184" s="59">
        <v>3</v>
      </c>
      <c r="Y184" s="62">
        <f t="shared" si="27"/>
        <v>5980</v>
      </c>
      <c r="Z184" s="40">
        <f t="shared" si="24"/>
        <v>17940</v>
      </c>
      <c r="AA184" s="71"/>
      <c r="AB184" s="71"/>
      <c r="AC184" s="40">
        <f t="shared" si="25"/>
        <v>17940</v>
      </c>
      <c r="AD184" s="98"/>
      <c r="AE184" s="29"/>
      <c r="AF184" s="4"/>
      <c r="AG184" s="4"/>
      <c r="AH184" s="1"/>
      <c r="AI184" s="4"/>
      <c r="AJ184" s="4"/>
      <c r="AK184" s="4"/>
      <c r="AL184" s="4"/>
      <c r="AM184" s="4"/>
      <c r="AN184" s="4"/>
      <c r="AO184" s="4"/>
      <c r="AP184" s="4"/>
    </row>
    <row r="185" spans="1:42" ht="35.1" customHeight="1" x14ac:dyDescent="0.25">
      <c r="A185" s="1"/>
      <c r="B185" s="6"/>
      <c r="C185" s="30" t="s">
        <v>434</v>
      </c>
      <c r="D185" s="30">
        <v>32</v>
      </c>
      <c r="E185" s="31" t="s">
        <v>525</v>
      </c>
      <c r="F185" s="30" t="s">
        <v>526</v>
      </c>
      <c r="G185" s="31" t="s">
        <v>512</v>
      </c>
      <c r="H185" s="31" t="s">
        <v>32</v>
      </c>
      <c r="I185" s="57">
        <v>5411.66</v>
      </c>
      <c r="J185" s="57">
        <v>727.36</v>
      </c>
      <c r="K185" s="32" t="s">
        <v>457</v>
      </c>
      <c r="L185" s="77">
        <v>16133.7</v>
      </c>
      <c r="M185" s="30" t="s">
        <v>52</v>
      </c>
      <c r="N185" s="30" t="s">
        <v>52</v>
      </c>
      <c r="O185" s="30" t="s">
        <v>52</v>
      </c>
      <c r="P185" s="30">
        <v>4</v>
      </c>
      <c r="Q185" s="30" t="s">
        <v>527</v>
      </c>
      <c r="R185" s="58" t="s">
        <v>38</v>
      </c>
      <c r="S185" s="35" t="s">
        <v>39</v>
      </c>
      <c r="T185" s="110"/>
      <c r="U185" s="76">
        <v>0</v>
      </c>
      <c r="V185" s="38">
        <f t="shared" si="26"/>
        <v>5080</v>
      </c>
      <c r="W185" s="40">
        <f t="shared" si="23"/>
        <v>0</v>
      </c>
      <c r="X185" s="59">
        <v>4</v>
      </c>
      <c r="Y185" s="62">
        <f t="shared" si="27"/>
        <v>5980</v>
      </c>
      <c r="Z185" s="40">
        <f t="shared" si="24"/>
        <v>23920</v>
      </c>
      <c r="AA185" s="71"/>
      <c r="AB185" s="71"/>
      <c r="AC185" s="40">
        <f t="shared" si="25"/>
        <v>23920</v>
      </c>
      <c r="AD185" s="98"/>
      <c r="AE185" s="29"/>
      <c r="AF185" s="4"/>
      <c r="AG185" s="4"/>
      <c r="AH185" s="1"/>
      <c r="AI185" s="4"/>
      <c r="AJ185" s="4"/>
      <c r="AK185" s="4"/>
      <c r="AL185" s="4"/>
      <c r="AM185" s="4"/>
      <c r="AN185" s="4"/>
      <c r="AO185" s="4"/>
      <c r="AP185" s="4"/>
    </row>
    <row r="186" spans="1:42" ht="35.1" customHeight="1" x14ac:dyDescent="0.25">
      <c r="A186" s="1"/>
      <c r="B186" s="6"/>
      <c r="C186" s="30" t="s">
        <v>434</v>
      </c>
      <c r="D186" s="30">
        <v>33</v>
      </c>
      <c r="E186" s="31" t="s">
        <v>528</v>
      </c>
      <c r="F186" s="30" t="s">
        <v>529</v>
      </c>
      <c r="G186" s="31" t="s">
        <v>463</v>
      </c>
      <c r="H186" s="31" t="s">
        <v>32</v>
      </c>
      <c r="I186" s="57">
        <v>1169.3399999999999</v>
      </c>
      <c r="J186" s="57">
        <v>205.37</v>
      </c>
      <c r="K186" s="32" t="s">
        <v>530</v>
      </c>
      <c r="L186" s="77">
        <v>2059.89</v>
      </c>
      <c r="M186" s="30" t="s">
        <v>52</v>
      </c>
      <c r="N186" s="30" t="s">
        <v>52</v>
      </c>
      <c r="O186" s="30" t="s">
        <v>52</v>
      </c>
      <c r="P186" s="30">
        <v>2</v>
      </c>
      <c r="Q186" s="30"/>
      <c r="R186" s="58" t="s">
        <v>38</v>
      </c>
      <c r="S186" s="35" t="s">
        <v>39</v>
      </c>
      <c r="T186" s="110"/>
      <c r="U186" s="76">
        <v>0</v>
      </c>
      <c r="V186" s="38">
        <f t="shared" si="26"/>
        <v>5080</v>
      </c>
      <c r="W186" s="40">
        <f t="shared" si="23"/>
        <v>0</v>
      </c>
      <c r="X186" s="59">
        <v>2</v>
      </c>
      <c r="Y186" s="62">
        <f t="shared" si="27"/>
        <v>5980</v>
      </c>
      <c r="Z186" s="40">
        <f t="shared" si="24"/>
        <v>11960</v>
      </c>
      <c r="AA186" s="71"/>
      <c r="AB186" s="71"/>
      <c r="AC186" s="40">
        <f t="shared" si="25"/>
        <v>11960</v>
      </c>
      <c r="AD186" s="98"/>
      <c r="AE186" s="29"/>
      <c r="AF186" s="4"/>
      <c r="AG186" s="4"/>
      <c r="AH186" s="1"/>
      <c r="AI186" s="4"/>
      <c r="AJ186" s="4"/>
      <c r="AK186" s="4"/>
      <c r="AL186" s="4"/>
      <c r="AM186" s="4"/>
      <c r="AN186" s="4"/>
      <c r="AO186" s="4"/>
      <c r="AP186" s="4"/>
    </row>
    <row r="187" spans="1:42" ht="35.1" customHeight="1" x14ac:dyDescent="0.25">
      <c r="A187" s="1"/>
      <c r="B187" s="6"/>
      <c r="C187" s="30" t="s">
        <v>434</v>
      </c>
      <c r="D187" s="30">
        <v>34</v>
      </c>
      <c r="E187" s="31" t="s">
        <v>531</v>
      </c>
      <c r="F187" s="30" t="s">
        <v>532</v>
      </c>
      <c r="G187" s="31" t="s">
        <v>533</v>
      </c>
      <c r="H187" s="31" t="s">
        <v>32</v>
      </c>
      <c r="I187" s="57">
        <v>1527.63</v>
      </c>
      <c r="J187" s="57">
        <v>898.53000000000009</v>
      </c>
      <c r="K187" s="32" t="s">
        <v>489</v>
      </c>
      <c r="L187" s="77">
        <v>6125.7</v>
      </c>
      <c r="M187" s="30" t="s">
        <v>52</v>
      </c>
      <c r="N187" s="30" t="s">
        <v>52</v>
      </c>
      <c r="O187" s="30" t="s">
        <v>52</v>
      </c>
      <c r="P187" s="30">
        <v>2</v>
      </c>
      <c r="Q187" s="30" t="s">
        <v>534</v>
      </c>
      <c r="R187" s="58" t="s">
        <v>38</v>
      </c>
      <c r="S187" s="35" t="s">
        <v>39</v>
      </c>
      <c r="T187" s="110"/>
      <c r="U187" s="76">
        <v>0</v>
      </c>
      <c r="V187" s="38">
        <f t="shared" si="26"/>
        <v>5080</v>
      </c>
      <c r="W187" s="40">
        <f t="shared" si="23"/>
        <v>0</v>
      </c>
      <c r="X187" s="59">
        <v>2</v>
      </c>
      <c r="Y187" s="62">
        <f t="shared" si="27"/>
        <v>5980</v>
      </c>
      <c r="Z187" s="40">
        <f t="shared" si="24"/>
        <v>11960</v>
      </c>
      <c r="AA187" s="71"/>
      <c r="AB187" s="71"/>
      <c r="AC187" s="40">
        <f t="shared" si="25"/>
        <v>11960</v>
      </c>
      <c r="AD187" s="98"/>
      <c r="AE187" s="29"/>
      <c r="AF187" s="4"/>
      <c r="AG187" s="4"/>
      <c r="AH187" s="1"/>
      <c r="AI187" s="4"/>
      <c r="AJ187" s="4"/>
      <c r="AK187" s="4"/>
      <c r="AL187" s="4"/>
      <c r="AM187" s="4"/>
      <c r="AN187" s="4"/>
      <c r="AO187" s="4"/>
      <c r="AP187" s="4"/>
    </row>
    <row r="188" spans="1:42" ht="35.1" customHeight="1" x14ac:dyDescent="0.25">
      <c r="A188" s="1"/>
      <c r="B188" s="6"/>
      <c r="C188" s="30" t="s">
        <v>434</v>
      </c>
      <c r="D188" s="30">
        <v>35</v>
      </c>
      <c r="E188" s="31" t="s">
        <v>535</v>
      </c>
      <c r="F188" s="30" t="s">
        <v>536</v>
      </c>
      <c r="G188" s="31" t="s">
        <v>537</v>
      </c>
      <c r="H188" s="31" t="s">
        <v>32</v>
      </c>
      <c r="I188" s="57">
        <v>2146.0500000000002</v>
      </c>
      <c r="J188" s="57">
        <v>2153.6799999999998</v>
      </c>
      <c r="K188" s="32" t="s">
        <v>538</v>
      </c>
      <c r="L188" s="77">
        <v>8743.06</v>
      </c>
      <c r="M188" s="30" t="s">
        <v>52</v>
      </c>
      <c r="N188" s="30" t="s">
        <v>52</v>
      </c>
      <c r="O188" s="30" t="s">
        <v>52</v>
      </c>
      <c r="P188" s="30">
        <v>5</v>
      </c>
      <c r="Q188" s="30" t="s">
        <v>539</v>
      </c>
      <c r="R188" s="58" t="s">
        <v>38</v>
      </c>
      <c r="S188" s="35" t="s">
        <v>39</v>
      </c>
      <c r="T188" s="110"/>
      <c r="U188" s="76">
        <v>1</v>
      </c>
      <c r="V188" s="38">
        <f t="shared" si="26"/>
        <v>5080</v>
      </c>
      <c r="W188" s="40">
        <f t="shared" si="23"/>
        <v>5080</v>
      </c>
      <c r="X188" s="59">
        <v>4</v>
      </c>
      <c r="Y188" s="62">
        <f t="shared" si="27"/>
        <v>5980</v>
      </c>
      <c r="Z188" s="40">
        <f t="shared" si="24"/>
        <v>23920</v>
      </c>
      <c r="AA188" s="71"/>
      <c r="AB188" s="71"/>
      <c r="AC188" s="40">
        <f t="shared" si="25"/>
        <v>29000</v>
      </c>
      <c r="AD188" s="98"/>
      <c r="AE188" s="29"/>
      <c r="AF188" s="4"/>
      <c r="AG188" s="4"/>
      <c r="AH188" s="1"/>
      <c r="AI188" s="4"/>
      <c r="AJ188" s="4"/>
      <c r="AK188" s="4"/>
      <c r="AL188" s="4"/>
      <c r="AM188" s="4"/>
      <c r="AN188" s="4"/>
      <c r="AO188" s="4"/>
      <c r="AP188" s="4"/>
    </row>
    <row r="189" spans="1:42" ht="35.1" customHeight="1" x14ac:dyDescent="0.25">
      <c r="A189" s="1"/>
      <c r="B189" s="6"/>
      <c r="C189" s="30" t="s">
        <v>434</v>
      </c>
      <c r="D189" s="30">
        <v>37</v>
      </c>
      <c r="E189" s="31" t="s">
        <v>540</v>
      </c>
      <c r="F189" s="30" t="s">
        <v>541</v>
      </c>
      <c r="G189" s="31" t="s">
        <v>474</v>
      </c>
      <c r="H189" s="31" t="s">
        <v>32</v>
      </c>
      <c r="I189" s="57">
        <v>3130.26</v>
      </c>
      <c r="J189" s="57">
        <v>1401.45</v>
      </c>
      <c r="K189" s="32" t="s">
        <v>538</v>
      </c>
      <c r="L189" s="77">
        <v>11391.36</v>
      </c>
      <c r="M189" s="30" t="s">
        <v>52</v>
      </c>
      <c r="N189" s="30" t="s">
        <v>52</v>
      </c>
      <c r="O189" s="30" t="s">
        <v>52</v>
      </c>
      <c r="P189" s="30">
        <v>4</v>
      </c>
      <c r="Q189" s="30" t="s">
        <v>542</v>
      </c>
      <c r="R189" s="58" t="s">
        <v>38</v>
      </c>
      <c r="S189" s="35" t="s">
        <v>39</v>
      </c>
      <c r="T189" s="110"/>
      <c r="U189" s="76">
        <v>0</v>
      </c>
      <c r="V189" s="38">
        <f t="shared" si="26"/>
        <v>5080</v>
      </c>
      <c r="W189" s="40">
        <f t="shared" si="23"/>
        <v>0</v>
      </c>
      <c r="X189" s="59">
        <v>4</v>
      </c>
      <c r="Y189" s="62">
        <f t="shared" si="27"/>
        <v>5980</v>
      </c>
      <c r="Z189" s="40">
        <f t="shared" si="24"/>
        <v>23920</v>
      </c>
      <c r="AA189" s="71"/>
      <c r="AB189" s="71"/>
      <c r="AC189" s="40">
        <f t="shared" si="25"/>
        <v>23920</v>
      </c>
      <c r="AD189" s="98"/>
      <c r="AE189" s="29"/>
      <c r="AF189" s="4"/>
      <c r="AG189" s="4"/>
      <c r="AH189" s="1"/>
      <c r="AI189" s="4"/>
      <c r="AJ189" s="4"/>
      <c r="AK189" s="4"/>
      <c r="AL189" s="4"/>
      <c r="AM189" s="4"/>
      <c r="AN189" s="4"/>
      <c r="AO189" s="4"/>
      <c r="AP189" s="4"/>
    </row>
    <row r="190" spans="1:42" ht="35.1" customHeight="1" x14ac:dyDescent="0.25">
      <c r="A190" s="1"/>
      <c r="B190" s="6"/>
      <c r="C190" s="30" t="s">
        <v>434</v>
      </c>
      <c r="D190" s="30">
        <v>38</v>
      </c>
      <c r="E190" s="31" t="s">
        <v>543</v>
      </c>
      <c r="F190" s="30" t="s">
        <v>544</v>
      </c>
      <c r="G190" s="31" t="s">
        <v>545</v>
      </c>
      <c r="H190" s="31" t="s">
        <v>32</v>
      </c>
      <c r="I190" s="57">
        <v>1590.69</v>
      </c>
      <c r="J190" s="57">
        <v>1247.3</v>
      </c>
      <c r="K190" s="32" t="s">
        <v>489</v>
      </c>
      <c r="L190" s="77">
        <v>7604.08</v>
      </c>
      <c r="M190" s="30" t="s">
        <v>52</v>
      </c>
      <c r="N190" s="30" t="s">
        <v>52</v>
      </c>
      <c r="O190" s="30" t="s">
        <v>52</v>
      </c>
      <c r="P190" s="30">
        <v>3</v>
      </c>
      <c r="Q190" s="30" t="s">
        <v>546</v>
      </c>
      <c r="R190" s="58" t="s">
        <v>38</v>
      </c>
      <c r="S190" s="35" t="s">
        <v>39</v>
      </c>
      <c r="T190" s="110"/>
      <c r="U190" s="76">
        <v>0</v>
      </c>
      <c r="V190" s="38">
        <f t="shared" si="26"/>
        <v>5080</v>
      </c>
      <c r="W190" s="40">
        <f t="shared" si="23"/>
        <v>0</v>
      </c>
      <c r="X190" s="59">
        <v>3</v>
      </c>
      <c r="Y190" s="62">
        <f t="shared" si="27"/>
        <v>5980</v>
      </c>
      <c r="Z190" s="40">
        <f t="shared" si="24"/>
        <v>17940</v>
      </c>
      <c r="AA190" s="71"/>
      <c r="AB190" s="71"/>
      <c r="AC190" s="40">
        <f t="shared" si="25"/>
        <v>17940</v>
      </c>
      <c r="AD190" s="98"/>
      <c r="AE190" s="29"/>
      <c r="AF190" s="4"/>
      <c r="AG190" s="4"/>
      <c r="AH190" s="1"/>
      <c r="AI190" s="4"/>
      <c r="AJ190" s="4"/>
      <c r="AK190" s="4"/>
      <c r="AL190" s="4"/>
      <c r="AM190" s="4"/>
      <c r="AN190" s="4"/>
      <c r="AO190" s="4"/>
      <c r="AP190" s="4"/>
    </row>
    <row r="191" spans="1:42" ht="35.1" customHeight="1" x14ac:dyDescent="0.25">
      <c r="A191" s="1"/>
      <c r="B191" s="6"/>
      <c r="C191" s="30" t="s">
        <v>434</v>
      </c>
      <c r="D191" s="30">
        <v>39</v>
      </c>
      <c r="E191" s="31" t="s">
        <v>547</v>
      </c>
      <c r="F191" s="30" t="s">
        <v>548</v>
      </c>
      <c r="G191" s="31" t="s">
        <v>549</v>
      </c>
      <c r="H191" s="31" t="s">
        <v>484</v>
      </c>
      <c r="I191" s="57">
        <v>1335.45</v>
      </c>
      <c r="J191" s="57">
        <v>1304.5999999999999</v>
      </c>
      <c r="K191" s="32" t="s">
        <v>489</v>
      </c>
      <c r="L191" s="77">
        <v>5060.91</v>
      </c>
      <c r="M191" s="30" t="s">
        <v>550</v>
      </c>
      <c r="N191" s="30" t="s">
        <v>550</v>
      </c>
      <c r="O191" s="30" t="s">
        <v>550</v>
      </c>
      <c r="P191" s="30">
        <v>2</v>
      </c>
      <c r="Q191" s="30" t="s">
        <v>551</v>
      </c>
      <c r="R191" s="58" t="s">
        <v>38</v>
      </c>
      <c r="S191" s="35" t="s">
        <v>39</v>
      </c>
      <c r="T191" s="110"/>
      <c r="U191" s="76">
        <v>0</v>
      </c>
      <c r="V191" s="38">
        <f t="shared" si="26"/>
        <v>5080</v>
      </c>
      <c r="W191" s="40">
        <f t="shared" si="23"/>
        <v>0</v>
      </c>
      <c r="X191" s="59">
        <v>2</v>
      </c>
      <c r="Y191" s="62">
        <f t="shared" si="27"/>
        <v>5980</v>
      </c>
      <c r="Z191" s="40">
        <f t="shared" si="24"/>
        <v>11960</v>
      </c>
      <c r="AA191" s="71"/>
      <c r="AB191" s="71"/>
      <c r="AC191" s="40">
        <f t="shared" si="25"/>
        <v>11960</v>
      </c>
      <c r="AD191" s="98"/>
      <c r="AE191" s="29"/>
      <c r="AF191" s="4"/>
      <c r="AG191" s="4"/>
      <c r="AH191" s="1"/>
      <c r="AI191" s="4"/>
      <c r="AJ191" s="4"/>
      <c r="AK191" s="4"/>
      <c r="AL191" s="4"/>
      <c r="AM191" s="4"/>
      <c r="AN191" s="4"/>
      <c r="AO191" s="4"/>
      <c r="AP191" s="4"/>
    </row>
    <row r="192" spans="1:42" ht="35.1" customHeight="1" x14ac:dyDescent="0.25">
      <c r="A192" s="1"/>
      <c r="B192" s="6"/>
      <c r="C192" s="30" t="s">
        <v>434</v>
      </c>
      <c r="D192" s="30">
        <v>40</v>
      </c>
      <c r="E192" s="31" t="s">
        <v>552</v>
      </c>
      <c r="F192" s="30" t="s">
        <v>553</v>
      </c>
      <c r="G192" s="31" t="s">
        <v>554</v>
      </c>
      <c r="H192" s="31" t="s">
        <v>484</v>
      </c>
      <c r="I192" s="57">
        <v>1278.9000000000001</v>
      </c>
      <c r="J192" s="57">
        <v>301.75</v>
      </c>
      <c r="K192" s="32" t="s">
        <v>506</v>
      </c>
      <c r="L192" s="77">
        <v>2477.4299999999998</v>
      </c>
      <c r="M192" s="30" t="s">
        <v>35</v>
      </c>
      <c r="N192" s="30" t="s">
        <v>454</v>
      </c>
      <c r="O192" s="33" t="s">
        <v>454</v>
      </c>
      <c r="P192" s="30">
        <v>2</v>
      </c>
      <c r="Q192" s="30" t="s">
        <v>555</v>
      </c>
      <c r="R192" s="58" t="s">
        <v>38</v>
      </c>
      <c r="S192" s="35" t="s">
        <v>39</v>
      </c>
      <c r="T192" s="110"/>
      <c r="U192" s="76">
        <v>0</v>
      </c>
      <c r="V192" s="38">
        <f t="shared" si="26"/>
        <v>5080</v>
      </c>
      <c r="W192" s="40">
        <f t="shared" si="23"/>
        <v>0</v>
      </c>
      <c r="X192" s="59">
        <v>2</v>
      </c>
      <c r="Y192" s="62">
        <f t="shared" si="27"/>
        <v>5980</v>
      </c>
      <c r="Z192" s="40">
        <f t="shared" si="24"/>
        <v>11960</v>
      </c>
      <c r="AA192" s="71"/>
      <c r="AB192" s="71"/>
      <c r="AC192" s="40">
        <f t="shared" si="25"/>
        <v>11960</v>
      </c>
      <c r="AD192" s="98"/>
      <c r="AE192" s="29"/>
      <c r="AF192" s="4"/>
      <c r="AG192" s="4"/>
      <c r="AH192" s="1"/>
      <c r="AI192" s="4"/>
      <c r="AJ192" s="4"/>
      <c r="AK192" s="4"/>
      <c r="AL192" s="4"/>
      <c r="AM192" s="4"/>
      <c r="AN192" s="4"/>
      <c r="AO192" s="4"/>
      <c r="AP192" s="4"/>
    </row>
    <row r="193" spans="1:42" ht="35.1" customHeight="1" x14ac:dyDescent="0.25">
      <c r="A193" s="1"/>
      <c r="B193" s="6"/>
      <c r="C193" s="30" t="s">
        <v>434</v>
      </c>
      <c r="D193" s="30">
        <v>41</v>
      </c>
      <c r="E193" s="31" t="s">
        <v>556</v>
      </c>
      <c r="F193" s="30" t="s">
        <v>557</v>
      </c>
      <c r="G193" s="31" t="s">
        <v>558</v>
      </c>
      <c r="H193" s="31" t="s">
        <v>484</v>
      </c>
      <c r="I193" s="57">
        <v>456.43</v>
      </c>
      <c r="J193" s="57">
        <v>249.84999999999997</v>
      </c>
      <c r="K193" s="32" t="s">
        <v>489</v>
      </c>
      <c r="L193" s="77">
        <v>1114.23</v>
      </c>
      <c r="M193" s="30" t="s">
        <v>454</v>
      </c>
      <c r="N193" s="30" t="s">
        <v>454</v>
      </c>
      <c r="O193" s="33" t="s">
        <v>559</v>
      </c>
      <c r="P193" s="30">
        <v>2</v>
      </c>
      <c r="Q193" s="30" t="s">
        <v>560</v>
      </c>
      <c r="R193" s="58" t="s">
        <v>38</v>
      </c>
      <c r="S193" s="35" t="s">
        <v>39</v>
      </c>
      <c r="T193" s="110"/>
      <c r="U193" s="76">
        <v>0</v>
      </c>
      <c r="V193" s="38">
        <f t="shared" si="26"/>
        <v>5080</v>
      </c>
      <c r="W193" s="40">
        <f t="shared" si="23"/>
        <v>0</v>
      </c>
      <c r="X193" s="59">
        <v>2</v>
      </c>
      <c r="Y193" s="62">
        <f t="shared" si="27"/>
        <v>5980</v>
      </c>
      <c r="Z193" s="40">
        <f t="shared" si="24"/>
        <v>11960</v>
      </c>
      <c r="AA193" s="71"/>
      <c r="AB193" s="71"/>
      <c r="AC193" s="40">
        <f t="shared" si="25"/>
        <v>11960</v>
      </c>
      <c r="AD193" s="98"/>
      <c r="AE193" s="29"/>
      <c r="AF193" s="4"/>
      <c r="AG193" s="4"/>
      <c r="AH193" s="1"/>
      <c r="AI193" s="4"/>
      <c r="AJ193" s="4"/>
      <c r="AK193" s="4"/>
      <c r="AL193" s="4"/>
      <c r="AM193" s="4"/>
      <c r="AN193" s="4"/>
      <c r="AO193" s="4"/>
      <c r="AP193" s="4"/>
    </row>
    <row r="194" spans="1:42" ht="35.1" customHeight="1" x14ac:dyDescent="0.25">
      <c r="A194" s="1"/>
      <c r="B194" s="6"/>
      <c r="C194" s="30" t="s">
        <v>434</v>
      </c>
      <c r="D194" s="30">
        <v>42</v>
      </c>
      <c r="E194" s="31" t="s">
        <v>561</v>
      </c>
      <c r="F194" s="30" t="s">
        <v>557</v>
      </c>
      <c r="G194" s="31" t="s">
        <v>558</v>
      </c>
      <c r="H194" s="31" t="s">
        <v>484</v>
      </c>
      <c r="I194" s="57">
        <v>2071.7199999999998</v>
      </c>
      <c r="J194" s="57">
        <v>350</v>
      </c>
      <c r="K194" s="32" t="s">
        <v>506</v>
      </c>
      <c r="L194" s="77">
        <v>9445.57</v>
      </c>
      <c r="M194" s="30" t="s">
        <v>52</v>
      </c>
      <c r="N194" s="30" t="s">
        <v>52</v>
      </c>
      <c r="O194" s="30" t="s">
        <v>52</v>
      </c>
      <c r="P194" s="30">
        <v>3</v>
      </c>
      <c r="Q194" s="30" t="s">
        <v>562</v>
      </c>
      <c r="R194" s="58" t="s">
        <v>38</v>
      </c>
      <c r="S194" s="35" t="s">
        <v>39</v>
      </c>
      <c r="T194" s="110"/>
      <c r="U194" s="76">
        <v>0</v>
      </c>
      <c r="V194" s="38">
        <f t="shared" si="26"/>
        <v>5080</v>
      </c>
      <c r="W194" s="40">
        <f t="shared" si="23"/>
        <v>0</v>
      </c>
      <c r="X194" s="59">
        <v>3</v>
      </c>
      <c r="Y194" s="62">
        <f t="shared" si="27"/>
        <v>5980</v>
      </c>
      <c r="Z194" s="40">
        <f t="shared" si="24"/>
        <v>17940</v>
      </c>
      <c r="AA194" s="71"/>
      <c r="AB194" s="71"/>
      <c r="AC194" s="40">
        <f t="shared" si="25"/>
        <v>17940</v>
      </c>
      <c r="AD194" s="98"/>
      <c r="AE194" s="29"/>
      <c r="AF194" s="4"/>
      <c r="AG194" s="4"/>
      <c r="AH194" s="1"/>
      <c r="AI194" s="4"/>
      <c r="AJ194" s="4"/>
      <c r="AK194" s="4"/>
      <c r="AL194" s="4"/>
      <c r="AM194" s="4"/>
      <c r="AN194" s="4"/>
      <c r="AO194" s="4"/>
      <c r="AP194" s="4"/>
    </row>
    <row r="195" spans="1:42" ht="35.1" customHeight="1" x14ac:dyDescent="0.25">
      <c r="A195" s="1"/>
      <c r="B195" s="6"/>
      <c r="C195" s="30" t="s">
        <v>434</v>
      </c>
      <c r="D195" s="30">
        <v>43</v>
      </c>
      <c r="E195" s="31" t="s">
        <v>563</v>
      </c>
      <c r="F195" s="30" t="s">
        <v>557</v>
      </c>
      <c r="G195" s="31" t="s">
        <v>558</v>
      </c>
      <c r="H195" s="31" t="s">
        <v>484</v>
      </c>
      <c r="I195" s="57">
        <v>2172.02</v>
      </c>
      <c r="J195" s="57">
        <v>157.41</v>
      </c>
      <c r="K195" s="32" t="s">
        <v>489</v>
      </c>
      <c r="L195" s="77">
        <v>3776.78</v>
      </c>
      <c r="M195" s="30" t="s">
        <v>35</v>
      </c>
      <c r="N195" s="30" t="s">
        <v>454</v>
      </c>
      <c r="O195" s="33" t="s">
        <v>454</v>
      </c>
      <c r="P195" s="30">
        <v>2</v>
      </c>
      <c r="Q195" s="30"/>
      <c r="R195" s="58" t="s">
        <v>38</v>
      </c>
      <c r="S195" s="35" t="s">
        <v>39</v>
      </c>
      <c r="T195" s="110"/>
      <c r="U195" s="76">
        <v>0</v>
      </c>
      <c r="V195" s="38">
        <f t="shared" si="26"/>
        <v>5080</v>
      </c>
      <c r="W195" s="40">
        <f t="shared" si="23"/>
        <v>0</v>
      </c>
      <c r="X195" s="59">
        <v>2</v>
      </c>
      <c r="Y195" s="62">
        <f t="shared" si="27"/>
        <v>5980</v>
      </c>
      <c r="Z195" s="40">
        <f t="shared" si="24"/>
        <v>11960</v>
      </c>
      <c r="AA195" s="71"/>
      <c r="AB195" s="71"/>
      <c r="AC195" s="40">
        <f t="shared" si="25"/>
        <v>11960</v>
      </c>
      <c r="AD195" s="98"/>
      <c r="AE195" s="29"/>
      <c r="AF195" s="4"/>
      <c r="AG195" s="4"/>
      <c r="AH195" s="1"/>
      <c r="AI195" s="4"/>
      <c r="AJ195" s="4"/>
      <c r="AK195" s="4"/>
      <c r="AL195" s="4"/>
      <c r="AM195" s="4"/>
      <c r="AN195" s="4"/>
      <c r="AO195" s="4"/>
      <c r="AP195" s="4"/>
    </row>
    <row r="196" spans="1:42" ht="35.1" customHeight="1" x14ac:dyDescent="0.25">
      <c r="A196" s="1"/>
      <c r="B196" s="6"/>
      <c r="C196" s="30" t="s">
        <v>434</v>
      </c>
      <c r="D196" s="30">
        <v>44</v>
      </c>
      <c r="E196" s="31" t="s">
        <v>564</v>
      </c>
      <c r="F196" s="30" t="s">
        <v>565</v>
      </c>
      <c r="G196" s="31" t="s">
        <v>566</v>
      </c>
      <c r="H196" s="31" t="s">
        <v>484</v>
      </c>
      <c r="I196" s="57">
        <v>2800.52</v>
      </c>
      <c r="J196" s="57">
        <v>596.6</v>
      </c>
      <c r="K196" s="32" t="s">
        <v>506</v>
      </c>
      <c r="L196" s="77">
        <v>13850.18</v>
      </c>
      <c r="M196" s="30" t="s">
        <v>35</v>
      </c>
      <c r="N196" s="30" t="s">
        <v>454</v>
      </c>
      <c r="O196" s="33" t="s">
        <v>454</v>
      </c>
      <c r="P196" s="30">
        <v>3</v>
      </c>
      <c r="Q196" s="30" t="s">
        <v>567</v>
      </c>
      <c r="R196" s="58" t="s">
        <v>38</v>
      </c>
      <c r="S196" s="35" t="s">
        <v>39</v>
      </c>
      <c r="T196" s="110"/>
      <c r="U196" s="76">
        <v>0</v>
      </c>
      <c r="V196" s="38">
        <f t="shared" si="26"/>
        <v>5080</v>
      </c>
      <c r="W196" s="40">
        <f t="shared" si="23"/>
        <v>0</v>
      </c>
      <c r="X196" s="59">
        <v>3</v>
      </c>
      <c r="Y196" s="62">
        <f t="shared" si="27"/>
        <v>5980</v>
      </c>
      <c r="Z196" s="40">
        <f t="shared" si="24"/>
        <v>17940</v>
      </c>
      <c r="AA196" s="71"/>
      <c r="AB196" s="71"/>
      <c r="AC196" s="40">
        <f t="shared" si="25"/>
        <v>17940</v>
      </c>
      <c r="AD196" s="98"/>
      <c r="AE196" s="29"/>
      <c r="AF196" s="4"/>
      <c r="AG196" s="4"/>
      <c r="AH196" s="1"/>
      <c r="AI196" s="4"/>
      <c r="AJ196" s="4"/>
      <c r="AK196" s="4"/>
      <c r="AL196" s="4"/>
      <c r="AM196" s="4"/>
      <c r="AN196" s="4"/>
      <c r="AO196" s="4"/>
      <c r="AP196" s="4"/>
    </row>
    <row r="197" spans="1:42" ht="35.1" customHeight="1" x14ac:dyDescent="0.25">
      <c r="A197" s="1"/>
      <c r="B197" s="6"/>
      <c r="C197" s="30" t="s">
        <v>434</v>
      </c>
      <c r="D197" s="30">
        <v>45</v>
      </c>
      <c r="E197" s="31" t="s">
        <v>568</v>
      </c>
      <c r="F197" s="30" t="s">
        <v>569</v>
      </c>
      <c r="G197" s="31" t="s">
        <v>570</v>
      </c>
      <c r="H197" s="31" t="s">
        <v>484</v>
      </c>
      <c r="I197" s="57">
        <v>1915.15</v>
      </c>
      <c r="J197" s="57">
        <v>762.04</v>
      </c>
      <c r="K197" s="32" t="s">
        <v>489</v>
      </c>
      <c r="L197" s="77">
        <v>8620.17</v>
      </c>
      <c r="M197" s="30" t="s">
        <v>35</v>
      </c>
      <c r="N197" s="30" t="s">
        <v>454</v>
      </c>
      <c r="O197" s="33" t="s">
        <v>454</v>
      </c>
      <c r="P197" s="30">
        <v>2</v>
      </c>
      <c r="Q197" s="30" t="s">
        <v>571</v>
      </c>
      <c r="R197" s="58" t="s">
        <v>38</v>
      </c>
      <c r="S197" s="35" t="s">
        <v>39</v>
      </c>
      <c r="T197" s="110"/>
      <c r="U197" s="76">
        <v>0</v>
      </c>
      <c r="V197" s="38">
        <f t="shared" si="26"/>
        <v>5080</v>
      </c>
      <c r="W197" s="40">
        <f t="shared" si="23"/>
        <v>0</v>
      </c>
      <c r="X197" s="59">
        <v>2</v>
      </c>
      <c r="Y197" s="62">
        <f t="shared" si="27"/>
        <v>5980</v>
      </c>
      <c r="Z197" s="40">
        <f t="shared" si="24"/>
        <v>11960</v>
      </c>
      <c r="AA197" s="71"/>
      <c r="AB197" s="71"/>
      <c r="AC197" s="40">
        <f t="shared" si="25"/>
        <v>11960</v>
      </c>
      <c r="AD197" s="98"/>
      <c r="AE197" s="29"/>
      <c r="AF197" s="4"/>
      <c r="AG197" s="4"/>
      <c r="AH197" s="1"/>
      <c r="AI197" s="4"/>
      <c r="AJ197" s="4"/>
      <c r="AK197" s="4"/>
      <c r="AL197" s="4"/>
      <c r="AM197" s="4"/>
      <c r="AN197" s="4"/>
      <c r="AO197" s="4"/>
      <c r="AP197" s="4"/>
    </row>
    <row r="198" spans="1:42" ht="35.1" customHeight="1" x14ac:dyDescent="0.25">
      <c r="A198" s="1"/>
      <c r="B198" s="6"/>
      <c r="C198" s="30" t="s">
        <v>434</v>
      </c>
      <c r="D198" s="30">
        <v>46</v>
      </c>
      <c r="E198" s="31" t="s">
        <v>572</v>
      </c>
      <c r="F198" s="30" t="s">
        <v>573</v>
      </c>
      <c r="G198" s="31" t="s">
        <v>570</v>
      </c>
      <c r="H198" s="31" t="s">
        <v>484</v>
      </c>
      <c r="I198" s="57">
        <v>755.9</v>
      </c>
      <c r="J198" s="57">
        <v>147.22</v>
      </c>
      <c r="K198" s="32" t="s">
        <v>489</v>
      </c>
      <c r="L198" s="77">
        <v>3246.5</v>
      </c>
      <c r="M198" s="30" t="s">
        <v>454</v>
      </c>
      <c r="N198" s="30" t="s">
        <v>454</v>
      </c>
      <c r="O198" s="33"/>
      <c r="P198" s="30">
        <v>2</v>
      </c>
      <c r="Q198" s="30" t="s">
        <v>574</v>
      </c>
      <c r="R198" s="58" t="s">
        <v>38</v>
      </c>
      <c r="S198" s="35" t="s">
        <v>39</v>
      </c>
      <c r="T198" s="110"/>
      <c r="U198" s="76">
        <v>0</v>
      </c>
      <c r="V198" s="38">
        <f t="shared" si="26"/>
        <v>5080</v>
      </c>
      <c r="W198" s="40">
        <f t="shared" si="23"/>
        <v>0</v>
      </c>
      <c r="X198" s="59">
        <v>2</v>
      </c>
      <c r="Y198" s="62">
        <f t="shared" si="27"/>
        <v>5980</v>
      </c>
      <c r="Z198" s="40">
        <f t="shared" si="24"/>
        <v>11960</v>
      </c>
      <c r="AA198" s="71"/>
      <c r="AB198" s="71"/>
      <c r="AC198" s="40">
        <f t="shared" si="25"/>
        <v>11960</v>
      </c>
      <c r="AD198" s="98"/>
      <c r="AE198" s="29"/>
      <c r="AF198" s="4"/>
      <c r="AG198" s="4"/>
      <c r="AH198" s="1"/>
      <c r="AI198" s="4"/>
      <c r="AJ198" s="4"/>
      <c r="AK198" s="4"/>
      <c r="AL198" s="4"/>
      <c r="AM198" s="4"/>
      <c r="AN198" s="4"/>
      <c r="AO198" s="4"/>
      <c r="AP198" s="4"/>
    </row>
    <row r="199" spans="1:42" ht="35.1" customHeight="1" x14ac:dyDescent="0.25">
      <c r="A199" s="1"/>
      <c r="B199" s="6"/>
      <c r="C199" s="30" t="s">
        <v>434</v>
      </c>
      <c r="D199" s="30">
        <v>47</v>
      </c>
      <c r="E199" s="31" t="s">
        <v>575</v>
      </c>
      <c r="F199" s="30" t="s">
        <v>576</v>
      </c>
      <c r="G199" s="31" t="s">
        <v>570</v>
      </c>
      <c r="H199" s="31" t="s">
        <v>484</v>
      </c>
      <c r="I199" s="57"/>
      <c r="J199" s="57"/>
      <c r="K199" s="32" t="s">
        <v>457</v>
      </c>
      <c r="L199" s="77"/>
      <c r="M199" s="30" t="s">
        <v>114</v>
      </c>
      <c r="N199" s="30" t="s">
        <v>114</v>
      </c>
      <c r="O199" s="33"/>
      <c r="P199" s="30">
        <v>2</v>
      </c>
      <c r="Q199" s="30"/>
      <c r="R199" s="58" t="s">
        <v>38</v>
      </c>
      <c r="S199" s="35" t="s">
        <v>39</v>
      </c>
      <c r="T199" s="110"/>
      <c r="U199" s="76">
        <v>0</v>
      </c>
      <c r="V199" s="38">
        <f t="shared" si="26"/>
        <v>5080</v>
      </c>
      <c r="W199" s="40">
        <f t="shared" si="23"/>
        <v>0</v>
      </c>
      <c r="X199" s="59">
        <v>2</v>
      </c>
      <c r="Y199" s="62">
        <f t="shared" si="27"/>
        <v>5980</v>
      </c>
      <c r="Z199" s="40">
        <f t="shared" si="24"/>
        <v>11960</v>
      </c>
      <c r="AA199" s="71"/>
      <c r="AB199" s="71"/>
      <c r="AC199" s="40">
        <f t="shared" si="25"/>
        <v>11960</v>
      </c>
      <c r="AD199" s="98"/>
      <c r="AE199" s="29"/>
      <c r="AF199" s="4"/>
      <c r="AG199" s="4"/>
      <c r="AH199" s="1"/>
      <c r="AI199" s="4"/>
      <c r="AJ199" s="4"/>
      <c r="AK199" s="4"/>
      <c r="AL199" s="4"/>
      <c r="AM199" s="4"/>
      <c r="AN199" s="4"/>
      <c r="AO199" s="4"/>
      <c r="AP199" s="4"/>
    </row>
    <row r="200" spans="1:42" ht="35.1" customHeight="1" x14ac:dyDescent="0.25">
      <c r="A200" s="1"/>
      <c r="B200" s="6"/>
      <c r="C200" s="30" t="s">
        <v>434</v>
      </c>
      <c r="D200" s="30">
        <v>51</v>
      </c>
      <c r="E200" s="31" t="s">
        <v>577</v>
      </c>
      <c r="F200" s="30" t="s">
        <v>576</v>
      </c>
      <c r="G200" s="31" t="s">
        <v>570</v>
      </c>
      <c r="H200" s="31" t="s">
        <v>484</v>
      </c>
      <c r="I200" s="57">
        <v>2959.24</v>
      </c>
      <c r="J200" s="57">
        <v>451.88</v>
      </c>
      <c r="K200" s="32" t="s">
        <v>489</v>
      </c>
      <c r="L200" s="77">
        <v>12398.19</v>
      </c>
      <c r="M200" s="30" t="s">
        <v>35</v>
      </c>
      <c r="N200" s="30" t="s">
        <v>454</v>
      </c>
      <c r="O200" s="30" t="s">
        <v>454</v>
      </c>
      <c r="P200" s="30">
        <v>3</v>
      </c>
      <c r="Q200" s="30" t="s">
        <v>578</v>
      </c>
      <c r="R200" s="58" t="s">
        <v>38</v>
      </c>
      <c r="S200" s="35" t="s">
        <v>39</v>
      </c>
      <c r="T200" s="110"/>
      <c r="U200" s="76">
        <v>0</v>
      </c>
      <c r="V200" s="38">
        <f t="shared" si="26"/>
        <v>5080</v>
      </c>
      <c r="W200" s="40">
        <f t="shared" si="23"/>
        <v>0</v>
      </c>
      <c r="X200" s="59">
        <v>3</v>
      </c>
      <c r="Y200" s="62">
        <f t="shared" si="27"/>
        <v>5980</v>
      </c>
      <c r="Z200" s="40">
        <f t="shared" si="24"/>
        <v>17940</v>
      </c>
      <c r="AA200" s="71"/>
      <c r="AB200" s="71"/>
      <c r="AC200" s="40">
        <f t="shared" si="25"/>
        <v>17940</v>
      </c>
      <c r="AD200" s="98"/>
      <c r="AE200" s="29"/>
      <c r="AF200" s="4"/>
      <c r="AG200" s="4"/>
      <c r="AH200" s="1"/>
      <c r="AI200" s="4"/>
      <c r="AJ200" s="4"/>
      <c r="AK200" s="4"/>
      <c r="AL200" s="4"/>
      <c r="AM200" s="4"/>
      <c r="AN200" s="4"/>
      <c r="AO200" s="4"/>
      <c r="AP200" s="4"/>
    </row>
    <row r="201" spans="1:42" ht="35.1" customHeight="1" x14ac:dyDescent="0.25">
      <c r="A201" s="1"/>
      <c r="B201" s="6"/>
      <c r="C201" s="30" t="s">
        <v>434</v>
      </c>
      <c r="D201" s="30">
        <v>52</v>
      </c>
      <c r="E201" s="31" t="s">
        <v>579</v>
      </c>
      <c r="F201" s="30" t="s">
        <v>557</v>
      </c>
      <c r="G201" s="31" t="s">
        <v>558</v>
      </c>
      <c r="H201" s="31" t="s">
        <v>484</v>
      </c>
      <c r="I201" s="57">
        <v>0</v>
      </c>
      <c r="J201" s="57">
        <v>4747</v>
      </c>
      <c r="K201" s="32" t="s">
        <v>489</v>
      </c>
      <c r="L201" s="77">
        <v>5727.48</v>
      </c>
      <c r="M201" s="30" t="s">
        <v>114</v>
      </c>
      <c r="N201" s="30" t="s">
        <v>114</v>
      </c>
      <c r="O201" s="33"/>
      <c r="P201" s="30">
        <v>1</v>
      </c>
      <c r="Q201" s="30" t="s">
        <v>580</v>
      </c>
      <c r="R201" s="58" t="s">
        <v>38</v>
      </c>
      <c r="S201" s="35" t="s">
        <v>39</v>
      </c>
      <c r="T201" s="110"/>
      <c r="U201" s="76">
        <v>0</v>
      </c>
      <c r="V201" s="38">
        <f t="shared" si="26"/>
        <v>5080</v>
      </c>
      <c r="W201" s="40">
        <f t="shared" si="23"/>
        <v>0</v>
      </c>
      <c r="X201" s="59">
        <v>1</v>
      </c>
      <c r="Y201" s="62">
        <f t="shared" si="27"/>
        <v>5980</v>
      </c>
      <c r="Z201" s="40">
        <f t="shared" si="24"/>
        <v>5980</v>
      </c>
      <c r="AA201" s="71"/>
      <c r="AB201" s="71"/>
      <c r="AC201" s="40">
        <f t="shared" si="25"/>
        <v>5980</v>
      </c>
      <c r="AD201" s="98"/>
      <c r="AE201" s="29"/>
      <c r="AF201" s="4"/>
      <c r="AG201" s="4"/>
      <c r="AH201" s="1"/>
      <c r="AI201" s="4"/>
      <c r="AJ201" s="4"/>
      <c r="AK201" s="4"/>
      <c r="AL201" s="4"/>
      <c r="AM201" s="4"/>
      <c r="AN201" s="4"/>
      <c r="AO201" s="4"/>
      <c r="AP201" s="4"/>
    </row>
    <row r="202" spans="1:42" ht="35.1" customHeight="1" x14ac:dyDescent="0.25">
      <c r="A202" s="1"/>
      <c r="B202" s="6"/>
      <c r="C202" s="30" t="s">
        <v>434</v>
      </c>
      <c r="D202" s="30">
        <v>53</v>
      </c>
      <c r="E202" s="31" t="s">
        <v>581</v>
      </c>
      <c r="F202" s="30" t="s">
        <v>582</v>
      </c>
      <c r="G202" s="31" t="s">
        <v>570</v>
      </c>
      <c r="H202" s="31" t="s">
        <v>484</v>
      </c>
      <c r="I202" s="57">
        <v>1206.26</v>
      </c>
      <c r="J202" s="57">
        <v>891.18000000000006</v>
      </c>
      <c r="K202" s="32" t="s">
        <v>489</v>
      </c>
      <c r="L202" s="77">
        <v>3850.86</v>
      </c>
      <c r="M202" s="30" t="s">
        <v>35</v>
      </c>
      <c r="N202" s="30" t="s">
        <v>454</v>
      </c>
      <c r="O202" s="30" t="s">
        <v>454</v>
      </c>
      <c r="P202" s="30">
        <v>2</v>
      </c>
      <c r="Q202" s="30" t="s">
        <v>583</v>
      </c>
      <c r="R202" s="58" t="s">
        <v>38</v>
      </c>
      <c r="S202" s="35" t="s">
        <v>39</v>
      </c>
      <c r="T202" s="110"/>
      <c r="U202" s="76">
        <v>0</v>
      </c>
      <c r="V202" s="38">
        <f t="shared" si="26"/>
        <v>5080</v>
      </c>
      <c r="W202" s="40">
        <f t="shared" si="23"/>
        <v>0</v>
      </c>
      <c r="X202" s="59">
        <v>2</v>
      </c>
      <c r="Y202" s="62">
        <f t="shared" si="27"/>
        <v>5980</v>
      </c>
      <c r="Z202" s="40">
        <f t="shared" si="24"/>
        <v>11960</v>
      </c>
      <c r="AA202" s="71"/>
      <c r="AB202" s="71"/>
      <c r="AC202" s="40">
        <f t="shared" si="25"/>
        <v>11960</v>
      </c>
      <c r="AD202" s="98"/>
      <c r="AE202" s="29"/>
      <c r="AF202" s="4"/>
      <c r="AG202" s="4"/>
      <c r="AH202" s="1"/>
      <c r="AI202" s="4"/>
      <c r="AJ202" s="4"/>
      <c r="AK202" s="4"/>
      <c r="AL202" s="4"/>
      <c r="AM202" s="4"/>
      <c r="AN202" s="4"/>
      <c r="AO202" s="4"/>
      <c r="AP202" s="4"/>
    </row>
    <row r="203" spans="1:42" ht="35.1" customHeight="1" x14ac:dyDescent="0.25">
      <c r="A203" s="1"/>
      <c r="B203" s="6"/>
      <c r="C203" s="30" t="s">
        <v>434</v>
      </c>
      <c r="D203" s="30">
        <v>54</v>
      </c>
      <c r="E203" s="31" t="s">
        <v>584</v>
      </c>
      <c r="F203" s="30" t="s">
        <v>585</v>
      </c>
      <c r="G203" s="31" t="s">
        <v>474</v>
      </c>
      <c r="H203" s="31" t="s">
        <v>32</v>
      </c>
      <c r="I203" s="57">
        <v>1628.28</v>
      </c>
      <c r="J203" s="57">
        <v>345.85</v>
      </c>
      <c r="K203" s="32" t="s">
        <v>444</v>
      </c>
      <c r="L203" s="77">
        <v>3875.16</v>
      </c>
      <c r="M203" s="30" t="s">
        <v>52</v>
      </c>
      <c r="N203" s="30" t="s">
        <v>52</v>
      </c>
      <c r="O203" s="30" t="s">
        <v>52</v>
      </c>
      <c r="P203" s="30">
        <v>3</v>
      </c>
      <c r="Q203" s="30" t="s">
        <v>586</v>
      </c>
      <c r="R203" s="58" t="s">
        <v>38</v>
      </c>
      <c r="S203" s="35" t="s">
        <v>39</v>
      </c>
      <c r="T203" s="110"/>
      <c r="U203" s="76">
        <v>0</v>
      </c>
      <c r="V203" s="38">
        <f t="shared" si="26"/>
        <v>5080</v>
      </c>
      <c r="W203" s="40">
        <f t="shared" si="23"/>
        <v>0</v>
      </c>
      <c r="X203" s="59">
        <v>3</v>
      </c>
      <c r="Y203" s="62">
        <f t="shared" si="27"/>
        <v>5980</v>
      </c>
      <c r="Z203" s="40">
        <f t="shared" si="24"/>
        <v>17940</v>
      </c>
      <c r="AA203" s="71"/>
      <c r="AB203" s="71"/>
      <c r="AC203" s="40">
        <f t="shared" si="25"/>
        <v>17940</v>
      </c>
      <c r="AD203" s="98"/>
      <c r="AE203" s="29"/>
      <c r="AF203" s="4"/>
      <c r="AG203" s="4"/>
      <c r="AH203" s="1"/>
      <c r="AI203" s="4"/>
      <c r="AJ203" s="4"/>
      <c r="AK203" s="4"/>
      <c r="AL203" s="4"/>
      <c r="AM203" s="4"/>
      <c r="AN203" s="4"/>
      <c r="AO203" s="4"/>
      <c r="AP203" s="4"/>
    </row>
    <row r="204" spans="1:42" ht="35.1" customHeight="1" x14ac:dyDescent="0.25">
      <c r="A204" s="1"/>
      <c r="B204" s="6"/>
      <c r="C204" s="30" t="s">
        <v>434</v>
      </c>
      <c r="D204" s="30">
        <v>55</v>
      </c>
      <c r="E204" s="31" t="s">
        <v>587</v>
      </c>
      <c r="F204" s="30" t="s">
        <v>588</v>
      </c>
      <c r="G204" s="31" t="s">
        <v>589</v>
      </c>
      <c r="H204" s="31" t="s">
        <v>32</v>
      </c>
      <c r="I204" s="57">
        <v>1398.54</v>
      </c>
      <c r="J204" s="57">
        <v>366.68</v>
      </c>
      <c r="K204" s="32" t="s">
        <v>506</v>
      </c>
      <c r="L204" s="77">
        <v>5585.26</v>
      </c>
      <c r="M204" s="30" t="s">
        <v>52</v>
      </c>
      <c r="N204" s="30" t="s">
        <v>52</v>
      </c>
      <c r="O204" s="30" t="s">
        <v>52</v>
      </c>
      <c r="P204" s="30">
        <v>3</v>
      </c>
      <c r="Q204" s="30" t="s">
        <v>590</v>
      </c>
      <c r="R204" s="58" t="s">
        <v>38</v>
      </c>
      <c r="S204" s="35" t="s">
        <v>39</v>
      </c>
      <c r="T204" s="110"/>
      <c r="U204" s="76">
        <v>0</v>
      </c>
      <c r="V204" s="38">
        <f t="shared" si="26"/>
        <v>5080</v>
      </c>
      <c r="W204" s="40">
        <f t="shared" si="23"/>
        <v>0</v>
      </c>
      <c r="X204" s="59">
        <v>3</v>
      </c>
      <c r="Y204" s="62">
        <f t="shared" si="27"/>
        <v>5980</v>
      </c>
      <c r="Z204" s="40">
        <f t="shared" si="24"/>
        <v>17940</v>
      </c>
      <c r="AA204" s="71"/>
      <c r="AB204" s="71"/>
      <c r="AC204" s="40">
        <f t="shared" si="25"/>
        <v>17940</v>
      </c>
      <c r="AD204" s="98"/>
      <c r="AE204" s="29"/>
      <c r="AF204" s="4"/>
      <c r="AG204" s="4"/>
      <c r="AH204" s="1"/>
      <c r="AI204" s="4"/>
      <c r="AJ204" s="4"/>
      <c r="AK204" s="4"/>
      <c r="AL204" s="4"/>
      <c r="AM204" s="4"/>
      <c r="AN204" s="4"/>
      <c r="AO204" s="4"/>
      <c r="AP204" s="4"/>
    </row>
    <row r="205" spans="1:42" ht="35.1" customHeight="1" x14ac:dyDescent="0.25">
      <c r="A205" s="1"/>
      <c r="B205" s="6"/>
      <c r="C205" s="30" t="s">
        <v>434</v>
      </c>
      <c r="D205" s="30">
        <v>56</v>
      </c>
      <c r="E205" s="31" t="s">
        <v>591</v>
      </c>
      <c r="F205" s="30" t="s">
        <v>592</v>
      </c>
      <c r="G205" s="31" t="s">
        <v>593</v>
      </c>
      <c r="H205" s="31" t="s">
        <v>32</v>
      </c>
      <c r="I205" s="57">
        <v>1005.53</v>
      </c>
      <c r="J205" s="57">
        <v>410.29</v>
      </c>
      <c r="K205" s="32" t="s">
        <v>453</v>
      </c>
      <c r="L205" s="77">
        <v>4997</v>
      </c>
      <c r="M205" s="30" t="s">
        <v>52</v>
      </c>
      <c r="N205" s="30" t="s">
        <v>52</v>
      </c>
      <c r="O205" s="30" t="s">
        <v>52</v>
      </c>
      <c r="P205" s="30">
        <v>2</v>
      </c>
      <c r="Q205" s="30"/>
      <c r="R205" s="58" t="s">
        <v>38</v>
      </c>
      <c r="S205" s="35" t="s">
        <v>39</v>
      </c>
      <c r="T205" s="110"/>
      <c r="U205" s="76">
        <v>0</v>
      </c>
      <c r="V205" s="38">
        <f t="shared" si="26"/>
        <v>5080</v>
      </c>
      <c r="W205" s="40">
        <f t="shared" si="23"/>
        <v>0</v>
      </c>
      <c r="X205" s="59">
        <v>2</v>
      </c>
      <c r="Y205" s="62">
        <f t="shared" si="27"/>
        <v>5980</v>
      </c>
      <c r="Z205" s="40">
        <f t="shared" si="24"/>
        <v>11960</v>
      </c>
      <c r="AA205" s="71"/>
      <c r="AB205" s="71"/>
      <c r="AC205" s="40">
        <f t="shared" si="25"/>
        <v>11960</v>
      </c>
      <c r="AD205" s="98"/>
      <c r="AE205" s="29"/>
      <c r="AF205" s="4"/>
      <c r="AG205" s="4"/>
      <c r="AH205" s="1"/>
      <c r="AI205" s="4"/>
      <c r="AJ205" s="4"/>
      <c r="AK205" s="4"/>
      <c r="AL205" s="4"/>
      <c r="AM205" s="4"/>
      <c r="AN205" s="4"/>
      <c r="AO205" s="4"/>
      <c r="AP205" s="4"/>
    </row>
    <row r="206" spans="1:42" ht="35.1" customHeight="1" x14ac:dyDescent="0.25">
      <c r="A206" s="1"/>
      <c r="B206" s="6"/>
      <c r="C206" s="30" t="s">
        <v>434</v>
      </c>
      <c r="D206" s="30">
        <v>58</v>
      </c>
      <c r="E206" s="31" t="s">
        <v>594</v>
      </c>
      <c r="F206" s="30" t="s">
        <v>595</v>
      </c>
      <c r="G206" s="31" t="s">
        <v>566</v>
      </c>
      <c r="H206" s="31" t="s">
        <v>484</v>
      </c>
      <c r="I206" s="57">
        <v>1556.87</v>
      </c>
      <c r="J206" s="57">
        <v>606.66</v>
      </c>
      <c r="K206" s="32" t="s">
        <v>457</v>
      </c>
      <c r="L206" s="77">
        <v>4492.7</v>
      </c>
      <c r="M206" s="30" t="s">
        <v>35</v>
      </c>
      <c r="N206" s="30" t="s">
        <v>454</v>
      </c>
      <c r="O206" s="30" t="s">
        <v>454</v>
      </c>
      <c r="P206" s="30">
        <v>2</v>
      </c>
      <c r="Q206" s="30" t="s">
        <v>596</v>
      </c>
      <c r="R206" s="58" t="s">
        <v>38</v>
      </c>
      <c r="S206" s="35" t="s">
        <v>39</v>
      </c>
      <c r="T206" s="110"/>
      <c r="U206" s="76">
        <v>0</v>
      </c>
      <c r="V206" s="38">
        <f t="shared" si="26"/>
        <v>5080</v>
      </c>
      <c r="W206" s="40">
        <f t="shared" si="23"/>
        <v>0</v>
      </c>
      <c r="X206" s="59">
        <v>2</v>
      </c>
      <c r="Y206" s="62">
        <f t="shared" si="27"/>
        <v>5980</v>
      </c>
      <c r="Z206" s="40">
        <f t="shared" si="24"/>
        <v>11960</v>
      </c>
      <c r="AA206" s="71"/>
      <c r="AB206" s="71"/>
      <c r="AC206" s="40">
        <f t="shared" si="25"/>
        <v>11960</v>
      </c>
      <c r="AD206" s="98"/>
      <c r="AE206" s="29"/>
      <c r="AF206" s="4"/>
      <c r="AG206" s="4"/>
      <c r="AH206" s="1"/>
      <c r="AI206" s="4"/>
      <c r="AJ206" s="4"/>
      <c r="AK206" s="4"/>
      <c r="AL206" s="4"/>
      <c r="AM206" s="4"/>
      <c r="AN206" s="4"/>
      <c r="AO206" s="4"/>
      <c r="AP206" s="4"/>
    </row>
    <row r="207" spans="1:42" ht="35.1" customHeight="1" x14ac:dyDescent="0.2">
      <c r="A207" s="1"/>
      <c r="B207" s="6"/>
      <c r="C207" s="112" t="s">
        <v>597</v>
      </c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O207" s="114"/>
      <c r="P207" s="87">
        <f>SUM(P160:P206)</f>
        <v>130</v>
      </c>
      <c r="Q207" s="30"/>
      <c r="R207" s="58"/>
      <c r="S207" s="45"/>
      <c r="T207" s="111"/>
      <c r="U207" s="88">
        <f>SUM(U160:U206)</f>
        <v>7</v>
      </c>
      <c r="V207" s="74">
        <f>W207/U207</f>
        <v>5080</v>
      </c>
      <c r="W207" s="89">
        <f>SUM(W160:W206)</f>
        <v>35560</v>
      </c>
      <c r="X207" s="88">
        <f>SUM(X160:X206)</f>
        <v>123</v>
      </c>
      <c r="Y207" s="89">
        <f>Z207/X207</f>
        <v>5980</v>
      </c>
      <c r="Z207" s="89">
        <f>SUM(Z160:Z206)</f>
        <v>735540</v>
      </c>
      <c r="AA207" s="45"/>
      <c r="AB207" s="45"/>
      <c r="AC207" s="89">
        <f>SUM(AC160:AC206)</f>
        <v>771100</v>
      </c>
      <c r="AD207" s="126"/>
      <c r="AE207" s="29"/>
      <c r="AF207" s="4"/>
      <c r="AG207" s="4"/>
      <c r="AH207" s="1"/>
      <c r="AI207" s="4"/>
      <c r="AJ207" s="4"/>
      <c r="AK207" s="4"/>
      <c r="AL207" s="4"/>
      <c r="AM207" s="4"/>
      <c r="AN207" s="4"/>
      <c r="AO207" s="4"/>
      <c r="AP207" s="4"/>
    </row>
    <row r="208" spans="1:42" ht="35.1" customHeight="1" x14ac:dyDescent="0.2">
      <c r="A208" s="1"/>
      <c r="B208" s="6"/>
      <c r="C208" s="30"/>
      <c r="D208" s="30"/>
      <c r="E208" s="31"/>
      <c r="F208" s="30"/>
      <c r="G208" s="31"/>
      <c r="H208" s="30"/>
      <c r="I208" s="30"/>
      <c r="J208" s="30"/>
      <c r="K208" s="32"/>
      <c r="L208" s="57"/>
      <c r="M208" s="30"/>
      <c r="N208" s="30"/>
      <c r="O208" s="30"/>
      <c r="P208" s="30"/>
      <c r="Q208" s="30"/>
      <c r="R208" s="30"/>
      <c r="S208" s="45"/>
      <c r="T208" s="45"/>
      <c r="U208" s="5"/>
      <c r="V208" s="5"/>
      <c r="W208" s="5"/>
      <c r="X208" s="5"/>
      <c r="Y208" s="5"/>
      <c r="Z208" s="5"/>
      <c r="AA208" s="5"/>
      <c r="AB208" s="5"/>
      <c r="AC208" s="5"/>
      <c r="AD208" s="127"/>
      <c r="AE208" s="45"/>
      <c r="AF208" s="4"/>
      <c r="AG208" s="4"/>
      <c r="AH208" s="1"/>
      <c r="AI208" s="4"/>
      <c r="AJ208" s="4"/>
      <c r="AK208" s="4"/>
      <c r="AL208" s="4"/>
      <c r="AM208" s="4"/>
      <c r="AN208" s="4"/>
      <c r="AO208" s="4"/>
      <c r="AP208" s="4"/>
    </row>
    <row r="209" spans="1:42" ht="12.75" hidden="1" x14ac:dyDescent="0.2">
      <c r="A209" s="1" t="s">
        <v>0</v>
      </c>
      <c r="B209" s="6"/>
      <c r="C209" s="90"/>
      <c r="D209" s="90"/>
      <c r="E209" s="91"/>
      <c r="F209" s="91"/>
      <c r="G209" s="92"/>
      <c r="H209" s="92"/>
      <c r="I209" s="92"/>
      <c r="J209" s="92"/>
      <c r="K209" s="93"/>
      <c r="L209" s="92"/>
      <c r="M209" s="91"/>
      <c r="N209" s="91"/>
      <c r="O209" s="91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  <c r="AA209" s="94"/>
      <c r="AB209" s="94"/>
      <c r="AC209" s="94"/>
      <c r="AD209" s="128"/>
      <c r="AE209" s="94"/>
      <c r="AF209" s="4"/>
      <c r="AG209" s="4"/>
      <c r="AH209" s="1" t="s">
        <v>0</v>
      </c>
      <c r="AI209" s="4"/>
      <c r="AJ209" s="4"/>
      <c r="AK209" s="4"/>
      <c r="AL209" s="4"/>
      <c r="AM209" s="4"/>
      <c r="AN209" s="4"/>
      <c r="AO209" s="4"/>
      <c r="AP209" s="4"/>
    </row>
    <row r="210" spans="1:42" ht="20.25" customHeight="1" x14ac:dyDescent="0.2">
      <c r="A210" s="1" t="s">
        <v>0</v>
      </c>
      <c r="B210" s="1" t="s">
        <v>0</v>
      </c>
      <c r="C210" s="1" t="s">
        <v>0</v>
      </c>
      <c r="D210" s="1"/>
      <c r="E210" s="1" t="s">
        <v>0</v>
      </c>
      <c r="F210" s="1" t="s">
        <v>0</v>
      </c>
      <c r="G210" s="1" t="s">
        <v>0</v>
      </c>
      <c r="H210" s="1" t="s">
        <v>0</v>
      </c>
      <c r="I210" s="1" t="s">
        <v>0</v>
      </c>
      <c r="J210" s="1"/>
      <c r="K210" s="2"/>
      <c r="L210" s="1"/>
      <c r="M210" s="1" t="s">
        <v>0</v>
      </c>
      <c r="N210" s="1"/>
      <c r="O210" s="1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121"/>
      <c r="AE210" s="3"/>
      <c r="AF210" s="1"/>
      <c r="AG210" s="1"/>
      <c r="AH210" s="1" t="s">
        <v>0</v>
      </c>
      <c r="AI210" s="4"/>
      <c r="AJ210" s="4"/>
      <c r="AK210" s="4"/>
      <c r="AL210" s="4"/>
      <c r="AM210" s="4"/>
      <c r="AN210" s="4"/>
      <c r="AO210" s="4"/>
      <c r="AP210" s="4"/>
    </row>
    <row r="211" spans="1:42" ht="67.5" hidden="1" customHeight="1" x14ac:dyDescent="0.2">
      <c r="A211" s="4"/>
      <c r="B211" s="4"/>
      <c r="C211" s="4"/>
      <c r="D211" s="4"/>
      <c r="E211" s="4"/>
      <c r="F211" s="4"/>
      <c r="G211" s="16"/>
      <c r="H211" s="16"/>
      <c r="I211" s="16"/>
      <c r="J211" s="16"/>
      <c r="K211" s="17"/>
      <c r="L211" s="16"/>
      <c r="M211" s="4"/>
      <c r="N211" s="4"/>
      <c r="O211" s="4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29"/>
      <c r="AE211" s="18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</row>
    <row r="212" spans="1:42" ht="67.5" hidden="1" customHeight="1" x14ac:dyDescent="0.2">
      <c r="A212" s="4"/>
      <c r="B212" s="4"/>
      <c r="C212" s="4"/>
      <c r="D212" s="4"/>
      <c r="E212" s="4"/>
      <c r="F212" s="4"/>
      <c r="G212" s="16"/>
      <c r="H212" s="16"/>
      <c r="I212" s="16"/>
      <c r="J212" s="16"/>
      <c r="K212" s="17"/>
      <c r="L212" s="16"/>
      <c r="M212" s="4"/>
      <c r="N212" s="4"/>
      <c r="O212" s="4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29"/>
      <c r="AE212" s="18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</row>
    <row r="213" spans="1:42" ht="67.5" hidden="1" customHeight="1" x14ac:dyDescent="0.2">
      <c r="A213" s="4"/>
      <c r="B213" s="4"/>
      <c r="C213" s="4"/>
      <c r="D213" s="4"/>
      <c r="E213" s="4"/>
      <c r="F213" s="4"/>
      <c r="G213" s="16"/>
      <c r="H213" s="16"/>
      <c r="I213" s="16"/>
      <c r="J213" s="16"/>
      <c r="K213" s="17"/>
      <c r="L213" s="16"/>
      <c r="M213" s="4"/>
      <c r="N213" s="4"/>
      <c r="O213" s="4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29"/>
      <c r="AE213" s="18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</row>
    <row r="214" spans="1:42" ht="67.5" hidden="1" customHeight="1" x14ac:dyDescent="0.2">
      <c r="A214" s="4"/>
      <c r="B214" s="4"/>
      <c r="C214" s="4"/>
      <c r="D214" s="4"/>
      <c r="E214" s="4"/>
      <c r="F214" s="4"/>
      <c r="G214" s="16"/>
      <c r="H214" s="16"/>
      <c r="I214" s="16"/>
      <c r="J214" s="16"/>
      <c r="K214" s="17"/>
      <c r="L214" s="16"/>
      <c r="M214" s="4"/>
      <c r="N214" s="4"/>
      <c r="O214" s="4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29"/>
      <c r="AE214" s="18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</row>
    <row r="215" spans="1:42" ht="67.5" hidden="1" customHeight="1" x14ac:dyDescent="0.2">
      <c r="A215" s="4"/>
      <c r="B215" s="4"/>
      <c r="C215" s="4"/>
      <c r="D215" s="4"/>
      <c r="E215" s="4"/>
      <c r="F215" s="4"/>
      <c r="G215" s="16"/>
      <c r="H215" s="16"/>
      <c r="I215" s="16"/>
      <c r="J215" s="16"/>
      <c r="K215" s="17"/>
      <c r="L215" s="16"/>
      <c r="M215" s="4"/>
      <c r="N215" s="4"/>
      <c r="O215" s="4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29"/>
      <c r="AE215" s="18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</row>
    <row r="216" spans="1:42" ht="67.5" hidden="1" customHeight="1" x14ac:dyDescent="0.2">
      <c r="A216" s="4"/>
      <c r="B216" s="4"/>
      <c r="C216" s="4"/>
      <c r="D216" s="4"/>
      <c r="E216" s="4"/>
      <c r="F216" s="4"/>
      <c r="G216" s="16"/>
      <c r="H216" s="16"/>
      <c r="I216" s="16"/>
      <c r="J216" s="16"/>
      <c r="K216" s="17"/>
      <c r="L216" s="16"/>
      <c r="M216" s="4"/>
      <c r="N216" s="4"/>
      <c r="O216" s="4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29"/>
      <c r="AE216" s="18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</row>
    <row r="217" spans="1:42" ht="67.5" hidden="1" customHeight="1" x14ac:dyDescent="0.2">
      <c r="A217" s="4"/>
      <c r="B217" s="4"/>
      <c r="C217" s="4"/>
      <c r="D217" s="4"/>
      <c r="E217" s="4"/>
      <c r="F217" s="4"/>
      <c r="G217" s="16"/>
      <c r="H217" s="16"/>
      <c r="I217" s="16"/>
      <c r="J217" s="16"/>
      <c r="K217" s="17"/>
      <c r="L217" s="16"/>
      <c r="M217" s="4"/>
      <c r="N217" s="4"/>
      <c r="O217" s="4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29"/>
      <c r="AE217" s="18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</row>
    <row r="218" spans="1:42" ht="67.5" hidden="1" customHeight="1" x14ac:dyDescent="0.2">
      <c r="A218" s="4"/>
      <c r="B218" s="4"/>
      <c r="C218" s="4"/>
      <c r="D218" s="4"/>
      <c r="E218" s="4"/>
      <c r="F218" s="4"/>
      <c r="G218" s="16"/>
      <c r="H218" s="16"/>
      <c r="I218" s="16"/>
      <c r="J218" s="16"/>
      <c r="K218" s="17"/>
      <c r="L218" s="16"/>
      <c r="M218" s="4"/>
      <c r="N218" s="4"/>
      <c r="O218" s="4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29"/>
      <c r="AE218" s="18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</row>
    <row r="219" spans="1:42" ht="67.5" hidden="1" customHeight="1" x14ac:dyDescent="0.2">
      <c r="A219" s="4"/>
      <c r="B219" s="4"/>
      <c r="C219" s="4"/>
      <c r="D219" s="4"/>
      <c r="E219" s="4"/>
      <c r="F219" s="4"/>
      <c r="G219" s="16"/>
      <c r="H219" s="16"/>
      <c r="I219" s="16"/>
      <c r="J219" s="16"/>
      <c r="K219" s="17"/>
      <c r="L219" s="16"/>
      <c r="M219" s="4"/>
      <c r="N219" s="4"/>
      <c r="O219" s="4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29"/>
      <c r="AE219" s="18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</row>
    <row r="220" spans="1:42" ht="67.5" hidden="1" customHeight="1" x14ac:dyDescent="0.2">
      <c r="A220" s="4"/>
      <c r="B220" s="4"/>
      <c r="C220" s="4"/>
      <c r="D220" s="4"/>
      <c r="E220" s="4"/>
      <c r="F220" s="4"/>
      <c r="G220" s="16"/>
      <c r="H220" s="16"/>
      <c r="I220" s="16"/>
      <c r="J220" s="16"/>
      <c r="K220" s="17"/>
      <c r="L220" s="16"/>
      <c r="M220" s="4"/>
      <c r="N220" s="4"/>
      <c r="O220" s="4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29"/>
      <c r="AE220" s="18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</row>
    <row r="221" spans="1:42" ht="67.5" hidden="1" customHeight="1" x14ac:dyDescent="0.2">
      <c r="A221" s="4"/>
      <c r="B221" s="4"/>
      <c r="C221" s="4"/>
      <c r="D221" s="4"/>
      <c r="E221" s="4"/>
      <c r="F221" s="4"/>
      <c r="G221" s="16"/>
      <c r="H221" s="16"/>
      <c r="I221" s="16"/>
      <c r="J221" s="16"/>
      <c r="K221" s="17"/>
      <c r="L221" s="16"/>
      <c r="M221" s="4"/>
      <c r="N221" s="4"/>
      <c r="O221" s="4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29"/>
      <c r="AE221" s="18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</row>
    <row r="222" spans="1:42" ht="67.5" hidden="1" customHeight="1" x14ac:dyDescent="0.2">
      <c r="A222" s="4"/>
      <c r="B222" s="4"/>
      <c r="C222" s="4"/>
      <c r="D222" s="4"/>
      <c r="E222" s="4"/>
      <c r="F222" s="4"/>
      <c r="G222" s="16"/>
      <c r="H222" s="16"/>
      <c r="I222" s="16"/>
      <c r="J222" s="16"/>
      <c r="K222" s="17"/>
      <c r="L222" s="16"/>
      <c r="M222" s="4"/>
      <c r="N222" s="4"/>
      <c r="O222" s="4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29"/>
      <c r="AE222" s="18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</row>
    <row r="223" spans="1:42" ht="67.5" hidden="1" customHeight="1" x14ac:dyDescent="0.2">
      <c r="A223" s="4"/>
      <c r="B223" s="4"/>
      <c r="C223" s="4"/>
      <c r="D223" s="4"/>
      <c r="E223" s="4"/>
      <c r="F223" s="4"/>
      <c r="G223" s="16"/>
      <c r="H223" s="16"/>
      <c r="I223" s="16"/>
      <c r="J223" s="16"/>
      <c r="K223" s="17"/>
      <c r="L223" s="16"/>
      <c r="M223" s="4"/>
      <c r="N223" s="4"/>
      <c r="O223" s="4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29"/>
      <c r="AE223" s="18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</row>
    <row r="224" spans="1:42" ht="67.5" hidden="1" customHeight="1" x14ac:dyDescent="0.2">
      <c r="A224" s="4"/>
      <c r="B224" s="4"/>
      <c r="C224" s="4"/>
      <c r="D224" s="4"/>
      <c r="E224" s="4"/>
      <c r="F224" s="4"/>
      <c r="G224" s="16"/>
      <c r="H224" s="16"/>
      <c r="I224" s="16"/>
      <c r="J224" s="16"/>
      <c r="K224" s="17"/>
      <c r="L224" s="16"/>
      <c r="M224" s="4"/>
      <c r="N224" s="4"/>
      <c r="O224" s="4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29"/>
      <c r="AE224" s="18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</row>
    <row r="225" spans="1:42" ht="67.5" hidden="1" customHeight="1" x14ac:dyDescent="0.2">
      <c r="A225" s="4"/>
      <c r="B225" s="4"/>
      <c r="C225" s="4"/>
      <c r="D225" s="4"/>
      <c r="E225" s="4"/>
      <c r="F225" s="4"/>
      <c r="G225" s="16"/>
      <c r="H225" s="16"/>
      <c r="I225" s="16"/>
      <c r="J225" s="16"/>
      <c r="K225" s="17"/>
      <c r="L225" s="16"/>
      <c r="M225" s="4"/>
      <c r="N225" s="4"/>
      <c r="O225" s="4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29"/>
      <c r="AE225" s="18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</row>
    <row r="226" spans="1:42" ht="67.5" hidden="1" customHeight="1" x14ac:dyDescent="0.2">
      <c r="A226" s="4"/>
      <c r="B226" s="4"/>
      <c r="C226" s="4"/>
      <c r="D226" s="4"/>
      <c r="E226" s="4"/>
      <c r="F226" s="4"/>
      <c r="G226" s="16"/>
      <c r="H226" s="16"/>
      <c r="I226" s="16"/>
      <c r="J226" s="16"/>
      <c r="K226" s="17"/>
      <c r="L226" s="16"/>
      <c r="M226" s="4"/>
      <c r="N226" s="4"/>
      <c r="O226" s="4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29"/>
      <c r="AE226" s="18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</row>
    <row r="227" spans="1:42" ht="67.5" hidden="1" customHeight="1" x14ac:dyDescent="0.2">
      <c r="A227" s="4"/>
      <c r="B227" s="4"/>
      <c r="C227" s="4"/>
      <c r="D227" s="4"/>
      <c r="E227" s="4"/>
      <c r="F227" s="4"/>
      <c r="G227" s="16"/>
      <c r="H227" s="16"/>
      <c r="I227" s="16"/>
      <c r="J227" s="16"/>
      <c r="K227" s="17"/>
      <c r="L227" s="16"/>
      <c r="M227" s="4"/>
      <c r="N227" s="4"/>
      <c r="O227" s="4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29"/>
      <c r="AE227" s="18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</row>
    <row r="228" spans="1:42" ht="67.5" hidden="1" customHeight="1" x14ac:dyDescent="0.2">
      <c r="A228" s="4"/>
      <c r="B228" s="4"/>
      <c r="C228" s="4"/>
      <c r="D228" s="4"/>
      <c r="E228" s="4"/>
      <c r="F228" s="4"/>
      <c r="G228" s="16"/>
      <c r="H228" s="16"/>
      <c r="I228" s="16"/>
      <c r="J228" s="16"/>
      <c r="K228" s="17"/>
      <c r="L228" s="16"/>
      <c r="M228" s="4"/>
      <c r="N228" s="4"/>
      <c r="O228" s="4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29"/>
      <c r="AE228" s="18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</row>
    <row r="229" spans="1:42" ht="67.5" hidden="1" customHeight="1" x14ac:dyDescent="0.2">
      <c r="A229" s="4"/>
      <c r="B229" s="4"/>
      <c r="C229" s="4"/>
      <c r="D229" s="4"/>
      <c r="E229" s="4"/>
      <c r="F229" s="4"/>
      <c r="G229" s="16"/>
      <c r="H229" s="16"/>
      <c r="I229" s="16"/>
      <c r="J229" s="16"/>
      <c r="K229" s="17"/>
      <c r="L229" s="16"/>
      <c r="M229" s="4"/>
      <c r="N229" s="4"/>
      <c r="O229" s="4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29"/>
      <c r="AE229" s="18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</row>
    <row r="230" spans="1:42" ht="67.5" hidden="1" customHeight="1" x14ac:dyDescent="0.2">
      <c r="A230" s="4"/>
      <c r="B230" s="4"/>
      <c r="C230" s="4"/>
      <c r="D230" s="4"/>
      <c r="E230" s="4"/>
      <c r="F230" s="4"/>
      <c r="G230" s="16"/>
      <c r="H230" s="16"/>
      <c r="I230" s="16"/>
      <c r="J230" s="16"/>
      <c r="K230" s="17"/>
      <c r="L230" s="16"/>
      <c r="M230" s="4"/>
      <c r="N230" s="4"/>
      <c r="O230" s="4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29"/>
      <c r="AE230" s="18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</row>
    <row r="231" spans="1:42" ht="67.5" hidden="1" customHeight="1" x14ac:dyDescent="0.2">
      <c r="A231" s="4"/>
      <c r="B231" s="4"/>
      <c r="C231" s="4"/>
      <c r="D231" s="4"/>
      <c r="E231" s="4"/>
      <c r="F231" s="4"/>
      <c r="G231" s="16"/>
      <c r="H231" s="16"/>
      <c r="I231" s="16"/>
      <c r="J231" s="16"/>
      <c r="K231" s="17"/>
      <c r="L231" s="16"/>
      <c r="M231" s="4"/>
      <c r="N231" s="4"/>
      <c r="O231" s="4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29"/>
      <c r="AE231" s="18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</row>
    <row r="232" spans="1:42" ht="67.5" hidden="1" customHeight="1" x14ac:dyDescent="0.2">
      <c r="A232" s="4"/>
      <c r="B232" s="4"/>
      <c r="C232" s="4"/>
      <c r="D232" s="4"/>
      <c r="E232" s="4"/>
      <c r="F232" s="4"/>
      <c r="G232" s="16"/>
      <c r="H232" s="16"/>
      <c r="I232" s="16"/>
      <c r="J232" s="16"/>
      <c r="K232" s="17"/>
      <c r="L232" s="16"/>
      <c r="M232" s="4"/>
      <c r="N232" s="4"/>
      <c r="O232" s="4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29"/>
      <c r="AE232" s="18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</row>
    <row r="233" spans="1:42" ht="67.5" hidden="1" customHeight="1" x14ac:dyDescent="0.2">
      <c r="A233" s="4"/>
      <c r="B233" s="4"/>
      <c r="C233" s="4"/>
      <c r="D233" s="4"/>
      <c r="E233" s="4"/>
      <c r="F233" s="4"/>
      <c r="G233" s="16"/>
      <c r="H233" s="16"/>
      <c r="I233" s="16"/>
      <c r="J233" s="16"/>
      <c r="K233" s="17"/>
      <c r="L233" s="16"/>
      <c r="M233" s="4"/>
      <c r="N233" s="4"/>
      <c r="O233" s="4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29"/>
      <c r="AE233" s="18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</row>
    <row r="234" spans="1:42" ht="67.5" hidden="1" customHeight="1" x14ac:dyDescent="0.2">
      <c r="A234" s="4"/>
      <c r="B234" s="4"/>
      <c r="C234" s="4"/>
      <c r="D234" s="4"/>
      <c r="E234" s="4"/>
      <c r="F234" s="4"/>
      <c r="G234" s="16"/>
      <c r="H234" s="16"/>
      <c r="I234" s="16"/>
      <c r="J234" s="16"/>
      <c r="K234" s="17"/>
      <c r="L234" s="16"/>
      <c r="M234" s="4"/>
      <c r="N234" s="4"/>
      <c r="O234" s="4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29"/>
      <c r="AE234" s="18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</row>
    <row r="235" spans="1:42" ht="67.5" hidden="1" customHeight="1" x14ac:dyDescent="0.2">
      <c r="A235" s="4"/>
      <c r="B235" s="4"/>
      <c r="C235" s="4"/>
      <c r="D235" s="4"/>
      <c r="E235" s="4"/>
      <c r="F235" s="4"/>
      <c r="G235" s="16"/>
      <c r="H235" s="16"/>
      <c r="I235" s="16"/>
      <c r="J235" s="16"/>
      <c r="K235" s="17"/>
      <c r="L235" s="16"/>
      <c r="M235" s="4"/>
      <c r="N235" s="4"/>
      <c r="O235" s="4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29"/>
      <c r="AE235" s="18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</row>
    <row r="236" spans="1:42" ht="67.5" hidden="1" customHeight="1" x14ac:dyDescent="0.2">
      <c r="A236" s="4"/>
      <c r="B236" s="4"/>
      <c r="C236" s="4"/>
      <c r="D236" s="4"/>
      <c r="E236" s="4"/>
      <c r="F236" s="4"/>
      <c r="G236" s="16"/>
      <c r="H236" s="16"/>
      <c r="I236" s="16"/>
      <c r="J236" s="16"/>
      <c r="K236" s="17"/>
      <c r="L236" s="16"/>
      <c r="M236" s="4"/>
      <c r="N236" s="4"/>
      <c r="O236" s="4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29"/>
      <c r="AE236" s="18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</row>
    <row r="237" spans="1:42" ht="67.5" hidden="1" customHeight="1" x14ac:dyDescent="0.2">
      <c r="A237" s="4"/>
      <c r="B237" s="4"/>
      <c r="C237" s="4"/>
      <c r="D237" s="4"/>
      <c r="E237" s="4"/>
      <c r="F237" s="4"/>
      <c r="G237" s="16"/>
      <c r="H237" s="16"/>
      <c r="I237" s="16"/>
      <c r="J237" s="16"/>
      <c r="K237" s="17"/>
      <c r="L237" s="16"/>
      <c r="M237" s="4"/>
      <c r="N237" s="4"/>
      <c r="O237" s="4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29"/>
      <c r="AE237" s="18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</row>
    <row r="238" spans="1:42" ht="67.5" hidden="1" customHeight="1" x14ac:dyDescent="0.2">
      <c r="A238" s="4"/>
      <c r="B238" s="4"/>
      <c r="C238" s="4"/>
      <c r="D238" s="4"/>
      <c r="E238" s="4"/>
      <c r="F238" s="4"/>
      <c r="G238" s="16"/>
      <c r="H238" s="16"/>
      <c r="I238" s="16"/>
      <c r="J238" s="16"/>
      <c r="K238" s="17"/>
      <c r="L238" s="16"/>
      <c r="M238" s="4"/>
      <c r="N238" s="4"/>
      <c r="O238" s="4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29"/>
      <c r="AE238" s="18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</row>
    <row r="239" spans="1:42" ht="67.5" hidden="1" customHeight="1" x14ac:dyDescent="0.2">
      <c r="A239" s="4"/>
      <c r="B239" s="4"/>
      <c r="C239" s="4"/>
      <c r="D239" s="4"/>
      <c r="E239" s="4"/>
      <c r="F239" s="4"/>
      <c r="G239" s="16"/>
      <c r="H239" s="16"/>
      <c r="I239" s="16"/>
      <c r="J239" s="16"/>
      <c r="K239" s="17"/>
      <c r="L239" s="16"/>
      <c r="M239" s="4"/>
      <c r="N239" s="4"/>
      <c r="O239" s="4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29"/>
      <c r="AE239" s="18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</row>
    <row r="240" spans="1:42" ht="67.5" hidden="1" customHeight="1" x14ac:dyDescent="0.2">
      <c r="A240" s="4"/>
      <c r="B240" s="4"/>
      <c r="C240" s="4"/>
      <c r="D240" s="4"/>
      <c r="E240" s="4"/>
      <c r="F240" s="4"/>
      <c r="G240" s="16"/>
      <c r="H240" s="16"/>
      <c r="I240" s="16"/>
      <c r="J240" s="16"/>
      <c r="K240" s="17"/>
      <c r="L240" s="16"/>
      <c r="M240" s="4"/>
      <c r="N240" s="4"/>
      <c r="O240" s="4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29"/>
      <c r="AE240" s="18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</row>
    <row r="241" spans="1:42" ht="67.5" hidden="1" customHeight="1" x14ac:dyDescent="0.2">
      <c r="A241" s="4"/>
      <c r="B241" s="4"/>
      <c r="C241" s="4"/>
      <c r="D241" s="4"/>
      <c r="E241" s="4"/>
      <c r="F241" s="4"/>
      <c r="G241" s="16"/>
      <c r="H241" s="16"/>
      <c r="I241" s="16"/>
      <c r="J241" s="16"/>
      <c r="K241" s="17"/>
      <c r="L241" s="16"/>
      <c r="M241" s="4"/>
      <c r="N241" s="4"/>
      <c r="O241" s="4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29"/>
      <c r="AE241" s="18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</row>
    <row r="242" spans="1:42" ht="67.5" hidden="1" customHeight="1" x14ac:dyDescent="0.2">
      <c r="A242" s="4"/>
      <c r="B242" s="4"/>
      <c r="C242" s="4"/>
      <c r="D242" s="4"/>
      <c r="E242" s="4"/>
      <c r="F242" s="4"/>
      <c r="G242" s="16"/>
      <c r="H242" s="16"/>
      <c r="I242" s="16"/>
      <c r="J242" s="16"/>
      <c r="K242" s="17"/>
      <c r="L242" s="16"/>
      <c r="M242" s="4"/>
      <c r="N242" s="4"/>
      <c r="O242" s="4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29"/>
      <c r="AE242" s="18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</row>
    <row r="243" spans="1:42" ht="67.5" hidden="1" customHeight="1" x14ac:dyDescent="0.2">
      <c r="A243" s="4"/>
      <c r="B243" s="4"/>
      <c r="C243" s="4"/>
      <c r="D243" s="4"/>
      <c r="E243" s="4"/>
      <c r="F243" s="4"/>
      <c r="G243" s="16"/>
      <c r="H243" s="16"/>
      <c r="I243" s="16"/>
      <c r="J243" s="16"/>
      <c r="K243" s="17"/>
      <c r="L243" s="16"/>
      <c r="M243" s="4"/>
      <c r="N243" s="4"/>
      <c r="O243" s="4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29"/>
      <c r="AE243" s="18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</row>
    <row r="244" spans="1:42" ht="67.5" hidden="1" customHeight="1" x14ac:dyDescent="0.2">
      <c r="A244" s="4"/>
      <c r="B244" s="4"/>
      <c r="C244" s="4"/>
      <c r="D244" s="4"/>
      <c r="E244" s="4"/>
      <c r="F244" s="4"/>
      <c r="G244" s="16"/>
      <c r="H244" s="16"/>
      <c r="I244" s="16"/>
      <c r="J244" s="16"/>
      <c r="K244" s="17"/>
      <c r="L244" s="16"/>
      <c r="M244" s="4"/>
      <c r="N244" s="4"/>
      <c r="O244" s="4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29"/>
      <c r="AE244" s="18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</row>
    <row r="245" spans="1:42" ht="67.5" hidden="1" customHeight="1" x14ac:dyDescent="0.2">
      <c r="A245" s="4"/>
      <c r="B245" s="4"/>
      <c r="C245" s="4"/>
      <c r="D245" s="4"/>
      <c r="E245" s="4"/>
      <c r="F245" s="4"/>
      <c r="G245" s="16"/>
      <c r="H245" s="16"/>
      <c r="I245" s="16"/>
      <c r="J245" s="16"/>
      <c r="K245" s="17"/>
      <c r="L245" s="16"/>
      <c r="M245" s="4"/>
      <c r="N245" s="4"/>
      <c r="O245" s="4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29"/>
      <c r="AE245" s="18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</row>
    <row r="246" spans="1:42" ht="67.5" hidden="1" customHeight="1" x14ac:dyDescent="0.2">
      <c r="A246" s="4"/>
      <c r="B246" s="4"/>
      <c r="C246" s="4"/>
      <c r="D246" s="4"/>
      <c r="E246" s="4"/>
      <c r="F246" s="4"/>
      <c r="G246" s="16"/>
      <c r="H246" s="16"/>
      <c r="I246" s="16"/>
      <c r="J246" s="16"/>
      <c r="K246" s="17"/>
      <c r="L246" s="16"/>
      <c r="M246" s="4"/>
      <c r="N246" s="4"/>
      <c r="O246" s="4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29"/>
      <c r="AE246" s="18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</row>
    <row r="247" spans="1:42" ht="67.5" hidden="1" customHeight="1" x14ac:dyDescent="0.2">
      <c r="A247" s="4"/>
      <c r="B247" s="4"/>
      <c r="C247" s="4"/>
      <c r="D247" s="4"/>
      <c r="E247" s="4"/>
      <c r="F247" s="4"/>
      <c r="G247" s="16"/>
      <c r="H247" s="16"/>
      <c r="I247" s="16"/>
      <c r="J247" s="16"/>
      <c r="K247" s="17"/>
      <c r="L247" s="16"/>
      <c r="M247" s="4"/>
      <c r="N247" s="4"/>
      <c r="O247" s="4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29"/>
      <c r="AE247" s="18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</row>
    <row r="248" spans="1:42" ht="67.5" hidden="1" customHeight="1" x14ac:dyDescent="0.2">
      <c r="A248" s="4"/>
      <c r="B248" s="4"/>
      <c r="C248" s="4"/>
      <c r="D248" s="4"/>
      <c r="E248" s="4"/>
      <c r="F248" s="4"/>
      <c r="G248" s="16"/>
      <c r="H248" s="16"/>
      <c r="I248" s="16"/>
      <c r="J248" s="16"/>
      <c r="K248" s="17"/>
      <c r="L248" s="16"/>
      <c r="M248" s="4"/>
      <c r="N248" s="4"/>
      <c r="O248" s="4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29"/>
      <c r="AE248" s="18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</row>
    <row r="249" spans="1:42" ht="67.5" hidden="1" customHeight="1" x14ac:dyDescent="0.2">
      <c r="A249" s="4"/>
      <c r="B249" s="4"/>
      <c r="C249" s="4"/>
      <c r="D249" s="4"/>
      <c r="E249" s="4"/>
      <c r="F249" s="4"/>
      <c r="G249" s="16"/>
      <c r="H249" s="16"/>
      <c r="I249" s="16"/>
      <c r="J249" s="16"/>
      <c r="K249" s="17"/>
      <c r="L249" s="16"/>
      <c r="M249" s="4"/>
      <c r="N249" s="4"/>
      <c r="O249" s="4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29"/>
      <c r="AE249" s="18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</row>
    <row r="250" spans="1:42" ht="67.5" hidden="1" customHeight="1" x14ac:dyDescent="0.2">
      <c r="A250" s="4"/>
      <c r="B250" s="4"/>
      <c r="C250" s="4"/>
      <c r="D250" s="4"/>
      <c r="E250" s="4"/>
      <c r="F250" s="4"/>
      <c r="G250" s="16"/>
      <c r="H250" s="16"/>
      <c r="I250" s="16"/>
      <c r="J250" s="16"/>
      <c r="K250" s="17"/>
      <c r="L250" s="16"/>
      <c r="M250" s="4"/>
      <c r="N250" s="4"/>
      <c r="O250" s="4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29"/>
      <c r="AE250" s="18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</row>
    <row r="251" spans="1:42" ht="67.5" hidden="1" customHeight="1" x14ac:dyDescent="0.2">
      <c r="A251" s="4"/>
      <c r="B251" s="4"/>
      <c r="C251" s="4"/>
      <c r="D251" s="4"/>
      <c r="E251" s="4"/>
      <c r="F251" s="4"/>
      <c r="G251" s="16"/>
      <c r="H251" s="16"/>
      <c r="I251" s="16"/>
      <c r="J251" s="16"/>
      <c r="K251" s="17"/>
      <c r="L251" s="16"/>
      <c r="M251" s="4"/>
      <c r="N251" s="4"/>
      <c r="O251" s="4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29"/>
      <c r="AE251" s="18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</row>
    <row r="252" spans="1:42" ht="67.5" hidden="1" customHeight="1" x14ac:dyDescent="0.2">
      <c r="A252" s="4"/>
      <c r="B252" s="4"/>
      <c r="C252" s="4"/>
      <c r="D252" s="4"/>
      <c r="E252" s="4"/>
      <c r="F252" s="4"/>
      <c r="G252" s="16"/>
      <c r="H252" s="16"/>
      <c r="I252" s="16"/>
      <c r="J252" s="16"/>
      <c r="K252" s="17"/>
      <c r="L252" s="16"/>
      <c r="M252" s="4"/>
      <c r="N252" s="4"/>
      <c r="O252" s="4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29"/>
      <c r="AE252" s="18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</row>
    <row r="253" spans="1:42" ht="67.5" hidden="1" customHeight="1" x14ac:dyDescent="0.2">
      <c r="A253" s="4"/>
      <c r="B253" s="4"/>
      <c r="C253" s="4"/>
      <c r="D253" s="4"/>
      <c r="E253" s="4"/>
      <c r="F253" s="4"/>
      <c r="G253" s="16"/>
      <c r="H253" s="16"/>
      <c r="I253" s="16"/>
      <c r="J253" s="16"/>
      <c r="K253" s="17"/>
      <c r="L253" s="16"/>
      <c r="M253" s="4"/>
      <c r="N253" s="4"/>
      <c r="O253" s="4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29"/>
      <c r="AE253" s="18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</row>
    <row r="254" spans="1:42" ht="67.5" hidden="1" customHeight="1" x14ac:dyDescent="0.2">
      <c r="A254" s="4"/>
      <c r="B254" s="4"/>
      <c r="C254" s="4"/>
      <c r="D254" s="4"/>
      <c r="E254" s="4"/>
      <c r="F254" s="4"/>
      <c r="G254" s="16"/>
      <c r="H254" s="16"/>
      <c r="I254" s="16"/>
      <c r="J254" s="16"/>
      <c r="K254" s="17"/>
      <c r="L254" s="16"/>
      <c r="M254" s="4"/>
      <c r="N254" s="4"/>
      <c r="O254" s="4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29"/>
      <c r="AE254" s="18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</row>
    <row r="255" spans="1:42" ht="67.5" hidden="1" customHeight="1" x14ac:dyDescent="0.2">
      <c r="A255" s="4"/>
      <c r="B255" s="4"/>
      <c r="C255" s="4"/>
      <c r="D255" s="4"/>
      <c r="E255" s="4"/>
      <c r="F255" s="4"/>
      <c r="G255" s="16"/>
      <c r="H255" s="16"/>
      <c r="I255" s="16"/>
      <c r="J255" s="16"/>
      <c r="K255" s="17"/>
      <c r="L255" s="16"/>
      <c r="M255" s="4"/>
      <c r="N255" s="4"/>
      <c r="O255" s="4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29"/>
      <c r="AE255" s="18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</row>
    <row r="256" spans="1:42" ht="67.5" hidden="1" customHeight="1" x14ac:dyDescent="0.2">
      <c r="A256" s="4"/>
      <c r="B256" s="4"/>
      <c r="C256" s="4"/>
      <c r="D256" s="4"/>
      <c r="E256" s="4"/>
      <c r="F256" s="4"/>
      <c r="G256" s="16"/>
      <c r="H256" s="16"/>
      <c r="I256" s="16"/>
      <c r="J256" s="16"/>
      <c r="K256" s="17"/>
      <c r="L256" s="16"/>
      <c r="M256" s="4"/>
      <c r="N256" s="4"/>
      <c r="O256" s="4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29"/>
      <c r="AE256" s="18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</row>
    <row r="257" spans="1:42" ht="67.5" hidden="1" customHeight="1" x14ac:dyDescent="0.2">
      <c r="A257" s="4"/>
      <c r="B257" s="4"/>
      <c r="C257" s="4"/>
      <c r="D257" s="4"/>
      <c r="E257" s="4"/>
      <c r="F257" s="4"/>
      <c r="G257" s="16"/>
      <c r="H257" s="16"/>
      <c r="I257" s="16"/>
      <c r="J257" s="16"/>
      <c r="K257" s="17"/>
      <c r="L257" s="16"/>
      <c r="M257" s="4"/>
      <c r="N257" s="4"/>
      <c r="O257" s="4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29"/>
      <c r="AE257" s="18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</row>
    <row r="258" spans="1:42" ht="67.5" hidden="1" customHeight="1" x14ac:dyDescent="0.2">
      <c r="A258" s="4"/>
      <c r="B258" s="4"/>
      <c r="C258" s="4"/>
      <c r="D258" s="4"/>
      <c r="E258" s="4"/>
      <c r="F258" s="4"/>
      <c r="G258" s="16"/>
      <c r="H258" s="16"/>
      <c r="I258" s="16"/>
      <c r="J258" s="16"/>
      <c r="K258" s="17"/>
      <c r="L258" s="16"/>
      <c r="M258" s="4"/>
      <c r="N258" s="4"/>
      <c r="O258" s="4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29"/>
      <c r="AE258" s="18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</row>
    <row r="259" spans="1:42" ht="67.5" hidden="1" customHeight="1" x14ac:dyDescent="0.2">
      <c r="A259" s="4"/>
      <c r="B259" s="4"/>
      <c r="C259" s="4"/>
      <c r="D259" s="4"/>
      <c r="E259" s="4"/>
      <c r="F259" s="4"/>
      <c r="G259" s="16"/>
      <c r="H259" s="16"/>
      <c r="I259" s="16"/>
      <c r="J259" s="16"/>
      <c r="K259" s="17"/>
      <c r="L259" s="16"/>
      <c r="M259" s="4"/>
      <c r="N259" s="4"/>
      <c r="O259" s="4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29"/>
      <c r="AE259" s="18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</row>
    <row r="260" spans="1:42" ht="67.5" hidden="1" customHeight="1" x14ac:dyDescent="0.2">
      <c r="A260" s="4"/>
      <c r="B260" s="4"/>
      <c r="C260" s="4"/>
      <c r="D260" s="4"/>
      <c r="E260" s="4"/>
      <c r="F260" s="4"/>
      <c r="G260" s="16"/>
      <c r="H260" s="16"/>
      <c r="I260" s="16"/>
      <c r="J260" s="16"/>
      <c r="K260" s="17"/>
      <c r="L260" s="16"/>
      <c r="M260" s="4"/>
      <c r="N260" s="4"/>
      <c r="O260" s="4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29"/>
      <c r="AE260" s="18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</row>
    <row r="261" spans="1:42" ht="67.5" hidden="1" customHeight="1" x14ac:dyDescent="0.2">
      <c r="A261" s="4"/>
      <c r="B261" s="4"/>
      <c r="C261" s="4"/>
      <c r="D261" s="4"/>
      <c r="E261" s="4"/>
      <c r="F261" s="4"/>
      <c r="G261" s="16"/>
      <c r="H261" s="16"/>
      <c r="I261" s="16"/>
      <c r="J261" s="16"/>
      <c r="K261" s="17"/>
      <c r="L261" s="16"/>
      <c r="M261" s="4"/>
      <c r="N261" s="4"/>
      <c r="O261" s="4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29"/>
      <c r="AE261" s="18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</row>
    <row r="262" spans="1:42" ht="67.5" hidden="1" customHeight="1" x14ac:dyDescent="0.2">
      <c r="A262" s="4"/>
      <c r="B262" s="4"/>
      <c r="C262" s="4"/>
      <c r="D262" s="4"/>
      <c r="E262" s="4"/>
      <c r="F262" s="4"/>
      <c r="G262" s="16"/>
      <c r="H262" s="16"/>
      <c r="I262" s="16"/>
      <c r="J262" s="16"/>
      <c r="K262" s="17"/>
      <c r="L262" s="16"/>
      <c r="M262" s="4"/>
      <c r="N262" s="4"/>
      <c r="O262" s="4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29"/>
      <c r="AE262" s="18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</row>
    <row r="263" spans="1:42" ht="67.5" hidden="1" customHeight="1" x14ac:dyDescent="0.2">
      <c r="A263" s="4"/>
      <c r="B263" s="4"/>
      <c r="C263" s="4"/>
      <c r="D263" s="4"/>
      <c r="E263" s="4"/>
      <c r="F263" s="4"/>
      <c r="G263" s="16"/>
      <c r="H263" s="16"/>
      <c r="I263" s="16"/>
      <c r="J263" s="16"/>
      <c r="K263" s="17"/>
      <c r="L263" s="16"/>
      <c r="M263" s="4"/>
      <c r="N263" s="4"/>
      <c r="O263" s="4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29"/>
      <c r="AE263" s="18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</row>
    <row r="264" spans="1:42" ht="67.5" hidden="1" customHeight="1" x14ac:dyDescent="0.2">
      <c r="A264" s="4"/>
      <c r="B264" s="4"/>
      <c r="C264" s="4"/>
      <c r="D264" s="4"/>
      <c r="E264" s="4"/>
      <c r="F264" s="4"/>
      <c r="G264" s="16"/>
      <c r="H264" s="16"/>
      <c r="I264" s="16"/>
      <c r="J264" s="16"/>
      <c r="K264" s="17"/>
      <c r="L264" s="16"/>
      <c r="M264" s="4"/>
      <c r="N264" s="4"/>
      <c r="O264" s="4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29"/>
      <c r="AE264" s="18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</row>
    <row r="265" spans="1:42" ht="67.5" hidden="1" customHeight="1" x14ac:dyDescent="0.2">
      <c r="A265" s="4"/>
      <c r="B265" s="4"/>
      <c r="C265" s="4"/>
      <c r="D265" s="4"/>
      <c r="E265" s="4"/>
      <c r="F265" s="4"/>
      <c r="G265" s="16"/>
      <c r="H265" s="16"/>
      <c r="I265" s="16"/>
      <c r="J265" s="16"/>
      <c r="K265" s="17"/>
      <c r="L265" s="16"/>
      <c r="M265" s="4"/>
      <c r="N265" s="4"/>
      <c r="O265" s="4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29"/>
      <c r="AE265" s="18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</row>
    <row r="266" spans="1:42" ht="67.5" hidden="1" customHeight="1" x14ac:dyDescent="0.2">
      <c r="A266" s="4"/>
      <c r="B266" s="4"/>
      <c r="C266" s="4"/>
      <c r="D266" s="4"/>
      <c r="E266" s="4"/>
      <c r="F266" s="4"/>
      <c r="G266" s="16"/>
      <c r="H266" s="16"/>
      <c r="I266" s="16"/>
      <c r="J266" s="16"/>
      <c r="K266" s="17"/>
      <c r="L266" s="16"/>
      <c r="M266" s="4"/>
      <c r="N266" s="4"/>
      <c r="O266" s="4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29"/>
      <c r="AE266" s="18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</row>
    <row r="267" spans="1:42" ht="67.5" hidden="1" customHeight="1" x14ac:dyDescent="0.2">
      <c r="A267" s="4"/>
      <c r="B267" s="4"/>
      <c r="C267" s="4"/>
      <c r="D267" s="4"/>
      <c r="E267" s="4"/>
      <c r="F267" s="4"/>
      <c r="G267" s="16"/>
      <c r="H267" s="16"/>
      <c r="I267" s="16"/>
      <c r="J267" s="16"/>
      <c r="K267" s="17"/>
      <c r="L267" s="16"/>
      <c r="M267" s="4"/>
      <c r="N267" s="4"/>
      <c r="O267" s="4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29"/>
      <c r="AE267" s="18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</row>
    <row r="268" spans="1:42" ht="67.5" hidden="1" customHeight="1" x14ac:dyDescent="0.2">
      <c r="A268" s="4"/>
      <c r="B268" s="4"/>
      <c r="C268" s="4"/>
      <c r="D268" s="4"/>
      <c r="E268" s="4"/>
      <c r="F268" s="4"/>
      <c r="G268" s="16"/>
      <c r="H268" s="16"/>
      <c r="I268" s="16"/>
      <c r="J268" s="16"/>
      <c r="K268" s="17"/>
      <c r="L268" s="16"/>
      <c r="M268" s="4"/>
      <c r="N268" s="4"/>
      <c r="O268" s="4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29"/>
      <c r="AE268" s="18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</row>
    <row r="269" spans="1:42" ht="67.5" hidden="1" customHeight="1" x14ac:dyDescent="0.2">
      <c r="A269" s="4"/>
      <c r="B269" s="4"/>
      <c r="C269" s="4"/>
      <c r="D269" s="4"/>
      <c r="E269" s="4"/>
      <c r="F269" s="4"/>
      <c r="G269" s="16"/>
      <c r="H269" s="16"/>
      <c r="I269" s="16"/>
      <c r="J269" s="16"/>
      <c r="K269" s="17"/>
      <c r="L269" s="16"/>
      <c r="M269" s="4"/>
      <c r="N269" s="4"/>
      <c r="O269" s="4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29"/>
      <c r="AE269" s="18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</row>
    <row r="270" spans="1:42" ht="67.5" hidden="1" customHeight="1" x14ac:dyDescent="0.2">
      <c r="A270" s="4"/>
      <c r="B270" s="4"/>
      <c r="C270" s="4"/>
      <c r="D270" s="4"/>
      <c r="E270" s="4"/>
      <c r="F270" s="4"/>
      <c r="G270" s="16"/>
      <c r="H270" s="16"/>
      <c r="I270" s="16"/>
      <c r="J270" s="16"/>
      <c r="K270" s="17"/>
      <c r="L270" s="16"/>
      <c r="M270" s="4"/>
      <c r="N270" s="4"/>
      <c r="O270" s="4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29"/>
      <c r="AE270" s="18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</row>
    <row r="271" spans="1:42" ht="67.5" hidden="1" customHeight="1" x14ac:dyDescent="0.2">
      <c r="A271" s="4"/>
      <c r="B271" s="4"/>
      <c r="C271" s="4"/>
      <c r="D271" s="4"/>
      <c r="E271" s="4"/>
      <c r="F271" s="4"/>
      <c r="G271" s="16"/>
      <c r="H271" s="16"/>
      <c r="I271" s="16"/>
      <c r="J271" s="16"/>
      <c r="K271" s="17"/>
      <c r="L271" s="16"/>
      <c r="M271" s="4"/>
      <c r="N271" s="4"/>
      <c r="O271" s="4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29"/>
      <c r="AE271" s="18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</row>
    <row r="272" spans="1:42" ht="67.5" hidden="1" customHeight="1" x14ac:dyDescent="0.2">
      <c r="A272" s="4"/>
      <c r="B272" s="4"/>
      <c r="C272" s="4"/>
      <c r="D272" s="4"/>
      <c r="E272" s="4"/>
      <c r="F272" s="4"/>
      <c r="G272" s="16"/>
      <c r="H272" s="16"/>
      <c r="I272" s="16"/>
      <c r="J272" s="16"/>
      <c r="K272" s="17"/>
      <c r="L272" s="16"/>
      <c r="M272" s="4"/>
      <c r="N272" s="4"/>
      <c r="O272" s="4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29"/>
      <c r="AE272" s="18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</row>
    <row r="273" spans="1:42" ht="67.5" hidden="1" customHeight="1" x14ac:dyDescent="0.2">
      <c r="A273" s="4"/>
      <c r="B273" s="4"/>
      <c r="C273" s="4"/>
      <c r="D273" s="4"/>
      <c r="E273" s="4"/>
      <c r="F273" s="4"/>
      <c r="G273" s="16"/>
      <c r="H273" s="16"/>
      <c r="I273" s="16"/>
      <c r="J273" s="16"/>
      <c r="K273" s="17"/>
      <c r="L273" s="16"/>
      <c r="M273" s="4"/>
      <c r="N273" s="4"/>
      <c r="O273" s="4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29"/>
      <c r="AE273" s="18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</row>
    <row r="274" spans="1:42" ht="67.5" hidden="1" customHeight="1" x14ac:dyDescent="0.2">
      <c r="A274" s="4"/>
      <c r="B274" s="4"/>
      <c r="C274" s="4"/>
      <c r="D274" s="4"/>
      <c r="E274" s="4"/>
      <c r="F274" s="4"/>
      <c r="G274" s="16"/>
      <c r="H274" s="16"/>
      <c r="I274" s="16"/>
      <c r="J274" s="16"/>
      <c r="K274" s="17"/>
      <c r="L274" s="16"/>
      <c r="M274" s="4"/>
      <c r="N274" s="4"/>
      <c r="O274" s="4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29"/>
      <c r="AE274" s="18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</row>
    <row r="275" spans="1:42" ht="67.5" hidden="1" customHeight="1" x14ac:dyDescent="0.2">
      <c r="A275" s="4"/>
      <c r="B275" s="4"/>
      <c r="C275" s="4"/>
      <c r="D275" s="4"/>
      <c r="E275" s="4"/>
      <c r="F275" s="4"/>
      <c r="G275" s="16"/>
      <c r="H275" s="16"/>
      <c r="I275" s="16"/>
      <c r="J275" s="16"/>
      <c r="K275" s="17"/>
      <c r="L275" s="16"/>
      <c r="M275" s="4"/>
      <c r="N275" s="4"/>
      <c r="O275" s="4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29"/>
      <c r="AE275" s="18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</row>
    <row r="276" spans="1:42" ht="67.5" hidden="1" customHeight="1" x14ac:dyDescent="0.2">
      <c r="A276" s="4"/>
      <c r="B276" s="4"/>
      <c r="C276" s="4"/>
      <c r="D276" s="4"/>
      <c r="E276" s="4"/>
      <c r="F276" s="4"/>
      <c r="G276" s="16"/>
      <c r="H276" s="16"/>
      <c r="I276" s="16"/>
      <c r="J276" s="16"/>
      <c r="K276" s="17"/>
      <c r="L276" s="16"/>
      <c r="M276" s="4"/>
      <c r="N276" s="4"/>
      <c r="O276" s="4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29"/>
      <c r="AE276" s="18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</row>
    <row r="277" spans="1:42" ht="67.5" hidden="1" customHeight="1" x14ac:dyDescent="0.2">
      <c r="A277" s="4"/>
      <c r="B277" s="4"/>
      <c r="C277" s="4"/>
      <c r="D277" s="4"/>
      <c r="E277" s="4"/>
      <c r="F277" s="4"/>
      <c r="G277" s="16"/>
      <c r="H277" s="16"/>
      <c r="I277" s="16"/>
      <c r="J277" s="16"/>
      <c r="K277" s="17"/>
      <c r="L277" s="16"/>
      <c r="M277" s="4"/>
      <c r="N277" s="4"/>
      <c r="O277" s="4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29"/>
      <c r="AE277" s="18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</row>
    <row r="278" spans="1:42" ht="67.5" hidden="1" customHeight="1" x14ac:dyDescent="0.2">
      <c r="A278" s="4"/>
      <c r="B278" s="4"/>
      <c r="C278" s="4"/>
      <c r="D278" s="4"/>
      <c r="E278" s="4"/>
      <c r="F278" s="4"/>
      <c r="G278" s="16"/>
      <c r="H278" s="16"/>
      <c r="I278" s="16"/>
      <c r="J278" s="16"/>
      <c r="K278" s="17"/>
      <c r="L278" s="16"/>
      <c r="M278" s="4"/>
      <c r="N278" s="4"/>
      <c r="O278" s="4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29"/>
      <c r="AE278" s="18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</row>
    <row r="279" spans="1:42" ht="67.5" hidden="1" customHeight="1" x14ac:dyDescent="0.2">
      <c r="A279" s="4"/>
      <c r="B279" s="4"/>
      <c r="C279" s="4"/>
      <c r="D279" s="4"/>
      <c r="E279" s="4"/>
      <c r="F279" s="4"/>
      <c r="G279" s="16"/>
      <c r="H279" s="16"/>
      <c r="I279" s="16"/>
      <c r="J279" s="16"/>
      <c r="K279" s="17"/>
      <c r="L279" s="16"/>
      <c r="M279" s="4"/>
      <c r="N279" s="4"/>
      <c r="O279" s="4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29"/>
      <c r="AE279" s="18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</row>
    <row r="280" spans="1:42" ht="67.5" hidden="1" customHeight="1" x14ac:dyDescent="0.2">
      <c r="A280" s="4"/>
      <c r="B280" s="4"/>
      <c r="C280" s="4"/>
      <c r="D280" s="4"/>
      <c r="E280" s="4"/>
      <c r="F280" s="4"/>
      <c r="G280" s="16"/>
      <c r="H280" s="16"/>
      <c r="I280" s="16"/>
      <c r="J280" s="16"/>
      <c r="K280" s="17"/>
      <c r="L280" s="16"/>
      <c r="M280" s="4"/>
      <c r="N280" s="4"/>
      <c r="O280" s="4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29"/>
      <c r="AE280" s="18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</row>
    <row r="281" spans="1:42" ht="67.5" hidden="1" customHeight="1" x14ac:dyDescent="0.2">
      <c r="A281" s="4"/>
      <c r="B281" s="4"/>
      <c r="C281" s="4"/>
      <c r="D281" s="4"/>
      <c r="E281" s="4"/>
      <c r="F281" s="4"/>
      <c r="G281" s="16"/>
      <c r="H281" s="16"/>
      <c r="I281" s="16"/>
      <c r="J281" s="16"/>
      <c r="K281" s="17"/>
      <c r="L281" s="16"/>
      <c r="M281" s="4"/>
      <c r="N281" s="4"/>
      <c r="O281" s="4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29"/>
      <c r="AE281" s="18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</row>
    <row r="282" spans="1:42" ht="67.5" hidden="1" customHeight="1" x14ac:dyDescent="0.2">
      <c r="A282" s="4"/>
      <c r="B282" s="4"/>
      <c r="C282" s="4"/>
      <c r="D282" s="4"/>
      <c r="E282" s="4"/>
      <c r="F282" s="4"/>
      <c r="G282" s="16"/>
      <c r="H282" s="16"/>
      <c r="I282" s="16"/>
      <c r="J282" s="16"/>
      <c r="K282" s="17"/>
      <c r="L282" s="16"/>
      <c r="M282" s="4"/>
      <c r="N282" s="4"/>
      <c r="O282" s="4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29"/>
      <c r="AE282" s="18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</row>
    <row r="283" spans="1:42" ht="67.5" hidden="1" customHeight="1" x14ac:dyDescent="0.2">
      <c r="A283" s="4"/>
      <c r="B283" s="4"/>
      <c r="C283" s="4"/>
      <c r="D283" s="4"/>
      <c r="E283" s="4"/>
      <c r="F283" s="4"/>
      <c r="G283" s="16"/>
      <c r="H283" s="16"/>
      <c r="I283" s="16"/>
      <c r="J283" s="16"/>
      <c r="K283" s="17"/>
      <c r="L283" s="16"/>
      <c r="M283" s="4"/>
      <c r="N283" s="4"/>
      <c r="O283" s="4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29"/>
      <c r="AE283" s="18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</row>
    <row r="284" spans="1:42" ht="67.5" hidden="1" customHeight="1" x14ac:dyDescent="0.2">
      <c r="A284" s="4"/>
      <c r="B284" s="4"/>
      <c r="C284" s="4"/>
      <c r="D284" s="4"/>
      <c r="E284" s="4"/>
      <c r="F284" s="4"/>
      <c r="G284" s="16"/>
      <c r="H284" s="16"/>
      <c r="I284" s="16"/>
      <c r="J284" s="16"/>
      <c r="K284" s="17"/>
      <c r="L284" s="16"/>
      <c r="M284" s="4"/>
      <c r="N284" s="4"/>
      <c r="O284" s="4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29"/>
      <c r="AE284" s="18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</row>
    <row r="285" spans="1:42" ht="67.5" hidden="1" customHeight="1" x14ac:dyDescent="0.2">
      <c r="A285" s="4"/>
      <c r="B285" s="4"/>
      <c r="C285" s="4"/>
      <c r="D285" s="4"/>
      <c r="E285" s="4"/>
      <c r="F285" s="4"/>
      <c r="G285" s="16"/>
      <c r="H285" s="16"/>
      <c r="I285" s="16"/>
      <c r="J285" s="16"/>
      <c r="K285" s="17"/>
      <c r="L285" s="16"/>
      <c r="M285" s="4"/>
      <c r="N285" s="4"/>
      <c r="O285" s="4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29"/>
      <c r="AE285" s="18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</row>
    <row r="286" spans="1:42" ht="67.5" hidden="1" customHeight="1" x14ac:dyDescent="0.2">
      <c r="A286" s="4"/>
      <c r="B286" s="4"/>
      <c r="C286" s="4"/>
      <c r="D286" s="4"/>
      <c r="E286" s="4"/>
      <c r="F286" s="4"/>
      <c r="G286" s="16"/>
      <c r="H286" s="16"/>
      <c r="I286" s="16"/>
      <c r="J286" s="16"/>
      <c r="K286" s="17"/>
      <c r="L286" s="16"/>
      <c r="M286" s="4"/>
      <c r="N286" s="4"/>
      <c r="O286" s="4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29"/>
      <c r="AE286" s="18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</row>
    <row r="287" spans="1:42" ht="67.5" hidden="1" customHeight="1" x14ac:dyDescent="0.2">
      <c r="A287" s="4"/>
      <c r="B287" s="4"/>
      <c r="C287" s="4"/>
      <c r="D287" s="4"/>
      <c r="E287" s="4"/>
      <c r="F287" s="4"/>
      <c r="G287" s="16"/>
      <c r="H287" s="16"/>
      <c r="I287" s="16"/>
      <c r="J287" s="16"/>
      <c r="K287" s="17"/>
      <c r="L287" s="16"/>
      <c r="M287" s="4"/>
      <c r="N287" s="4"/>
      <c r="O287" s="4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29"/>
      <c r="AE287" s="18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</row>
    <row r="288" spans="1:42" ht="67.5" hidden="1" customHeight="1" x14ac:dyDescent="0.2">
      <c r="A288" s="4"/>
      <c r="B288" s="4"/>
      <c r="C288" s="4"/>
      <c r="D288" s="4"/>
      <c r="E288" s="4"/>
      <c r="F288" s="4"/>
      <c r="G288" s="16"/>
      <c r="H288" s="16"/>
      <c r="I288" s="16"/>
      <c r="J288" s="16"/>
      <c r="K288" s="17"/>
      <c r="L288" s="16"/>
      <c r="M288" s="4"/>
      <c r="N288" s="4"/>
      <c r="O288" s="4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29"/>
      <c r="AE288" s="18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</row>
    <row r="289" spans="1:42" ht="67.5" hidden="1" customHeight="1" x14ac:dyDescent="0.2">
      <c r="A289" s="4"/>
      <c r="B289" s="4"/>
      <c r="C289" s="4"/>
      <c r="D289" s="4"/>
      <c r="E289" s="4"/>
      <c r="F289" s="4"/>
      <c r="G289" s="16"/>
      <c r="H289" s="16"/>
      <c r="I289" s="16"/>
      <c r="J289" s="16"/>
      <c r="K289" s="17"/>
      <c r="L289" s="16"/>
      <c r="M289" s="4"/>
      <c r="N289" s="4"/>
      <c r="O289" s="4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29"/>
      <c r="AE289" s="18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</row>
    <row r="290" spans="1:42" ht="67.5" hidden="1" customHeight="1" x14ac:dyDescent="0.2">
      <c r="A290" s="4"/>
      <c r="B290" s="4"/>
      <c r="C290" s="4"/>
      <c r="D290" s="4"/>
      <c r="E290" s="4"/>
      <c r="F290" s="4"/>
      <c r="G290" s="16"/>
      <c r="H290" s="16"/>
      <c r="I290" s="16"/>
      <c r="J290" s="16"/>
      <c r="K290" s="17"/>
      <c r="L290" s="16"/>
      <c r="M290" s="4"/>
      <c r="N290" s="4"/>
      <c r="O290" s="4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29"/>
      <c r="AE290" s="18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</row>
    <row r="291" spans="1:42" ht="67.5" hidden="1" customHeight="1" x14ac:dyDescent="0.2">
      <c r="A291" s="4"/>
      <c r="B291" s="4"/>
      <c r="C291" s="4"/>
      <c r="D291" s="4"/>
      <c r="E291" s="4"/>
      <c r="F291" s="4"/>
      <c r="G291" s="16"/>
      <c r="H291" s="16"/>
      <c r="I291" s="16"/>
      <c r="J291" s="16"/>
      <c r="K291" s="17"/>
      <c r="L291" s="16"/>
      <c r="M291" s="4"/>
      <c r="N291" s="4"/>
      <c r="O291" s="4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29"/>
      <c r="AE291" s="18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</row>
    <row r="292" spans="1:42" ht="67.5" hidden="1" customHeight="1" x14ac:dyDescent="0.2">
      <c r="A292" s="4"/>
      <c r="B292" s="4"/>
      <c r="C292" s="4"/>
      <c r="D292" s="4"/>
      <c r="E292" s="4"/>
      <c r="F292" s="4"/>
      <c r="G292" s="16"/>
      <c r="H292" s="16"/>
      <c r="I292" s="16"/>
      <c r="J292" s="16"/>
      <c r="K292" s="17"/>
      <c r="L292" s="16"/>
      <c r="M292" s="4"/>
      <c r="N292" s="4"/>
      <c r="O292" s="4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29"/>
      <c r="AE292" s="18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</row>
    <row r="293" spans="1:42" ht="67.5" hidden="1" customHeight="1" x14ac:dyDescent="0.2">
      <c r="A293" s="4"/>
      <c r="B293" s="4"/>
      <c r="C293" s="4"/>
      <c r="D293" s="4"/>
      <c r="E293" s="4"/>
      <c r="F293" s="4"/>
      <c r="G293" s="16"/>
      <c r="H293" s="16"/>
      <c r="I293" s="16"/>
      <c r="J293" s="16"/>
      <c r="K293" s="17"/>
      <c r="L293" s="16"/>
      <c r="M293" s="4"/>
      <c r="N293" s="4"/>
      <c r="O293" s="4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29"/>
      <c r="AE293" s="18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</row>
    <row r="294" spans="1:42" ht="67.5" hidden="1" customHeight="1" x14ac:dyDescent="0.2">
      <c r="A294" s="4"/>
      <c r="B294" s="4"/>
      <c r="C294" s="4"/>
      <c r="D294" s="4"/>
      <c r="E294" s="4"/>
      <c r="F294" s="4"/>
      <c r="G294" s="16"/>
      <c r="H294" s="16"/>
      <c r="I294" s="16"/>
      <c r="J294" s="16"/>
      <c r="K294" s="17"/>
      <c r="L294" s="16"/>
      <c r="M294" s="4"/>
      <c r="N294" s="4"/>
      <c r="O294" s="4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29"/>
      <c r="AE294" s="18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</row>
    <row r="295" spans="1:42" ht="67.5" hidden="1" customHeight="1" x14ac:dyDescent="0.2">
      <c r="A295" s="4"/>
      <c r="B295" s="4"/>
      <c r="C295" s="4"/>
      <c r="D295" s="4"/>
      <c r="E295" s="4"/>
      <c r="F295" s="4"/>
      <c r="G295" s="16"/>
      <c r="H295" s="16"/>
      <c r="I295" s="16"/>
      <c r="J295" s="16"/>
      <c r="K295" s="17"/>
      <c r="L295" s="16"/>
      <c r="M295" s="4"/>
      <c r="N295" s="4"/>
      <c r="O295" s="4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29"/>
      <c r="AE295" s="18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</row>
    <row r="296" spans="1:42" ht="67.5" hidden="1" customHeight="1" x14ac:dyDescent="0.2">
      <c r="A296" s="4"/>
      <c r="B296" s="4"/>
      <c r="C296" s="4"/>
      <c r="D296" s="4"/>
      <c r="E296" s="4"/>
      <c r="F296" s="4"/>
      <c r="G296" s="16"/>
      <c r="H296" s="16"/>
      <c r="I296" s="16"/>
      <c r="J296" s="16"/>
      <c r="K296" s="17"/>
      <c r="L296" s="16"/>
      <c r="M296" s="4"/>
      <c r="N296" s="4"/>
      <c r="O296" s="4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29"/>
      <c r="AE296" s="18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</row>
    <row r="297" spans="1:42" ht="67.5" hidden="1" customHeight="1" x14ac:dyDescent="0.2">
      <c r="A297" s="4"/>
      <c r="B297" s="4"/>
      <c r="C297" s="4"/>
      <c r="D297" s="4"/>
      <c r="E297" s="4"/>
      <c r="F297" s="4"/>
      <c r="G297" s="16"/>
      <c r="H297" s="16"/>
      <c r="I297" s="16"/>
      <c r="J297" s="16"/>
      <c r="K297" s="17"/>
      <c r="L297" s="16"/>
      <c r="M297" s="4"/>
      <c r="N297" s="4"/>
      <c r="O297" s="4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29"/>
      <c r="AE297" s="18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</row>
    <row r="298" spans="1:42" ht="67.5" hidden="1" customHeight="1" x14ac:dyDescent="0.2">
      <c r="A298" s="4"/>
      <c r="B298" s="4"/>
      <c r="C298" s="4"/>
      <c r="D298" s="4"/>
      <c r="E298" s="4"/>
      <c r="F298" s="4"/>
      <c r="G298" s="16"/>
      <c r="H298" s="16"/>
      <c r="I298" s="16"/>
      <c r="J298" s="16"/>
      <c r="K298" s="17"/>
      <c r="L298" s="16"/>
      <c r="M298" s="4"/>
      <c r="N298" s="4"/>
      <c r="O298" s="4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29"/>
      <c r="AE298" s="18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</row>
    <row r="299" spans="1:42" ht="67.5" hidden="1" customHeight="1" x14ac:dyDescent="0.2">
      <c r="A299" s="4"/>
      <c r="B299" s="4"/>
      <c r="C299" s="4"/>
      <c r="D299" s="4"/>
      <c r="E299" s="4"/>
      <c r="F299" s="4"/>
      <c r="G299" s="16"/>
      <c r="H299" s="16"/>
      <c r="I299" s="16"/>
      <c r="J299" s="16"/>
      <c r="K299" s="17"/>
      <c r="L299" s="16"/>
      <c r="M299" s="4"/>
      <c r="N299" s="4"/>
      <c r="O299" s="4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29"/>
      <c r="AE299" s="18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</row>
    <row r="300" spans="1:42" ht="67.5" hidden="1" customHeight="1" x14ac:dyDescent="0.2">
      <c r="A300" s="4"/>
      <c r="B300" s="4"/>
      <c r="C300" s="4"/>
      <c r="D300" s="4"/>
      <c r="E300" s="4"/>
      <c r="F300" s="4"/>
      <c r="G300" s="16"/>
      <c r="H300" s="16"/>
      <c r="I300" s="16"/>
      <c r="J300" s="16"/>
      <c r="K300" s="17"/>
      <c r="L300" s="16"/>
      <c r="M300" s="4"/>
      <c r="N300" s="4"/>
      <c r="O300" s="4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29"/>
      <c r="AE300" s="18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</row>
    <row r="301" spans="1:42" ht="67.5" hidden="1" customHeight="1" x14ac:dyDescent="0.2">
      <c r="A301" s="4"/>
      <c r="B301" s="4"/>
      <c r="C301" s="4"/>
      <c r="D301" s="4"/>
      <c r="E301" s="4"/>
      <c r="F301" s="4"/>
      <c r="G301" s="16"/>
      <c r="H301" s="16"/>
      <c r="I301" s="16"/>
      <c r="J301" s="16"/>
      <c r="K301" s="17"/>
      <c r="L301" s="16"/>
      <c r="M301" s="4"/>
      <c r="N301" s="4"/>
      <c r="O301" s="4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29"/>
      <c r="AE301" s="18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</row>
    <row r="302" spans="1:42" ht="67.5" hidden="1" customHeight="1" x14ac:dyDescent="0.2">
      <c r="A302" s="4"/>
      <c r="B302" s="4"/>
      <c r="C302" s="4"/>
      <c r="D302" s="4"/>
      <c r="E302" s="4"/>
      <c r="F302" s="4"/>
      <c r="G302" s="16"/>
      <c r="H302" s="16"/>
      <c r="I302" s="16"/>
      <c r="J302" s="16"/>
      <c r="K302" s="17"/>
      <c r="L302" s="16"/>
      <c r="M302" s="4"/>
      <c r="N302" s="4"/>
      <c r="O302" s="4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29"/>
      <c r="AE302" s="18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</row>
    <row r="303" spans="1:42" ht="67.5" hidden="1" customHeight="1" x14ac:dyDescent="0.2">
      <c r="A303" s="4"/>
      <c r="B303" s="4"/>
      <c r="C303" s="4"/>
      <c r="D303" s="4"/>
      <c r="E303" s="4"/>
      <c r="F303" s="4"/>
      <c r="G303" s="16"/>
      <c r="H303" s="16"/>
      <c r="I303" s="16"/>
      <c r="J303" s="16"/>
      <c r="K303" s="17"/>
      <c r="L303" s="16"/>
      <c r="M303" s="4"/>
      <c r="N303" s="4"/>
      <c r="O303" s="4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29"/>
      <c r="AE303" s="18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</row>
    <row r="304" spans="1:42" ht="67.5" hidden="1" customHeight="1" x14ac:dyDescent="0.2">
      <c r="A304" s="4"/>
      <c r="B304" s="4"/>
      <c r="C304" s="4"/>
      <c r="D304" s="4"/>
      <c r="E304" s="4"/>
      <c r="F304" s="4"/>
      <c r="G304" s="16"/>
      <c r="H304" s="16"/>
      <c r="I304" s="16"/>
      <c r="J304" s="16"/>
      <c r="K304" s="17"/>
      <c r="L304" s="16"/>
      <c r="M304" s="4"/>
      <c r="N304" s="4"/>
      <c r="O304" s="4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29"/>
      <c r="AE304" s="18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</row>
    <row r="305" spans="1:42" ht="67.5" hidden="1" customHeight="1" x14ac:dyDescent="0.2">
      <c r="A305" s="4"/>
      <c r="B305" s="4"/>
      <c r="C305" s="4"/>
      <c r="D305" s="4"/>
      <c r="E305" s="4"/>
      <c r="F305" s="4"/>
      <c r="G305" s="16"/>
      <c r="H305" s="16"/>
      <c r="I305" s="16"/>
      <c r="J305" s="16"/>
      <c r="K305" s="17"/>
      <c r="L305" s="16"/>
      <c r="M305" s="4"/>
      <c r="N305" s="4"/>
      <c r="O305" s="4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29"/>
      <c r="AE305" s="18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</row>
    <row r="306" spans="1:42" ht="67.5" hidden="1" customHeight="1" x14ac:dyDescent="0.2">
      <c r="A306" s="4"/>
      <c r="B306" s="4"/>
      <c r="C306" s="4"/>
      <c r="D306" s="4"/>
      <c r="E306" s="4"/>
      <c r="F306" s="4"/>
      <c r="G306" s="16"/>
      <c r="H306" s="16"/>
      <c r="I306" s="16"/>
      <c r="J306" s="16"/>
      <c r="K306" s="17"/>
      <c r="L306" s="16"/>
      <c r="M306" s="4"/>
      <c r="N306" s="4"/>
      <c r="O306" s="4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29"/>
      <c r="AE306" s="18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</row>
    <row r="307" spans="1:42" ht="67.5" hidden="1" customHeight="1" x14ac:dyDescent="0.2">
      <c r="A307" s="4"/>
      <c r="B307" s="4"/>
      <c r="C307" s="4"/>
      <c r="D307" s="4"/>
      <c r="E307" s="4"/>
      <c r="F307" s="4"/>
      <c r="G307" s="16"/>
      <c r="H307" s="16"/>
      <c r="I307" s="16"/>
      <c r="J307" s="16"/>
      <c r="K307" s="17"/>
      <c r="L307" s="16"/>
      <c r="M307" s="4"/>
      <c r="N307" s="4"/>
      <c r="O307" s="4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29"/>
      <c r="AE307" s="18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</row>
    <row r="308" spans="1:42" ht="67.5" hidden="1" customHeight="1" x14ac:dyDescent="0.2">
      <c r="A308" s="4"/>
      <c r="B308" s="4"/>
      <c r="C308" s="4"/>
      <c r="D308" s="4"/>
      <c r="E308" s="4"/>
      <c r="F308" s="4"/>
      <c r="G308" s="16"/>
      <c r="H308" s="16"/>
      <c r="I308" s="16"/>
      <c r="J308" s="16"/>
      <c r="K308" s="17"/>
      <c r="L308" s="16"/>
      <c r="M308" s="4"/>
      <c r="N308" s="4"/>
      <c r="O308" s="4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29"/>
      <c r="AE308" s="18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</row>
    <row r="309" spans="1:42" ht="67.5" hidden="1" customHeight="1" x14ac:dyDescent="0.2">
      <c r="A309" s="4"/>
      <c r="B309" s="4"/>
      <c r="C309" s="4"/>
      <c r="D309" s="4"/>
      <c r="E309" s="4"/>
      <c r="F309" s="4"/>
      <c r="G309" s="16"/>
      <c r="H309" s="16"/>
      <c r="I309" s="16"/>
      <c r="J309" s="16"/>
      <c r="K309" s="17"/>
      <c r="L309" s="16"/>
      <c r="M309" s="4"/>
      <c r="N309" s="4"/>
      <c r="O309" s="4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29"/>
      <c r="AE309" s="18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</row>
    <row r="310" spans="1:42" ht="67.5" hidden="1" customHeight="1" x14ac:dyDescent="0.2">
      <c r="A310" s="4"/>
      <c r="B310" s="4"/>
      <c r="C310" s="4"/>
      <c r="D310" s="4"/>
      <c r="E310" s="4"/>
      <c r="F310" s="4"/>
      <c r="G310" s="16"/>
      <c r="H310" s="16"/>
      <c r="I310" s="16"/>
      <c r="J310" s="16"/>
      <c r="K310" s="17"/>
      <c r="L310" s="16"/>
      <c r="M310" s="4"/>
      <c r="N310" s="4"/>
      <c r="O310" s="4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29"/>
      <c r="AE310" s="18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</row>
    <row r="311" spans="1:42" ht="67.5" hidden="1" customHeight="1" x14ac:dyDescent="0.2">
      <c r="A311" s="4"/>
      <c r="B311" s="4"/>
      <c r="C311" s="4"/>
      <c r="D311" s="4"/>
      <c r="E311" s="4"/>
      <c r="F311" s="4"/>
      <c r="G311" s="16"/>
      <c r="H311" s="16"/>
      <c r="I311" s="16"/>
      <c r="J311" s="16"/>
      <c r="K311" s="17"/>
      <c r="L311" s="16"/>
      <c r="M311" s="4"/>
      <c r="N311" s="4"/>
      <c r="O311" s="4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29"/>
      <c r="AE311" s="18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</row>
    <row r="312" spans="1:42" ht="67.5" hidden="1" customHeight="1" x14ac:dyDescent="0.2">
      <c r="A312" s="4"/>
      <c r="B312" s="4"/>
      <c r="C312" s="4"/>
      <c r="D312" s="4"/>
      <c r="E312" s="4"/>
      <c r="F312" s="4"/>
      <c r="G312" s="16"/>
      <c r="H312" s="16"/>
      <c r="I312" s="16"/>
      <c r="J312" s="16"/>
      <c r="K312" s="17"/>
      <c r="L312" s="16"/>
      <c r="M312" s="4"/>
      <c r="N312" s="4"/>
      <c r="O312" s="4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29"/>
      <c r="AE312" s="18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</row>
    <row r="313" spans="1:42" ht="67.5" hidden="1" customHeight="1" x14ac:dyDescent="0.2">
      <c r="A313" s="4"/>
      <c r="B313" s="4"/>
      <c r="C313" s="4"/>
      <c r="D313" s="4"/>
      <c r="E313" s="4"/>
      <c r="F313" s="4"/>
      <c r="G313" s="16"/>
      <c r="H313" s="16"/>
      <c r="I313" s="16"/>
      <c r="J313" s="16"/>
      <c r="K313" s="17"/>
      <c r="L313" s="16"/>
      <c r="M313" s="4"/>
      <c r="N313" s="4"/>
      <c r="O313" s="4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29"/>
      <c r="AE313" s="18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</row>
    <row r="314" spans="1:42" ht="67.5" hidden="1" customHeight="1" x14ac:dyDescent="0.2">
      <c r="A314" s="4"/>
      <c r="B314" s="4"/>
      <c r="C314" s="4"/>
      <c r="D314" s="4"/>
      <c r="E314" s="4"/>
      <c r="F314" s="4"/>
      <c r="G314" s="16"/>
      <c r="H314" s="16"/>
      <c r="I314" s="16"/>
      <c r="J314" s="16"/>
      <c r="K314" s="17"/>
      <c r="L314" s="16"/>
      <c r="M314" s="4"/>
      <c r="N314" s="4"/>
      <c r="O314" s="4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29"/>
      <c r="AE314" s="18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</row>
    <row r="315" spans="1:42" ht="67.5" hidden="1" customHeight="1" x14ac:dyDescent="0.2">
      <c r="A315" s="4"/>
      <c r="B315" s="4"/>
      <c r="C315" s="4"/>
      <c r="D315" s="4"/>
      <c r="E315" s="4"/>
      <c r="F315" s="4"/>
      <c r="G315" s="16"/>
      <c r="H315" s="16"/>
      <c r="I315" s="16"/>
      <c r="J315" s="16"/>
      <c r="K315" s="17"/>
      <c r="L315" s="16"/>
      <c r="M315" s="4"/>
      <c r="N315" s="4"/>
      <c r="O315" s="4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29"/>
      <c r="AE315" s="18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</row>
    <row r="316" spans="1:42" ht="67.5" hidden="1" customHeight="1" x14ac:dyDescent="0.2">
      <c r="A316" s="4"/>
      <c r="B316" s="4"/>
      <c r="C316" s="4"/>
      <c r="D316" s="4"/>
      <c r="E316" s="4"/>
      <c r="F316" s="4"/>
      <c r="G316" s="16"/>
      <c r="H316" s="16"/>
      <c r="I316" s="16"/>
      <c r="J316" s="16"/>
      <c r="K316" s="17"/>
      <c r="L316" s="16"/>
      <c r="M316" s="4"/>
      <c r="N316" s="4"/>
      <c r="O316" s="4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29"/>
      <c r="AE316" s="18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</row>
    <row r="317" spans="1:42" ht="67.5" hidden="1" customHeight="1" x14ac:dyDescent="0.2">
      <c r="A317" s="4"/>
      <c r="B317" s="4"/>
      <c r="C317" s="4"/>
      <c r="D317" s="4"/>
      <c r="E317" s="4"/>
      <c r="F317" s="4"/>
      <c r="G317" s="16"/>
      <c r="H317" s="16"/>
      <c r="I317" s="16"/>
      <c r="J317" s="16"/>
      <c r="K317" s="17"/>
      <c r="L317" s="16"/>
      <c r="M317" s="4"/>
      <c r="N317" s="4"/>
      <c r="O317" s="4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29"/>
      <c r="AE317" s="18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</row>
    <row r="318" spans="1:42" ht="67.5" hidden="1" customHeight="1" x14ac:dyDescent="0.2">
      <c r="A318" s="4"/>
      <c r="B318" s="4"/>
      <c r="C318" s="4"/>
      <c r="D318" s="4"/>
      <c r="E318" s="4"/>
      <c r="F318" s="4"/>
      <c r="G318" s="16"/>
      <c r="H318" s="16"/>
      <c r="I318" s="16"/>
      <c r="J318" s="16"/>
      <c r="K318" s="17"/>
      <c r="L318" s="16"/>
      <c r="M318" s="4"/>
      <c r="N318" s="4"/>
      <c r="O318" s="4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29"/>
      <c r="AE318" s="18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</row>
    <row r="319" spans="1:42" ht="67.5" hidden="1" customHeight="1" x14ac:dyDescent="0.2">
      <c r="A319" s="4"/>
      <c r="B319" s="4"/>
      <c r="C319" s="4"/>
      <c r="D319" s="4"/>
      <c r="E319" s="4"/>
      <c r="F319" s="4"/>
      <c r="G319" s="16"/>
      <c r="H319" s="16"/>
      <c r="I319" s="16"/>
      <c r="J319" s="16"/>
      <c r="K319" s="17"/>
      <c r="L319" s="16"/>
      <c r="M319" s="4"/>
      <c r="N319" s="4"/>
      <c r="O319" s="4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29"/>
      <c r="AE319" s="18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</row>
    <row r="320" spans="1:42" ht="67.5" hidden="1" customHeight="1" x14ac:dyDescent="0.2">
      <c r="A320" s="4"/>
      <c r="B320" s="4"/>
      <c r="C320" s="4"/>
      <c r="D320" s="4"/>
      <c r="E320" s="4"/>
      <c r="F320" s="4"/>
      <c r="G320" s="16"/>
      <c r="H320" s="16"/>
      <c r="I320" s="16"/>
      <c r="J320" s="16"/>
      <c r="K320" s="17"/>
      <c r="L320" s="16"/>
      <c r="M320" s="4"/>
      <c r="N320" s="4"/>
      <c r="O320" s="4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29"/>
      <c r="AE320" s="18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</row>
    <row r="321" spans="1:42" ht="67.5" hidden="1" customHeight="1" x14ac:dyDescent="0.2">
      <c r="A321" s="4"/>
      <c r="B321" s="4"/>
      <c r="C321" s="4"/>
      <c r="D321" s="4"/>
      <c r="E321" s="4"/>
      <c r="F321" s="4"/>
      <c r="G321" s="16"/>
      <c r="H321" s="16"/>
      <c r="I321" s="16"/>
      <c r="J321" s="16"/>
      <c r="K321" s="17"/>
      <c r="L321" s="16"/>
      <c r="M321" s="4"/>
      <c r="N321" s="4"/>
      <c r="O321" s="4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29"/>
      <c r="AE321" s="18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</row>
    <row r="322" spans="1:42" ht="67.5" hidden="1" customHeight="1" x14ac:dyDescent="0.2">
      <c r="A322" s="4"/>
      <c r="B322" s="4"/>
      <c r="C322" s="4"/>
      <c r="D322" s="4"/>
      <c r="E322" s="4"/>
      <c r="F322" s="4"/>
      <c r="G322" s="16"/>
      <c r="H322" s="16"/>
      <c r="I322" s="16"/>
      <c r="J322" s="16"/>
      <c r="K322" s="17"/>
      <c r="L322" s="16"/>
      <c r="M322" s="4"/>
      <c r="N322" s="4"/>
      <c r="O322" s="4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29"/>
      <c r="AE322" s="18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</row>
    <row r="323" spans="1:42" ht="67.5" hidden="1" customHeight="1" x14ac:dyDescent="0.2">
      <c r="A323" s="4"/>
      <c r="B323" s="4"/>
      <c r="C323" s="4"/>
      <c r="D323" s="4"/>
      <c r="E323" s="4"/>
      <c r="F323" s="4"/>
      <c r="G323" s="16"/>
      <c r="H323" s="16"/>
      <c r="I323" s="16"/>
      <c r="J323" s="16"/>
      <c r="K323" s="17"/>
      <c r="L323" s="16"/>
      <c r="M323" s="4"/>
      <c r="N323" s="4"/>
      <c r="O323" s="4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29"/>
      <c r="AE323" s="18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</row>
    <row r="324" spans="1:42" ht="67.5" hidden="1" customHeight="1" x14ac:dyDescent="0.2">
      <c r="A324" s="4"/>
      <c r="B324" s="4"/>
      <c r="C324" s="4"/>
      <c r="D324" s="4"/>
      <c r="E324" s="4"/>
      <c r="F324" s="4"/>
      <c r="G324" s="16"/>
      <c r="H324" s="16"/>
      <c r="I324" s="16"/>
      <c r="J324" s="16"/>
      <c r="K324" s="17"/>
      <c r="L324" s="16"/>
      <c r="M324" s="4"/>
      <c r="N324" s="4"/>
      <c r="O324" s="4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29"/>
      <c r="AE324" s="18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</row>
    <row r="325" spans="1:42" ht="67.5" hidden="1" customHeight="1" x14ac:dyDescent="0.2">
      <c r="A325" s="4"/>
      <c r="B325" s="4"/>
      <c r="C325" s="4"/>
      <c r="D325" s="4"/>
      <c r="E325" s="4"/>
      <c r="F325" s="4"/>
      <c r="G325" s="16"/>
      <c r="H325" s="16"/>
      <c r="I325" s="16"/>
      <c r="J325" s="16"/>
      <c r="K325" s="17"/>
      <c r="L325" s="16"/>
      <c r="M325" s="4"/>
      <c r="N325" s="4"/>
      <c r="O325" s="4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29"/>
      <c r="AE325" s="18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</row>
    <row r="326" spans="1:42" ht="67.5" hidden="1" customHeight="1" x14ac:dyDescent="0.2">
      <c r="A326" s="4"/>
      <c r="B326" s="4"/>
      <c r="C326" s="4"/>
      <c r="D326" s="4"/>
      <c r="E326" s="4"/>
      <c r="F326" s="4"/>
      <c r="G326" s="16"/>
      <c r="H326" s="16"/>
      <c r="I326" s="16"/>
      <c r="J326" s="16"/>
      <c r="K326" s="17"/>
      <c r="L326" s="16"/>
      <c r="M326" s="4"/>
      <c r="N326" s="4"/>
      <c r="O326" s="4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29"/>
      <c r="AE326" s="18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</row>
    <row r="327" spans="1:42" ht="67.5" hidden="1" customHeight="1" x14ac:dyDescent="0.2">
      <c r="A327" s="4"/>
      <c r="B327" s="4"/>
      <c r="C327" s="4"/>
      <c r="D327" s="4"/>
      <c r="E327" s="4"/>
      <c r="F327" s="4"/>
      <c r="G327" s="16"/>
      <c r="H327" s="16"/>
      <c r="I327" s="16"/>
      <c r="J327" s="16"/>
      <c r="K327" s="17"/>
      <c r="L327" s="16"/>
      <c r="M327" s="4"/>
      <c r="N327" s="4"/>
      <c r="O327" s="4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29"/>
      <c r="AE327" s="18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</row>
    <row r="328" spans="1:42" ht="67.5" hidden="1" customHeight="1" x14ac:dyDescent="0.2">
      <c r="A328" s="4"/>
      <c r="B328" s="4"/>
      <c r="C328" s="4"/>
      <c r="D328" s="4"/>
      <c r="E328" s="4"/>
      <c r="F328" s="4"/>
      <c r="G328" s="16"/>
      <c r="H328" s="16"/>
      <c r="I328" s="16"/>
      <c r="J328" s="16"/>
      <c r="K328" s="17"/>
      <c r="L328" s="16"/>
      <c r="M328" s="4"/>
      <c r="N328" s="4"/>
      <c r="O328" s="4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29"/>
      <c r="AE328" s="18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</row>
    <row r="329" spans="1:42" ht="67.5" hidden="1" customHeight="1" x14ac:dyDescent="0.2">
      <c r="A329" s="4"/>
      <c r="B329" s="4"/>
      <c r="C329" s="4"/>
      <c r="D329" s="4"/>
      <c r="E329" s="4"/>
      <c r="F329" s="4"/>
      <c r="G329" s="16"/>
      <c r="H329" s="16"/>
      <c r="I329" s="16"/>
      <c r="J329" s="16"/>
      <c r="K329" s="17"/>
      <c r="L329" s="16"/>
      <c r="M329" s="4"/>
      <c r="N329" s="4"/>
      <c r="O329" s="4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29"/>
      <c r="AE329" s="18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</row>
    <row r="330" spans="1:42" ht="67.5" hidden="1" customHeight="1" x14ac:dyDescent="0.2">
      <c r="A330" s="4"/>
      <c r="B330" s="4"/>
      <c r="C330" s="4"/>
      <c r="D330" s="4"/>
      <c r="E330" s="4"/>
      <c r="F330" s="4"/>
      <c r="G330" s="16"/>
      <c r="H330" s="16"/>
      <c r="I330" s="16"/>
      <c r="J330" s="16"/>
      <c r="K330" s="17"/>
      <c r="L330" s="16"/>
      <c r="M330" s="4"/>
      <c r="N330" s="4"/>
      <c r="O330" s="4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29"/>
      <c r="AE330" s="18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</row>
    <row r="331" spans="1:42" ht="67.5" hidden="1" customHeight="1" x14ac:dyDescent="0.2">
      <c r="A331" s="4"/>
      <c r="B331" s="4"/>
      <c r="C331" s="4"/>
      <c r="D331" s="4"/>
      <c r="E331" s="4"/>
      <c r="F331" s="4"/>
      <c r="G331" s="16"/>
      <c r="H331" s="16"/>
      <c r="I331" s="16"/>
      <c r="J331" s="16"/>
      <c r="K331" s="17"/>
      <c r="L331" s="16"/>
      <c r="M331" s="4"/>
      <c r="N331" s="4"/>
      <c r="O331" s="4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29"/>
      <c r="AE331" s="18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</row>
    <row r="332" spans="1:42" ht="67.5" hidden="1" customHeight="1" x14ac:dyDescent="0.2">
      <c r="A332" s="4"/>
      <c r="B332" s="4"/>
      <c r="C332" s="4"/>
      <c r="D332" s="4"/>
      <c r="E332" s="4"/>
      <c r="F332" s="4"/>
      <c r="G332" s="16"/>
      <c r="H332" s="16"/>
      <c r="I332" s="16"/>
      <c r="J332" s="16"/>
      <c r="K332" s="17"/>
      <c r="L332" s="16"/>
      <c r="M332" s="4"/>
      <c r="N332" s="4"/>
      <c r="O332" s="4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29"/>
      <c r="AE332" s="18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</row>
    <row r="333" spans="1:42" ht="67.5" hidden="1" customHeight="1" x14ac:dyDescent="0.2">
      <c r="A333" s="4"/>
      <c r="B333" s="4"/>
      <c r="C333" s="4"/>
      <c r="D333" s="4"/>
      <c r="E333" s="4"/>
      <c r="F333" s="4"/>
      <c r="G333" s="16"/>
      <c r="H333" s="16"/>
      <c r="I333" s="16"/>
      <c r="J333" s="16"/>
      <c r="K333" s="17"/>
      <c r="L333" s="16"/>
      <c r="M333" s="4"/>
      <c r="N333" s="4"/>
      <c r="O333" s="4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29"/>
      <c r="AE333" s="18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</row>
    <row r="334" spans="1:42" ht="67.5" hidden="1" customHeight="1" x14ac:dyDescent="0.2">
      <c r="A334" s="4"/>
      <c r="B334" s="4"/>
      <c r="C334" s="4"/>
      <c r="D334" s="4"/>
      <c r="E334" s="4"/>
      <c r="F334" s="4"/>
      <c r="G334" s="16"/>
      <c r="H334" s="16"/>
      <c r="I334" s="16"/>
      <c r="J334" s="16"/>
      <c r="K334" s="17"/>
      <c r="L334" s="16"/>
      <c r="M334" s="4"/>
      <c r="N334" s="4"/>
      <c r="O334" s="4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29"/>
      <c r="AE334" s="18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</row>
    <row r="335" spans="1:42" ht="67.5" hidden="1" customHeight="1" x14ac:dyDescent="0.2">
      <c r="A335" s="4"/>
      <c r="B335" s="4"/>
      <c r="C335" s="4"/>
      <c r="D335" s="4"/>
      <c r="E335" s="4"/>
      <c r="F335" s="4"/>
      <c r="G335" s="16"/>
      <c r="H335" s="16"/>
      <c r="I335" s="16"/>
      <c r="J335" s="16"/>
      <c r="K335" s="17"/>
      <c r="L335" s="16"/>
      <c r="M335" s="4"/>
      <c r="N335" s="4"/>
      <c r="O335" s="4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29"/>
      <c r="AE335" s="18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</row>
    <row r="336" spans="1:42" ht="67.5" hidden="1" customHeight="1" x14ac:dyDescent="0.2">
      <c r="A336" s="4"/>
      <c r="B336" s="4"/>
      <c r="C336" s="4"/>
      <c r="D336" s="4"/>
      <c r="E336" s="4"/>
      <c r="F336" s="4"/>
      <c r="G336" s="16"/>
      <c r="H336" s="16"/>
      <c r="I336" s="16"/>
      <c r="J336" s="16"/>
      <c r="K336" s="17"/>
      <c r="L336" s="16"/>
      <c r="M336" s="4"/>
      <c r="N336" s="4"/>
      <c r="O336" s="4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29"/>
      <c r="AE336" s="18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</row>
    <row r="337" spans="1:42" ht="67.5" hidden="1" customHeight="1" x14ac:dyDescent="0.2">
      <c r="A337" s="4"/>
      <c r="B337" s="4"/>
      <c r="C337" s="4"/>
      <c r="D337" s="4"/>
      <c r="E337" s="4"/>
      <c r="F337" s="4"/>
      <c r="G337" s="16"/>
      <c r="H337" s="16"/>
      <c r="I337" s="16"/>
      <c r="J337" s="16"/>
      <c r="K337" s="17"/>
      <c r="L337" s="16"/>
      <c r="M337" s="4"/>
      <c r="N337" s="4"/>
      <c r="O337" s="4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29"/>
      <c r="AE337" s="18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</row>
    <row r="338" spans="1:42" ht="67.5" hidden="1" customHeight="1" x14ac:dyDescent="0.2">
      <c r="A338" s="4"/>
      <c r="B338" s="4"/>
      <c r="C338" s="4"/>
      <c r="D338" s="4"/>
      <c r="E338" s="4"/>
      <c r="F338" s="4"/>
      <c r="G338" s="16"/>
      <c r="H338" s="16"/>
      <c r="I338" s="16"/>
      <c r="J338" s="16"/>
      <c r="K338" s="17"/>
      <c r="L338" s="16"/>
      <c r="M338" s="4"/>
      <c r="N338" s="4"/>
      <c r="O338" s="4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29"/>
      <c r="AE338" s="18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</row>
    <row r="339" spans="1:42" ht="67.5" hidden="1" customHeight="1" x14ac:dyDescent="0.2">
      <c r="A339" s="4"/>
      <c r="B339" s="4"/>
      <c r="C339" s="4"/>
      <c r="D339" s="4"/>
      <c r="E339" s="4"/>
      <c r="F339" s="4"/>
      <c r="G339" s="16"/>
      <c r="H339" s="16"/>
      <c r="I339" s="16"/>
      <c r="J339" s="16"/>
      <c r="K339" s="17"/>
      <c r="L339" s="16"/>
      <c r="M339" s="4"/>
      <c r="N339" s="4"/>
      <c r="O339" s="4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29"/>
      <c r="AE339" s="18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</row>
    <row r="340" spans="1:42" ht="67.5" hidden="1" customHeight="1" x14ac:dyDescent="0.2">
      <c r="A340" s="4"/>
      <c r="B340" s="4"/>
      <c r="C340" s="4"/>
      <c r="D340" s="4"/>
      <c r="E340" s="4"/>
      <c r="F340" s="4"/>
      <c r="G340" s="16"/>
      <c r="H340" s="16"/>
      <c r="I340" s="16"/>
      <c r="J340" s="16"/>
      <c r="K340" s="17"/>
      <c r="L340" s="16"/>
      <c r="M340" s="4"/>
      <c r="N340" s="4"/>
      <c r="O340" s="4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29"/>
      <c r="AE340" s="18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</row>
    <row r="341" spans="1:42" ht="67.5" hidden="1" customHeight="1" x14ac:dyDescent="0.2">
      <c r="A341" s="4"/>
      <c r="B341" s="4"/>
      <c r="C341" s="4"/>
      <c r="D341" s="4"/>
      <c r="E341" s="4"/>
      <c r="F341" s="4"/>
      <c r="G341" s="16"/>
      <c r="H341" s="16"/>
      <c r="I341" s="16"/>
      <c r="J341" s="16"/>
      <c r="K341" s="17"/>
      <c r="L341" s="16"/>
      <c r="M341" s="4"/>
      <c r="N341" s="4"/>
      <c r="O341" s="4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29"/>
      <c r="AE341" s="18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</row>
    <row r="342" spans="1:42" ht="67.5" hidden="1" customHeight="1" x14ac:dyDescent="0.2">
      <c r="A342" s="4"/>
      <c r="B342" s="4"/>
      <c r="C342" s="4"/>
      <c r="D342" s="4"/>
      <c r="E342" s="4"/>
      <c r="F342" s="4"/>
      <c r="G342" s="16"/>
      <c r="H342" s="16"/>
      <c r="I342" s="16"/>
      <c r="J342" s="16"/>
      <c r="K342" s="17"/>
      <c r="L342" s="16"/>
      <c r="M342" s="4"/>
      <c r="N342" s="4"/>
      <c r="O342" s="4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29"/>
      <c r="AE342" s="18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</row>
    <row r="343" spans="1:42" ht="67.5" hidden="1" customHeight="1" x14ac:dyDescent="0.2">
      <c r="A343" s="4"/>
      <c r="B343" s="4"/>
      <c r="C343" s="4"/>
      <c r="D343" s="4"/>
      <c r="E343" s="4"/>
      <c r="F343" s="4"/>
      <c r="G343" s="16"/>
      <c r="H343" s="16"/>
      <c r="I343" s="16"/>
      <c r="J343" s="16"/>
      <c r="K343" s="17"/>
      <c r="L343" s="16"/>
      <c r="M343" s="4"/>
      <c r="N343" s="4"/>
      <c r="O343" s="4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29"/>
      <c r="AE343" s="18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</row>
    <row r="344" spans="1:42" ht="67.5" hidden="1" customHeight="1" x14ac:dyDescent="0.2">
      <c r="A344" s="4"/>
      <c r="B344" s="4"/>
      <c r="C344" s="4"/>
      <c r="D344" s="4"/>
      <c r="E344" s="4"/>
      <c r="F344" s="4"/>
      <c r="G344" s="16"/>
      <c r="H344" s="16"/>
      <c r="I344" s="16"/>
      <c r="J344" s="16"/>
      <c r="K344" s="17"/>
      <c r="L344" s="16"/>
      <c r="M344" s="4"/>
      <c r="N344" s="4"/>
      <c r="O344" s="4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29"/>
      <c r="AE344" s="18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</row>
    <row r="345" spans="1:42" ht="67.5" hidden="1" customHeight="1" x14ac:dyDescent="0.2">
      <c r="A345" s="4"/>
      <c r="B345" s="4"/>
      <c r="C345" s="4"/>
      <c r="D345" s="4"/>
      <c r="E345" s="4"/>
      <c r="F345" s="4"/>
      <c r="G345" s="16"/>
      <c r="H345" s="16"/>
      <c r="I345" s="16"/>
      <c r="J345" s="16"/>
      <c r="K345" s="17"/>
      <c r="L345" s="16"/>
      <c r="M345" s="4"/>
      <c r="N345" s="4"/>
      <c r="O345" s="4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29"/>
      <c r="AE345" s="18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</row>
    <row r="346" spans="1:42" ht="67.5" hidden="1" customHeight="1" x14ac:dyDescent="0.2">
      <c r="A346" s="4"/>
      <c r="B346" s="4"/>
      <c r="C346" s="4"/>
      <c r="D346" s="4"/>
      <c r="E346" s="4"/>
      <c r="F346" s="4"/>
      <c r="G346" s="16"/>
      <c r="H346" s="16"/>
      <c r="I346" s="16"/>
      <c r="J346" s="16"/>
      <c r="K346" s="17"/>
      <c r="L346" s="16"/>
      <c r="M346" s="4"/>
      <c r="N346" s="4"/>
      <c r="O346" s="4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29"/>
      <c r="AE346" s="18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</row>
    <row r="347" spans="1:42" ht="67.5" hidden="1" customHeight="1" x14ac:dyDescent="0.2">
      <c r="A347" s="4"/>
      <c r="B347" s="4"/>
      <c r="C347" s="4"/>
      <c r="D347" s="4"/>
      <c r="E347" s="4"/>
      <c r="F347" s="4"/>
      <c r="G347" s="16"/>
      <c r="H347" s="16"/>
      <c r="I347" s="16"/>
      <c r="J347" s="16"/>
      <c r="K347" s="17"/>
      <c r="L347" s="16"/>
      <c r="M347" s="4"/>
      <c r="N347" s="4"/>
      <c r="O347" s="4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29"/>
      <c r="AE347" s="18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</row>
    <row r="348" spans="1:42" ht="67.5" hidden="1" customHeight="1" x14ac:dyDescent="0.2">
      <c r="A348" s="4"/>
      <c r="B348" s="4"/>
      <c r="C348" s="4"/>
      <c r="D348" s="4"/>
      <c r="E348" s="4"/>
      <c r="F348" s="4"/>
      <c r="G348" s="16"/>
      <c r="H348" s="16"/>
      <c r="I348" s="16"/>
      <c r="J348" s="16"/>
      <c r="K348" s="17"/>
      <c r="L348" s="16"/>
      <c r="M348" s="4"/>
      <c r="N348" s="4"/>
      <c r="O348" s="4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29"/>
      <c r="AE348" s="18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</row>
    <row r="349" spans="1:42" ht="67.5" hidden="1" customHeight="1" x14ac:dyDescent="0.2">
      <c r="A349" s="4"/>
      <c r="B349" s="4"/>
      <c r="C349" s="4"/>
      <c r="D349" s="4"/>
      <c r="E349" s="4"/>
      <c r="F349" s="4"/>
      <c r="G349" s="16"/>
      <c r="H349" s="16"/>
      <c r="I349" s="16"/>
      <c r="J349" s="16"/>
      <c r="K349" s="17"/>
      <c r="L349" s="16"/>
      <c r="M349" s="4"/>
      <c r="N349" s="4"/>
      <c r="O349" s="4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29"/>
      <c r="AE349" s="18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</row>
    <row r="350" spans="1:42" ht="67.5" hidden="1" customHeight="1" x14ac:dyDescent="0.2">
      <c r="A350" s="4"/>
      <c r="B350" s="4"/>
      <c r="C350" s="4"/>
      <c r="D350" s="4"/>
      <c r="E350" s="4"/>
      <c r="F350" s="4"/>
      <c r="G350" s="16"/>
      <c r="H350" s="16"/>
      <c r="I350" s="16"/>
      <c r="J350" s="16"/>
      <c r="K350" s="17"/>
      <c r="L350" s="16"/>
      <c r="M350" s="4"/>
      <c r="N350" s="4"/>
      <c r="O350" s="4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29"/>
      <c r="AE350" s="18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</row>
    <row r="351" spans="1:42" ht="67.5" hidden="1" customHeight="1" x14ac:dyDescent="0.2">
      <c r="A351" s="4"/>
      <c r="B351" s="4"/>
      <c r="C351" s="4"/>
      <c r="D351" s="4"/>
      <c r="E351" s="4"/>
      <c r="F351" s="4"/>
      <c r="G351" s="16"/>
      <c r="H351" s="16"/>
      <c r="I351" s="16"/>
      <c r="J351" s="16"/>
      <c r="K351" s="17"/>
      <c r="L351" s="16"/>
      <c r="M351" s="4"/>
      <c r="N351" s="4"/>
      <c r="O351" s="4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29"/>
      <c r="AE351" s="18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</row>
    <row r="352" spans="1:42" ht="67.5" hidden="1" customHeight="1" x14ac:dyDescent="0.2">
      <c r="A352" s="4"/>
      <c r="B352" s="4"/>
      <c r="C352" s="4"/>
      <c r="D352" s="4"/>
      <c r="E352" s="4"/>
      <c r="F352" s="4"/>
      <c r="G352" s="16"/>
      <c r="H352" s="16"/>
      <c r="I352" s="16"/>
      <c r="J352" s="16"/>
      <c r="K352" s="17"/>
      <c r="L352" s="16"/>
      <c r="M352" s="4"/>
      <c r="N352" s="4"/>
      <c r="O352" s="4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29"/>
      <c r="AE352" s="18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</row>
    <row r="353" spans="1:42" ht="67.5" hidden="1" customHeight="1" x14ac:dyDescent="0.2">
      <c r="A353" s="4"/>
      <c r="B353" s="4"/>
      <c r="C353" s="4"/>
      <c r="D353" s="4"/>
      <c r="E353" s="4"/>
      <c r="F353" s="4"/>
      <c r="G353" s="16"/>
      <c r="H353" s="16"/>
      <c r="I353" s="16"/>
      <c r="J353" s="16"/>
      <c r="K353" s="17"/>
      <c r="L353" s="16"/>
      <c r="M353" s="4"/>
      <c r="N353" s="4"/>
      <c r="O353" s="4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29"/>
      <c r="AE353" s="18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</row>
    <row r="354" spans="1:42" ht="67.5" hidden="1" customHeight="1" x14ac:dyDescent="0.2">
      <c r="A354" s="4"/>
      <c r="B354" s="4"/>
      <c r="C354" s="4"/>
      <c r="D354" s="4"/>
      <c r="E354" s="4"/>
      <c r="F354" s="4"/>
      <c r="G354" s="16"/>
      <c r="H354" s="16"/>
      <c r="I354" s="16"/>
      <c r="J354" s="16"/>
      <c r="K354" s="17"/>
      <c r="L354" s="16"/>
      <c r="M354" s="4"/>
      <c r="N354" s="4"/>
      <c r="O354" s="4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29"/>
      <c r="AE354" s="18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</row>
    <row r="355" spans="1:42" ht="67.5" hidden="1" customHeight="1" x14ac:dyDescent="0.2">
      <c r="A355" s="4"/>
      <c r="B355" s="4"/>
      <c r="C355" s="4"/>
      <c r="D355" s="4"/>
      <c r="E355" s="4"/>
      <c r="F355" s="4"/>
      <c r="G355" s="16"/>
      <c r="H355" s="16"/>
      <c r="I355" s="16"/>
      <c r="J355" s="16"/>
      <c r="K355" s="17"/>
      <c r="L355" s="16"/>
      <c r="M355" s="4"/>
      <c r="N355" s="4"/>
      <c r="O355" s="4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29"/>
      <c r="AE355" s="18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</row>
    <row r="356" spans="1:42" ht="67.5" hidden="1" customHeight="1" x14ac:dyDescent="0.2">
      <c r="A356" s="4"/>
      <c r="B356" s="4"/>
      <c r="C356" s="4"/>
      <c r="D356" s="4"/>
      <c r="E356" s="4"/>
      <c r="F356" s="4"/>
      <c r="G356" s="16"/>
      <c r="H356" s="16"/>
      <c r="I356" s="16"/>
      <c r="J356" s="16"/>
      <c r="K356" s="17"/>
      <c r="L356" s="16"/>
      <c r="M356" s="4"/>
      <c r="N356" s="4"/>
      <c r="O356" s="4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29"/>
      <c r="AE356" s="18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</row>
    <row r="357" spans="1:42" ht="67.5" hidden="1" customHeight="1" x14ac:dyDescent="0.2">
      <c r="A357" s="4"/>
      <c r="B357" s="4"/>
      <c r="C357" s="4"/>
      <c r="D357" s="4"/>
      <c r="E357" s="4"/>
      <c r="F357" s="4"/>
      <c r="G357" s="16"/>
      <c r="H357" s="16"/>
      <c r="I357" s="16"/>
      <c r="J357" s="16"/>
      <c r="K357" s="17"/>
      <c r="L357" s="16"/>
      <c r="M357" s="4"/>
      <c r="N357" s="4"/>
      <c r="O357" s="4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29"/>
      <c r="AE357" s="18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</row>
    <row r="358" spans="1:42" ht="67.5" hidden="1" customHeight="1" x14ac:dyDescent="0.2">
      <c r="A358" s="4"/>
      <c r="B358" s="4"/>
      <c r="C358" s="4"/>
      <c r="D358" s="4"/>
      <c r="E358" s="4"/>
      <c r="F358" s="4"/>
      <c r="G358" s="16"/>
      <c r="H358" s="16"/>
      <c r="I358" s="16"/>
      <c r="J358" s="16"/>
      <c r="K358" s="17"/>
      <c r="L358" s="16"/>
      <c r="M358" s="4"/>
      <c r="N358" s="4"/>
      <c r="O358" s="4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29"/>
      <c r="AE358" s="18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</row>
    <row r="359" spans="1:42" ht="67.5" hidden="1" customHeight="1" x14ac:dyDescent="0.2">
      <c r="A359" s="4"/>
      <c r="B359" s="4"/>
      <c r="C359" s="4"/>
      <c r="D359" s="4"/>
      <c r="E359" s="4"/>
      <c r="F359" s="4"/>
      <c r="G359" s="16"/>
      <c r="H359" s="16"/>
      <c r="I359" s="16"/>
      <c r="J359" s="16"/>
      <c r="K359" s="17"/>
      <c r="L359" s="16"/>
      <c r="M359" s="4"/>
      <c r="N359" s="4"/>
      <c r="O359" s="4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29"/>
      <c r="AE359" s="18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</row>
    <row r="360" spans="1:42" ht="67.5" hidden="1" customHeight="1" x14ac:dyDescent="0.2">
      <c r="A360" s="4"/>
      <c r="B360" s="4"/>
      <c r="C360" s="4"/>
      <c r="D360" s="4"/>
      <c r="E360" s="4"/>
      <c r="F360" s="4"/>
      <c r="G360" s="16"/>
      <c r="H360" s="16"/>
      <c r="I360" s="16"/>
      <c r="J360" s="16"/>
      <c r="K360" s="17"/>
      <c r="L360" s="16"/>
      <c r="M360" s="4"/>
      <c r="N360" s="4"/>
      <c r="O360" s="4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29"/>
      <c r="AE360" s="18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</row>
    <row r="361" spans="1:42" ht="67.5" hidden="1" customHeight="1" x14ac:dyDescent="0.2">
      <c r="A361" s="4"/>
      <c r="B361" s="4"/>
      <c r="C361" s="4"/>
      <c r="D361" s="4"/>
      <c r="E361" s="4"/>
      <c r="F361" s="4"/>
      <c r="G361" s="16"/>
      <c r="H361" s="16"/>
      <c r="I361" s="16"/>
      <c r="J361" s="16"/>
      <c r="K361" s="17"/>
      <c r="L361" s="16"/>
      <c r="M361" s="4"/>
      <c r="N361" s="4"/>
      <c r="O361" s="4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29"/>
      <c r="AE361" s="18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</row>
    <row r="362" spans="1:42" ht="67.5" hidden="1" customHeight="1" x14ac:dyDescent="0.2">
      <c r="A362" s="4"/>
      <c r="B362" s="4"/>
      <c r="C362" s="4"/>
      <c r="D362" s="4"/>
      <c r="E362" s="4"/>
      <c r="F362" s="4"/>
      <c r="G362" s="16"/>
      <c r="H362" s="16"/>
      <c r="I362" s="16"/>
      <c r="J362" s="16"/>
      <c r="K362" s="17"/>
      <c r="L362" s="16"/>
      <c r="M362" s="4"/>
      <c r="N362" s="4"/>
      <c r="O362" s="4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29"/>
      <c r="AE362" s="18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</row>
    <row r="363" spans="1:42" ht="67.5" hidden="1" customHeight="1" x14ac:dyDescent="0.2">
      <c r="A363" s="4"/>
      <c r="B363" s="4"/>
      <c r="C363" s="4"/>
      <c r="D363" s="4"/>
      <c r="E363" s="4"/>
      <c r="F363" s="4"/>
      <c r="G363" s="16"/>
      <c r="H363" s="16"/>
      <c r="I363" s="16"/>
      <c r="J363" s="16"/>
      <c r="K363" s="17"/>
      <c r="L363" s="16"/>
      <c r="M363" s="4"/>
      <c r="N363" s="4"/>
      <c r="O363" s="4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29"/>
      <c r="AE363" s="18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</row>
    <row r="364" spans="1:42" ht="67.5" hidden="1" customHeight="1" x14ac:dyDescent="0.2">
      <c r="A364" s="4"/>
      <c r="B364" s="4"/>
      <c r="C364" s="4"/>
      <c r="D364" s="4"/>
      <c r="E364" s="4"/>
      <c r="F364" s="4"/>
      <c r="G364" s="16"/>
      <c r="H364" s="16"/>
      <c r="I364" s="16"/>
      <c r="J364" s="16"/>
      <c r="K364" s="17"/>
      <c r="L364" s="16"/>
      <c r="M364" s="4"/>
      <c r="N364" s="4"/>
      <c r="O364" s="4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29"/>
      <c r="AE364" s="18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</row>
    <row r="365" spans="1:42" ht="67.5" hidden="1" customHeight="1" x14ac:dyDescent="0.2">
      <c r="A365" s="4"/>
      <c r="B365" s="4"/>
      <c r="C365" s="4"/>
      <c r="D365" s="4"/>
      <c r="E365" s="4"/>
      <c r="F365" s="4"/>
      <c r="G365" s="16"/>
      <c r="H365" s="16"/>
      <c r="I365" s="16"/>
      <c r="J365" s="16"/>
      <c r="K365" s="17"/>
      <c r="L365" s="16"/>
      <c r="M365" s="4"/>
      <c r="N365" s="4"/>
      <c r="O365" s="4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29"/>
      <c r="AE365" s="18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</row>
    <row r="366" spans="1:42" ht="67.5" hidden="1" customHeight="1" x14ac:dyDescent="0.2">
      <c r="A366" s="4"/>
      <c r="B366" s="4"/>
      <c r="C366" s="4"/>
      <c r="D366" s="4"/>
      <c r="E366" s="4"/>
      <c r="F366" s="4"/>
      <c r="G366" s="16"/>
      <c r="H366" s="16"/>
      <c r="I366" s="16"/>
      <c r="J366" s="16"/>
      <c r="K366" s="17"/>
      <c r="L366" s="16"/>
      <c r="M366" s="4"/>
      <c r="N366" s="4"/>
      <c r="O366" s="4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29"/>
      <c r="AE366" s="18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</row>
    <row r="367" spans="1:42" ht="67.5" hidden="1" customHeight="1" x14ac:dyDescent="0.2">
      <c r="A367" s="4"/>
      <c r="B367" s="4"/>
      <c r="C367" s="4"/>
      <c r="D367" s="4"/>
      <c r="E367" s="4"/>
      <c r="F367" s="4"/>
      <c r="G367" s="16"/>
      <c r="H367" s="16"/>
      <c r="I367" s="16"/>
      <c r="J367" s="16"/>
      <c r="K367" s="17"/>
      <c r="L367" s="16"/>
      <c r="M367" s="4"/>
      <c r="N367" s="4"/>
      <c r="O367" s="4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29"/>
      <c r="AE367" s="18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</row>
    <row r="368" spans="1:42" ht="67.5" hidden="1" customHeight="1" x14ac:dyDescent="0.2">
      <c r="A368" s="4"/>
      <c r="B368" s="4"/>
      <c r="C368" s="4"/>
      <c r="D368" s="4"/>
      <c r="E368" s="4"/>
      <c r="F368" s="4"/>
      <c r="G368" s="16"/>
      <c r="H368" s="16"/>
      <c r="I368" s="16"/>
      <c r="J368" s="16"/>
      <c r="K368" s="17"/>
      <c r="L368" s="16"/>
      <c r="M368" s="4"/>
      <c r="N368" s="4"/>
      <c r="O368" s="4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29"/>
      <c r="AE368" s="18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</row>
    <row r="369" spans="1:42" ht="67.5" hidden="1" customHeight="1" x14ac:dyDescent="0.2">
      <c r="A369" s="4"/>
      <c r="B369" s="4"/>
      <c r="C369" s="4"/>
      <c r="D369" s="4"/>
      <c r="E369" s="4"/>
      <c r="F369" s="4"/>
      <c r="G369" s="16"/>
      <c r="H369" s="16"/>
      <c r="I369" s="16"/>
      <c r="J369" s="16"/>
      <c r="K369" s="17"/>
      <c r="L369" s="16"/>
      <c r="M369" s="4"/>
      <c r="N369" s="4"/>
      <c r="O369" s="4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29"/>
      <c r="AE369" s="18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</row>
    <row r="370" spans="1:42" ht="67.5" hidden="1" customHeight="1" x14ac:dyDescent="0.2">
      <c r="A370" s="4"/>
      <c r="B370" s="4"/>
      <c r="C370" s="4"/>
      <c r="D370" s="4"/>
      <c r="E370" s="4"/>
      <c r="F370" s="4"/>
      <c r="G370" s="16"/>
      <c r="H370" s="16"/>
      <c r="I370" s="16"/>
      <c r="J370" s="16"/>
      <c r="K370" s="17"/>
      <c r="L370" s="16"/>
      <c r="M370" s="4"/>
      <c r="N370" s="4"/>
      <c r="O370" s="4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29"/>
      <c r="AE370" s="18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</row>
    <row r="371" spans="1:42" ht="67.5" hidden="1" customHeight="1" x14ac:dyDescent="0.2">
      <c r="A371" s="4"/>
      <c r="B371" s="4"/>
      <c r="C371" s="4"/>
      <c r="D371" s="4"/>
      <c r="E371" s="4"/>
      <c r="F371" s="4"/>
      <c r="G371" s="16"/>
      <c r="H371" s="16"/>
      <c r="I371" s="16"/>
      <c r="J371" s="16"/>
      <c r="K371" s="17"/>
      <c r="L371" s="16"/>
      <c r="M371" s="4"/>
      <c r="N371" s="4"/>
      <c r="O371" s="4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29"/>
      <c r="AE371" s="18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</row>
    <row r="372" spans="1:42" ht="67.5" hidden="1" customHeight="1" x14ac:dyDescent="0.2">
      <c r="A372" s="4"/>
      <c r="B372" s="4"/>
      <c r="C372" s="4"/>
      <c r="D372" s="4"/>
      <c r="E372" s="4"/>
      <c r="F372" s="4"/>
      <c r="G372" s="16"/>
      <c r="H372" s="16"/>
      <c r="I372" s="16"/>
      <c r="J372" s="16"/>
      <c r="K372" s="17"/>
      <c r="L372" s="16"/>
      <c r="M372" s="4"/>
      <c r="N372" s="4"/>
      <c r="O372" s="4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29"/>
      <c r="AE372" s="18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</row>
    <row r="373" spans="1:42" ht="67.5" hidden="1" customHeight="1" x14ac:dyDescent="0.2">
      <c r="A373" s="4"/>
      <c r="B373" s="4"/>
      <c r="C373" s="4"/>
      <c r="D373" s="4"/>
      <c r="E373" s="4"/>
      <c r="F373" s="4"/>
      <c r="G373" s="16"/>
      <c r="H373" s="16"/>
      <c r="I373" s="16"/>
      <c r="J373" s="16"/>
      <c r="K373" s="17"/>
      <c r="L373" s="16"/>
      <c r="M373" s="4"/>
      <c r="N373" s="4"/>
      <c r="O373" s="4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29"/>
      <c r="AE373" s="18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</row>
    <row r="374" spans="1:42" ht="67.5" hidden="1" customHeight="1" x14ac:dyDescent="0.2">
      <c r="A374" s="4"/>
      <c r="B374" s="4"/>
      <c r="C374" s="4"/>
      <c r="D374" s="4"/>
      <c r="E374" s="4"/>
      <c r="F374" s="4"/>
      <c r="G374" s="16"/>
      <c r="H374" s="16"/>
      <c r="I374" s="16"/>
      <c r="J374" s="16"/>
      <c r="K374" s="17"/>
      <c r="L374" s="16"/>
      <c r="M374" s="4"/>
      <c r="N374" s="4"/>
      <c r="O374" s="4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29"/>
      <c r="AE374" s="18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</row>
    <row r="375" spans="1:42" ht="67.5" hidden="1" customHeight="1" x14ac:dyDescent="0.2">
      <c r="A375" s="4"/>
      <c r="B375" s="4"/>
      <c r="C375" s="4"/>
      <c r="D375" s="4"/>
      <c r="E375" s="4"/>
      <c r="F375" s="4"/>
      <c r="G375" s="16"/>
      <c r="H375" s="16"/>
      <c r="I375" s="16"/>
      <c r="J375" s="16"/>
      <c r="K375" s="17"/>
      <c r="L375" s="16"/>
      <c r="M375" s="4"/>
      <c r="N375" s="4"/>
      <c r="O375" s="4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29"/>
      <c r="AE375" s="18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</row>
    <row r="376" spans="1:42" ht="67.5" hidden="1" customHeight="1" x14ac:dyDescent="0.2">
      <c r="A376" s="4"/>
      <c r="B376" s="4"/>
      <c r="C376" s="4"/>
      <c r="D376" s="4"/>
      <c r="E376" s="4"/>
      <c r="F376" s="4"/>
      <c r="G376" s="16"/>
      <c r="H376" s="16"/>
      <c r="I376" s="16"/>
      <c r="J376" s="16"/>
      <c r="K376" s="17"/>
      <c r="L376" s="16"/>
      <c r="M376" s="4"/>
      <c r="N376" s="4"/>
      <c r="O376" s="4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29"/>
      <c r="AE376" s="18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</row>
    <row r="377" spans="1:42" ht="67.5" hidden="1" customHeight="1" x14ac:dyDescent="0.2">
      <c r="A377" s="4"/>
      <c r="B377" s="4"/>
      <c r="C377" s="4"/>
      <c r="D377" s="4"/>
      <c r="E377" s="4"/>
      <c r="F377" s="4"/>
      <c r="G377" s="16"/>
      <c r="H377" s="16"/>
      <c r="I377" s="16"/>
      <c r="J377" s="16"/>
      <c r="K377" s="17"/>
      <c r="L377" s="16"/>
      <c r="M377" s="4"/>
      <c r="N377" s="4"/>
      <c r="O377" s="4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29"/>
      <c r="AE377" s="18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</row>
    <row r="378" spans="1:42" ht="67.5" hidden="1" customHeight="1" x14ac:dyDescent="0.2">
      <c r="A378" s="4"/>
      <c r="B378" s="4"/>
      <c r="C378" s="4"/>
      <c r="D378" s="4"/>
      <c r="E378" s="4"/>
      <c r="F378" s="4"/>
      <c r="G378" s="16"/>
      <c r="H378" s="16"/>
      <c r="I378" s="16"/>
      <c r="J378" s="16"/>
      <c r="K378" s="17"/>
      <c r="L378" s="16"/>
      <c r="M378" s="4"/>
      <c r="N378" s="4"/>
      <c r="O378" s="4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29"/>
      <c r="AE378" s="18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</row>
    <row r="379" spans="1:42" ht="67.5" hidden="1" customHeight="1" x14ac:dyDescent="0.2">
      <c r="A379" s="4"/>
      <c r="B379" s="4"/>
      <c r="C379" s="4"/>
      <c r="D379" s="4"/>
      <c r="E379" s="4"/>
      <c r="F379" s="4"/>
      <c r="G379" s="16"/>
      <c r="H379" s="16"/>
      <c r="I379" s="16"/>
      <c r="J379" s="16"/>
      <c r="K379" s="17"/>
      <c r="L379" s="16"/>
      <c r="M379" s="4"/>
      <c r="N379" s="4"/>
      <c r="O379" s="4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29"/>
      <c r="AE379" s="18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</row>
    <row r="380" spans="1:42" ht="67.5" hidden="1" customHeight="1" x14ac:dyDescent="0.2">
      <c r="A380" s="4"/>
      <c r="B380" s="4"/>
      <c r="C380" s="4"/>
      <c r="D380" s="4"/>
      <c r="E380" s="4"/>
      <c r="F380" s="4"/>
      <c r="G380" s="16"/>
      <c r="H380" s="16"/>
      <c r="I380" s="16"/>
      <c r="J380" s="16"/>
      <c r="K380" s="17"/>
      <c r="L380" s="16"/>
      <c r="M380" s="4"/>
      <c r="N380" s="4"/>
      <c r="O380" s="4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29"/>
      <c r="AE380" s="18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</row>
    <row r="381" spans="1:42" ht="67.5" hidden="1" customHeight="1" x14ac:dyDescent="0.2">
      <c r="A381" s="4"/>
      <c r="B381" s="4"/>
      <c r="C381" s="4"/>
      <c r="D381" s="4"/>
      <c r="E381" s="4"/>
      <c r="F381" s="4"/>
      <c r="G381" s="16"/>
      <c r="H381" s="16"/>
      <c r="I381" s="16"/>
      <c r="J381" s="16"/>
      <c r="K381" s="17"/>
      <c r="L381" s="16"/>
      <c r="M381" s="4"/>
      <c r="N381" s="4"/>
      <c r="O381" s="4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29"/>
      <c r="AE381" s="18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</row>
    <row r="382" spans="1:42" ht="67.5" hidden="1" customHeight="1" x14ac:dyDescent="0.2">
      <c r="A382" s="4"/>
      <c r="B382" s="4"/>
      <c r="C382" s="4"/>
      <c r="D382" s="4"/>
      <c r="E382" s="4"/>
      <c r="F382" s="4"/>
      <c r="G382" s="16"/>
      <c r="H382" s="16"/>
      <c r="I382" s="16"/>
      <c r="J382" s="16"/>
      <c r="K382" s="17"/>
      <c r="L382" s="16"/>
      <c r="M382" s="4"/>
      <c r="N382" s="4"/>
      <c r="O382" s="4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29"/>
      <c r="AE382" s="18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</row>
    <row r="383" spans="1:42" ht="67.5" hidden="1" customHeight="1" x14ac:dyDescent="0.2">
      <c r="A383" s="4"/>
      <c r="B383" s="4"/>
      <c r="C383" s="4"/>
      <c r="D383" s="4"/>
      <c r="E383" s="4"/>
      <c r="F383" s="4"/>
      <c r="G383" s="16"/>
      <c r="H383" s="16"/>
      <c r="I383" s="16"/>
      <c r="J383" s="16"/>
      <c r="K383" s="17"/>
      <c r="L383" s="16"/>
      <c r="M383" s="4"/>
      <c r="N383" s="4"/>
      <c r="O383" s="4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29"/>
      <c r="AE383" s="18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</row>
    <row r="384" spans="1:42" ht="67.5" hidden="1" customHeight="1" x14ac:dyDescent="0.2">
      <c r="A384" s="4"/>
      <c r="B384" s="4"/>
      <c r="C384" s="4"/>
      <c r="D384" s="4"/>
      <c r="E384" s="4"/>
      <c r="F384" s="4"/>
      <c r="G384" s="16"/>
      <c r="H384" s="16"/>
      <c r="I384" s="16"/>
      <c r="J384" s="16"/>
      <c r="K384" s="17"/>
      <c r="L384" s="16"/>
      <c r="M384" s="4"/>
      <c r="N384" s="4"/>
      <c r="O384" s="4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29"/>
      <c r="AE384" s="18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</row>
    <row r="385" spans="1:42" ht="67.5" hidden="1" customHeight="1" x14ac:dyDescent="0.2">
      <c r="A385" s="4"/>
      <c r="B385" s="4"/>
      <c r="C385" s="4"/>
      <c r="D385" s="4"/>
      <c r="E385" s="4"/>
      <c r="F385" s="4"/>
      <c r="G385" s="16"/>
      <c r="H385" s="16"/>
      <c r="I385" s="16"/>
      <c r="J385" s="16"/>
      <c r="K385" s="17"/>
      <c r="L385" s="16"/>
      <c r="M385" s="4"/>
      <c r="N385" s="4"/>
      <c r="O385" s="4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29"/>
      <c r="AE385" s="18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</row>
    <row r="386" spans="1:42" ht="67.5" hidden="1" customHeight="1" x14ac:dyDescent="0.2">
      <c r="A386" s="4"/>
      <c r="B386" s="4"/>
      <c r="C386" s="4"/>
      <c r="D386" s="4"/>
      <c r="E386" s="4"/>
      <c r="F386" s="4"/>
      <c r="G386" s="16"/>
      <c r="H386" s="16"/>
      <c r="I386" s="16"/>
      <c r="J386" s="16"/>
      <c r="K386" s="17"/>
      <c r="L386" s="16"/>
      <c r="M386" s="4"/>
      <c r="N386" s="4"/>
      <c r="O386" s="4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29"/>
      <c r="AE386" s="18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</row>
    <row r="387" spans="1:42" ht="67.5" hidden="1" customHeight="1" x14ac:dyDescent="0.2">
      <c r="A387" s="4"/>
      <c r="B387" s="4"/>
      <c r="C387" s="4"/>
      <c r="D387" s="4"/>
      <c r="E387" s="4"/>
      <c r="F387" s="4"/>
      <c r="G387" s="16"/>
      <c r="H387" s="16"/>
      <c r="I387" s="16"/>
      <c r="J387" s="16"/>
      <c r="K387" s="17"/>
      <c r="L387" s="16"/>
      <c r="M387" s="4"/>
      <c r="N387" s="4"/>
      <c r="O387" s="4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29"/>
      <c r="AE387" s="18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</row>
    <row r="388" spans="1:42" ht="67.5" hidden="1" customHeight="1" x14ac:dyDescent="0.2">
      <c r="A388" s="4"/>
      <c r="B388" s="4"/>
      <c r="C388" s="4"/>
      <c r="D388" s="4"/>
      <c r="E388" s="4"/>
      <c r="F388" s="4"/>
      <c r="G388" s="16"/>
      <c r="H388" s="16"/>
      <c r="I388" s="16"/>
      <c r="J388" s="16"/>
      <c r="K388" s="17"/>
      <c r="L388" s="16"/>
      <c r="M388" s="4"/>
      <c r="N388" s="4"/>
      <c r="O388" s="4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29"/>
      <c r="AE388" s="18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</row>
    <row r="389" spans="1:42" ht="67.5" hidden="1" customHeight="1" x14ac:dyDescent="0.2">
      <c r="A389" s="4"/>
      <c r="B389" s="4"/>
      <c r="C389" s="4"/>
      <c r="D389" s="4"/>
      <c r="E389" s="4"/>
      <c r="F389" s="4"/>
      <c r="G389" s="16"/>
      <c r="H389" s="16"/>
      <c r="I389" s="16"/>
      <c r="J389" s="16"/>
      <c r="K389" s="17"/>
      <c r="L389" s="16"/>
      <c r="M389" s="4"/>
      <c r="N389" s="4"/>
      <c r="O389" s="4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29"/>
      <c r="AE389" s="18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</row>
    <row r="390" spans="1:42" ht="67.5" hidden="1" customHeight="1" x14ac:dyDescent="0.2">
      <c r="A390" s="4"/>
      <c r="B390" s="4"/>
      <c r="C390" s="4"/>
      <c r="D390" s="4"/>
      <c r="E390" s="4"/>
      <c r="F390" s="4"/>
      <c r="G390" s="16"/>
      <c r="H390" s="16"/>
      <c r="I390" s="16"/>
      <c r="J390" s="16"/>
      <c r="K390" s="17"/>
      <c r="L390" s="16"/>
      <c r="M390" s="4"/>
      <c r="N390" s="4"/>
      <c r="O390" s="4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29"/>
      <c r="AE390" s="18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</row>
    <row r="391" spans="1:42" ht="67.5" hidden="1" customHeight="1" x14ac:dyDescent="0.2">
      <c r="A391" s="4"/>
      <c r="B391" s="4"/>
      <c r="C391" s="4"/>
      <c r="D391" s="4"/>
      <c r="E391" s="4"/>
      <c r="F391" s="4"/>
      <c r="G391" s="16"/>
      <c r="H391" s="16"/>
      <c r="I391" s="16"/>
      <c r="J391" s="16"/>
      <c r="K391" s="17"/>
      <c r="L391" s="16"/>
      <c r="M391" s="4"/>
      <c r="N391" s="4"/>
      <c r="O391" s="4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29"/>
      <c r="AE391" s="18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</row>
    <row r="392" spans="1:42" ht="67.5" hidden="1" customHeight="1" x14ac:dyDescent="0.2">
      <c r="A392" s="4"/>
      <c r="B392" s="4"/>
      <c r="C392" s="4"/>
      <c r="D392" s="4"/>
      <c r="E392" s="4"/>
      <c r="F392" s="4"/>
      <c r="G392" s="16"/>
      <c r="H392" s="16"/>
      <c r="I392" s="16"/>
      <c r="J392" s="16"/>
      <c r="K392" s="17"/>
      <c r="L392" s="16"/>
      <c r="M392" s="4"/>
      <c r="N392" s="4"/>
      <c r="O392" s="4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29"/>
      <c r="AE392" s="18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</row>
    <row r="393" spans="1:42" ht="67.5" hidden="1" customHeight="1" x14ac:dyDescent="0.2">
      <c r="A393" s="4"/>
      <c r="B393" s="4"/>
      <c r="C393" s="4"/>
      <c r="D393" s="4"/>
      <c r="E393" s="4"/>
      <c r="F393" s="4"/>
      <c r="G393" s="16"/>
      <c r="H393" s="16"/>
      <c r="I393" s="16"/>
      <c r="J393" s="16"/>
      <c r="K393" s="17"/>
      <c r="L393" s="16"/>
      <c r="M393" s="4"/>
      <c r="N393" s="4"/>
      <c r="O393" s="4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29"/>
      <c r="AE393" s="18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</row>
    <row r="394" spans="1:42" ht="67.5" hidden="1" customHeight="1" x14ac:dyDescent="0.2">
      <c r="A394" s="4"/>
      <c r="B394" s="4"/>
      <c r="C394" s="4"/>
      <c r="D394" s="4"/>
      <c r="E394" s="4"/>
      <c r="F394" s="4"/>
      <c r="G394" s="16"/>
      <c r="H394" s="16"/>
      <c r="I394" s="16"/>
      <c r="J394" s="16"/>
      <c r="K394" s="17"/>
      <c r="L394" s="16"/>
      <c r="M394" s="4"/>
      <c r="N394" s="4"/>
      <c r="O394" s="4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29"/>
      <c r="AE394" s="18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</row>
    <row r="395" spans="1:42" ht="67.5" hidden="1" customHeight="1" x14ac:dyDescent="0.2">
      <c r="A395" s="4"/>
      <c r="B395" s="4"/>
      <c r="C395" s="4"/>
      <c r="D395" s="4"/>
      <c r="E395" s="4"/>
      <c r="F395" s="4"/>
      <c r="G395" s="16"/>
      <c r="H395" s="16"/>
      <c r="I395" s="16"/>
      <c r="J395" s="16"/>
      <c r="K395" s="17"/>
      <c r="L395" s="16"/>
      <c r="M395" s="4"/>
      <c r="N395" s="4"/>
      <c r="O395" s="4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29"/>
      <c r="AE395" s="18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</row>
    <row r="396" spans="1:42" ht="67.5" hidden="1" customHeight="1" x14ac:dyDescent="0.2">
      <c r="A396" s="4"/>
      <c r="B396" s="4"/>
      <c r="C396" s="4"/>
      <c r="D396" s="4"/>
      <c r="E396" s="4"/>
      <c r="F396" s="4"/>
      <c r="G396" s="16"/>
      <c r="H396" s="16"/>
      <c r="I396" s="16"/>
      <c r="J396" s="16"/>
      <c r="K396" s="17"/>
      <c r="L396" s="16"/>
      <c r="M396" s="4"/>
      <c r="N396" s="4"/>
      <c r="O396" s="4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29"/>
      <c r="AE396" s="18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</row>
    <row r="397" spans="1:42" ht="67.5" hidden="1" customHeight="1" x14ac:dyDescent="0.2">
      <c r="A397" s="4"/>
      <c r="B397" s="4"/>
      <c r="C397" s="4"/>
      <c r="D397" s="4"/>
      <c r="E397" s="4"/>
      <c r="F397" s="4"/>
      <c r="G397" s="16"/>
      <c r="H397" s="16"/>
      <c r="I397" s="16"/>
      <c r="J397" s="16"/>
      <c r="K397" s="17"/>
      <c r="L397" s="16"/>
      <c r="M397" s="4"/>
      <c r="N397" s="4"/>
      <c r="O397" s="4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29"/>
      <c r="AE397" s="18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</row>
    <row r="398" spans="1:42" ht="67.5" hidden="1" customHeight="1" x14ac:dyDescent="0.2">
      <c r="A398" s="4"/>
      <c r="B398" s="4"/>
      <c r="C398" s="4"/>
      <c r="D398" s="4"/>
      <c r="E398" s="4"/>
      <c r="F398" s="4"/>
      <c r="G398" s="16"/>
      <c r="H398" s="16"/>
      <c r="I398" s="16"/>
      <c r="J398" s="16"/>
      <c r="K398" s="17"/>
      <c r="L398" s="16"/>
      <c r="M398" s="4"/>
      <c r="N398" s="4"/>
      <c r="O398" s="4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29"/>
      <c r="AE398" s="18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</row>
    <row r="399" spans="1:42" ht="67.5" hidden="1" customHeight="1" x14ac:dyDescent="0.2">
      <c r="A399" s="4"/>
      <c r="B399" s="4"/>
      <c r="C399" s="4"/>
      <c r="D399" s="4"/>
      <c r="E399" s="4"/>
      <c r="F399" s="4"/>
      <c r="G399" s="16"/>
      <c r="H399" s="16"/>
      <c r="I399" s="16"/>
      <c r="J399" s="16"/>
      <c r="K399" s="17"/>
      <c r="L399" s="16"/>
      <c r="M399" s="4"/>
      <c r="N399" s="4"/>
      <c r="O399" s="4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29"/>
      <c r="AE399" s="18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</row>
    <row r="400" spans="1:42" ht="67.5" hidden="1" customHeight="1" x14ac:dyDescent="0.2">
      <c r="A400" s="4"/>
      <c r="B400" s="4"/>
      <c r="C400" s="4"/>
      <c r="D400" s="4"/>
      <c r="E400" s="4"/>
      <c r="F400" s="4"/>
      <c r="G400" s="16"/>
      <c r="H400" s="16"/>
      <c r="I400" s="16"/>
      <c r="J400" s="16"/>
      <c r="K400" s="17"/>
      <c r="L400" s="16"/>
      <c r="M400" s="4"/>
      <c r="N400" s="4"/>
      <c r="O400" s="4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29"/>
      <c r="AE400" s="18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</row>
    <row r="401" spans="1:42" ht="67.5" hidden="1" customHeight="1" x14ac:dyDescent="0.2">
      <c r="A401" s="4"/>
      <c r="B401" s="4"/>
      <c r="C401" s="4"/>
      <c r="D401" s="4"/>
      <c r="E401" s="4"/>
      <c r="F401" s="4"/>
      <c r="G401" s="16"/>
      <c r="H401" s="16"/>
      <c r="I401" s="16"/>
      <c r="J401" s="16"/>
      <c r="K401" s="17"/>
      <c r="L401" s="16"/>
      <c r="M401" s="4"/>
      <c r="N401" s="4"/>
      <c r="O401" s="4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29"/>
      <c r="AE401" s="18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</row>
    <row r="402" spans="1:42" ht="67.5" hidden="1" customHeight="1" x14ac:dyDescent="0.2">
      <c r="A402" s="4"/>
      <c r="B402" s="4"/>
      <c r="C402" s="4"/>
      <c r="D402" s="4"/>
      <c r="E402" s="4"/>
      <c r="F402" s="4"/>
      <c r="G402" s="16"/>
      <c r="H402" s="16"/>
      <c r="I402" s="16"/>
      <c r="J402" s="16"/>
      <c r="K402" s="17"/>
      <c r="L402" s="16"/>
      <c r="M402" s="4"/>
      <c r="N402" s="4"/>
      <c r="O402" s="4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29"/>
      <c r="AE402" s="18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</row>
    <row r="403" spans="1:42" ht="67.5" hidden="1" customHeight="1" x14ac:dyDescent="0.2">
      <c r="A403" s="4"/>
      <c r="B403" s="4"/>
      <c r="C403" s="4"/>
      <c r="D403" s="4"/>
      <c r="E403" s="4"/>
      <c r="F403" s="4"/>
      <c r="G403" s="16"/>
      <c r="H403" s="16"/>
      <c r="I403" s="16"/>
      <c r="J403" s="16"/>
      <c r="K403" s="17"/>
      <c r="L403" s="16"/>
      <c r="M403" s="4"/>
      <c r="N403" s="4"/>
      <c r="O403" s="4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29"/>
      <c r="AE403" s="18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</row>
    <row r="404" spans="1:42" ht="67.5" hidden="1" customHeight="1" x14ac:dyDescent="0.2">
      <c r="A404" s="4"/>
      <c r="B404" s="4"/>
      <c r="C404" s="4"/>
      <c r="D404" s="4"/>
      <c r="E404" s="4"/>
      <c r="F404" s="4"/>
      <c r="G404" s="16"/>
      <c r="H404" s="16"/>
      <c r="I404" s="16"/>
      <c r="J404" s="16"/>
      <c r="K404" s="17"/>
      <c r="L404" s="16"/>
      <c r="M404" s="4"/>
      <c r="N404" s="4"/>
      <c r="O404" s="4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29"/>
      <c r="AE404" s="18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</row>
    <row r="405" spans="1:42" ht="67.5" hidden="1" customHeight="1" x14ac:dyDescent="0.2">
      <c r="A405" s="4"/>
      <c r="B405" s="4"/>
      <c r="C405" s="4"/>
      <c r="D405" s="4"/>
      <c r="E405" s="4"/>
      <c r="F405" s="4"/>
      <c r="G405" s="16"/>
      <c r="H405" s="16"/>
      <c r="I405" s="16"/>
      <c r="J405" s="16"/>
      <c r="K405" s="17"/>
      <c r="L405" s="16"/>
      <c r="M405" s="4"/>
      <c r="N405" s="4"/>
      <c r="O405" s="4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29"/>
      <c r="AE405" s="18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</row>
    <row r="406" spans="1:42" ht="67.5" hidden="1" customHeight="1" x14ac:dyDescent="0.2">
      <c r="A406" s="4"/>
      <c r="B406" s="4"/>
      <c r="C406" s="4"/>
      <c r="D406" s="4"/>
      <c r="E406" s="4"/>
      <c r="F406" s="4"/>
      <c r="G406" s="16"/>
      <c r="H406" s="16"/>
      <c r="I406" s="16"/>
      <c r="J406" s="16"/>
      <c r="K406" s="17"/>
      <c r="L406" s="16"/>
      <c r="M406" s="4"/>
      <c r="N406" s="4"/>
      <c r="O406" s="4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29"/>
      <c r="AE406" s="18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</row>
    <row r="407" spans="1:42" ht="67.5" hidden="1" customHeight="1" x14ac:dyDescent="0.2">
      <c r="A407" s="4"/>
      <c r="B407" s="4"/>
      <c r="C407" s="4"/>
      <c r="D407" s="4"/>
      <c r="E407" s="4"/>
      <c r="F407" s="4"/>
      <c r="G407" s="16"/>
      <c r="H407" s="16"/>
      <c r="I407" s="16"/>
      <c r="J407" s="16"/>
      <c r="K407" s="17"/>
      <c r="L407" s="16"/>
      <c r="M407" s="4"/>
      <c r="N407" s="4"/>
      <c r="O407" s="4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29"/>
      <c r="AE407" s="18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</row>
    <row r="408" spans="1:42" ht="67.5" hidden="1" customHeight="1" x14ac:dyDescent="0.2">
      <c r="A408" s="4"/>
      <c r="B408" s="4"/>
      <c r="C408" s="4"/>
      <c r="D408" s="4"/>
      <c r="E408" s="4"/>
      <c r="F408" s="4"/>
      <c r="G408" s="16"/>
      <c r="H408" s="16"/>
      <c r="I408" s="16"/>
      <c r="J408" s="16"/>
      <c r="K408" s="17"/>
      <c r="L408" s="16"/>
      <c r="M408" s="4"/>
      <c r="N408" s="4"/>
      <c r="O408" s="4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29"/>
      <c r="AE408" s="18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</row>
    <row r="409" spans="1:42" ht="67.5" hidden="1" customHeight="1" x14ac:dyDescent="0.2">
      <c r="A409" s="4"/>
      <c r="B409" s="4"/>
      <c r="C409" s="4"/>
      <c r="D409" s="4"/>
      <c r="E409" s="4"/>
      <c r="F409" s="4"/>
      <c r="G409" s="16"/>
      <c r="H409" s="16"/>
      <c r="I409" s="16"/>
      <c r="J409" s="16"/>
      <c r="K409" s="17"/>
      <c r="L409" s="16"/>
      <c r="M409" s="4"/>
      <c r="N409" s="4"/>
      <c r="O409" s="4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29"/>
      <c r="AE409" s="18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</row>
    <row r="410" spans="1:42" ht="67.5" hidden="1" customHeight="1" x14ac:dyDescent="0.2">
      <c r="A410" s="4"/>
      <c r="B410" s="4"/>
      <c r="C410" s="4"/>
      <c r="D410" s="4"/>
      <c r="E410" s="4"/>
      <c r="F410" s="4"/>
      <c r="G410" s="16"/>
      <c r="H410" s="16"/>
      <c r="I410" s="16"/>
      <c r="J410" s="16"/>
      <c r="K410" s="17"/>
      <c r="L410" s="16"/>
      <c r="M410" s="4"/>
      <c r="N410" s="4"/>
      <c r="O410" s="4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29"/>
      <c r="AE410" s="18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</row>
    <row r="411" spans="1:42" ht="67.5" hidden="1" customHeight="1" x14ac:dyDescent="0.2">
      <c r="A411" s="4"/>
      <c r="B411" s="4"/>
      <c r="C411" s="4"/>
      <c r="D411" s="4"/>
      <c r="E411" s="4"/>
      <c r="F411" s="4"/>
      <c r="G411" s="16"/>
      <c r="H411" s="16"/>
      <c r="I411" s="16"/>
      <c r="J411" s="16"/>
      <c r="K411" s="17"/>
      <c r="L411" s="16"/>
      <c r="M411" s="4"/>
      <c r="N411" s="4"/>
      <c r="O411" s="4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29"/>
      <c r="AE411" s="18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</row>
    <row r="412" spans="1:42" ht="67.5" hidden="1" customHeight="1" x14ac:dyDescent="0.2">
      <c r="A412" s="4"/>
      <c r="B412" s="4"/>
      <c r="C412" s="4"/>
      <c r="D412" s="4"/>
      <c r="E412" s="4"/>
      <c r="F412" s="4"/>
      <c r="G412" s="16"/>
      <c r="H412" s="16"/>
      <c r="I412" s="16"/>
      <c r="J412" s="16"/>
      <c r="K412" s="17"/>
      <c r="L412" s="16"/>
      <c r="M412" s="4"/>
      <c r="N412" s="4"/>
      <c r="O412" s="4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29"/>
      <c r="AE412" s="18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</row>
    <row r="413" spans="1:42" ht="67.5" hidden="1" customHeight="1" x14ac:dyDescent="0.2">
      <c r="A413" s="4"/>
      <c r="B413" s="4"/>
      <c r="C413" s="4"/>
      <c r="D413" s="4"/>
      <c r="E413" s="4"/>
      <c r="F413" s="4"/>
      <c r="G413" s="16"/>
      <c r="H413" s="16"/>
      <c r="I413" s="16"/>
      <c r="J413" s="16"/>
      <c r="K413" s="17"/>
      <c r="L413" s="16"/>
      <c r="M413" s="4"/>
      <c r="N413" s="4"/>
      <c r="O413" s="4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29"/>
      <c r="AE413" s="18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</row>
    <row r="414" spans="1:42" ht="67.5" hidden="1" customHeight="1" x14ac:dyDescent="0.2">
      <c r="A414" s="4"/>
      <c r="B414" s="4"/>
      <c r="C414" s="4"/>
      <c r="D414" s="4"/>
      <c r="E414" s="4"/>
      <c r="F414" s="4"/>
      <c r="G414" s="16"/>
      <c r="H414" s="16"/>
      <c r="I414" s="16"/>
      <c r="J414" s="16"/>
      <c r="K414" s="17"/>
      <c r="L414" s="16"/>
      <c r="M414" s="4"/>
      <c r="N414" s="4"/>
      <c r="O414" s="4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29"/>
      <c r="AE414" s="18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</row>
    <row r="415" spans="1:42" ht="67.5" hidden="1" customHeight="1" x14ac:dyDescent="0.2">
      <c r="A415" s="4"/>
      <c r="B415" s="4"/>
      <c r="C415" s="4"/>
      <c r="D415" s="4"/>
      <c r="E415" s="4"/>
      <c r="F415" s="4"/>
      <c r="G415" s="16"/>
      <c r="H415" s="16"/>
      <c r="I415" s="16"/>
      <c r="J415" s="16"/>
      <c r="K415" s="17"/>
      <c r="L415" s="16"/>
      <c r="M415" s="4"/>
      <c r="N415" s="4"/>
      <c r="O415" s="4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29"/>
      <c r="AE415" s="18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</row>
    <row r="416" spans="1:42" ht="67.5" hidden="1" customHeight="1" x14ac:dyDescent="0.2">
      <c r="A416" s="4"/>
      <c r="B416" s="4"/>
      <c r="C416" s="4"/>
      <c r="D416" s="4"/>
      <c r="E416" s="4"/>
      <c r="F416" s="4"/>
      <c r="G416" s="16"/>
      <c r="H416" s="16"/>
      <c r="I416" s="16"/>
      <c r="J416" s="16"/>
      <c r="K416" s="17"/>
      <c r="L416" s="16"/>
      <c r="M416" s="4"/>
      <c r="N416" s="4"/>
      <c r="O416" s="4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29"/>
      <c r="AE416" s="18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</row>
    <row r="417" spans="1:42" ht="67.5" hidden="1" customHeight="1" x14ac:dyDescent="0.2">
      <c r="A417" s="4"/>
      <c r="B417" s="4"/>
      <c r="C417" s="4"/>
      <c r="D417" s="4"/>
      <c r="E417" s="4"/>
      <c r="F417" s="4"/>
      <c r="G417" s="16"/>
      <c r="H417" s="16"/>
      <c r="I417" s="16"/>
      <c r="J417" s="16"/>
      <c r="K417" s="17"/>
      <c r="L417" s="16"/>
      <c r="M417" s="4"/>
      <c r="N417" s="4"/>
      <c r="O417" s="4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29"/>
      <c r="AE417" s="18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</row>
    <row r="418" spans="1:42" ht="67.5" hidden="1" customHeight="1" x14ac:dyDescent="0.2">
      <c r="A418" s="4"/>
      <c r="B418" s="4"/>
      <c r="C418" s="4"/>
      <c r="D418" s="4"/>
      <c r="E418" s="4"/>
      <c r="F418" s="4"/>
      <c r="G418" s="16"/>
      <c r="H418" s="16"/>
      <c r="I418" s="16"/>
      <c r="J418" s="16"/>
      <c r="K418" s="17"/>
      <c r="L418" s="16"/>
      <c r="M418" s="4"/>
      <c r="N418" s="4"/>
      <c r="O418" s="4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29"/>
      <c r="AE418" s="18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</row>
    <row r="419" spans="1:42" ht="67.5" hidden="1" customHeight="1" x14ac:dyDescent="0.2">
      <c r="A419" s="4"/>
      <c r="B419" s="4"/>
      <c r="C419" s="4"/>
      <c r="D419" s="4"/>
      <c r="E419" s="4"/>
      <c r="F419" s="4"/>
      <c r="G419" s="16"/>
      <c r="H419" s="16"/>
      <c r="I419" s="16"/>
      <c r="J419" s="16"/>
      <c r="K419" s="17"/>
      <c r="L419" s="16"/>
      <c r="M419" s="4"/>
      <c r="N419" s="4"/>
      <c r="O419" s="4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29"/>
      <c r="AE419" s="18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</row>
    <row r="420" spans="1:42" ht="67.5" hidden="1" customHeight="1" x14ac:dyDescent="0.2">
      <c r="A420" s="4"/>
      <c r="B420" s="4"/>
      <c r="C420" s="4"/>
      <c r="D420" s="4"/>
      <c r="E420" s="4"/>
      <c r="F420" s="4"/>
      <c r="G420" s="16"/>
      <c r="H420" s="16"/>
      <c r="I420" s="16"/>
      <c r="J420" s="16"/>
      <c r="K420" s="17"/>
      <c r="L420" s="16"/>
      <c r="M420" s="4"/>
      <c r="N420" s="4"/>
      <c r="O420" s="4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29"/>
      <c r="AE420" s="18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</row>
    <row r="421" spans="1:42" ht="67.5" hidden="1" customHeight="1" x14ac:dyDescent="0.2">
      <c r="A421" s="4"/>
      <c r="B421" s="4"/>
      <c r="C421" s="4"/>
      <c r="D421" s="4"/>
      <c r="E421" s="4"/>
      <c r="F421" s="4"/>
      <c r="G421" s="16"/>
      <c r="H421" s="16"/>
      <c r="I421" s="16"/>
      <c r="J421" s="16"/>
      <c r="K421" s="17"/>
      <c r="L421" s="16"/>
      <c r="M421" s="4"/>
      <c r="N421" s="4"/>
      <c r="O421" s="4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29"/>
      <c r="AE421" s="18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</row>
    <row r="422" spans="1:42" ht="67.5" hidden="1" customHeight="1" x14ac:dyDescent="0.2">
      <c r="A422" s="4"/>
      <c r="B422" s="4"/>
      <c r="C422" s="4"/>
      <c r="D422" s="4"/>
      <c r="E422" s="4"/>
      <c r="F422" s="4"/>
      <c r="G422" s="16"/>
      <c r="H422" s="16"/>
      <c r="I422" s="16"/>
      <c r="J422" s="16"/>
      <c r="K422" s="17"/>
      <c r="L422" s="16"/>
      <c r="M422" s="4"/>
      <c r="N422" s="4"/>
      <c r="O422" s="4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29"/>
      <c r="AE422" s="18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</row>
    <row r="423" spans="1:42" ht="67.5" hidden="1" customHeight="1" x14ac:dyDescent="0.2">
      <c r="A423" s="4"/>
      <c r="B423" s="4"/>
      <c r="C423" s="4"/>
      <c r="D423" s="4"/>
      <c r="E423" s="4"/>
      <c r="F423" s="4"/>
      <c r="G423" s="16"/>
      <c r="H423" s="16"/>
      <c r="I423" s="16"/>
      <c r="J423" s="16"/>
      <c r="K423" s="17"/>
      <c r="L423" s="16"/>
      <c r="M423" s="4"/>
      <c r="N423" s="4"/>
      <c r="O423" s="4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29"/>
      <c r="AE423" s="18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</row>
    <row r="424" spans="1:42" ht="67.5" hidden="1" customHeight="1" x14ac:dyDescent="0.2">
      <c r="A424" s="4"/>
      <c r="B424" s="4"/>
      <c r="C424" s="4"/>
      <c r="D424" s="4"/>
      <c r="E424" s="4"/>
      <c r="F424" s="4"/>
      <c r="G424" s="16"/>
      <c r="H424" s="16"/>
      <c r="I424" s="16"/>
      <c r="J424" s="16"/>
      <c r="K424" s="17"/>
      <c r="L424" s="16"/>
      <c r="M424" s="4"/>
      <c r="N424" s="4"/>
      <c r="O424" s="4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29"/>
      <c r="AE424" s="18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</row>
    <row r="425" spans="1:42" ht="67.5" hidden="1" customHeight="1" x14ac:dyDescent="0.2">
      <c r="A425" s="4"/>
      <c r="B425" s="4"/>
      <c r="C425" s="4"/>
      <c r="D425" s="4"/>
      <c r="E425" s="4"/>
      <c r="F425" s="4"/>
      <c r="G425" s="16"/>
      <c r="H425" s="16"/>
      <c r="I425" s="16"/>
      <c r="J425" s="16"/>
      <c r="K425" s="17"/>
      <c r="L425" s="16"/>
      <c r="M425" s="4"/>
      <c r="N425" s="4"/>
      <c r="O425" s="4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29"/>
      <c r="AE425" s="18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</row>
    <row r="426" spans="1:42" ht="67.5" hidden="1" customHeight="1" x14ac:dyDescent="0.2">
      <c r="A426" s="4"/>
      <c r="B426" s="4"/>
      <c r="C426" s="4"/>
      <c r="D426" s="4"/>
      <c r="E426" s="4"/>
      <c r="F426" s="4"/>
      <c r="G426" s="16"/>
      <c r="H426" s="16"/>
      <c r="I426" s="16"/>
      <c r="J426" s="16"/>
      <c r="K426" s="17"/>
      <c r="L426" s="16"/>
      <c r="M426" s="4"/>
      <c r="N426" s="4"/>
      <c r="O426" s="4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29"/>
      <c r="AE426" s="18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</row>
    <row r="427" spans="1:42" ht="67.5" hidden="1" customHeight="1" x14ac:dyDescent="0.2">
      <c r="A427" s="4"/>
      <c r="B427" s="4"/>
      <c r="C427" s="4"/>
      <c r="D427" s="4"/>
      <c r="E427" s="4"/>
      <c r="F427" s="4"/>
      <c r="G427" s="16"/>
      <c r="H427" s="16"/>
      <c r="I427" s="16"/>
      <c r="J427" s="16"/>
      <c r="K427" s="17"/>
      <c r="L427" s="16"/>
      <c r="M427" s="4"/>
      <c r="N427" s="4"/>
      <c r="O427" s="4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29"/>
      <c r="AE427" s="18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</row>
    <row r="428" spans="1:42" ht="67.5" hidden="1" customHeight="1" x14ac:dyDescent="0.2">
      <c r="A428" s="4"/>
      <c r="B428" s="4"/>
      <c r="C428" s="4"/>
      <c r="D428" s="4"/>
      <c r="E428" s="4"/>
      <c r="F428" s="4"/>
      <c r="G428" s="16"/>
      <c r="H428" s="16"/>
      <c r="I428" s="16"/>
      <c r="J428" s="16"/>
      <c r="K428" s="17"/>
      <c r="L428" s="16"/>
      <c r="M428" s="4"/>
      <c r="N428" s="4"/>
      <c r="O428" s="4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29"/>
      <c r="AE428" s="18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</row>
    <row r="429" spans="1:42" ht="67.5" hidden="1" customHeight="1" x14ac:dyDescent="0.2">
      <c r="A429" s="4"/>
      <c r="B429" s="4"/>
      <c r="C429" s="4"/>
      <c r="D429" s="4"/>
      <c r="E429" s="4"/>
      <c r="F429" s="4"/>
      <c r="G429" s="16"/>
      <c r="H429" s="16"/>
      <c r="I429" s="16"/>
      <c r="J429" s="16"/>
      <c r="K429" s="17"/>
      <c r="L429" s="16"/>
      <c r="M429" s="4"/>
      <c r="N429" s="4"/>
      <c r="O429" s="4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29"/>
      <c r="AE429" s="18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</row>
    <row r="430" spans="1:42" ht="67.5" hidden="1" customHeight="1" x14ac:dyDescent="0.2">
      <c r="A430" s="4"/>
      <c r="B430" s="4"/>
      <c r="C430" s="4"/>
      <c r="D430" s="4"/>
      <c r="E430" s="4"/>
      <c r="F430" s="4"/>
      <c r="G430" s="16"/>
      <c r="H430" s="16"/>
      <c r="I430" s="16"/>
      <c r="J430" s="16"/>
      <c r="K430" s="17"/>
      <c r="L430" s="16"/>
      <c r="M430" s="4"/>
      <c r="N430" s="4"/>
      <c r="O430" s="4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29"/>
      <c r="AE430" s="18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</row>
    <row r="431" spans="1:42" ht="67.5" hidden="1" customHeight="1" x14ac:dyDescent="0.2">
      <c r="A431" s="4"/>
      <c r="B431" s="4"/>
      <c r="C431" s="4"/>
      <c r="D431" s="4"/>
      <c r="E431" s="4"/>
      <c r="F431" s="4"/>
      <c r="G431" s="16"/>
      <c r="H431" s="16"/>
      <c r="I431" s="16"/>
      <c r="J431" s="16"/>
      <c r="K431" s="17"/>
      <c r="L431" s="16"/>
      <c r="M431" s="4"/>
      <c r="N431" s="4"/>
      <c r="O431" s="4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29"/>
      <c r="AE431" s="18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</row>
    <row r="432" spans="1:42" ht="67.5" hidden="1" customHeight="1" x14ac:dyDescent="0.2">
      <c r="A432" s="4"/>
      <c r="B432" s="4"/>
      <c r="C432" s="4"/>
      <c r="D432" s="4"/>
      <c r="E432" s="4"/>
      <c r="F432" s="4"/>
      <c r="G432" s="16"/>
      <c r="H432" s="16"/>
      <c r="I432" s="16"/>
      <c r="J432" s="16"/>
      <c r="K432" s="17"/>
      <c r="L432" s="16"/>
      <c r="M432" s="4"/>
      <c r="N432" s="4"/>
      <c r="O432" s="4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29"/>
      <c r="AE432" s="18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</row>
    <row r="433" spans="1:42" ht="67.5" hidden="1" customHeight="1" x14ac:dyDescent="0.2">
      <c r="A433" s="4"/>
      <c r="B433" s="4"/>
      <c r="C433" s="4"/>
      <c r="D433" s="4"/>
      <c r="E433" s="4"/>
      <c r="F433" s="4"/>
      <c r="G433" s="16"/>
      <c r="H433" s="16"/>
      <c r="I433" s="16"/>
      <c r="J433" s="16"/>
      <c r="K433" s="17"/>
      <c r="L433" s="16"/>
      <c r="M433" s="4"/>
      <c r="N433" s="4"/>
      <c r="O433" s="4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29"/>
      <c r="AE433" s="18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</row>
    <row r="434" spans="1:42" ht="67.5" hidden="1" customHeight="1" x14ac:dyDescent="0.2">
      <c r="A434" s="4"/>
      <c r="B434" s="4"/>
      <c r="C434" s="4"/>
      <c r="D434" s="4"/>
      <c r="E434" s="4"/>
      <c r="F434" s="4"/>
      <c r="G434" s="16"/>
      <c r="H434" s="16"/>
      <c r="I434" s="16"/>
      <c r="J434" s="16"/>
      <c r="K434" s="17"/>
      <c r="L434" s="16"/>
      <c r="M434" s="4"/>
      <c r="N434" s="4"/>
      <c r="O434" s="4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29"/>
      <c r="AE434" s="18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</row>
    <row r="435" spans="1:42" ht="67.5" hidden="1" customHeight="1" x14ac:dyDescent="0.2">
      <c r="A435" s="4"/>
      <c r="B435" s="4"/>
      <c r="C435" s="4"/>
      <c r="D435" s="4"/>
      <c r="E435" s="4"/>
      <c r="F435" s="4"/>
      <c r="G435" s="16"/>
      <c r="H435" s="16"/>
      <c r="I435" s="16"/>
      <c r="J435" s="16"/>
      <c r="K435" s="17"/>
      <c r="L435" s="16"/>
      <c r="M435" s="4"/>
      <c r="N435" s="4"/>
      <c r="O435" s="4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29"/>
      <c r="AE435" s="18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</row>
    <row r="436" spans="1:42" ht="67.5" hidden="1" customHeight="1" x14ac:dyDescent="0.2">
      <c r="A436" s="4"/>
      <c r="B436" s="4"/>
      <c r="C436" s="4"/>
      <c r="D436" s="4"/>
      <c r="E436" s="4"/>
      <c r="F436" s="4"/>
      <c r="G436" s="16"/>
      <c r="H436" s="16"/>
      <c r="I436" s="16"/>
      <c r="J436" s="16"/>
      <c r="K436" s="17"/>
      <c r="L436" s="16"/>
      <c r="M436" s="4"/>
      <c r="N436" s="4"/>
      <c r="O436" s="4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29"/>
      <c r="AE436" s="18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</row>
    <row r="437" spans="1:42" ht="67.5" hidden="1" customHeight="1" x14ac:dyDescent="0.2">
      <c r="A437" s="4"/>
      <c r="B437" s="4"/>
      <c r="C437" s="4"/>
      <c r="D437" s="4"/>
      <c r="E437" s="4"/>
      <c r="F437" s="4"/>
      <c r="G437" s="16"/>
      <c r="H437" s="16"/>
      <c r="I437" s="16"/>
      <c r="J437" s="16"/>
      <c r="K437" s="17"/>
      <c r="L437" s="16"/>
      <c r="M437" s="4"/>
      <c r="N437" s="4"/>
      <c r="O437" s="4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29"/>
      <c r="AE437" s="18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</row>
    <row r="438" spans="1:42" ht="67.5" hidden="1" customHeight="1" x14ac:dyDescent="0.2">
      <c r="A438" s="4"/>
      <c r="B438" s="4"/>
      <c r="C438" s="4"/>
      <c r="D438" s="4"/>
      <c r="E438" s="4"/>
      <c r="F438" s="4"/>
      <c r="G438" s="16"/>
      <c r="H438" s="16"/>
      <c r="I438" s="16"/>
      <c r="J438" s="16"/>
      <c r="K438" s="17"/>
      <c r="L438" s="16"/>
      <c r="M438" s="4"/>
      <c r="N438" s="4"/>
      <c r="O438" s="4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29"/>
      <c r="AE438" s="18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</row>
    <row r="439" spans="1:42" ht="67.5" hidden="1" customHeight="1" x14ac:dyDescent="0.2">
      <c r="A439" s="4"/>
      <c r="B439" s="4"/>
      <c r="C439" s="4"/>
      <c r="D439" s="4"/>
      <c r="E439" s="4"/>
      <c r="F439" s="4"/>
      <c r="G439" s="16"/>
      <c r="H439" s="16"/>
      <c r="I439" s="16"/>
      <c r="J439" s="16"/>
      <c r="K439" s="17"/>
      <c r="L439" s="16"/>
      <c r="M439" s="4"/>
      <c r="N439" s="4"/>
      <c r="O439" s="4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29"/>
      <c r="AE439" s="18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</row>
    <row r="440" spans="1:42" ht="67.5" hidden="1" customHeight="1" x14ac:dyDescent="0.2">
      <c r="A440" s="4"/>
      <c r="B440" s="4"/>
      <c r="C440" s="4"/>
      <c r="D440" s="4"/>
      <c r="E440" s="4"/>
      <c r="F440" s="4"/>
      <c r="G440" s="16"/>
      <c r="H440" s="16"/>
      <c r="I440" s="16"/>
      <c r="J440" s="16"/>
      <c r="K440" s="17"/>
      <c r="L440" s="16"/>
      <c r="M440" s="4"/>
      <c r="N440" s="4"/>
      <c r="O440" s="4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29"/>
      <c r="AE440" s="18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</row>
    <row r="441" spans="1:42" ht="67.5" hidden="1" customHeight="1" x14ac:dyDescent="0.2">
      <c r="A441" s="4"/>
      <c r="B441" s="4"/>
      <c r="C441" s="4"/>
      <c r="D441" s="4"/>
      <c r="E441" s="4"/>
      <c r="F441" s="4"/>
      <c r="G441" s="16"/>
      <c r="H441" s="16"/>
      <c r="I441" s="16"/>
      <c r="J441" s="16"/>
      <c r="K441" s="17"/>
      <c r="L441" s="16"/>
      <c r="M441" s="4"/>
      <c r="N441" s="4"/>
      <c r="O441" s="4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29"/>
      <c r="AE441" s="18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</row>
    <row r="442" spans="1:42" ht="67.5" hidden="1" customHeight="1" x14ac:dyDescent="0.2">
      <c r="A442" s="4"/>
      <c r="B442" s="4"/>
      <c r="C442" s="4"/>
      <c r="D442" s="4"/>
      <c r="E442" s="4"/>
      <c r="F442" s="4"/>
      <c r="G442" s="16"/>
      <c r="H442" s="16"/>
      <c r="I442" s="16"/>
      <c r="J442" s="16"/>
      <c r="K442" s="17"/>
      <c r="L442" s="16"/>
      <c r="M442" s="4"/>
      <c r="N442" s="4"/>
      <c r="O442" s="4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29"/>
      <c r="AE442" s="18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</row>
    <row r="443" spans="1:42" ht="67.5" hidden="1" customHeight="1" x14ac:dyDescent="0.2">
      <c r="A443" s="4"/>
      <c r="B443" s="4"/>
      <c r="C443" s="4"/>
      <c r="D443" s="4"/>
      <c r="E443" s="4"/>
      <c r="F443" s="4"/>
      <c r="G443" s="16"/>
      <c r="H443" s="16"/>
      <c r="I443" s="16"/>
      <c r="J443" s="16"/>
      <c r="K443" s="17"/>
      <c r="L443" s="16"/>
      <c r="M443" s="4"/>
      <c r="N443" s="4"/>
      <c r="O443" s="4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29"/>
      <c r="AE443" s="18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</row>
    <row r="444" spans="1:42" ht="67.5" hidden="1" customHeight="1" x14ac:dyDescent="0.2">
      <c r="A444" s="4"/>
      <c r="B444" s="4"/>
      <c r="C444" s="4"/>
      <c r="D444" s="4"/>
      <c r="E444" s="4"/>
      <c r="F444" s="4"/>
      <c r="G444" s="16"/>
      <c r="H444" s="16"/>
      <c r="I444" s="16"/>
      <c r="J444" s="16"/>
      <c r="K444" s="17"/>
      <c r="L444" s="16"/>
      <c r="M444" s="4"/>
      <c r="N444" s="4"/>
      <c r="O444" s="4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29"/>
      <c r="AE444" s="18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</row>
    <row r="445" spans="1:42" ht="67.5" hidden="1" customHeight="1" x14ac:dyDescent="0.2">
      <c r="A445" s="4"/>
      <c r="B445" s="4"/>
      <c r="C445" s="4"/>
      <c r="D445" s="4"/>
      <c r="E445" s="4"/>
      <c r="F445" s="4"/>
      <c r="G445" s="16"/>
      <c r="H445" s="16"/>
      <c r="I445" s="16"/>
      <c r="J445" s="16"/>
      <c r="K445" s="17"/>
      <c r="L445" s="16"/>
      <c r="M445" s="4"/>
      <c r="N445" s="4"/>
      <c r="O445" s="4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29"/>
      <c r="AE445" s="18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</row>
    <row r="446" spans="1:42" ht="67.5" hidden="1" customHeight="1" x14ac:dyDescent="0.2">
      <c r="A446" s="4"/>
      <c r="B446" s="4"/>
      <c r="C446" s="4"/>
      <c r="D446" s="4"/>
      <c r="E446" s="4"/>
      <c r="F446" s="4"/>
      <c r="G446" s="16"/>
      <c r="H446" s="16"/>
      <c r="I446" s="16"/>
      <c r="J446" s="16"/>
      <c r="K446" s="17"/>
      <c r="L446" s="16"/>
      <c r="M446" s="4"/>
      <c r="N446" s="4"/>
      <c r="O446" s="4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29"/>
      <c r="AE446" s="18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</row>
    <row r="447" spans="1:42" ht="67.5" hidden="1" customHeight="1" x14ac:dyDescent="0.2">
      <c r="A447" s="4"/>
      <c r="B447" s="4"/>
      <c r="C447" s="4"/>
      <c r="D447" s="4"/>
      <c r="E447" s="4"/>
      <c r="F447" s="4"/>
      <c r="G447" s="16"/>
      <c r="H447" s="16"/>
      <c r="I447" s="16"/>
      <c r="J447" s="16"/>
      <c r="K447" s="17"/>
      <c r="L447" s="16"/>
      <c r="M447" s="4"/>
      <c r="N447" s="4"/>
      <c r="O447" s="4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29"/>
      <c r="AE447" s="18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</row>
    <row r="448" spans="1:42" ht="67.5" hidden="1" customHeight="1" x14ac:dyDescent="0.2">
      <c r="A448" s="4"/>
      <c r="B448" s="4"/>
      <c r="C448" s="4"/>
      <c r="D448" s="4"/>
      <c r="E448" s="4"/>
      <c r="F448" s="4"/>
      <c r="G448" s="16"/>
      <c r="H448" s="16"/>
      <c r="I448" s="16"/>
      <c r="J448" s="16"/>
      <c r="K448" s="17"/>
      <c r="L448" s="16"/>
      <c r="M448" s="4"/>
      <c r="N448" s="4"/>
      <c r="O448" s="4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29"/>
      <c r="AE448" s="18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</row>
    <row r="449" spans="1:42" ht="67.5" hidden="1" customHeight="1" x14ac:dyDescent="0.2">
      <c r="A449" s="4"/>
      <c r="B449" s="4"/>
      <c r="C449" s="4"/>
      <c r="D449" s="4"/>
      <c r="E449" s="4"/>
      <c r="F449" s="4"/>
      <c r="G449" s="16"/>
      <c r="H449" s="16"/>
      <c r="I449" s="16"/>
      <c r="J449" s="16"/>
      <c r="K449" s="17"/>
      <c r="L449" s="16"/>
      <c r="M449" s="4"/>
      <c r="N449" s="4"/>
      <c r="O449" s="4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29"/>
      <c r="AE449" s="18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</row>
    <row r="450" spans="1:42" ht="67.5" hidden="1" customHeight="1" x14ac:dyDescent="0.2">
      <c r="A450" s="4"/>
      <c r="B450" s="4"/>
      <c r="C450" s="4"/>
      <c r="D450" s="4"/>
      <c r="E450" s="4"/>
      <c r="F450" s="4"/>
      <c r="G450" s="16"/>
      <c r="H450" s="16"/>
      <c r="I450" s="16"/>
      <c r="J450" s="16"/>
      <c r="K450" s="17"/>
      <c r="L450" s="16"/>
      <c r="M450" s="4"/>
      <c r="N450" s="4"/>
      <c r="O450" s="4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29"/>
      <c r="AE450" s="18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</row>
    <row r="451" spans="1:42" ht="67.5" hidden="1" customHeight="1" x14ac:dyDescent="0.2">
      <c r="A451" s="4"/>
      <c r="B451" s="4"/>
      <c r="C451" s="4"/>
      <c r="D451" s="4"/>
      <c r="E451" s="4"/>
      <c r="F451" s="4"/>
      <c r="G451" s="16"/>
      <c r="H451" s="16"/>
      <c r="I451" s="16"/>
      <c r="J451" s="16"/>
      <c r="K451" s="17"/>
      <c r="L451" s="16"/>
      <c r="M451" s="4"/>
      <c r="N451" s="4"/>
      <c r="O451" s="4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29"/>
      <c r="AE451" s="18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</row>
    <row r="452" spans="1:42" ht="67.5" hidden="1" customHeight="1" x14ac:dyDescent="0.2">
      <c r="A452" s="4"/>
      <c r="B452" s="4"/>
      <c r="C452" s="4"/>
      <c r="D452" s="4"/>
      <c r="E452" s="4"/>
      <c r="F452" s="4"/>
      <c r="G452" s="16"/>
      <c r="H452" s="16"/>
      <c r="I452" s="16"/>
      <c r="J452" s="16"/>
      <c r="K452" s="17"/>
      <c r="L452" s="16"/>
      <c r="M452" s="4"/>
      <c r="N452" s="4"/>
      <c r="O452" s="4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29"/>
      <c r="AE452" s="18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</row>
    <row r="453" spans="1:42" ht="67.5" hidden="1" customHeight="1" x14ac:dyDescent="0.2">
      <c r="A453" s="4"/>
      <c r="B453" s="4"/>
      <c r="C453" s="4"/>
      <c r="D453" s="4"/>
      <c r="E453" s="4"/>
      <c r="F453" s="4"/>
      <c r="G453" s="16"/>
      <c r="H453" s="16"/>
      <c r="I453" s="16"/>
      <c r="J453" s="16"/>
      <c r="K453" s="17"/>
      <c r="L453" s="16"/>
      <c r="M453" s="4"/>
      <c r="N453" s="4"/>
      <c r="O453" s="4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29"/>
      <c r="AE453" s="18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</row>
    <row r="454" spans="1:42" ht="67.5" hidden="1" customHeight="1" x14ac:dyDescent="0.2">
      <c r="A454" s="4"/>
      <c r="B454" s="4"/>
      <c r="C454" s="4"/>
      <c r="D454" s="4"/>
      <c r="E454" s="4"/>
      <c r="F454" s="4"/>
      <c r="G454" s="16"/>
      <c r="H454" s="16"/>
      <c r="I454" s="16"/>
      <c r="J454" s="16"/>
      <c r="K454" s="17"/>
      <c r="L454" s="16"/>
      <c r="M454" s="4"/>
      <c r="N454" s="4"/>
      <c r="O454" s="4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29"/>
      <c r="AE454" s="18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</row>
    <row r="455" spans="1:42" ht="67.5" hidden="1" customHeight="1" x14ac:dyDescent="0.2">
      <c r="A455" s="4"/>
      <c r="B455" s="4"/>
      <c r="C455" s="4"/>
      <c r="D455" s="4"/>
      <c r="E455" s="4"/>
      <c r="F455" s="4"/>
      <c r="G455" s="16"/>
      <c r="H455" s="16"/>
      <c r="I455" s="16"/>
      <c r="J455" s="16"/>
      <c r="K455" s="17"/>
      <c r="L455" s="16"/>
      <c r="M455" s="4"/>
      <c r="N455" s="4"/>
      <c r="O455" s="4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29"/>
      <c r="AE455" s="18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</row>
    <row r="456" spans="1:42" ht="67.5" hidden="1" customHeight="1" x14ac:dyDescent="0.2">
      <c r="A456" s="4"/>
      <c r="B456" s="4"/>
      <c r="C456" s="4"/>
      <c r="D456" s="4"/>
      <c r="E456" s="4"/>
      <c r="F456" s="4"/>
      <c r="G456" s="16"/>
      <c r="H456" s="16"/>
      <c r="I456" s="16"/>
      <c r="J456" s="16"/>
      <c r="K456" s="17"/>
      <c r="L456" s="16"/>
      <c r="M456" s="4"/>
      <c r="N456" s="4"/>
      <c r="O456" s="4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29"/>
      <c r="AE456" s="18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</row>
    <row r="457" spans="1:42" ht="67.5" hidden="1" customHeight="1" x14ac:dyDescent="0.2">
      <c r="A457" s="4"/>
      <c r="B457" s="4"/>
      <c r="C457" s="4"/>
      <c r="D457" s="4"/>
      <c r="E457" s="4"/>
      <c r="F457" s="4"/>
      <c r="G457" s="16"/>
      <c r="H457" s="16"/>
      <c r="I457" s="16"/>
      <c r="J457" s="16"/>
      <c r="K457" s="17"/>
      <c r="L457" s="16"/>
      <c r="M457" s="4"/>
      <c r="N457" s="4"/>
      <c r="O457" s="4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29"/>
      <c r="AE457" s="18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</row>
    <row r="458" spans="1:42" ht="67.5" hidden="1" customHeight="1" x14ac:dyDescent="0.2">
      <c r="A458" s="4"/>
      <c r="B458" s="4"/>
      <c r="C458" s="4"/>
      <c r="D458" s="4"/>
      <c r="E458" s="4"/>
      <c r="F458" s="4"/>
      <c r="G458" s="16"/>
      <c r="H458" s="16"/>
      <c r="I458" s="16"/>
      <c r="J458" s="16"/>
      <c r="K458" s="17"/>
      <c r="L458" s="16"/>
      <c r="M458" s="4"/>
      <c r="N458" s="4"/>
      <c r="O458" s="4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29"/>
      <c r="AE458" s="18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</row>
    <row r="459" spans="1:42" ht="67.5" hidden="1" customHeight="1" x14ac:dyDescent="0.2">
      <c r="A459" s="4"/>
      <c r="B459" s="4"/>
      <c r="C459" s="4"/>
      <c r="D459" s="4"/>
      <c r="E459" s="4"/>
      <c r="F459" s="4"/>
      <c r="G459" s="16"/>
      <c r="H459" s="16"/>
      <c r="I459" s="16"/>
      <c r="J459" s="16"/>
      <c r="K459" s="17"/>
      <c r="L459" s="16"/>
      <c r="M459" s="4"/>
      <c r="N459" s="4"/>
      <c r="O459" s="4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29"/>
      <c r="AE459" s="18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</row>
    <row r="460" spans="1:42" ht="67.5" hidden="1" customHeight="1" x14ac:dyDescent="0.2">
      <c r="A460" s="4"/>
      <c r="B460" s="4"/>
      <c r="C460" s="4"/>
      <c r="D460" s="4"/>
      <c r="E460" s="4"/>
      <c r="F460" s="4"/>
      <c r="G460" s="16"/>
      <c r="H460" s="16"/>
      <c r="I460" s="16"/>
      <c r="J460" s="16"/>
      <c r="K460" s="17"/>
      <c r="L460" s="16"/>
      <c r="M460" s="4"/>
      <c r="N460" s="4"/>
      <c r="O460" s="4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29"/>
      <c r="AE460" s="18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</row>
    <row r="461" spans="1:42" ht="67.5" hidden="1" customHeight="1" x14ac:dyDescent="0.2">
      <c r="A461" s="4"/>
      <c r="B461" s="4"/>
      <c r="C461" s="4"/>
      <c r="D461" s="4"/>
      <c r="E461" s="4"/>
      <c r="F461" s="4"/>
      <c r="G461" s="16"/>
      <c r="H461" s="16"/>
      <c r="I461" s="16"/>
      <c r="J461" s="16"/>
      <c r="K461" s="17"/>
      <c r="L461" s="16"/>
      <c r="M461" s="4"/>
      <c r="N461" s="4"/>
      <c r="O461" s="4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29"/>
      <c r="AE461" s="18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</row>
    <row r="462" spans="1:42" ht="67.5" hidden="1" customHeight="1" x14ac:dyDescent="0.2">
      <c r="A462" s="4"/>
      <c r="B462" s="4"/>
      <c r="C462" s="4"/>
      <c r="D462" s="4"/>
      <c r="E462" s="4"/>
      <c r="F462" s="4"/>
      <c r="G462" s="16"/>
      <c r="H462" s="16"/>
      <c r="I462" s="16"/>
      <c r="J462" s="16"/>
      <c r="K462" s="17"/>
      <c r="L462" s="16"/>
      <c r="M462" s="4"/>
      <c r="N462" s="4"/>
      <c r="O462" s="4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29"/>
      <c r="AE462" s="18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</row>
    <row r="463" spans="1:42" ht="67.5" hidden="1" customHeight="1" x14ac:dyDescent="0.2">
      <c r="A463" s="4"/>
      <c r="B463" s="4"/>
      <c r="C463" s="4"/>
      <c r="D463" s="4"/>
      <c r="E463" s="4"/>
      <c r="F463" s="4"/>
      <c r="G463" s="16"/>
      <c r="H463" s="16"/>
      <c r="I463" s="16"/>
      <c r="J463" s="16"/>
      <c r="K463" s="17"/>
      <c r="L463" s="16"/>
      <c r="M463" s="4"/>
      <c r="N463" s="4"/>
      <c r="O463" s="4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29"/>
      <c r="AE463" s="18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</row>
    <row r="464" spans="1:42" ht="67.5" hidden="1" customHeight="1" x14ac:dyDescent="0.2">
      <c r="A464" s="4"/>
      <c r="B464" s="4"/>
      <c r="C464" s="4"/>
      <c r="D464" s="4"/>
      <c r="E464" s="4"/>
      <c r="F464" s="4"/>
      <c r="G464" s="16"/>
      <c r="H464" s="16"/>
      <c r="I464" s="16"/>
      <c r="J464" s="16"/>
      <c r="K464" s="17"/>
      <c r="L464" s="16"/>
      <c r="M464" s="4"/>
      <c r="N464" s="4"/>
      <c r="O464" s="4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29"/>
      <c r="AE464" s="18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</row>
    <row r="465" spans="1:42" ht="67.5" hidden="1" customHeight="1" x14ac:dyDescent="0.2">
      <c r="A465" s="4"/>
      <c r="B465" s="4"/>
      <c r="C465" s="4"/>
      <c r="D465" s="4"/>
      <c r="E465" s="4"/>
      <c r="F465" s="4"/>
      <c r="G465" s="16"/>
      <c r="H465" s="16"/>
      <c r="I465" s="16"/>
      <c r="J465" s="16"/>
      <c r="K465" s="17"/>
      <c r="L465" s="16"/>
      <c r="M465" s="4"/>
      <c r="N465" s="4"/>
      <c r="O465" s="4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29"/>
      <c r="AE465" s="18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</row>
    <row r="466" spans="1:42" ht="67.5" hidden="1" customHeight="1" x14ac:dyDescent="0.2">
      <c r="A466" s="4"/>
      <c r="B466" s="4"/>
      <c r="C466" s="4"/>
      <c r="D466" s="4"/>
      <c r="E466" s="4"/>
      <c r="F466" s="4"/>
      <c r="G466" s="16"/>
      <c r="H466" s="16"/>
      <c r="I466" s="16"/>
      <c r="J466" s="16"/>
      <c r="K466" s="17"/>
      <c r="L466" s="16"/>
      <c r="M466" s="4"/>
      <c r="N466" s="4"/>
      <c r="O466" s="4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29"/>
      <c r="AE466" s="18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</row>
    <row r="467" spans="1:42" ht="67.5" hidden="1" customHeight="1" x14ac:dyDescent="0.2">
      <c r="A467" s="4"/>
      <c r="B467" s="4"/>
      <c r="C467" s="4"/>
      <c r="D467" s="4"/>
      <c r="E467" s="4"/>
      <c r="F467" s="4"/>
      <c r="G467" s="16"/>
      <c r="H467" s="16"/>
      <c r="I467" s="16"/>
      <c r="J467" s="16"/>
      <c r="K467" s="17"/>
      <c r="L467" s="16"/>
      <c r="M467" s="4"/>
      <c r="N467" s="4"/>
      <c r="O467" s="4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29"/>
      <c r="AE467" s="18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</row>
    <row r="468" spans="1:42" ht="67.5" hidden="1" customHeight="1" x14ac:dyDescent="0.2">
      <c r="A468" s="4"/>
      <c r="B468" s="4"/>
      <c r="C468" s="4"/>
      <c r="D468" s="4"/>
      <c r="E468" s="4"/>
      <c r="F468" s="4"/>
      <c r="G468" s="16"/>
      <c r="H468" s="16"/>
      <c r="I468" s="16"/>
      <c r="J468" s="16"/>
      <c r="K468" s="17"/>
      <c r="L468" s="16"/>
      <c r="M468" s="4"/>
      <c r="N468" s="4"/>
      <c r="O468" s="4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29"/>
      <c r="AE468" s="18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</row>
    <row r="469" spans="1:42" ht="67.5" hidden="1" customHeight="1" x14ac:dyDescent="0.2">
      <c r="A469" s="4"/>
      <c r="B469" s="4"/>
      <c r="C469" s="4"/>
      <c r="D469" s="4"/>
      <c r="E469" s="4"/>
      <c r="F469" s="4"/>
      <c r="G469" s="16"/>
      <c r="H469" s="16"/>
      <c r="I469" s="16"/>
      <c r="J469" s="16"/>
      <c r="K469" s="17"/>
      <c r="L469" s="16"/>
      <c r="M469" s="4"/>
      <c r="N469" s="4"/>
      <c r="O469" s="4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29"/>
      <c r="AE469" s="18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</row>
    <row r="470" spans="1:42" ht="67.5" hidden="1" customHeight="1" x14ac:dyDescent="0.2">
      <c r="A470" s="4"/>
      <c r="B470" s="4"/>
      <c r="C470" s="4"/>
      <c r="D470" s="4"/>
      <c r="E470" s="4"/>
      <c r="F470" s="4"/>
      <c r="G470" s="16"/>
      <c r="H470" s="16"/>
      <c r="I470" s="16"/>
      <c r="J470" s="16"/>
      <c r="K470" s="17"/>
      <c r="L470" s="16"/>
      <c r="M470" s="4"/>
      <c r="N470" s="4"/>
      <c r="O470" s="4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29"/>
      <c r="AE470" s="18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</row>
    <row r="471" spans="1:42" ht="67.5" hidden="1" customHeight="1" x14ac:dyDescent="0.2">
      <c r="A471" s="4"/>
      <c r="B471" s="4"/>
      <c r="C471" s="4"/>
      <c r="D471" s="4"/>
      <c r="E471" s="4"/>
      <c r="F471" s="4"/>
      <c r="G471" s="16"/>
      <c r="H471" s="16"/>
      <c r="I471" s="16"/>
      <c r="J471" s="16"/>
      <c r="K471" s="17"/>
      <c r="L471" s="16"/>
      <c r="M471" s="4"/>
      <c r="N471" s="4"/>
      <c r="O471" s="4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29"/>
      <c r="AE471" s="18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</row>
    <row r="472" spans="1:42" ht="67.5" hidden="1" customHeight="1" x14ac:dyDescent="0.2">
      <c r="A472" s="4"/>
      <c r="B472" s="4"/>
      <c r="C472" s="4"/>
      <c r="D472" s="4"/>
      <c r="E472" s="4"/>
      <c r="F472" s="4"/>
      <c r="G472" s="16"/>
      <c r="H472" s="16"/>
      <c r="I472" s="16"/>
      <c r="J472" s="16"/>
      <c r="K472" s="17"/>
      <c r="L472" s="16"/>
      <c r="M472" s="4"/>
      <c r="N472" s="4"/>
      <c r="O472" s="4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29"/>
      <c r="AE472" s="18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</row>
    <row r="473" spans="1:42" ht="67.5" hidden="1" customHeight="1" x14ac:dyDescent="0.2">
      <c r="A473" s="4"/>
      <c r="B473" s="4"/>
      <c r="C473" s="4"/>
      <c r="D473" s="4"/>
      <c r="E473" s="4"/>
      <c r="F473" s="4"/>
      <c r="G473" s="16"/>
      <c r="H473" s="16"/>
      <c r="I473" s="16"/>
      <c r="J473" s="16"/>
      <c r="K473" s="17"/>
      <c r="L473" s="16"/>
      <c r="M473" s="4"/>
      <c r="N473" s="4"/>
      <c r="O473" s="4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29"/>
      <c r="AE473" s="18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</row>
    <row r="474" spans="1:42" ht="67.5" hidden="1" customHeight="1" x14ac:dyDescent="0.2">
      <c r="A474" s="4"/>
      <c r="B474" s="4"/>
      <c r="C474" s="4"/>
      <c r="D474" s="4"/>
      <c r="E474" s="4"/>
      <c r="F474" s="4"/>
      <c r="G474" s="16"/>
      <c r="H474" s="16"/>
      <c r="I474" s="16"/>
      <c r="J474" s="16"/>
      <c r="K474" s="17"/>
      <c r="L474" s="16"/>
      <c r="M474" s="4"/>
      <c r="N474" s="4"/>
      <c r="O474" s="4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29"/>
      <c r="AE474" s="18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</row>
    <row r="475" spans="1:42" ht="67.5" hidden="1" customHeight="1" x14ac:dyDescent="0.2">
      <c r="A475" s="4"/>
      <c r="B475" s="4"/>
      <c r="C475" s="4"/>
      <c r="D475" s="4"/>
      <c r="E475" s="4"/>
      <c r="F475" s="4"/>
      <c r="G475" s="16"/>
      <c r="H475" s="16"/>
      <c r="I475" s="16"/>
      <c r="J475" s="16"/>
      <c r="K475" s="17"/>
      <c r="L475" s="16"/>
      <c r="M475" s="4"/>
      <c r="N475" s="4"/>
      <c r="O475" s="4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29"/>
      <c r="AE475" s="18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</row>
    <row r="476" spans="1:42" ht="67.5" hidden="1" customHeight="1" x14ac:dyDescent="0.2">
      <c r="A476" s="4"/>
      <c r="B476" s="4"/>
      <c r="C476" s="4"/>
      <c r="D476" s="4"/>
      <c r="E476" s="4"/>
      <c r="F476" s="4"/>
      <c r="G476" s="16"/>
      <c r="H476" s="16"/>
      <c r="I476" s="16"/>
      <c r="J476" s="16"/>
      <c r="K476" s="17"/>
      <c r="L476" s="16"/>
      <c r="M476" s="4"/>
      <c r="N476" s="4"/>
      <c r="O476" s="4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29"/>
      <c r="AE476" s="18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</row>
    <row r="477" spans="1:42" ht="67.5" hidden="1" customHeight="1" x14ac:dyDescent="0.2">
      <c r="A477" s="4"/>
      <c r="B477" s="4"/>
      <c r="C477" s="4"/>
      <c r="D477" s="4"/>
      <c r="E477" s="4"/>
      <c r="F477" s="4"/>
      <c r="G477" s="16"/>
      <c r="H477" s="16"/>
      <c r="I477" s="16"/>
      <c r="J477" s="16"/>
      <c r="K477" s="17"/>
      <c r="L477" s="16"/>
      <c r="M477" s="4"/>
      <c r="N477" s="4"/>
      <c r="O477" s="4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29"/>
      <c r="AE477" s="18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</row>
    <row r="478" spans="1:42" ht="67.5" hidden="1" customHeight="1" x14ac:dyDescent="0.2">
      <c r="A478" s="4"/>
      <c r="B478" s="4"/>
      <c r="C478" s="4"/>
      <c r="D478" s="4"/>
      <c r="E478" s="4"/>
      <c r="F478" s="4"/>
      <c r="G478" s="16"/>
      <c r="H478" s="16"/>
      <c r="I478" s="16"/>
      <c r="J478" s="16"/>
      <c r="K478" s="17"/>
      <c r="L478" s="16"/>
      <c r="M478" s="4"/>
      <c r="N478" s="4"/>
      <c r="O478" s="4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29"/>
      <c r="AE478" s="18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</row>
    <row r="479" spans="1:42" ht="67.5" hidden="1" customHeight="1" x14ac:dyDescent="0.2">
      <c r="A479" s="4"/>
      <c r="B479" s="4"/>
      <c r="C479" s="4"/>
      <c r="D479" s="4"/>
      <c r="E479" s="4"/>
      <c r="F479" s="4"/>
      <c r="G479" s="16"/>
      <c r="H479" s="16"/>
      <c r="I479" s="16"/>
      <c r="J479" s="16"/>
      <c r="K479" s="17"/>
      <c r="L479" s="16"/>
      <c r="M479" s="4"/>
      <c r="N479" s="4"/>
      <c r="O479" s="4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29"/>
      <c r="AE479" s="18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</row>
    <row r="480" spans="1:42" ht="67.5" hidden="1" customHeight="1" x14ac:dyDescent="0.2">
      <c r="A480" s="4"/>
      <c r="B480" s="4"/>
      <c r="C480" s="4"/>
      <c r="D480" s="4"/>
      <c r="E480" s="4"/>
      <c r="F480" s="4"/>
      <c r="G480" s="16"/>
      <c r="H480" s="16"/>
      <c r="I480" s="16"/>
      <c r="J480" s="16"/>
      <c r="K480" s="17"/>
      <c r="L480" s="16"/>
      <c r="M480" s="4"/>
      <c r="N480" s="4"/>
      <c r="O480" s="4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29"/>
      <c r="AE480" s="18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</row>
    <row r="481" spans="1:42" ht="67.5" hidden="1" customHeight="1" x14ac:dyDescent="0.2">
      <c r="A481" s="4"/>
      <c r="B481" s="4"/>
      <c r="C481" s="4"/>
      <c r="D481" s="4"/>
      <c r="E481" s="4"/>
      <c r="F481" s="4"/>
      <c r="G481" s="16"/>
      <c r="H481" s="16"/>
      <c r="I481" s="16"/>
      <c r="J481" s="16"/>
      <c r="K481" s="17"/>
      <c r="L481" s="16"/>
      <c r="M481" s="4"/>
      <c r="N481" s="4"/>
      <c r="O481" s="4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29"/>
      <c r="AE481" s="18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</row>
    <row r="482" spans="1:42" ht="67.5" hidden="1" customHeight="1" x14ac:dyDescent="0.2">
      <c r="A482" s="4"/>
      <c r="B482" s="4"/>
      <c r="C482" s="4"/>
      <c r="D482" s="4"/>
      <c r="E482" s="4"/>
      <c r="F482" s="4"/>
      <c r="G482" s="16"/>
      <c r="H482" s="16"/>
      <c r="I482" s="16"/>
      <c r="J482" s="16"/>
      <c r="K482" s="17"/>
      <c r="L482" s="16"/>
      <c r="M482" s="4"/>
      <c r="N482" s="4"/>
      <c r="O482" s="4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29"/>
      <c r="AE482" s="18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</row>
    <row r="483" spans="1:42" ht="67.5" hidden="1" customHeight="1" x14ac:dyDescent="0.2">
      <c r="A483" s="4"/>
      <c r="B483" s="4"/>
      <c r="C483" s="4"/>
      <c r="D483" s="4"/>
      <c r="E483" s="4"/>
      <c r="F483" s="4"/>
      <c r="G483" s="16"/>
      <c r="H483" s="16"/>
      <c r="I483" s="16"/>
      <c r="J483" s="16"/>
      <c r="K483" s="17"/>
      <c r="L483" s="16"/>
      <c r="M483" s="4"/>
      <c r="N483" s="4"/>
      <c r="O483" s="4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29"/>
      <c r="AE483" s="18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</row>
    <row r="484" spans="1:42" ht="67.5" hidden="1" customHeight="1" x14ac:dyDescent="0.2">
      <c r="A484" s="4"/>
      <c r="B484" s="4"/>
      <c r="C484" s="4"/>
      <c r="D484" s="4"/>
      <c r="E484" s="4"/>
      <c r="F484" s="4"/>
      <c r="G484" s="16"/>
      <c r="H484" s="16"/>
      <c r="I484" s="16"/>
      <c r="J484" s="16"/>
      <c r="K484" s="17"/>
      <c r="L484" s="16"/>
      <c r="M484" s="4"/>
      <c r="N484" s="4"/>
      <c r="O484" s="4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29"/>
      <c r="AE484" s="18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</row>
    <row r="485" spans="1:42" ht="67.5" hidden="1" customHeight="1" x14ac:dyDescent="0.2">
      <c r="A485" s="4"/>
      <c r="B485" s="4"/>
      <c r="C485" s="4"/>
      <c r="D485" s="4"/>
      <c r="E485" s="4"/>
      <c r="F485" s="4"/>
      <c r="G485" s="16"/>
      <c r="H485" s="16"/>
      <c r="I485" s="16"/>
      <c r="J485" s="16"/>
      <c r="K485" s="17"/>
      <c r="L485" s="16"/>
      <c r="M485" s="4"/>
      <c r="N485" s="4"/>
      <c r="O485" s="4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29"/>
      <c r="AE485" s="18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</row>
    <row r="486" spans="1:42" ht="67.5" hidden="1" customHeight="1" x14ac:dyDescent="0.2">
      <c r="A486" s="4"/>
      <c r="B486" s="4"/>
      <c r="C486" s="4"/>
      <c r="D486" s="4"/>
      <c r="E486" s="4"/>
      <c r="F486" s="4"/>
      <c r="G486" s="16"/>
      <c r="H486" s="16"/>
      <c r="I486" s="16"/>
      <c r="J486" s="16"/>
      <c r="K486" s="17"/>
      <c r="L486" s="16"/>
      <c r="M486" s="4"/>
      <c r="N486" s="4"/>
      <c r="O486" s="4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29"/>
      <c r="AE486" s="18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</row>
    <row r="487" spans="1:42" ht="67.5" hidden="1" customHeight="1" x14ac:dyDescent="0.2">
      <c r="A487" s="4"/>
      <c r="B487" s="4"/>
      <c r="C487" s="4"/>
      <c r="D487" s="4"/>
      <c r="E487" s="4"/>
      <c r="F487" s="4"/>
      <c r="G487" s="16"/>
      <c r="H487" s="16"/>
      <c r="I487" s="16"/>
      <c r="J487" s="16"/>
      <c r="K487" s="17"/>
      <c r="L487" s="16"/>
      <c r="M487" s="4"/>
      <c r="N487" s="4"/>
      <c r="O487" s="4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29"/>
      <c r="AE487" s="18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</row>
    <row r="488" spans="1:42" ht="67.5" hidden="1" customHeight="1" x14ac:dyDescent="0.2">
      <c r="A488" s="4"/>
      <c r="B488" s="4"/>
      <c r="C488" s="4"/>
      <c r="D488" s="4"/>
      <c r="E488" s="4"/>
      <c r="F488" s="4"/>
      <c r="G488" s="16"/>
      <c r="H488" s="16"/>
      <c r="I488" s="16"/>
      <c r="J488" s="16"/>
      <c r="K488" s="17"/>
      <c r="L488" s="16"/>
      <c r="M488" s="4"/>
      <c r="N488" s="4"/>
      <c r="O488" s="4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29"/>
      <c r="AE488" s="18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</row>
    <row r="489" spans="1:42" ht="67.5" hidden="1" customHeight="1" x14ac:dyDescent="0.2">
      <c r="A489" s="4"/>
      <c r="B489" s="4"/>
      <c r="C489" s="4"/>
      <c r="D489" s="4"/>
      <c r="E489" s="4"/>
      <c r="F489" s="4"/>
      <c r="G489" s="16"/>
      <c r="H489" s="16"/>
      <c r="I489" s="16"/>
      <c r="J489" s="16"/>
      <c r="K489" s="17"/>
      <c r="L489" s="16"/>
      <c r="M489" s="4"/>
      <c r="N489" s="4"/>
      <c r="O489" s="4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29"/>
      <c r="AE489" s="18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</row>
    <row r="490" spans="1:42" ht="67.5" hidden="1" customHeight="1" x14ac:dyDescent="0.2">
      <c r="A490" s="4"/>
      <c r="B490" s="4"/>
      <c r="C490" s="4"/>
      <c r="D490" s="4"/>
      <c r="E490" s="4"/>
      <c r="F490" s="4"/>
      <c r="G490" s="16"/>
      <c r="H490" s="16"/>
      <c r="I490" s="16"/>
      <c r="J490" s="16"/>
      <c r="K490" s="17"/>
      <c r="L490" s="16"/>
      <c r="M490" s="4"/>
      <c r="N490" s="4"/>
      <c r="O490" s="4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29"/>
      <c r="AE490" s="18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</row>
    <row r="491" spans="1:42" ht="67.5" hidden="1" customHeight="1" x14ac:dyDescent="0.2">
      <c r="A491" s="4"/>
      <c r="B491" s="4"/>
      <c r="C491" s="4"/>
      <c r="D491" s="4"/>
      <c r="E491" s="4"/>
      <c r="F491" s="4"/>
      <c r="G491" s="16"/>
      <c r="H491" s="16"/>
      <c r="I491" s="16"/>
      <c r="J491" s="16"/>
      <c r="K491" s="17"/>
      <c r="L491" s="16"/>
      <c r="M491" s="4"/>
      <c r="N491" s="4"/>
      <c r="O491" s="4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29"/>
      <c r="AE491" s="18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</row>
    <row r="492" spans="1:42" ht="67.5" hidden="1" customHeight="1" x14ac:dyDescent="0.2">
      <c r="A492" s="4"/>
      <c r="B492" s="4"/>
      <c r="C492" s="4"/>
      <c r="D492" s="4"/>
      <c r="E492" s="4"/>
      <c r="F492" s="4"/>
      <c r="G492" s="16"/>
      <c r="H492" s="16"/>
      <c r="I492" s="16"/>
      <c r="J492" s="16"/>
      <c r="K492" s="17"/>
      <c r="L492" s="16"/>
      <c r="M492" s="4"/>
      <c r="N492" s="4"/>
      <c r="O492" s="4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29"/>
      <c r="AE492" s="18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</row>
    <row r="493" spans="1:42" ht="67.5" hidden="1" customHeight="1" x14ac:dyDescent="0.2">
      <c r="A493" s="4"/>
      <c r="B493" s="4"/>
      <c r="C493" s="4"/>
      <c r="D493" s="4"/>
      <c r="E493" s="4"/>
      <c r="F493" s="4"/>
      <c r="G493" s="16"/>
      <c r="H493" s="16"/>
      <c r="I493" s="16"/>
      <c r="J493" s="16"/>
      <c r="K493" s="17"/>
      <c r="L493" s="16"/>
      <c r="M493" s="4"/>
      <c r="N493" s="4"/>
      <c r="O493" s="4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29"/>
      <c r="AE493" s="18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</row>
    <row r="494" spans="1:42" ht="67.5" hidden="1" customHeight="1" x14ac:dyDescent="0.2">
      <c r="A494" s="4"/>
      <c r="B494" s="4"/>
      <c r="C494" s="4"/>
      <c r="D494" s="4"/>
      <c r="E494" s="4"/>
      <c r="F494" s="4"/>
      <c r="G494" s="16"/>
      <c r="H494" s="16"/>
      <c r="I494" s="16"/>
      <c r="J494" s="16"/>
      <c r="K494" s="17"/>
      <c r="L494" s="16"/>
      <c r="M494" s="4"/>
      <c r="N494" s="4"/>
      <c r="O494" s="4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29"/>
      <c r="AE494" s="18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</row>
    <row r="495" spans="1:42" ht="67.5" hidden="1" customHeight="1" x14ac:dyDescent="0.2">
      <c r="A495" s="4"/>
      <c r="B495" s="4"/>
      <c r="C495" s="4"/>
      <c r="D495" s="4"/>
      <c r="E495" s="4"/>
      <c r="F495" s="4"/>
      <c r="G495" s="16"/>
      <c r="H495" s="16"/>
      <c r="I495" s="16"/>
      <c r="J495" s="16"/>
      <c r="K495" s="17"/>
      <c r="L495" s="16"/>
      <c r="M495" s="4"/>
      <c r="N495" s="4"/>
      <c r="O495" s="4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29"/>
      <c r="AE495" s="18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</row>
    <row r="496" spans="1:42" ht="67.5" hidden="1" customHeight="1" x14ac:dyDescent="0.2">
      <c r="A496" s="4"/>
      <c r="B496" s="4"/>
      <c r="C496" s="4"/>
      <c r="D496" s="4"/>
      <c r="E496" s="4"/>
      <c r="F496" s="4"/>
      <c r="G496" s="16"/>
      <c r="H496" s="16"/>
      <c r="I496" s="16"/>
      <c r="J496" s="16"/>
      <c r="K496" s="17"/>
      <c r="L496" s="16"/>
      <c r="M496" s="4"/>
      <c r="N496" s="4"/>
      <c r="O496" s="4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29"/>
      <c r="AE496" s="18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</row>
    <row r="497" spans="1:42" ht="67.5" hidden="1" customHeight="1" x14ac:dyDescent="0.2">
      <c r="A497" s="4"/>
      <c r="B497" s="4"/>
      <c r="C497" s="4"/>
      <c r="D497" s="4"/>
      <c r="E497" s="4"/>
      <c r="F497" s="4"/>
      <c r="G497" s="16"/>
      <c r="H497" s="16"/>
      <c r="I497" s="16"/>
      <c r="J497" s="16"/>
      <c r="K497" s="17"/>
      <c r="L497" s="16"/>
      <c r="M497" s="4"/>
      <c r="N497" s="4"/>
      <c r="O497" s="4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29"/>
      <c r="AE497" s="18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</row>
    <row r="498" spans="1:42" ht="12.75" customHeight="1" x14ac:dyDescent="0.2"/>
    <row r="499" spans="1:42" ht="12.75" customHeight="1" x14ac:dyDescent="0.2"/>
    <row r="500" spans="1:42" ht="12.75" customHeight="1" x14ac:dyDescent="0.2"/>
    <row r="501" spans="1:42" ht="12.75" customHeight="1" x14ac:dyDescent="0.2"/>
    <row r="502" spans="1:42" ht="12.75" customHeight="1" x14ac:dyDescent="0.2"/>
    <row r="503" spans="1:42" ht="12.75" customHeight="1" x14ac:dyDescent="0.2"/>
    <row r="504" spans="1:42" ht="12.75" customHeight="1" x14ac:dyDescent="0.2"/>
    <row r="505" spans="1:42" ht="12.75" customHeight="1" x14ac:dyDescent="0.2"/>
    <row r="506" spans="1:42" ht="12.75" customHeight="1" x14ac:dyDescent="0.2"/>
    <row r="507" spans="1:42" ht="12.75" customHeight="1" x14ac:dyDescent="0.2"/>
    <row r="508" spans="1:42" ht="12.75" customHeight="1" x14ac:dyDescent="0.2"/>
    <row r="509" spans="1:42" ht="12.75" customHeight="1" x14ac:dyDescent="0.2"/>
    <row r="510" spans="1:42" ht="12.75" customHeight="1" x14ac:dyDescent="0.2"/>
    <row r="511" spans="1:42" ht="12.75" customHeight="1" x14ac:dyDescent="0.2"/>
    <row r="512" spans="1:4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</sheetData>
  <mergeCells count="12">
    <mergeCell ref="U9:AD10"/>
    <mergeCell ref="AA12:AB24"/>
    <mergeCell ref="C24:O24"/>
    <mergeCell ref="T25:T47"/>
    <mergeCell ref="T159:T207"/>
    <mergeCell ref="C207:O207"/>
    <mergeCell ref="C48:O48"/>
    <mergeCell ref="T49:T89"/>
    <mergeCell ref="O82:O88"/>
    <mergeCell ref="C90:O90"/>
    <mergeCell ref="T91:T158"/>
    <mergeCell ref="C158:O158"/>
  </mergeCells>
  <phoneticPr fontId="20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Solicitação Cotação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Cordone</dc:creator>
  <cp:lastModifiedBy>Cláudio Del Duca</cp:lastModifiedBy>
  <dcterms:created xsi:type="dcterms:W3CDTF">2025-08-15T20:18:13Z</dcterms:created>
  <dcterms:modified xsi:type="dcterms:W3CDTF">2025-08-19T16:06:41Z</dcterms:modified>
</cp:coreProperties>
</file>