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6 - OPERACIONAL\"/>
    </mc:Choice>
  </mc:AlternateContent>
  <xr:revisionPtr revIDLastSave="0" documentId="13_ncr:1_{E5C1DBB0-39EC-4A2D-B732-29586B31F9A5}" xr6:coauthVersionLast="47" xr6:coauthVersionMax="47" xr10:uidLastSave="{00000000-0000-0000-0000-000000000000}"/>
  <bookViews>
    <workbookView xWindow="-120" yWindow="-120" windowWidth="20730" windowHeight="11040" firstSheet="7" activeTab="7" xr2:uid="{00000000-000D-0000-FFFF-FFFF00000000}"/>
  </bookViews>
  <sheets>
    <sheet name="No. de Novos Negócios" sheetId="5" state="hidden" r:id="rId1"/>
    <sheet name="WIN  LOSS" sheetId="6" state="hidden" r:id="rId2"/>
    <sheet name="Prop. em Andamento" sheetId="7" state="hidden" r:id="rId3"/>
    <sheet name="status proposta" sheetId="9" state="hidden" r:id="rId4"/>
    <sheet name="Atividades semanais" sheetId="10" state="hidden" r:id="rId5"/>
    <sheet name="Andamento" sheetId="11" state="hidden" r:id="rId6"/>
    <sheet name="Planilha1" sheetId="3" state="hidden" r:id="rId7"/>
    <sheet name="RD 01.07.21 à 06.08.21" sheetId="56" r:id="rId8"/>
  </sheets>
  <definedNames>
    <definedName name="_xlnm.Print_Area" localSheetId="7">'RD 01.07.21 à 06.08.21'!$B$1:$R$56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56" l="1"/>
  <c r="G47" i="56"/>
  <c r="G27" i="56"/>
</calcChain>
</file>

<file path=xl/sharedStrings.xml><?xml version="1.0" encoding="utf-8"?>
<sst xmlns="http://schemas.openxmlformats.org/spreadsheetml/2006/main" count="120" uniqueCount="87">
  <si>
    <t>Segmento</t>
  </si>
  <si>
    <t>E-mail</t>
  </si>
  <si>
    <t>Ultimo Contato</t>
  </si>
  <si>
    <t>Data do Primeiro Contato</t>
  </si>
  <si>
    <t>Canal InBound</t>
  </si>
  <si>
    <t>Etapa do funil</t>
  </si>
  <si>
    <t>Prospecção</t>
  </si>
  <si>
    <t>Levantamento das Necessidades</t>
  </si>
  <si>
    <t>Apresentação de Proposta</t>
  </si>
  <si>
    <t>Negociação</t>
  </si>
  <si>
    <t>Fechamento da Proposta</t>
  </si>
  <si>
    <t>Google</t>
  </si>
  <si>
    <t>Assistente Comercial</t>
  </si>
  <si>
    <t>Indicação</t>
  </si>
  <si>
    <t>Experiência Anterior</t>
  </si>
  <si>
    <t>Prospecção Ativa</t>
  </si>
  <si>
    <t>W&amp;Dio</t>
  </si>
  <si>
    <t>Administradora</t>
  </si>
  <si>
    <t>Construtora</t>
  </si>
  <si>
    <t>Condominios</t>
  </si>
  <si>
    <t>Hospitalar</t>
  </si>
  <si>
    <t>Shopping</t>
  </si>
  <si>
    <t>Empresa</t>
  </si>
  <si>
    <t>Industria</t>
  </si>
  <si>
    <t>Promocional</t>
  </si>
  <si>
    <t>Convencional</t>
  </si>
  <si>
    <t>Nível 01</t>
  </si>
  <si>
    <t>DATA DA VISITA</t>
  </si>
  <si>
    <t>Loss</t>
  </si>
  <si>
    <t>Rótulos de Linha</t>
  </si>
  <si>
    <t>(vazio)</t>
  </si>
  <si>
    <t>Total Geral</t>
  </si>
  <si>
    <t>Contagem de N0. SEQ.</t>
  </si>
  <si>
    <t>Win</t>
  </si>
  <si>
    <t xml:space="preserve">Contagem de Win / Loss </t>
  </si>
  <si>
    <t>Soma de Valor (R$)</t>
  </si>
  <si>
    <t>Andamento</t>
  </si>
  <si>
    <t>Contagem de Status de Evolução</t>
  </si>
  <si>
    <t>Ligação</t>
  </si>
  <si>
    <t>E-mail Marketing</t>
  </si>
  <si>
    <t>Visita</t>
  </si>
  <si>
    <t>Skype</t>
  </si>
  <si>
    <t>Contagem de Canal Ultilizado</t>
  </si>
  <si>
    <t>(Tudo)</t>
  </si>
  <si>
    <t>Contagem de Canal Ultilizado2</t>
  </si>
  <si>
    <t>Contagem de Valor (R$)</t>
  </si>
  <si>
    <t>Soma de Valor (R$)2</t>
  </si>
  <si>
    <t>Status</t>
  </si>
  <si>
    <t>No. De propostas</t>
  </si>
  <si>
    <t>Valor das Propostas</t>
  </si>
  <si>
    <t>Informações do Solicitante</t>
  </si>
  <si>
    <t>Mês de Referência:</t>
  </si>
  <si>
    <t>Responsável pela Solicitação:</t>
  </si>
  <si>
    <t>Data da Solicitação:</t>
  </si>
  <si>
    <t>R$ UNITÁRIO</t>
  </si>
  <si>
    <t>R$ TOTAL</t>
  </si>
  <si>
    <t>DESTINO</t>
  </si>
  <si>
    <t>TOTAL GERAL</t>
  </si>
  <si>
    <t>DESPESAS COM REFEIÇÃO</t>
  </si>
  <si>
    <t>OBSERVAÇÃO</t>
  </si>
  <si>
    <t>FECHAMENTO DAS DESPESAS</t>
  </si>
  <si>
    <t>TOTAL GERAL DAS DESPESAS</t>
  </si>
  <si>
    <t>TOTAL A RESTITUIR</t>
  </si>
  <si>
    <t>Aprovações</t>
  </si>
  <si>
    <t>Solicitante:</t>
  </si>
  <si>
    <t>Loss (Perda)</t>
  </si>
  <si>
    <t>Win (Ganho)</t>
  </si>
  <si>
    <t>QUANT.</t>
  </si>
  <si>
    <t>DATA</t>
  </si>
  <si>
    <t>Renato Gabriel</t>
  </si>
  <si>
    <t>DESPESAS GERAIS/ MANUTENÇÃO</t>
  </si>
  <si>
    <t>SERVIÇO</t>
  </si>
  <si>
    <t>KM RODADO</t>
  </si>
  <si>
    <t>DESPESAS COMBUSTÍVEL</t>
  </si>
  <si>
    <t>R$ KM</t>
  </si>
  <si>
    <t>DIRETORIA</t>
  </si>
  <si>
    <t>FINANCEIRO</t>
  </si>
  <si>
    <t xml:space="preserve">REEMBOLSO DE DESPESAS </t>
  </si>
  <si>
    <t>ITENS</t>
  </si>
  <si>
    <t xml:space="preserve">DESPESAS </t>
  </si>
  <si>
    <t xml:space="preserve">                                 LEISLIE </t>
  </si>
  <si>
    <t xml:space="preserve">             JULHO/23</t>
  </si>
  <si>
    <t xml:space="preserve">        28/07/2023</t>
  </si>
  <si>
    <t xml:space="preserve">TROCA DO BICO DE VALVULA PNEU </t>
  </si>
  <si>
    <t xml:space="preserve">REFEIÇÃO (MENINAS AGAPEAMA) </t>
  </si>
  <si>
    <t xml:space="preserve">CONQUISTA AGAPEAMA </t>
  </si>
  <si>
    <t xml:space="preserve"> LEISLIE CRISTINA QUINTILHANO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</si>
</sst>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(&quot;R$ &quot;* #,##0.00_);_(&quot;R$ &quot;* \(#,##0.00\);_(&quot;R$ &quot;* &quot;-&quot;??_);_(@_)"/>
    <numFmt numFmtId="166" formatCode="#,##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b/>
      <sz val="13"/>
      <name val="Verdana"/>
      <family val="2"/>
    </font>
    <font>
      <b/>
      <sz val="14"/>
      <name val="Verdana"/>
      <family val="2"/>
    </font>
    <font>
      <sz val="10.5"/>
      <name val="Verdana"/>
      <family val="2"/>
    </font>
    <font>
      <b/>
      <sz val="10.5"/>
      <name val="Verdana"/>
      <family val="2"/>
    </font>
    <font>
      <sz val="8.5"/>
      <name val="Verdana"/>
      <family val="2"/>
    </font>
    <font>
      <b/>
      <sz val="10"/>
      <name val="Verdana"/>
      <family val="2"/>
    </font>
    <font>
      <b/>
      <sz val="8.5"/>
      <name val="Verdana"/>
      <family val="2"/>
    </font>
    <font>
      <b/>
      <sz val="8.5"/>
      <color rgb="FFFF0000"/>
      <name val="Verdana"/>
      <family val="2"/>
    </font>
    <font>
      <sz val="10"/>
      <name val="Arial"/>
      <family val="2"/>
    </font>
    <font>
      <b/>
      <sz val="8"/>
      <name val="Verdana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4" fillId="0" borderId="0"/>
  </cellStyleXfs>
  <cellXfs count="78">
    <xf numFmtId="0" fontId="0" fillId="0" borderId="0" xfId="0"/>
    <xf numFmtId="0" fontId="0" fillId="3" borderId="0" xfId="0" applyFill="1"/>
    <xf numFmtId="0" fontId="0" fillId="2" borderId="0" xfId="0" applyFill="1"/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/>
    <xf numFmtId="44" fontId="0" fillId="0" borderId="0" xfId="0" applyNumberFormat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14" fontId="10" fillId="0" borderId="4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" fontId="4" fillId="0" borderId="8" xfId="0" applyNumberFormat="1" applyFont="1" applyBorder="1" applyAlignment="1">
      <alignment horizontal="center" vertical="center"/>
    </xf>
    <xf numFmtId="17" fontId="4" fillId="0" borderId="9" xfId="0" applyNumberFormat="1" applyFont="1" applyBorder="1" applyAlignment="1">
      <alignment horizontal="center" vertical="center"/>
    </xf>
    <xf numFmtId="17" fontId="4" fillId="0" borderId="10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top"/>
    </xf>
    <xf numFmtId="0" fontId="12" fillId="7" borderId="2" xfId="0" applyFont="1" applyFill="1" applyBorder="1" applyAlignment="1">
      <alignment horizontal="center" vertical="top"/>
    </xf>
    <xf numFmtId="0" fontId="12" fillId="7" borderId="3" xfId="0" applyFont="1" applyFill="1" applyBorder="1" applyAlignment="1">
      <alignment horizontal="center" vertical="top"/>
    </xf>
    <xf numFmtId="165" fontId="10" fillId="0" borderId="4" xfId="1" applyNumberFormat="1" applyFont="1" applyFill="1" applyBorder="1" applyAlignment="1" applyProtection="1">
      <alignment horizontal="center" vertical="center"/>
    </xf>
    <xf numFmtId="165" fontId="10" fillId="0" borderId="5" xfId="1" applyNumberFormat="1" applyFont="1" applyFill="1" applyBorder="1" applyAlignment="1" applyProtection="1">
      <alignment horizontal="center" vertical="center"/>
    </xf>
    <xf numFmtId="165" fontId="10" fillId="0" borderId="6" xfId="1" applyNumberFormat="1" applyFont="1" applyFill="1" applyBorder="1" applyAlignment="1" applyProtection="1">
      <alignment horizontal="center" vertical="center"/>
    </xf>
    <xf numFmtId="165" fontId="12" fillId="0" borderId="4" xfId="1" applyNumberFormat="1" applyFont="1" applyFill="1" applyBorder="1" applyAlignment="1" applyProtection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5" fontId="12" fillId="0" borderId="5" xfId="1" applyNumberFormat="1" applyFont="1" applyFill="1" applyBorder="1" applyAlignment="1" applyProtection="1">
      <alignment horizontal="center" vertical="center"/>
    </xf>
    <xf numFmtId="165" fontId="12" fillId="0" borderId="6" xfId="1" applyNumberFormat="1" applyFont="1" applyFill="1" applyBorder="1" applyAlignment="1" applyProtection="1">
      <alignment horizontal="center" vertical="center"/>
    </xf>
    <xf numFmtId="165" fontId="12" fillId="9" borderId="4" xfId="1" applyNumberFormat="1" applyFont="1" applyFill="1" applyBorder="1" applyAlignment="1" applyProtection="1">
      <alignment horizontal="center" vertical="center"/>
    </xf>
    <xf numFmtId="165" fontId="12" fillId="9" borderId="5" xfId="1" applyNumberFormat="1" applyFont="1" applyFill="1" applyBorder="1" applyAlignment="1" applyProtection="1">
      <alignment horizontal="center" vertical="center"/>
    </xf>
    <xf numFmtId="165" fontId="12" fillId="9" borderId="6" xfId="1" applyNumberFormat="1" applyFont="1" applyFill="1" applyBorder="1" applyAlignment="1" applyProtection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65" fontId="13" fillId="0" borderId="4" xfId="1" applyNumberFormat="1" applyFont="1" applyFill="1" applyBorder="1" applyAlignment="1" applyProtection="1">
      <alignment horizontal="center" vertical="center"/>
    </xf>
    <xf numFmtId="165" fontId="13" fillId="0" borderId="5" xfId="1" applyNumberFormat="1" applyFont="1" applyFill="1" applyBorder="1" applyAlignment="1" applyProtection="1">
      <alignment horizontal="center" vertical="center"/>
    </xf>
    <xf numFmtId="165" fontId="13" fillId="0" borderId="6" xfId="1" applyNumberFormat="1" applyFont="1" applyFill="1" applyBorder="1" applyAlignment="1" applyProtection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5" borderId="11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</cellXfs>
  <cellStyles count="5">
    <cellStyle name="Hiperlink 2" xfId="3" xr:uid="{00000000-0005-0000-0000-000000000000}"/>
    <cellStyle name="Moeda" xfId="1" builtinId="4"/>
    <cellStyle name="Normal" xfId="0" builtinId="0"/>
    <cellStyle name="Normal 3" xfId="4" xr:uid="{00000000-0005-0000-0000-000003000000}"/>
    <cellStyle name="Porcentagem" xfId="2" builtinId="5"/>
  </cellStyles>
  <dxfs count="0"/>
  <tableStyles count="0" defaultTableStyle="TableStyleMedium2" defaultPivotStyle="PivotStyleLight16"/>
  <colors>
    <mruColors>
      <color rgb="FFCCFF33"/>
      <color rgb="FFFFFF66"/>
      <color rgb="FFFFFF00"/>
      <color rgb="FFFF6600"/>
      <color rgb="FFFF33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Acompanhamento de Propostas Emitidas</a:t>
            </a:r>
          </a:p>
        </c:rich>
      </c:tx>
      <c:layout>
        <c:manualLayout>
          <c:xMode val="edge"/>
          <c:yMode val="edge"/>
          <c:x val="0.1617084426946631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Andamento!$B$10</c:f>
              <c:strCache>
                <c:ptCount val="1"/>
                <c:pt idx="0">
                  <c:v>No. De propostas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Andamento!$A$11:$A$13</c:f>
              <c:strCache>
                <c:ptCount val="3"/>
                <c:pt idx="0">
                  <c:v>Andamento</c:v>
                </c:pt>
                <c:pt idx="1">
                  <c:v>Loss</c:v>
                </c:pt>
                <c:pt idx="2">
                  <c:v>Win</c:v>
                </c:pt>
              </c:strCache>
            </c:strRef>
          </c:cat>
          <c:val>
            <c:numRef>
              <c:f>Andamento!$B$11:$B$13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5-478C-819C-71797BB71A78}"/>
            </c:ext>
          </c:extLst>
        </c:ser>
        <c:ser>
          <c:idx val="1"/>
          <c:order val="1"/>
          <c:tx>
            <c:strRef>
              <c:f>Andamento!$C$10</c:f>
              <c:strCache>
                <c:ptCount val="1"/>
                <c:pt idx="0">
                  <c:v>Valor das Propostas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05-478C-819C-71797BB71A7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05-478C-819C-71797BB71A7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05-478C-819C-71797BB71A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Andamento!$A$11:$A$13</c:f>
              <c:strCache>
                <c:ptCount val="3"/>
                <c:pt idx="0">
                  <c:v>Andamento</c:v>
                </c:pt>
                <c:pt idx="1">
                  <c:v>Loss</c:v>
                </c:pt>
                <c:pt idx="2">
                  <c:v>Win</c:v>
                </c:pt>
              </c:strCache>
            </c:strRef>
          </c:cat>
          <c:val>
            <c:numRef>
              <c:f>Andamento!$C$11:$C$13</c:f>
              <c:numCache>
                <c:formatCode>_("R$"* #,##0.00_);_("R$"* \(#,##0.00\);_("R$"* "-"??_);_(@_)</c:formatCode>
                <c:ptCount val="3"/>
                <c:pt idx="0">
                  <c:v>154600</c:v>
                </c:pt>
                <c:pt idx="1">
                  <c:v>33200</c:v>
                </c:pt>
                <c:pt idx="2">
                  <c:v>71700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5-478C-819C-71797BB71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9917808"/>
        <c:axId val="819923792"/>
      </c:barChart>
      <c:catAx>
        <c:axId val="81991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923792"/>
        <c:crosses val="autoZero"/>
        <c:auto val="1"/>
        <c:lblAlgn val="ctr"/>
        <c:lblOffset val="100"/>
        <c:noMultiLvlLbl val="0"/>
      </c:catAx>
      <c:valAx>
        <c:axId val="81992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9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1</xdr:row>
      <xdr:rowOff>142875</xdr:rowOff>
    </xdr:from>
    <xdr:to>
      <xdr:col>11</xdr:col>
      <xdr:colOff>347662</xdr:colOff>
      <xdr:row>16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32A6C0-DA7D-44BD-B22A-5FE6B4900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1000124</xdr:colOff>
      <xdr:row>1</xdr:row>
      <xdr:rowOff>76200</xdr:rowOff>
    </xdr:from>
    <xdr:to>
      <xdr:col>3</xdr:col>
      <xdr:colOff>314324</xdr:colOff>
      <xdr:row>3</xdr:row>
      <xdr:rowOff>247650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4899" y="333375"/>
          <a:ext cx="885825" cy="685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ercial-hserv\Documents\02%20-%20Yamam\006%20-%20Relat&#243;rios%20de%20Despesas%20-%20RD\Relat&#243;rio%20Semanal%20-%20M&#225;rcia%20Santana%20-%20set.1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a Santana" refreshedDate="42914.441258101855" createdVersion="6" refreshedVersion="4" minRefreshableVersion="3" recordCount="246" xr:uid="{00000000-000A-0000-FFFF-FFFF02000000}">
  <cacheSource type="worksheet">
    <worksheetSource ref="A2:V72" sheet="PIPELINE" r:id="rId2"/>
  </cacheSource>
  <cacheFields count="35">
    <cacheField name="N0. SEQ." numFmtId="0">
      <sharedItems containsBlank="1" containsMixedTypes="1" containsNumber="1" containsInteger="1" minValue="1" maxValue="53"/>
    </cacheField>
    <cacheField name="Data do Primeiro Contato" numFmtId="0">
      <sharedItems containsDate="1" containsBlank="1" containsMixedTypes="1" minDate="2017-04-04T00:00:00" maxDate="2017-06-29T00:00:00" count="12">
        <m/>
        <s v="Renato Gabriel"/>
        <d v="2017-06-07T00:00:00"/>
        <d v="2017-06-12T00:00:00"/>
        <d v="2017-04-04T00:00:00"/>
        <d v="2017-05-17T00:00:00"/>
        <d v="2017-05-19T00:00:00"/>
        <d v="2017-06-22T00:00:00"/>
        <d v="2017-06-28T00:00:00"/>
        <d v="2017-06-20T00:00:00" u="1"/>
        <d v="2017-06-21T00:00:00" u="1"/>
        <d v="2017-06-19T00:00:00" u="1"/>
      </sharedItems>
    </cacheField>
    <cacheField name="Canal Ultilizado" numFmtId="0">
      <sharedItems containsBlank="1" count="5">
        <m/>
        <s v="E-mail"/>
        <s v="Ligação"/>
        <s v="Visita"/>
        <s v="Skype" u="1"/>
      </sharedItems>
    </cacheField>
    <cacheField name="Etapa do Funil" numFmtId="0">
      <sharedItems containsBlank="1"/>
    </cacheField>
    <cacheField name="Canal InBound" numFmtId="0">
      <sharedItems containsBlank="1"/>
    </cacheField>
    <cacheField name="Data da 1a. Visita" numFmtId="0">
      <sharedItems containsNonDate="0" containsDate="1" containsString="0" containsBlank="1" minDate="2017-01-17T00:00:00" maxDate="2017-06-22T00:00:00"/>
    </cacheField>
    <cacheField name="Horário" numFmtId="0">
      <sharedItems containsBlank="1"/>
    </cacheField>
    <cacheField name="Data da Próxima Visita" numFmtId="0">
      <sharedItems containsNonDate="0" containsDate="1" containsString="0" containsBlank="1" minDate="2017-06-28T00:00:00" maxDate="2017-06-29T00:00:00"/>
    </cacheField>
    <cacheField name="Horário2" numFmtId="0">
      <sharedItems containsBlank="1"/>
    </cacheField>
    <cacheField name="Ultimo Contato" numFmtId="0">
      <sharedItems containsNonDate="0" containsDate="1" containsString="0" containsBlank="1" minDate="2017-04-23T00:00:00" maxDate="2017-06-29T00:00:00" count="8">
        <m/>
        <d v="2017-06-23T00:00:00"/>
        <d v="2017-06-27T00:00:00"/>
        <d v="2017-06-26T00:00:00"/>
        <d v="2017-06-22T00:00:00"/>
        <d v="2017-06-28T00:00:00"/>
        <d v="2017-04-23T00:00:00" u="1"/>
        <d v="2017-06-19T00:00:00" u="1"/>
      </sharedItems>
    </cacheField>
    <cacheField name="Canal Ultilizado2" numFmtId="0">
      <sharedItems containsBlank="1"/>
    </cacheField>
    <cacheField name="Prospect/ Lead" numFmtId="0">
      <sharedItems containsBlank="1"/>
    </cacheField>
    <cacheField name="Segmento" numFmtId="0">
      <sharedItems containsBlank="1"/>
    </cacheField>
    <cacheField name="Endereço" numFmtId="0">
      <sharedItems containsBlank="1"/>
    </cacheField>
    <cacheField name="Cidade" numFmtId="0">
      <sharedItems containsBlank="1"/>
    </cacheField>
    <cacheField name="Contato" numFmtId="0">
      <sharedItems containsBlank="1"/>
    </cacheField>
    <cacheField name="Cargo" numFmtId="0">
      <sharedItems containsBlank="1"/>
    </cacheField>
    <cacheField name="Telefone" numFmtId="0">
      <sharedItems containsBlank="1"/>
    </cacheField>
    <cacheField name="E-mail" numFmtId="0">
      <sharedItems containsBlank="1"/>
    </cacheField>
    <cacheField name="Segurança" numFmtId="0">
      <sharedItems containsBlank="1"/>
    </cacheField>
    <cacheField name="Serviços" numFmtId="0">
      <sharedItems containsBlank="1"/>
    </cacheField>
    <cacheField name="No. da Proposta" numFmtId="0">
      <sharedItems containsBlank="1" containsMixedTypes="1" containsNumber="1" containsInteger="1" minValue="102" maxValue="151"/>
    </cacheField>
    <cacheField name="Valor (R$)" numFmtId="44">
      <sharedItems containsString="0" containsBlank="1" containsNumber="1" containsInteger="1" minValue="3892" maxValue="165030"/>
    </cacheField>
    <cacheField name="Tabela de Preço" numFmtId="0">
      <sharedItems containsBlank="1"/>
    </cacheField>
    <cacheField name="Data de Entrega" numFmtId="0">
      <sharedItems containsNonDate="0" containsDate="1" containsString="0" containsBlank="1" minDate="2017-06-07T00:00:00" maxDate="2017-06-27T00:00:00"/>
    </cacheField>
    <cacheField name="Status de Evolução" numFmtId="0">
      <sharedItems containsString="0" containsBlank="1" containsNumber="1" minValue="0.25" maxValue="1" count="5">
        <m/>
        <n v="0.25"/>
        <n v="0.5"/>
        <n v="0.75" u="1"/>
        <n v="1" u="1"/>
      </sharedItems>
    </cacheField>
    <cacheField name="Observações de Entrega da Proposta" numFmtId="0">
      <sharedItems containsBlank="1"/>
    </cacheField>
    <cacheField name="Win / Loss " numFmtId="0">
      <sharedItems containsBlank="1" count="6">
        <m/>
        <s v="Loss (Perda)"/>
        <s v="Win (Ganho)"/>
        <s v="Win" u="1"/>
        <s v="Andamento" u="1"/>
        <s v="Loss" u="1"/>
      </sharedItems>
    </cacheField>
    <cacheField name="Motivo da Perda" numFmtId="0">
      <sharedItems containsBlank="1"/>
    </cacheField>
    <cacheField name="Buget - Qual o orçamento do seu cliente?" numFmtId="0">
      <sharedItems containsNonDate="0" containsString="0" containsBlank="1"/>
    </cacheField>
    <cacheField name="Autoridade (Este Contato tem o poder de decidir?" numFmtId="0">
      <sharedItems containsNonDate="0" containsString="0" containsBlank="1"/>
    </cacheField>
    <cacheField name="Necessidade (Qual a necessidade do Cliente?)" numFmtId="0">
      <sharedItems containsNonDate="0" containsString="0" containsBlank="1"/>
    </cacheField>
    <cacheField name="Problema (Qual é a dor do seu cliente?)" numFmtId="0">
      <sharedItems containsNonDate="0" containsString="0" containsBlank="1"/>
    </cacheField>
    <cacheField name="Urgência (Quando ele quer resolver?)" numFmtId="0">
      <sharedItems containsNonDate="0" containsString="0" containsBlank="1"/>
    </cacheField>
    <cacheField name="Solução (Qual a solução que a tua empresa tem?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6">
  <r>
    <s v="PROPOSTAS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n v="1"/>
    <x v="1"/>
    <x v="1"/>
    <s v="Apresentação de Proposta"/>
    <s v="Administradora"/>
    <d v="2017-01-17T00:00:00"/>
    <s v="-"/>
    <m/>
    <m/>
    <x v="0"/>
    <s v="E-mail"/>
    <s v="EASY MARACÁ"/>
    <s v="Condominios"/>
    <m/>
    <s v="São Paulo/SP"/>
    <m/>
    <m/>
    <m/>
    <m/>
    <s v="Sim"/>
    <m/>
    <n v="102"/>
    <n v="42825"/>
    <m/>
    <m/>
    <x v="0"/>
    <m/>
    <x v="1"/>
    <s v="Comparação de preço"/>
    <m/>
    <m/>
    <m/>
    <m/>
    <m/>
    <m/>
  </r>
  <r>
    <n v="2"/>
    <x v="0"/>
    <x v="0"/>
    <m/>
    <s v="Administradora"/>
    <d v="2017-01-23T00:00:00"/>
    <m/>
    <m/>
    <m/>
    <x v="0"/>
    <m/>
    <s v="COND. IGNÁCIO T. LEITE"/>
    <s v="Condominios"/>
    <m/>
    <s v="São Paulo/SP"/>
    <m/>
    <m/>
    <m/>
    <m/>
    <s v="Não"/>
    <m/>
    <n v="103"/>
    <n v="26587"/>
    <m/>
    <m/>
    <x v="0"/>
    <m/>
    <x v="1"/>
    <s v="Comparação de preço"/>
    <m/>
    <m/>
    <m/>
    <m/>
    <m/>
    <m/>
  </r>
  <r>
    <n v="3"/>
    <x v="0"/>
    <x v="0"/>
    <m/>
    <s v="Administradora"/>
    <d v="2017-01-19T00:00:00"/>
    <m/>
    <m/>
    <m/>
    <x v="0"/>
    <m/>
    <s v="MANGALOT"/>
    <s v="Empresa"/>
    <m/>
    <s v="São Paulo/SP"/>
    <m/>
    <m/>
    <m/>
    <m/>
    <s v="Sim"/>
    <m/>
    <n v="104"/>
    <n v="24512"/>
    <m/>
    <m/>
    <x v="0"/>
    <m/>
    <x v="1"/>
    <s v="Comparação de preço"/>
    <m/>
    <m/>
    <m/>
    <m/>
    <m/>
    <m/>
  </r>
  <r>
    <n v="4"/>
    <x v="0"/>
    <x v="0"/>
    <m/>
    <s v="Prospecção Ativa"/>
    <d v="2017-02-09T00:00:00"/>
    <m/>
    <m/>
    <m/>
    <x v="0"/>
    <m/>
    <s v="COND. PORTAL DAS PALMEIRAS"/>
    <s v="Condominios"/>
    <m/>
    <s v="Jundiaí/SP"/>
    <m/>
    <m/>
    <m/>
    <m/>
    <s v="Sim"/>
    <m/>
    <n v="105"/>
    <n v="86323"/>
    <m/>
    <m/>
    <x v="0"/>
    <m/>
    <x v="2"/>
    <m/>
    <m/>
    <m/>
    <m/>
    <m/>
    <m/>
    <m/>
  </r>
  <r>
    <n v="5"/>
    <x v="0"/>
    <x v="0"/>
    <m/>
    <s v="Prospecção Ativa"/>
    <d v="2017-02-02T00:00:00"/>
    <m/>
    <m/>
    <m/>
    <x v="0"/>
    <m/>
    <s v="ASSOC. VILAGE MORRO ALTO"/>
    <s v="Condominios"/>
    <m/>
    <s v="Jundiaí/SP"/>
    <m/>
    <m/>
    <m/>
    <m/>
    <s v="Sim"/>
    <m/>
    <n v="106"/>
    <n v="51610"/>
    <m/>
    <m/>
    <x v="0"/>
    <m/>
    <x v="2"/>
    <m/>
    <m/>
    <m/>
    <m/>
    <m/>
    <m/>
    <m/>
  </r>
  <r>
    <n v="6"/>
    <x v="0"/>
    <x v="0"/>
    <m/>
    <s v="W&amp;Dio"/>
    <d v="2017-02-06T00:00:00"/>
    <m/>
    <m/>
    <m/>
    <x v="0"/>
    <m/>
    <s v="SABARÁ"/>
    <s v="Condominios"/>
    <m/>
    <s v="São Paulo/SP"/>
    <m/>
    <m/>
    <m/>
    <m/>
    <s v="Sim"/>
    <m/>
    <n v="107"/>
    <n v="24780"/>
    <m/>
    <m/>
    <x v="0"/>
    <m/>
    <x v="1"/>
    <s v="Empresa atual - ofereceu menor preço"/>
    <m/>
    <m/>
    <m/>
    <m/>
    <m/>
    <m/>
  </r>
  <r>
    <n v="7"/>
    <x v="0"/>
    <x v="0"/>
    <m/>
    <s v="Administradora"/>
    <d v="2017-02-08T00:00:00"/>
    <m/>
    <m/>
    <m/>
    <x v="0"/>
    <m/>
    <s v="RARUS"/>
    <s v="Empresa"/>
    <m/>
    <s v="São Paulo/SP"/>
    <m/>
    <m/>
    <m/>
    <m/>
    <s v="Sim"/>
    <m/>
    <n v="108"/>
    <n v="26650"/>
    <m/>
    <m/>
    <x v="0"/>
    <m/>
    <x v="1"/>
    <s v="Permaneceu com a empresa atual"/>
    <m/>
    <m/>
    <m/>
    <m/>
    <m/>
    <m/>
  </r>
  <r>
    <n v="8"/>
    <x v="0"/>
    <x v="0"/>
    <m/>
    <s v="Administradora"/>
    <d v="2017-02-06T00:00:00"/>
    <m/>
    <m/>
    <m/>
    <x v="0"/>
    <m/>
    <s v="SOLAR MONTERREY"/>
    <s v="Condominios"/>
    <m/>
    <s v="São Paulo/SP"/>
    <m/>
    <m/>
    <m/>
    <m/>
    <s v="Não"/>
    <m/>
    <n v="109"/>
    <n v="4040"/>
    <m/>
    <m/>
    <x v="0"/>
    <m/>
    <x v="1"/>
    <s v="Comparação de preço"/>
    <m/>
    <m/>
    <m/>
    <m/>
    <m/>
    <m/>
  </r>
  <r>
    <n v="9"/>
    <x v="0"/>
    <x v="0"/>
    <m/>
    <s v="Experiência Anterior"/>
    <d v="2017-03-02T00:00:00"/>
    <m/>
    <m/>
    <m/>
    <x v="0"/>
    <m/>
    <s v="MICROSERVICE LIMPEZA"/>
    <s v="Empresa"/>
    <m/>
    <s v="São Paulo/SP"/>
    <m/>
    <m/>
    <m/>
    <m/>
    <s v="Sim"/>
    <m/>
    <n v="110"/>
    <n v="30000"/>
    <m/>
    <m/>
    <x v="0"/>
    <m/>
    <x v="1"/>
    <s v="Preço"/>
    <m/>
    <m/>
    <m/>
    <m/>
    <m/>
    <m/>
  </r>
  <r>
    <n v="10"/>
    <x v="0"/>
    <x v="0"/>
    <m/>
    <s v="Prospecção Ativa"/>
    <d v="2017-02-14T00:00:00"/>
    <m/>
    <m/>
    <m/>
    <x v="0"/>
    <m/>
    <s v="RESIDENCIAL JATOBÁ"/>
    <s v="Condominios"/>
    <m/>
    <s v="São Paulo/SP"/>
    <m/>
    <m/>
    <m/>
    <m/>
    <s v="Sim"/>
    <m/>
    <n v="111"/>
    <n v="77126"/>
    <m/>
    <m/>
    <x v="0"/>
    <m/>
    <x v="1"/>
    <s v="Preço"/>
    <m/>
    <m/>
    <m/>
    <m/>
    <m/>
    <m/>
  </r>
  <r>
    <n v="11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Sim"/>
    <m/>
    <n v="112"/>
    <n v="135242"/>
    <m/>
    <m/>
    <x v="0"/>
    <m/>
    <x v="1"/>
    <s v="Precisa da autorização da diretoria para trocar"/>
    <m/>
    <m/>
    <m/>
    <m/>
    <m/>
    <m/>
  </r>
  <r>
    <n v="12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Não"/>
    <m/>
    <n v="113"/>
    <n v="73009"/>
    <m/>
    <m/>
    <x v="0"/>
    <m/>
    <x v="1"/>
    <s v="Precisa da autorização da diretoria para trocar"/>
    <m/>
    <m/>
    <m/>
    <m/>
    <m/>
    <m/>
  </r>
  <r>
    <n v="13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Não"/>
    <m/>
    <n v="114"/>
    <n v="17900"/>
    <m/>
    <m/>
    <x v="0"/>
    <m/>
    <x v="1"/>
    <s v="Precisa da autorização da diretoria para trocar"/>
    <m/>
    <m/>
    <m/>
    <m/>
    <m/>
    <m/>
  </r>
  <r>
    <n v="14"/>
    <x v="0"/>
    <x v="0"/>
    <m/>
    <s v="Prospecção Ativa"/>
    <d v="2017-03-01T00:00:00"/>
    <m/>
    <m/>
    <m/>
    <x v="0"/>
    <m/>
    <s v="VITOR ZERBIANO"/>
    <s v="Empresa"/>
    <m/>
    <s v="São Paulo/SP"/>
    <m/>
    <m/>
    <m/>
    <m/>
    <s v="Não"/>
    <m/>
    <n v="115"/>
    <n v="3997"/>
    <m/>
    <m/>
    <x v="0"/>
    <m/>
    <x v="1"/>
    <s v="Inviável para eles que querem limpeza meio período apenas"/>
    <m/>
    <m/>
    <m/>
    <m/>
    <m/>
    <m/>
  </r>
  <r>
    <n v="15"/>
    <x v="0"/>
    <x v="0"/>
    <m/>
    <s v="W&amp;Dio"/>
    <d v="2017-03-01T00:00:00"/>
    <m/>
    <m/>
    <m/>
    <x v="0"/>
    <m/>
    <s v="ACECO TI"/>
    <s v="Empresa"/>
    <m/>
    <s v="São Paulo/SP"/>
    <m/>
    <m/>
    <m/>
    <m/>
    <s v="Não"/>
    <m/>
    <n v="116"/>
    <n v="40620"/>
    <m/>
    <m/>
    <x v="0"/>
    <m/>
    <x v="1"/>
    <m/>
    <m/>
    <m/>
    <m/>
    <m/>
    <m/>
    <m/>
  </r>
  <r>
    <n v="16"/>
    <x v="0"/>
    <x v="0"/>
    <m/>
    <s v="W&amp;Dio"/>
    <d v="2017-03-01T00:00:00"/>
    <m/>
    <m/>
    <m/>
    <x v="0"/>
    <m/>
    <s v="CONSTRUTORA CORDOBA"/>
    <s v="Construtora"/>
    <m/>
    <s v="São Paulo/SP"/>
    <m/>
    <m/>
    <m/>
    <m/>
    <s v="Sim"/>
    <m/>
    <n v="117"/>
    <n v="16215"/>
    <m/>
    <m/>
    <x v="0"/>
    <m/>
    <x v="1"/>
    <s v="Preço"/>
    <m/>
    <m/>
    <m/>
    <m/>
    <m/>
    <m/>
  </r>
  <r>
    <n v="17"/>
    <x v="0"/>
    <x v="0"/>
    <m/>
    <s v="W&amp;Dio"/>
    <d v="2017-03-01T00:00:00"/>
    <m/>
    <m/>
    <m/>
    <x v="0"/>
    <m/>
    <s v="COND. CHACARA DAS FLORES"/>
    <s v="Condominios"/>
    <m/>
    <s v="São Paulo/SP"/>
    <m/>
    <m/>
    <m/>
    <m/>
    <s v="Sim"/>
    <m/>
    <n v="118"/>
    <n v="87305"/>
    <m/>
    <m/>
    <x v="0"/>
    <m/>
    <x v="2"/>
    <m/>
    <m/>
    <m/>
    <m/>
    <m/>
    <m/>
    <m/>
  </r>
  <r>
    <n v="18"/>
    <x v="0"/>
    <x v="0"/>
    <m/>
    <s v="W&amp;Dio"/>
    <d v="2017-03-01T00:00:00"/>
    <m/>
    <m/>
    <m/>
    <x v="0"/>
    <m/>
    <s v="COND. EDIF ESPANHA"/>
    <s v="Condominios"/>
    <m/>
    <s v="São Paulo/SP"/>
    <m/>
    <m/>
    <m/>
    <m/>
    <s v="Sim"/>
    <m/>
    <n v="119"/>
    <n v="19130"/>
    <m/>
    <m/>
    <x v="0"/>
    <m/>
    <x v="1"/>
    <s v="Optou pr ficar com a empresa atual"/>
    <m/>
    <m/>
    <m/>
    <m/>
    <m/>
    <m/>
  </r>
  <r>
    <n v="19"/>
    <x v="0"/>
    <x v="0"/>
    <m/>
    <s v="W&amp;Dio"/>
    <d v="2017-03-01T00:00:00"/>
    <m/>
    <m/>
    <m/>
    <x v="0"/>
    <m/>
    <s v="SEE IND. E COMERCIO"/>
    <s v="Empresa"/>
    <m/>
    <s v="São Paulo/SP"/>
    <m/>
    <m/>
    <m/>
    <m/>
    <s v="Não"/>
    <m/>
    <n v="120"/>
    <n v="22830"/>
    <m/>
    <m/>
    <x v="0"/>
    <m/>
    <x v="1"/>
    <s v="Optou pelo fornecedor atual"/>
    <m/>
    <m/>
    <m/>
    <m/>
    <m/>
    <m/>
  </r>
  <r>
    <n v="20"/>
    <x v="0"/>
    <x v="0"/>
    <m/>
    <s v="Administradora"/>
    <d v="2017-03-01T00:00:00"/>
    <m/>
    <m/>
    <m/>
    <x v="0"/>
    <m/>
    <s v="COND. ESPAÇO P2"/>
    <s v="Condominios"/>
    <m/>
    <s v="São Paulo/SP"/>
    <m/>
    <m/>
    <m/>
    <m/>
    <s v="Sim"/>
    <m/>
    <n v="121"/>
    <n v="159890"/>
    <m/>
    <m/>
    <x v="0"/>
    <m/>
    <x v="2"/>
    <m/>
    <m/>
    <m/>
    <m/>
    <m/>
    <m/>
    <m/>
  </r>
  <r>
    <n v="21"/>
    <x v="0"/>
    <x v="0"/>
    <m/>
    <s v="W&amp;Dio"/>
    <d v="2017-04-01T00:00:00"/>
    <m/>
    <m/>
    <m/>
    <x v="0"/>
    <m/>
    <s v="ALAMEDA SANTOS - BRACEL"/>
    <s v="Condominios"/>
    <m/>
    <s v="São Paulo/SP"/>
    <m/>
    <m/>
    <m/>
    <m/>
    <s v="Não"/>
    <m/>
    <n v="122"/>
    <n v="15430"/>
    <m/>
    <m/>
    <x v="0"/>
    <m/>
    <x v="2"/>
    <m/>
    <m/>
    <m/>
    <m/>
    <m/>
    <m/>
    <m/>
  </r>
  <r>
    <n v="22"/>
    <x v="0"/>
    <x v="0"/>
    <m/>
    <s v="Indicação"/>
    <d v="2017-04-01T00:00:00"/>
    <m/>
    <m/>
    <m/>
    <x v="0"/>
    <m/>
    <s v="VITALIS"/>
    <s v="Condominios"/>
    <m/>
    <s v="São Paulo/SP"/>
    <m/>
    <m/>
    <m/>
    <m/>
    <s v="Não"/>
    <m/>
    <n v="123"/>
    <n v="29710"/>
    <m/>
    <m/>
    <x v="0"/>
    <m/>
    <x v="2"/>
    <m/>
    <m/>
    <m/>
    <m/>
    <m/>
    <m/>
    <m/>
  </r>
  <r>
    <n v="23"/>
    <x v="0"/>
    <x v="0"/>
    <m/>
    <s v="W&amp;Dio"/>
    <d v="2017-04-01T00:00:00"/>
    <m/>
    <m/>
    <m/>
    <x v="0"/>
    <m/>
    <s v="CONECTA BROKERS"/>
    <s v="Condominios"/>
    <m/>
    <s v="São Paulo/SP"/>
    <m/>
    <m/>
    <m/>
    <m/>
    <s v="Sim"/>
    <m/>
    <n v="124"/>
    <n v="23637"/>
    <m/>
    <m/>
    <x v="0"/>
    <m/>
    <x v="2"/>
    <m/>
    <m/>
    <m/>
    <m/>
    <m/>
    <m/>
    <m/>
  </r>
  <r>
    <n v="24"/>
    <x v="0"/>
    <x v="0"/>
    <m/>
    <s v="W&amp;Dio"/>
    <d v="2017-04-01T00:00:00"/>
    <m/>
    <m/>
    <m/>
    <x v="0"/>
    <m/>
    <s v="COND. RESIDENCIAL PARQUE DOS PRINCIPES"/>
    <s v="Construtora"/>
    <m/>
    <s v="São Paulo/SP"/>
    <m/>
    <m/>
    <m/>
    <m/>
    <s v="Não"/>
    <m/>
    <n v="125"/>
    <n v="9286"/>
    <m/>
    <m/>
    <x v="0"/>
    <m/>
    <x v="2"/>
    <m/>
    <m/>
    <m/>
    <m/>
    <m/>
    <m/>
    <m/>
  </r>
  <r>
    <n v="25"/>
    <x v="0"/>
    <x v="0"/>
    <m/>
    <s v="W&amp;Dio"/>
    <d v="2017-04-01T00:00:00"/>
    <m/>
    <m/>
    <m/>
    <x v="0"/>
    <m/>
    <s v="EDIFÍCIO COMERCIAL QUASAR"/>
    <s v="Construtora"/>
    <m/>
    <s v="São Paulo/SP"/>
    <m/>
    <m/>
    <m/>
    <m/>
    <m/>
    <m/>
    <n v="126"/>
    <n v="19310"/>
    <m/>
    <m/>
    <x v="0"/>
    <m/>
    <x v="2"/>
    <m/>
    <m/>
    <m/>
    <m/>
    <m/>
    <m/>
    <m/>
  </r>
  <r>
    <n v="26"/>
    <x v="0"/>
    <x v="0"/>
    <m/>
    <s v="Indicação"/>
    <d v="2017-04-01T00:00:00"/>
    <m/>
    <m/>
    <m/>
    <x v="0"/>
    <m/>
    <s v="CONSÓRCIO FERREIRA GUEDES  PAULITEC"/>
    <s v="Empresa"/>
    <m/>
    <s v="São Paulo/SP"/>
    <m/>
    <m/>
    <m/>
    <m/>
    <m/>
    <m/>
    <n v="127"/>
    <n v="42232"/>
    <m/>
    <m/>
    <x v="0"/>
    <m/>
    <x v="2"/>
    <m/>
    <m/>
    <m/>
    <m/>
    <m/>
    <m/>
    <m/>
  </r>
  <r>
    <n v="27"/>
    <x v="0"/>
    <x v="0"/>
    <m/>
    <s v="W&amp;Dio"/>
    <d v="2017-04-01T00:00:00"/>
    <m/>
    <m/>
    <m/>
    <x v="0"/>
    <m/>
    <s v="BRICO BREAD ALIMENTOS LTDA"/>
    <s v="Empresa"/>
    <m/>
    <s v="São Paulo/SP"/>
    <m/>
    <m/>
    <m/>
    <m/>
    <m/>
    <m/>
    <n v="128"/>
    <n v="29452"/>
    <m/>
    <m/>
    <x v="0"/>
    <m/>
    <x v="2"/>
    <m/>
    <m/>
    <m/>
    <m/>
    <m/>
    <m/>
    <m/>
  </r>
  <r>
    <n v="28"/>
    <x v="0"/>
    <x v="0"/>
    <m/>
    <s v="W&amp;Dio"/>
    <d v="2017-04-01T00:00:00"/>
    <m/>
    <m/>
    <m/>
    <x v="0"/>
    <m/>
    <s v="MMM - Engenharia Ind e Com. Pre Moldados Ltda"/>
    <s v="Empresa"/>
    <m/>
    <s v="São Paulo/SP"/>
    <m/>
    <m/>
    <m/>
    <m/>
    <m/>
    <m/>
    <n v="129"/>
    <n v="15430"/>
    <m/>
    <m/>
    <x v="0"/>
    <m/>
    <x v="2"/>
    <m/>
    <m/>
    <m/>
    <m/>
    <m/>
    <m/>
    <m/>
  </r>
  <r>
    <n v="29"/>
    <x v="0"/>
    <x v="0"/>
    <m/>
    <s v="W&amp;Dio"/>
    <d v="2017-04-01T00:00:00"/>
    <m/>
    <m/>
    <m/>
    <x v="0"/>
    <m/>
    <s v="PAL IND E COM DE EQUIPAMENTOS INDL E SERV DE USINA"/>
    <s v="Empresa"/>
    <m/>
    <s v="São Paulo/SP"/>
    <m/>
    <m/>
    <m/>
    <m/>
    <s v="Sim"/>
    <m/>
    <n v="130"/>
    <n v="14923"/>
    <m/>
    <m/>
    <x v="0"/>
    <m/>
    <x v="1"/>
    <s v="Preço"/>
    <m/>
    <m/>
    <m/>
    <m/>
    <m/>
    <m/>
  </r>
  <r>
    <n v="30"/>
    <x v="0"/>
    <x v="0"/>
    <m/>
    <s v="W&amp;Dio"/>
    <d v="2017-05-01T00:00:00"/>
    <m/>
    <m/>
    <m/>
    <x v="0"/>
    <m/>
    <s v="Nitro Química"/>
    <s v="Empresa"/>
    <m/>
    <s v="São Paulo/SP"/>
    <m/>
    <m/>
    <m/>
    <m/>
    <s v="Sim"/>
    <m/>
    <n v="131"/>
    <n v="146400"/>
    <m/>
    <m/>
    <x v="0"/>
    <m/>
    <x v="2"/>
    <m/>
    <m/>
    <m/>
    <m/>
    <m/>
    <m/>
    <m/>
  </r>
  <r>
    <n v="31"/>
    <x v="0"/>
    <x v="0"/>
    <m/>
    <s v="W&amp;Dio"/>
    <d v="2017-05-01T00:00:00"/>
    <m/>
    <m/>
    <m/>
    <x v="0"/>
    <m/>
    <s v=" AMPFY COMUNICAÇÃO DIGITAL LTDA"/>
    <s v="Empresa"/>
    <m/>
    <s v="São Paulo/SP"/>
    <m/>
    <m/>
    <m/>
    <m/>
    <m/>
    <m/>
    <n v="132"/>
    <n v="19310"/>
    <m/>
    <m/>
    <x v="0"/>
    <m/>
    <x v="2"/>
    <m/>
    <m/>
    <m/>
    <m/>
    <m/>
    <m/>
    <m/>
  </r>
  <r>
    <n v="32"/>
    <x v="0"/>
    <x v="0"/>
    <m/>
    <s v="W&amp;Dio"/>
    <d v="2017-05-01T00:00:00"/>
    <m/>
    <m/>
    <m/>
    <x v="0"/>
    <m/>
    <s v="TAMBORE MARMORES E GRANITOS LTDA"/>
    <s v="Empresa"/>
    <m/>
    <s v="São Paulo/SP"/>
    <m/>
    <m/>
    <m/>
    <m/>
    <s v="Sim"/>
    <m/>
    <n v="133"/>
    <n v="3892"/>
    <m/>
    <m/>
    <x v="0"/>
    <m/>
    <x v="2"/>
    <m/>
    <m/>
    <m/>
    <m/>
    <m/>
    <m/>
    <m/>
  </r>
  <r>
    <n v="33"/>
    <x v="0"/>
    <x v="0"/>
    <m/>
    <s v="Administradora"/>
    <d v="2017-05-01T00:00:00"/>
    <m/>
    <m/>
    <m/>
    <x v="0"/>
    <m/>
    <s v="CONDOMÍNIO RESIDENCIAL SAINT ALBERT"/>
    <s v="Empresa"/>
    <m/>
    <s v="São Paulo/SP"/>
    <m/>
    <m/>
    <m/>
    <m/>
    <m/>
    <m/>
    <n v="134"/>
    <n v="19310"/>
    <m/>
    <m/>
    <x v="0"/>
    <m/>
    <x v="2"/>
    <m/>
    <m/>
    <m/>
    <m/>
    <m/>
    <m/>
    <m/>
  </r>
  <r>
    <n v="34"/>
    <x v="0"/>
    <x v="0"/>
    <m/>
    <s v="W&amp;Dio"/>
    <d v="2017-05-01T00:00:00"/>
    <m/>
    <m/>
    <m/>
    <x v="0"/>
    <m/>
    <s v="MANIKRAFT GUAIANAZES IND CELULOSE E PAPEL LTDA"/>
    <s v="Empresa"/>
    <m/>
    <s v="São Paulo/SP"/>
    <m/>
    <m/>
    <m/>
    <m/>
    <m/>
    <m/>
    <n v="135"/>
    <n v="36557"/>
    <m/>
    <m/>
    <x v="0"/>
    <m/>
    <x v="2"/>
    <m/>
    <m/>
    <m/>
    <m/>
    <m/>
    <m/>
    <m/>
  </r>
  <r>
    <n v="35"/>
    <x v="0"/>
    <x v="0"/>
    <m/>
    <s v="W&amp;Dio"/>
    <d v="2017-05-01T00:00:00"/>
    <m/>
    <m/>
    <m/>
    <x v="0"/>
    <m/>
    <s v="ZEPPELIN SISTEM LATIN EQUIP INDUSTRIAIS LTDA"/>
    <s v="Empresa"/>
    <m/>
    <s v="São Paulo/SP"/>
    <m/>
    <m/>
    <m/>
    <m/>
    <s v="Não"/>
    <m/>
    <n v="136"/>
    <n v="82550"/>
    <m/>
    <m/>
    <x v="0"/>
    <m/>
    <x v="1"/>
    <s v="Empresa atual - ofereceu menor preço"/>
    <m/>
    <m/>
    <m/>
    <m/>
    <m/>
    <m/>
  </r>
  <r>
    <n v="36"/>
    <x v="0"/>
    <x v="0"/>
    <m/>
    <s v="W&amp;Dio"/>
    <d v="2017-05-01T00:00:00"/>
    <m/>
    <m/>
    <m/>
    <x v="0"/>
    <m/>
    <s v="Condomínio Residencial Monte Carlos"/>
    <s v="Condominios"/>
    <m/>
    <s v="São Paulo/SP"/>
    <m/>
    <m/>
    <m/>
    <m/>
    <s v="Sim"/>
    <m/>
    <n v="137"/>
    <n v="24430"/>
    <m/>
    <m/>
    <x v="0"/>
    <m/>
    <x v="1"/>
    <s v="Empresa atual - ofereceu menor preço"/>
    <m/>
    <m/>
    <m/>
    <m/>
    <m/>
    <m/>
  </r>
  <r>
    <n v="37"/>
    <x v="0"/>
    <x v="0"/>
    <m/>
    <s v="W&amp;Dio"/>
    <d v="2017-05-01T00:00:00"/>
    <m/>
    <m/>
    <m/>
    <x v="0"/>
    <m/>
    <s v="CONDOMÍNIO EDIFÍCIO RESIDENCIAL NOVA AMÉRICA "/>
    <s v="Condominios"/>
    <m/>
    <s v="São Paulo/SP"/>
    <m/>
    <m/>
    <m/>
    <m/>
    <s v="Sim"/>
    <m/>
    <n v="138"/>
    <n v="24696"/>
    <m/>
    <m/>
    <x v="0"/>
    <m/>
    <x v="1"/>
    <s v="Sem retorno"/>
    <m/>
    <m/>
    <m/>
    <m/>
    <m/>
    <m/>
  </r>
  <r>
    <n v="38"/>
    <x v="0"/>
    <x v="0"/>
    <m/>
    <s v="W&amp;Dio"/>
    <d v="2017-05-01T00:00:00"/>
    <m/>
    <m/>
    <m/>
    <x v="0"/>
    <m/>
    <s v="CONDOMÍNIO SPOT IPIRANGA"/>
    <s v="Condominios"/>
    <m/>
    <s v="São Paulo/SP"/>
    <m/>
    <m/>
    <m/>
    <m/>
    <s v="Não"/>
    <m/>
    <n v="139"/>
    <n v="11210"/>
    <m/>
    <m/>
    <x v="0"/>
    <m/>
    <x v="1"/>
    <s v="Optou pela empresa atual"/>
    <m/>
    <m/>
    <m/>
    <m/>
    <m/>
    <m/>
  </r>
  <r>
    <n v="39"/>
    <x v="0"/>
    <x v="0"/>
    <m/>
    <s v="W&amp;Dio"/>
    <d v="2017-05-01T00:00:00"/>
    <m/>
    <m/>
    <m/>
    <x v="0"/>
    <m/>
    <s v="Residencial Horto Florestal I"/>
    <s v="Construtora"/>
    <m/>
    <s v="Sorocaba"/>
    <m/>
    <m/>
    <m/>
    <m/>
    <s v="Sim"/>
    <m/>
    <n v="140"/>
    <n v="56150"/>
    <m/>
    <m/>
    <x v="0"/>
    <m/>
    <x v="1"/>
    <s v="Optou por empresa da região de Sorocaba"/>
    <m/>
    <m/>
    <m/>
    <m/>
    <m/>
    <m/>
  </r>
  <r>
    <n v="40"/>
    <x v="0"/>
    <x v="0"/>
    <m/>
    <s v="W&amp;Dio"/>
    <d v="2017-05-01T00:00:00"/>
    <m/>
    <m/>
    <m/>
    <x v="0"/>
    <m/>
    <s v="CONDOMÍNIO HELBOR METROPOLITAN"/>
    <s v="Condominios"/>
    <m/>
    <s v="São Paulo/SP"/>
    <m/>
    <m/>
    <m/>
    <m/>
    <s v="Não"/>
    <m/>
    <n v="141"/>
    <n v="27400"/>
    <m/>
    <m/>
    <x v="0"/>
    <m/>
    <x v="1"/>
    <s v="Gestão Própria.Esta analisando a Terceirização"/>
    <m/>
    <m/>
    <m/>
    <m/>
    <m/>
    <m/>
  </r>
  <r>
    <n v="41"/>
    <x v="0"/>
    <x v="0"/>
    <m/>
    <s v="Indicação"/>
    <d v="2017-05-01T00:00:00"/>
    <m/>
    <m/>
    <m/>
    <x v="0"/>
    <m/>
    <s v="PREFEITURA MUNICIPAL DE VASCONCELOS"/>
    <s v="Empresa"/>
    <m/>
    <s v="Ferras de Vaz Concelos"/>
    <m/>
    <m/>
    <m/>
    <m/>
    <s v="Sim"/>
    <m/>
    <n v="142"/>
    <n v="25683"/>
    <m/>
    <m/>
    <x v="0"/>
    <m/>
    <x v="2"/>
    <s v="Analisando outras Propostas"/>
    <m/>
    <m/>
    <m/>
    <m/>
    <m/>
    <m/>
  </r>
  <r>
    <n v="42"/>
    <x v="0"/>
    <x v="0"/>
    <m/>
    <s v="E-mail Marketing"/>
    <d v="2017-05-01T00:00:00"/>
    <m/>
    <m/>
    <m/>
    <x v="0"/>
    <m/>
    <s v="GUIA MAIS"/>
    <s v="Empresa"/>
    <m/>
    <s v="São Paulo/SP"/>
    <m/>
    <m/>
    <m/>
    <m/>
    <s v="Não"/>
    <m/>
    <n v="143"/>
    <n v="7900"/>
    <m/>
    <m/>
    <x v="0"/>
    <m/>
    <x v="1"/>
    <s v="Optou pela empresa atual"/>
    <m/>
    <m/>
    <m/>
    <m/>
    <m/>
    <m/>
  </r>
  <r>
    <n v="43"/>
    <x v="0"/>
    <x v="0"/>
    <m/>
    <s v="Prospecção Ativa"/>
    <d v="2017-05-01T00:00:00"/>
    <m/>
    <m/>
    <m/>
    <x v="0"/>
    <m/>
    <s v="ENGEVIX ENGENHARIA S/A"/>
    <s v="Empresa"/>
    <m/>
    <s v="Barueri/Sp"/>
    <m/>
    <m/>
    <m/>
    <m/>
    <s v="Sim"/>
    <m/>
    <n v="144"/>
    <n v="29669"/>
    <m/>
    <m/>
    <x v="0"/>
    <m/>
    <x v="2"/>
    <s v="Analisando outras Propostas"/>
    <m/>
    <m/>
    <m/>
    <m/>
    <m/>
    <m/>
  </r>
  <r>
    <n v="44"/>
    <x v="0"/>
    <x v="0"/>
    <m/>
    <s v="Google"/>
    <d v="2017-05-01T00:00:00"/>
    <m/>
    <m/>
    <m/>
    <x v="0"/>
    <m/>
    <s v="CONDOMÍNIO VARANDAS JARAGUÁ"/>
    <s v="Empresa"/>
    <m/>
    <s v="São Paulo/SP"/>
    <m/>
    <m/>
    <m/>
    <m/>
    <s v="Sim"/>
    <m/>
    <n v="145"/>
    <n v="38470"/>
    <m/>
    <m/>
    <x v="0"/>
    <m/>
    <x v="2"/>
    <s v="Analisando outras Propostas"/>
    <m/>
    <m/>
    <m/>
    <m/>
    <m/>
    <m/>
  </r>
  <r>
    <n v="45"/>
    <x v="0"/>
    <x v="0"/>
    <m/>
    <s v="Google"/>
    <d v="2017-06-01T00:00:00"/>
    <m/>
    <m/>
    <m/>
    <x v="1"/>
    <m/>
    <s v="ACAM PORTINARI"/>
    <s v="Empresa"/>
    <m/>
    <s v="São Paulo/SP"/>
    <m/>
    <m/>
    <m/>
    <m/>
    <s v="Sim"/>
    <m/>
    <n v="146"/>
    <n v="9400"/>
    <m/>
    <m/>
    <x v="0"/>
    <m/>
    <x v="2"/>
    <s v="Analisando outras Propostas"/>
    <m/>
    <m/>
    <m/>
    <m/>
    <m/>
    <m/>
  </r>
  <r>
    <n v="46"/>
    <x v="2"/>
    <x v="2"/>
    <s v="Apresentação de Proposta"/>
    <s v="Prospecção Ativa"/>
    <d v="2017-06-01T00:00:00"/>
    <m/>
    <m/>
    <m/>
    <x v="1"/>
    <s v="Ligação"/>
    <s v="CONSTRUCAP CCPS Eng. E Com. S/A"/>
    <s v="Construtora"/>
    <s v="Rua Alvares Fagundes, 957 – Americanopolis"/>
    <s v="São Paulo/SP"/>
    <s v="Joelmir Kloster"/>
    <s v="Engenheiro"/>
    <s v="(11) 3017-8000 R. 340/99169 9161"/>
    <s v="jkloster@construcap.com.br"/>
    <s v="Sim"/>
    <m/>
    <n v="147"/>
    <n v="61406"/>
    <s v="Promocional"/>
    <d v="2017-06-08T00:00:00"/>
    <x v="1"/>
    <m/>
    <x v="2"/>
    <s v="Analisando outras Propostas"/>
    <m/>
    <m/>
    <m/>
    <m/>
    <m/>
    <m/>
  </r>
  <r>
    <n v="47"/>
    <x v="2"/>
    <x v="2"/>
    <s v="Apresentação de Proposta"/>
    <s v="Prospecção Ativa"/>
    <d v="2017-06-01T00:00:00"/>
    <m/>
    <m/>
    <m/>
    <x v="1"/>
    <s v="Ligação"/>
    <s v="CONSTRUCAP CCPS Eng. E Com. S/A"/>
    <s v="Construtora"/>
    <s v="Av. João Casarotto, 430 - Laranjeiras "/>
    <s v="Caieiras/SP"/>
    <s v="Joelmir Kloster"/>
    <s v="Engenheiro"/>
    <s v="(11) 3017-8000 R. 340/99169 9161"/>
    <s v="jkloster@construcap.com.br"/>
    <s v="Sim"/>
    <m/>
    <n v="148"/>
    <n v="46924"/>
    <s v="Promocional"/>
    <d v="2017-06-08T00:00:00"/>
    <x v="1"/>
    <m/>
    <x v="2"/>
    <s v="Analisando outras Propostas"/>
    <m/>
    <m/>
    <m/>
    <m/>
    <m/>
    <m/>
  </r>
  <r>
    <n v="48"/>
    <x v="2"/>
    <x v="2"/>
    <s v="Apresentação de Proposta"/>
    <s v="Prospecção Ativa"/>
    <d v="2017-06-01T00:00:00"/>
    <m/>
    <m/>
    <m/>
    <x v="0"/>
    <m/>
    <s v="CONSTRUCAP CCPS Eng. E Com. S/A"/>
    <s v="Construtora"/>
    <s v="Rua Noburo Nonaka, 200 – Guarulhos -SP  "/>
    <s v="Guarulhos/SP"/>
    <s v="Joelmir Kloster"/>
    <s v="Engenheiro"/>
    <s v="(11) 3017-8000 R. 340/99169 9161"/>
    <s v="jkloster@construcap.com.br"/>
    <s v="Sim"/>
    <m/>
    <n v="149"/>
    <n v="74016"/>
    <s v="Promocional"/>
    <d v="2017-06-08T00:00:00"/>
    <x v="1"/>
    <m/>
    <x v="2"/>
    <s v="Analisando outras Propostas"/>
    <m/>
    <m/>
    <m/>
    <m/>
    <m/>
    <m/>
  </r>
  <r>
    <n v="49"/>
    <x v="2"/>
    <x v="2"/>
    <s v="Apresentação de Proposta"/>
    <s v="Prospecção Ativa"/>
    <d v="2017-06-01T00:00:00"/>
    <s v="-"/>
    <d v="2017-06-28T00:00:00"/>
    <s v="14h00"/>
    <x v="2"/>
    <s v="Ligação"/>
    <s v="CONSÓRCIO A3 "/>
    <s v="Construtora"/>
    <s v="Rua dos Martires Armenios, 857 - Tremembé"/>
    <s v="São Paulo/SP"/>
    <s v="Adriano Brito"/>
    <s v="Comprador"/>
    <s v="(11) 3473 7831 R. 7832"/>
    <s v="adriano.brito@consorcioa3.com.br"/>
    <s v="Sim"/>
    <s v="Sim"/>
    <n v="150"/>
    <n v="165030"/>
    <s v="Promocional"/>
    <d v="2017-06-07T00:00:00"/>
    <x v="2"/>
    <m/>
    <x v="2"/>
    <s v="Analisando outras Propostas"/>
    <m/>
    <m/>
    <m/>
    <m/>
    <m/>
    <m/>
  </r>
  <r>
    <n v="50"/>
    <x v="3"/>
    <x v="2"/>
    <s v="Apresentação de Proposta"/>
    <s v="Prospecção Ativa"/>
    <d v="2017-06-01T00:00:00"/>
    <m/>
    <m/>
    <m/>
    <x v="0"/>
    <m/>
    <s v="CONDOMÍNIO RESIDENCIAL RESOURT SANTA ÂNGELA"/>
    <s v="Condominios"/>
    <s v="Av. Caetano Gornati, 1500 - Engordadouro"/>
    <s v="Jundiaí/SP"/>
    <s v="Fabiana Souza"/>
    <s v="Administradora"/>
    <s v="(11) 4836-5428 "/>
    <s v="fabianasouza@hubert.com.br"/>
    <s v="Sim"/>
    <s v="Sim"/>
    <n v="151"/>
    <n v="79865"/>
    <s v="Promocional"/>
    <d v="2017-06-19T00:00:00"/>
    <x v="1"/>
    <m/>
    <x v="2"/>
    <s v="Analisando outras Propostas"/>
    <m/>
    <m/>
    <m/>
    <m/>
    <m/>
    <m/>
  </r>
  <r>
    <n v="51"/>
    <x v="4"/>
    <x v="3"/>
    <s v="Prospecção"/>
    <s v="Experiência Anterior"/>
    <d v="2017-06-15T00:00:00"/>
    <s v="9h00"/>
    <m/>
    <m/>
    <x v="0"/>
    <m/>
    <s v="Condomínio Edifício Blue Note Brooklin "/>
    <s v="Condominios"/>
    <s v="R. Arizona, 694 - Cidade Monções"/>
    <s v="São Paulo/SP"/>
    <s v="Adilson Lira"/>
    <s v="Adm. Predial"/>
    <s v=" 11 99754-4063"/>
    <s v="adilsonglira@hotmail.com"/>
    <s v="Sim"/>
    <s v="Sim"/>
    <s v="MS0153-2017"/>
    <n v="36665"/>
    <s v="Promocional"/>
    <d v="2017-06-23T00:00:00"/>
    <x v="2"/>
    <s v="Esta em análise"/>
    <x v="2"/>
    <m/>
    <m/>
    <m/>
    <m/>
    <m/>
    <m/>
    <m/>
  </r>
  <r>
    <n v="52"/>
    <x v="5"/>
    <x v="2"/>
    <s v="Prospecção"/>
    <s v="W&amp;Dio"/>
    <d v="2017-06-21T00:00:00"/>
    <s v="14h00"/>
    <d v="2017-06-28T00:00:00"/>
    <s v="10h00"/>
    <x v="3"/>
    <s v="E-mail"/>
    <s v="Grupo Alvenius Equip. Tubulares"/>
    <s v="Industria"/>
    <s v="Estrada Fernando Nobre, 487 - Parque Rincao"/>
    <s v="Cotia/SP"/>
    <s v="Lilian Nascimento"/>
    <s v="Coordenadora RH"/>
    <s v=" 11 4613.6266/ 98266.8249"/>
    <s v="lilian.nascimento@alvenius.ind.br"/>
    <s v="Sim"/>
    <s v="Sim"/>
    <s v="MS0152-2017"/>
    <n v="37740"/>
    <s v="Promocional"/>
    <d v="2017-06-22T00:00:00"/>
    <x v="2"/>
    <s v="Solicitou reunião para alinhamento de mudança de empresa"/>
    <x v="2"/>
    <m/>
    <m/>
    <m/>
    <m/>
    <m/>
    <m/>
    <m/>
  </r>
  <r>
    <n v="53"/>
    <x v="6"/>
    <x v="2"/>
    <s v="Prospecção"/>
    <s v="Administradora"/>
    <d v="2017-06-21T00:00:00"/>
    <s v="9h00"/>
    <m/>
    <m/>
    <x v="0"/>
    <s v="E-mail"/>
    <s v="CONDOMÍNIO RESIDENCIAL CASA DE GRIMALDI"/>
    <s v="Condominios"/>
    <s v="Av. Darcy Reis, 2400 - Parque dos Príncipes"/>
    <s v="São Paulo/SP"/>
    <s v="Marco Aurélio - ADM. AZZI"/>
    <s v="Gerente de Contas"/>
    <s v="11 4617-9200"/>
    <s v="marcoaurelio@azzi.com.br"/>
    <m/>
    <s v="Sim"/>
    <s v="MS0156-2017"/>
    <n v="19130"/>
    <s v="Promocional"/>
    <d v="2017-06-26T00:00:00"/>
    <x v="2"/>
    <s v="A Adm. Azzi enviou para o síndico"/>
    <x v="2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ADMINISTRADORAS E SÍNDICOS"/>
    <x v="0"/>
    <x v="0"/>
    <m/>
    <m/>
    <m/>
    <m/>
    <m/>
    <m/>
    <x v="4"/>
    <s v="E-mail"/>
    <s v="Condomínio Torres dos Ourives"/>
    <s v="Condominios"/>
    <s v="Rua Ângelo Bertini, 303 - Jardim Celeste"/>
    <s v="São Paulo/SP"/>
    <s v="José Francisco"/>
    <s v="Síndico"/>
    <s v="11 2334-2777"/>
    <s v="torresdosourives@gmail.com"/>
    <m/>
    <m/>
    <m/>
    <m/>
    <m/>
    <m/>
    <x v="0"/>
    <m/>
    <x v="0"/>
    <m/>
    <m/>
    <m/>
    <m/>
    <m/>
    <m/>
    <m/>
  </r>
  <r>
    <s v="Síndico"/>
    <x v="7"/>
    <x v="2"/>
    <s v="Prospecção"/>
    <s v="Google"/>
    <m/>
    <m/>
    <m/>
    <m/>
    <x v="4"/>
    <s v="E-mail"/>
    <s v="Residencial Ville D France"/>
    <s v="Condominios"/>
    <s v="R. Alba, 150 - Parque Jabaquara, "/>
    <s v="São Paulo/SP"/>
    <s v="Luiz"/>
    <s v="Síndico"/>
    <s v="11 5031-0172"/>
    <s v="condominio.villedfrance@gmail.com"/>
    <m/>
    <m/>
    <m/>
    <m/>
    <m/>
    <m/>
    <x v="0"/>
    <m/>
    <x v="0"/>
    <m/>
    <m/>
    <m/>
    <m/>
    <m/>
    <m/>
    <m/>
  </r>
  <r>
    <s v="Sindico"/>
    <x v="7"/>
    <x v="2"/>
    <s v="Prospecção"/>
    <s v="Google"/>
    <m/>
    <m/>
    <m/>
    <m/>
    <x v="4"/>
    <s v="E-mail"/>
    <s v="Condomínio Edifício Oásis"/>
    <s v="Construtora"/>
    <s v="R. Manuel Cherem, 300 - Vila Paulista"/>
    <s v="São Paulo/SP"/>
    <s v="Antônio"/>
    <s v="Zelador"/>
    <s v="11 5031-2732"/>
    <s v="zelador.oasis@gmail.com"/>
    <m/>
    <m/>
    <m/>
    <m/>
    <m/>
    <m/>
    <x v="0"/>
    <m/>
    <x v="0"/>
    <m/>
    <m/>
    <m/>
    <m/>
    <m/>
    <m/>
    <m/>
  </r>
  <r>
    <s v="Sindico"/>
    <x v="7"/>
    <x v="2"/>
    <s v="Prospecção"/>
    <s v="Google"/>
    <m/>
    <m/>
    <m/>
    <m/>
    <x v="1"/>
    <s v="E-mail"/>
    <s v="Cana Condomínios"/>
    <s v="Administradora"/>
    <s v="Av. Eng. Armando de Arruda Pereira, 2937 - Jabaquara,"/>
    <s v="São Paulo/SP"/>
    <s v="Cláudio Marcondes"/>
    <s v="Gerente"/>
    <s v="11 4106-4351"/>
    <s v="claudio@canalcondominio.com"/>
    <m/>
    <m/>
    <m/>
    <m/>
    <m/>
    <m/>
    <x v="0"/>
    <m/>
    <x v="0"/>
    <m/>
    <m/>
    <m/>
    <m/>
    <m/>
    <m/>
    <m/>
  </r>
  <r>
    <s v="Adm."/>
    <x v="8"/>
    <x v="2"/>
    <s v="Prospecção"/>
    <s v="Google"/>
    <m/>
    <m/>
    <m/>
    <m/>
    <x v="5"/>
    <s v="Ligação"/>
    <s v="Souza &amp; Reis Gestão Recursos Imob., Adm. de Cond. "/>
    <s v="Administradora"/>
    <s v="Estr. das Taipas, 1099 - Parque Nações Unidas,"/>
    <s v="São Paulo/SP"/>
    <s v="Mirson Júnior"/>
    <s v="Gerente Geral"/>
    <s v=" (11) 3946-2608"/>
    <s v="mirson.junior@souzareis.com.br"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PROSPECÇÃO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Prospecção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B13" firstHeaderRow="1" firstDataRow="1" firstDataCol="1"/>
  <pivotFields count="35">
    <pivotField dataField="1" subtotalTop="0" showAll="0"/>
    <pivotField axis="axisRow" subtotalTop="0" showAll="0">
      <items count="13">
        <item m="1" x="11"/>
        <item m="1" x="9"/>
        <item x="0"/>
        <item m="1"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1"/>
  </rowFields>
  <rowItems count="10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N0. SEQ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4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dataField="1" subtotalTop="0" showAll="0">
      <items count="7">
        <item m="1" x="5"/>
        <item h="1" x="0"/>
        <item m="1" x="3"/>
        <item h="1" m="1" x="4"/>
        <item h="1" x="1"/>
        <item h="1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ntagem de Win / Loss " fld="27" subtotal="count" baseField="0" baseItem="0"/>
    <dataField name="Soma de Valor (R$)" fld="22" baseField="2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7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dataField="1" subtotalTop="0" showAll="0">
      <items count="7">
        <item m="1" x="5"/>
        <item m="1" x="3"/>
        <item x="0"/>
        <item m="1" x="4"/>
        <item x="1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4"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Win / Loss " fld="27" subtotal="count" baseField="0" baseItem="0"/>
    <dataField name="Soma de Valor (R$)" fld="22" baseField="2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7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axis="axisRow" dataField="1" subtotalTop="0" showAll="0">
      <items count="6">
        <item x="1"/>
        <item x="2"/>
        <item m="1" x="3"/>
        <item m="1" x="4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5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tatus de Evolução" fld="25" subtotal="count" baseField="0" baseItem="0"/>
    <dataField name="Soma de Valor (R$)" fld="22" baseField="2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4:C9" firstHeaderRow="0" firstDataRow="1" firstDataCol="1" rowPageCount="2" colPageCount="1"/>
  <pivotFields count="35">
    <pivotField subtotalTop="0" showAll="0"/>
    <pivotField axis="axisPage" subtotalTop="0" showAll="0">
      <items count="13">
        <item m="1" x="11"/>
        <item m="1" x="9"/>
        <item m="1" x="1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dataField="1" showAll="0">
      <items count="6">
        <item x="1"/>
        <item x="2"/>
        <item m="1" x="4"/>
        <item x="3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Page" subtotalTop="0" showAll="0">
      <items count="9">
        <item m="1" x="7"/>
        <item x="0"/>
        <item m="1" x="6"/>
        <item x="1"/>
        <item x="2"/>
        <item x="3"/>
        <item x="4"/>
        <item x="5"/>
        <item t="default"/>
      </items>
    </pivotField>
    <pivotField dataField="1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9" hier="-1"/>
  </pageFields>
  <dataFields count="2">
    <dataField name="Contagem de Canal Ultilizado" fld="2" subtotal="count" baseField="0" baseItem="0"/>
    <dataField name="Contagem de Canal Ultilizado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1">
  <location ref="A3:C4" firstHeaderRow="0" firstDataRow="1" firstDataCol="1"/>
  <pivotFields count="35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">
        <item m="1" x="4"/>
        <item m="1" x="5"/>
        <item m="1" x="3"/>
        <item h="1" x="0"/>
        <item h="1" x="1"/>
        <item h="1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ntagem de Valor (R$)" fld="22" subtotal="count" baseField="0" baseItem="0"/>
    <dataField name="Soma de Valor (R$)2" fld="22" baseField="2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3"/>
  <sheetViews>
    <sheetView workbookViewId="0">
      <selection activeCell="B13" sqref="B13"/>
    </sheetView>
  </sheetViews>
  <sheetFormatPr defaultRowHeight="15" x14ac:dyDescent="0.25"/>
  <cols>
    <col min="1" max="1" width="18" customWidth="1"/>
    <col min="2" max="2" width="20.85546875" customWidth="1"/>
    <col min="3" max="3" width="7" customWidth="1"/>
    <col min="4" max="4" width="10.7109375" bestFit="1" customWidth="1"/>
  </cols>
  <sheetData>
    <row r="3" spans="1:2" x14ac:dyDescent="0.25">
      <c r="A3" s="4" t="s">
        <v>29</v>
      </c>
      <c r="B3" t="s">
        <v>32</v>
      </c>
    </row>
    <row r="4" spans="1:2" x14ac:dyDescent="0.25">
      <c r="A4" s="5" t="s">
        <v>30</v>
      </c>
      <c r="B4">
        <v>48</v>
      </c>
    </row>
    <row r="5" spans="1:2" x14ac:dyDescent="0.25">
      <c r="A5" s="5" t="s">
        <v>69</v>
      </c>
      <c r="B5">
        <v>1</v>
      </c>
    </row>
    <row r="6" spans="1:2" x14ac:dyDescent="0.25">
      <c r="A6" s="15">
        <v>42893</v>
      </c>
      <c r="B6">
        <v>4</v>
      </c>
    </row>
    <row r="7" spans="1:2" x14ac:dyDescent="0.25">
      <c r="A7" s="15">
        <v>42898</v>
      </c>
      <c r="B7">
        <v>1</v>
      </c>
    </row>
    <row r="8" spans="1:2" x14ac:dyDescent="0.25">
      <c r="A8" s="15">
        <v>42829</v>
      </c>
      <c r="B8">
        <v>1</v>
      </c>
    </row>
    <row r="9" spans="1:2" x14ac:dyDescent="0.25">
      <c r="A9" s="15">
        <v>42872</v>
      </c>
      <c r="B9">
        <v>1</v>
      </c>
    </row>
    <row r="10" spans="1:2" x14ac:dyDescent="0.25">
      <c r="A10" s="15">
        <v>42874</v>
      </c>
      <c r="B10">
        <v>1</v>
      </c>
    </row>
    <row r="11" spans="1:2" x14ac:dyDescent="0.25">
      <c r="A11" s="15">
        <v>42908</v>
      </c>
      <c r="B11">
        <v>3</v>
      </c>
    </row>
    <row r="12" spans="1:2" x14ac:dyDescent="0.25">
      <c r="A12" s="15">
        <v>42914</v>
      </c>
      <c r="B12">
        <v>1</v>
      </c>
    </row>
    <row r="13" spans="1:2" x14ac:dyDescent="0.25">
      <c r="A13" s="5" t="s">
        <v>31</v>
      </c>
      <c r="B13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4"/>
  <sheetViews>
    <sheetView workbookViewId="0">
      <selection activeCell="A4" sqref="A4:C4"/>
    </sheetView>
  </sheetViews>
  <sheetFormatPr defaultRowHeight="15" x14ac:dyDescent="0.25"/>
  <cols>
    <col min="1" max="1" width="18" customWidth="1"/>
    <col min="2" max="2" width="23.140625" customWidth="1"/>
    <col min="3" max="3" width="18" customWidth="1"/>
    <col min="4" max="4" width="10.7109375" bestFit="1" customWidth="1"/>
  </cols>
  <sheetData>
    <row r="3" spans="1:3" x14ac:dyDescent="0.25">
      <c r="A3" s="4" t="s">
        <v>29</v>
      </c>
      <c r="B3" t="s">
        <v>34</v>
      </c>
      <c r="C3" t="s">
        <v>35</v>
      </c>
    </row>
    <row r="4" spans="1:3" x14ac:dyDescent="0.25">
      <c r="A4" s="5" t="s">
        <v>31</v>
      </c>
      <c r="C4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23.140625" bestFit="1" customWidth="1"/>
    <col min="3" max="3" width="18" customWidth="1"/>
  </cols>
  <sheetData>
    <row r="3" spans="1:3" x14ac:dyDescent="0.25">
      <c r="A3" s="4" t="s">
        <v>29</v>
      </c>
      <c r="B3" t="s">
        <v>34</v>
      </c>
      <c r="C3" t="s">
        <v>35</v>
      </c>
    </row>
    <row r="4" spans="1:3" x14ac:dyDescent="0.25">
      <c r="A4" s="5" t="s">
        <v>30</v>
      </c>
      <c r="C4" s="6"/>
    </row>
    <row r="5" spans="1:3" x14ac:dyDescent="0.25">
      <c r="A5" s="5" t="s">
        <v>65</v>
      </c>
      <c r="B5">
        <v>24</v>
      </c>
      <c r="C5" s="6">
        <v>834722</v>
      </c>
    </row>
    <row r="6" spans="1:3" x14ac:dyDescent="0.25">
      <c r="A6" s="5" t="s">
        <v>66</v>
      </c>
      <c r="B6">
        <v>29</v>
      </c>
      <c r="C6" s="6">
        <v>1419082</v>
      </c>
    </row>
    <row r="7" spans="1:3" x14ac:dyDescent="0.25">
      <c r="A7" s="5" t="s">
        <v>31</v>
      </c>
      <c r="B7">
        <v>53</v>
      </c>
      <c r="C7" s="6">
        <v>2253804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9"/>
  <sheetViews>
    <sheetView workbookViewId="0">
      <selection activeCell="E10" sqref="E10"/>
    </sheetView>
  </sheetViews>
  <sheetFormatPr defaultRowHeight="15" x14ac:dyDescent="0.25"/>
  <cols>
    <col min="1" max="1" width="18" style="7" bestFit="1" customWidth="1"/>
    <col min="2" max="2" width="30.28515625" bestFit="1" customWidth="1"/>
    <col min="3" max="3" width="18" customWidth="1"/>
  </cols>
  <sheetData>
    <row r="3" spans="1:3" x14ac:dyDescent="0.25">
      <c r="A3" s="4" t="s">
        <v>29</v>
      </c>
      <c r="B3" t="s">
        <v>37</v>
      </c>
      <c r="C3" t="s">
        <v>35</v>
      </c>
    </row>
    <row r="4" spans="1:3" x14ac:dyDescent="0.25">
      <c r="A4" s="5">
        <v>0.25</v>
      </c>
      <c r="B4">
        <v>4</v>
      </c>
      <c r="C4" s="6">
        <v>262211</v>
      </c>
    </row>
    <row r="5" spans="1:3" x14ac:dyDescent="0.25">
      <c r="A5" s="5">
        <v>0.5</v>
      </c>
      <c r="B5">
        <v>4</v>
      </c>
      <c r="C5" s="6">
        <v>258565</v>
      </c>
    </row>
    <row r="6" spans="1:3" x14ac:dyDescent="0.25">
      <c r="A6" s="5" t="s">
        <v>30</v>
      </c>
      <c r="C6" s="6">
        <v>1733028</v>
      </c>
    </row>
    <row r="7" spans="1:3" x14ac:dyDescent="0.25">
      <c r="A7" s="5" t="s">
        <v>31</v>
      </c>
      <c r="B7">
        <v>8</v>
      </c>
      <c r="C7" s="6">
        <v>2253804</v>
      </c>
    </row>
    <row r="8" spans="1:3" x14ac:dyDescent="0.25">
      <c r="A8"/>
    </row>
    <row r="9" spans="1:3" x14ac:dyDescent="0.25">
      <c r="A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19" sqref="B19"/>
    </sheetView>
  </sheetViews>
  <sheetFormatPr defaultRowHeight="15" x14ac:dyDescent="0.25"/>
  <cols>
    <col min="1" max="1" width="23.7109375" bestFit="1" customWidth="1"/>
    <col min="2" max="2" width="27.5703125" customWidth="1"/>
    <col min="3" max="3" width="28.5703125" bestFit="1" customWidth="1"/>
  </cols>
  <sheetData>
    <row r="1" spans="1:3" x14ac:dyDescent="0.25">
      <c r="A1" s="4" t="s">
        <v>3</v>
      </c>
      <c r="B1" t="s">
        <v>43</v>
      </c>
    </row>
    <row r="2" spans="1:3" x14ac:dyDescent="0.25">
      <c r="A2" s="4" t="s">
        <v>2</v>
      </c>
      <c r="B2" t="s">
        <v>43</v>
      </c>
    </row>
    <row r="4" spans="1:3" x14ac:dyDescent="0.25">
      <c r="A4" s="4" t="s">
        <v>29</v>
      </c>
      <c r="B4" t="s">
        <v>42</v>
      </c>
      <c r="C4" t="s">
        <v>44</v>
      </c>
    </row>
    <row r="5" spans="1:3" x14ac:dyDescent="0.25">
      <c r="A5" s="5" t="s">
        <v>1</v>
      </c>
      <c r="B5">
        <v>1</v>
      </c>
      <c r="C5">
        <v>1</v>
      </c>
    </row>
    <row r="6" spans="1:3" x14ac:dyDescent="0.25">
      <c r="A6" s="5" t="s">
        <v>38</v>
      </c>
      <c r="B6">
        <v>11</v>
      </c>
      <c r="C6">
        <v>9</v>
      </c>
    </row>
    <row r="7" spans="1:3" x14ac:dyDescent="0.25">
      <c r="A7" s="5" t="s">
        <v>40</v>
      </c>
      <c r="B7">
        <v>1</v>
      </c>
    </row>
    <row r="8" spans="1:3" x14ac:dyDescent="0.25">
      <c r="A8" s="5" t="s">
        <v>30</v>
      </c>
      <c r="C8">
        <v>1</v>
      </c>
    </row>
    <row r="9" spans="1:3" x14ac:dyDescent="0.25">
      <c r="A9" s="5" t="s">
        <v>31</v>
      </c>
      <c r="B9">
        <v>13</v>
      </c>
      <c r="C9">
        <v>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3"/>
  <sheetViews>
    <sheetView topLeftCell="A11" workbookViewId="0">
      <selection activeCell="B20" sqref="B20:B31"/>
    </sheetView>
  </sheetViews>
  <sheetFormatPr defaultRowHeight="15" x14ac:dyDescent="0.25"/>
  <cols>
    <col min="1" max="1" width="18" customWidth="1"/>
    <col min="2" max="2" width="22.28515625" bestFit="1" customWidth="1"/>
    <col min="3" max="3" width="19" customWidth="1"/>
  </cols>
  <sheetData>
    <row r="3" spans="1:3" x14ac:dyDescent="0.25">
      <c r="A3" s="4" t="s">
        <v>29</v>
      </c>
      <c r="B3" t="s">
        <v>45</v>
      </c>
      <c r="C3" t="s">
        <v>46</v>
      </c>
    </row>
    <row r="4" spans="1:3" x14ac:dyDescent="0.25">
      <c r="A4" s="5" t="s">
        <v>31</v>
      </c>
      <c r="C4" s="8"/>
    </row>
    <row r="10" spans="1:3" x14ac:dyDescent="0.25">
      <c r="A10" s="9" t="s">
        <v>47</v>
      </c>
      <c r="B10" s="9" t="s">
        <v>48</v>
      </c>
      <c r="C10" s="9" t="s">
        <v>49</v>
      </c>
    </row>
    <row r="11" spans="1:3" x14ac:dyDescent="0.25">
      <c r="A11" s="5" t="s">
        <v>36</v>
      </c>
      <c r="B11">
        <v>4</v>
      </c>
      <c r="C11" s="8">
        <v>154600</v>
      </c>
    </row>
    <row r="12" spans="1:3" x14ac:dyDescent="0.25">
      <c r="A12" s="5" t="s">
        <v>28</v>
      </c>
      <c r="B12">
        <v>1</v>
      </c>
      <c r="C12" s="8">
        <v>33200</v>
      </c>
    </row>
    <row r="13" spans="1:3" x14ac:dyDescent="0.25">
      <c r="A13" s="5" t="s">
        <v>33</v>
      </c>
      <c r="B13">
        <v>2</v>
      </c>
      <c r="C13" s="8">
        <v>71700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4:E46"/>
  <sheetViews>
    <sheetView topLeftCell="A26" workbookViewId="0">
      <selection activeCell="E47" sqref="E47"/>
    </sheetView>
  </sheetViews>
  <sheetFormatPr defaultRowHeight="15" x14ac:dyDescent="0.25"/>
  <cols>
    <col min="5" max="5" width="38" customWidth="1"/>
  </cols>
  <sheetData>
    <row r="4" spans="5:5" x14ac:dyDescent="0.25">
      <c r="E4" t="s">
        <v>5</v>
      </c>
    </row>
    <row r="6" spans="5:5" x14ac:dyDescent="0.25">
      <c r="E6" s="1" t="s">
        <v>6</v>
      </c>
    </row>
    <row r="7" spans="5:5" x14ac:dyDescent="0.25">
      <c r="E7" t="s">
        <v>7</v>
      </c>
    </row>
    <row r="8" spans="5:5" x14ac:dyDescent="0.25">
      <c r="E8" s="2" t="s">
        <v>8</v>
      </c>
    </row>
    <row r="9" spans="5:5" x14ac:dyDescent="0.25">
      <c r="E9" t="s">
        <v>9</v>
      </c>
    </row>
    <row r="10" spans="5:5" x14ac:dyDescent="0.25">
      <c r="E10" t="s">
        <v>10</v>
      </c>
    </row>
    <row r="13" spans="5:5" x14ac:dyDescent="0.25">
      <c r="E13" t="s">
        <v>4</v>
      </c>
    </row>
    <row r="15" spans="5:5" x14ac:dyDescent="0.25">
      <c r="E15" t="s">
        <v>15</v>
      </c>
    </row>
    <row r="16" spans="5:5" x14ac:dyDescent="0.25">
      <c r="E16" t="s">
        <v>11</v>
      </c>
    </row>
    <row r="17" spans="5:5" x14ac:dyDescent="0.25">
      <c r="E17" t="s">
        <v>39</v>
      </c>
    </row>
    <row r="18" spans="5:5" x14ac:dyDescent="0.25">
      <c r="E18" t="s">
        <v>12</v>
      </c>
    </row>
    <row r="19" spans="5:5" x14ac:dyDescent="0.25">
      <c r="E19" t="s">
        <v>13</v>
      </c>
    </row>
    <row r="20" spans="5:5" x14ac:dyDescent="0.25">
      <c r="E20" t="s">
        <v>14</v>
      </c>
    </row>
    <row r="21" spans="5:5" x14ac:dyDescent="0.25">
      <c r="E21" t="s">
        <v>16</v>
      </c>
    </row>
    <row r="22" spans="5:5" x14ac:dyDescent="0.25">
      <c r="E22" t="s">
        <v>17</v>
      </c>
    </row>
    <row r="24" spans="5:5" x14ac:dyDescent="0.25">
      <c r="E24" t="s">
        <v>0</v>
      </c>
    </row>
    <row r="26" spans="5:5" x14ac:dyDescent="0.25">
      <c r="E26" t="s">
        <v>17</v>
      </c>
    </row>
    <row r="27" spans="5:5" x14ac:dyDescent="0.25">
      <c r="E27" t="s">
        <v>18</v>
      </c>
    </row>
    <row r="28" spans="5:5" x14ac:dyDescent="0.25">
      <c r="E28" t="s">
        <v>19</v>
      </c>
    </row>
    <row r="29" spans="5:5" x14ac:dyDescent="0.25">
      <c r="E29" t="s">
        <v>22</v>
      </c>
    </row>
    <row r="30" spans="5:5" x14ac:dyDescent="0.25">
      <c r="E30" t="s">
        <v>23</v>
      </c>
    </row>
    <row r="31" spans="5:5" x14ac:dyDescent="0.25">
      <c r="E31" t="s">
        <v>20</v>
      </c>
    </row>
    <row r="32" spans="5:5" x14ac:dyDescent="0.25">
      <c r="E32" t="s">
        <v>21</v>
      </c>
    </row>
    <row r="34" spans="5:5" x14ac:dyDescent="0.25">
      <c r="E34" t="s">
        <v>24</v>
      </c>
    </row>
    <row r="35" spans="5:5" x14ac:dyDescent="0.25">
      <c r="E35" t="s">
        <v>25</v>
      </c>
    </row>
    <row r="36" spans="5:5" x14ac:dyDescent="0.25">
      <c r="E36" t="s">
        <v>26</v>
      </c>
    </row>
    <row r="38" spans="5:5" x14ac:dyDescent="0.25">
      <c r="E38" s="3">
        <v>0.25</v>
      </c>
    </row>
    <row r="39" spans="5:5" x14ac:dyDescent="0.25">
      <c r="E39" s="3">
        <v>0.5</v>
      </c>
    </row>
    <row r="40" spans="5:5" x14ac:dyDescent="0.25">
      <c r="E40" s="3">
        <v>0.75</v>
      </c>
    </row>
    <row r="41" spans="5:5" x14ac:dyDescent="0.25">
      <c r="E41" s="3">
        <v>1</v>
      </c>
    </row>
    <row r="43" spans="5:5" x14ac:dyDescent="0.25">
      <c r="E43" t="s">
        <v>38</v>
      </c>
    </row>
    <row r="44" spans="5:5" x14ac:dyDescent="0.25">
      <c r="E44" t="s">
        <v>1</v>
      </c>
    </row>
    <row r="45" spans="5:5" x14ac:dyDescent="0.25">
      <c r="E45" t="s">
        <v>40</v>
      </c>
    </row>
    <row r="46" spans="5:5" x14ac:dyDescent="0.25">
      <c r="E46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54"/>
  <sheetViews>
    <sheetView tabSelected="1" topLeftCell="A7" workbookViewId="0">
      <selection activeCell="B54" sqref="B54:F54"/>
    </sheetView>
  </sheetViews>
  <sheetFormatPr defaultRowHeight="12.75" x14ac:dyDescent="0.25"/>
  <cols>
    <col min="1" max="1" width="1.42578125" style="10" customWidth="1"/>
    <col min="2" max="2" width="13.7109375" style="10" customWidth="1"/>
    <col min="3" max="3" width="8.5703125" style="10" bestFit="1" customWidth="1"/>
    <col min="4" max="5" width="5.140625" style="10" customWidth="1"/>
    <col min="6" max="6" width="0.5703125" style="10" customWidth="1"/>
    <col min="7" max="7" width="5.140625" style="10" customWidth="1"/>
    <col min="8" max="8" width="4.140625" style="10" customWidth="1"/>
    <col min="9" max="9" width="4.28515625" style="10" customWidth="1"/>
    <col min="10" max="11" width="5.140625" style="10" customWidth="1"/>
    <col min="12" max="12" width="7.42578125" style="10" customWidth="1"/>
    <col min="13" max="13" width="9.140625" style="10" customWidth="1"/>
    <col min="14" max="14" width="13" style="10" customWidth="1"/>
    <col min="15" max="17" width="5.140625" style="10" customWidth="1"/>
    <col min="18" max="18" width="17.28515625" style="10" customWidth="1"/>
    <col min="19" max="16384" width="9.140625" style="10"/>
  </cols>
  <sheetData>
    <row r="1" spans="2:20" ht="20.25" customHeight="1" x14ac:dyDescent="0.25"/>
    <row r="2" spans="2:20" ht="15" customHeight="1" x14ac:dyDescent="0.25">
      <c r="B2" s="34"/>
      <c r="C2" s="34"/>
      <c r="D2" s="34"/>
      <c r="E2" s="34"/>
      <c r="F2" s="34"/>
      <c r="G2" s="35" t="s">
        <v>77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2:20" s="11" customFormat="1" ht="25.5" customHeight="1" x14ac:dyDescent="0.25">
      <c r="B3" s="34"/>
      <c r="C3" s="34"/>
      <c r="D3" s="34"/>
      <c r="E3" s="34"/>
      <c r="F3" s="34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2:20" ht="27.75" customHeight="1" x14ac:dyDescent="0.25">
      <c r="B4" s="34"/>
      <c r="C4" s="34"/>
      <c r="D4" s="34"/>
      <c r="E4" s="34"/>
      <c r="F4" s="34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20" ht="20.100000000000001" customHeight="1" x14ac:dyDescent="0.25">
      <c r="B5" s="37" t="s">
        <v>50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2:20" s="12" customFormat="1" ht="12.75" customHeight="1" x14ac:dyDescent="0.25">
      <c r="B6" s="38" t="s">
        <v>51</v>
      </c>
      <c r="C6" s="39"/>
      <c r="D6" s="39"/>
      <c r="E6" s="39"/>
      <c r="F6" s="40"/>
      <c r="G6" s="38" t="s">
        <v>52</v>
      </c>
      <c r="H6" s="39"/>
      <c r="I6" s="39"/>
      <c r="J6" s="39"/>
      <c r="K6" s="39"/>
      <c r="L6" s="39"/>
      <c r="M6" s="39"/>
      <c r="N6" s="40"/>
      <c r="O6" s="38" t="s">
        <v>53</v>
      </c>
      <c r="P6" s="39"/>
      <c r="Q6" s="39"/>
      <c r="R6" s="40"/>
    </row>
    <row r="7" spans="2:20" s="11" customFormat="1" ht="25.5" customHeight="1" x14ac:dyDescent="0.25">
      <c r="B7" s="19" t="s">
        <v>81</v>
      </c>
      <c r="C7" s="20"/>
      <c r="D7" s="20"/>
      <c r="E7" s="20"/>
      <c r="F7" s="21"/>
      <c r="G7" s="22" t="s">
        <v>80</v>
      </c>
      <c r="H7" s="23"/>
      <c r="I7" s="23"/>
      <c r="J7" s="23"/>
      <c r="K7" s="23"/>
      <c r="L7" s="23"/>
      <c r="M7" s="23"/>
      <c r="N7" s="24"/>
      <c r="O7" s="25" t="s">
        <v>82</v>
      </c>
      <c r="P7" s="26"/>
      <c r="Q7" s="26"/>
      <c r="R7" s="27"/>
    </row>
    <row r="8" spans="2:20" ht="5.25" customHeight="1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30"/>
      <c r="T8" s="10">
        <v>4</v>
      </c>
    </row>
    <row r="9" spans="2:20" ht="20.100000000000001" customHeight="1" x14ac:dyDescent="0.25">
      <c r="B9" s="28" t="s">
        <v>79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/>
    </row>
    <row r="10" spans="2:20" ht="21" customHeight="1" x14ac:dyDescent="0.25">
      <c r="B10" s="17" t="s">
        <v>68</v>
      </c>
      <c r="C10" s="17" t="s">
        <v>67</v>
      </c>
      <c r="D10" s="31" t="s">
        <v>54</v>
      </c>
      <c r="E10" s="32"/>
      <c r="F10" s="33"/>
      <c r="G10" s="31" t="s">
        <v>55</v>
      </c>
      <c r="H10" s="32"/>
      <c r="I10" s="33"/>
      <c r="J10" s="31" t="s">
        <v>78</v>
      </c>
      <c r="K10" s="32"/>
      <c r="L10" s="32"/>
      <c r="M10" s="32"/>
      <c r="N10" s="32"/>
      <c r="O10" s="32"/>
      <c r="P10" s="32"/>
      <c r="Q10" s="32"/>
      <c r="R10" s="33"/>
    </row>
    <row r="11" spans="2:20" ht="18" customHeight="1" x14ac:dyDescent="0.25">
      <c r="B11" s="13">
        <v>45134</v>
      </c>
      <c r="C11" s="18">
        <v>1</v>
      </c>
      <c r="D11" s="41">
        <v>160</v>
      </c>
      <c r="E11" s="42"/>
      <c r="F11" s="43"/>
      <c r="G11" s="44">
        <v>160</v>
      </c>
      <c r="H11" s="48"/>
      <c r="I11" s="49"/>
      <c r="J11" s="45" t="s">
        <v>85</v>
      </c>
      <c r="K11" s="46"/>
      <c r="L11" s="46"/>
      <c r="M11" s="46"/>
      <c r="N11" s="46"/>
      <c r="O11" s="46"/>
      <c r="P11" s="46"/>
      <c r="Q11" s="46"/>
      <c r="R11" s="47"/>
    </row>
    <row r="12" spans="2:20" ht="18" customHeight="1" x14ac:dyDescent="0.25">
      <c r="B12" s="13"/>
      <c r="C12" s="18"/>
      <c r="D12" s="44"/>
      <c r="E12" s="48"/>
      <c r="F12" s="49"/>
      <c r="G12" s="44"/>
      <c r="H12" s="48"/>
      <c r="I12" s="49"/>
      <c r="J12" s="45"/>
      <c r="K12" s="46"/>
      <c r="L12" s="46"/>
      <c r="M12" s="46"/>
      <c r="N12" s="46"/>
      <c r="O12" s="46"/>
      <c r="P12" s="46"/>
      <c r="Q12" s="46"/>
      <c r="R12" s="47"/>
    </row>
    <row r="13" spans="2:20" ht="18" customHeight="1" x14ac:dyDescent="0.25">
      <c r="B13" s="13"/>
      <c r="C13" s="18"/>
      <c r="D13" s="41"/>
      <c r="E13" s="42"/>
      <c r="F13" s="43"/>
      <c r="G13" s="44"/>
      <c r="H13" s="42"/>
      <c r="I13" s="43"/>
      <c r="J13" s="45"/>
      <c r="K13" s="46"/>
      <c r="L13" s="46"/>
      <c r="M13" s="46"/>
      <c r="N13" s="46"/>
      <c r="O13" s="46"/>
      <c r="P13" s="46"/>
      <c r="Q13" s="46"/>
      <c r="R13" s="47"/>
    </row>
    <row r="14" spans="2:20" ht="18" customHeight="1" x14ac:dyDescent="0.25">
      <c r="B14" s="13"/>
      <c r="C14" s="18"/>
      <c r="D14" s="41"/>
      <c r="E14" s="42"/>
      <c r="F14" s="43"/>
      <c r="G14" s="44"/>
      <c r="H14" s="42"/>
      <c r="I14" s="43"/>
      <c r="J14" s="45"/>
      <c r="K14" s="46"/>
      <c r="L14" s="46"/>
      <c r="M14" s="46"/>
      <c r="N14" s="46"/>
      <c r="O14" s="46"/>
      <c r="P14" s="46"/>
      <c r="Q14" s="46"/>
      <c r="R14" s="47"/>
    </row>
    <row r="15" spans="2:20" ht="18" customHeight="1" x14ac:dyDescent="0.25">
      <c r="B15" s="13"/>
      <c r="C15" s="18"/>
      <c r="D15" s="41"/>
      <c r="E15" s="42"/>
      <c r="F15" s="43"/>
      <c r="G15" s="44"/>
      <c r="H15" s="42"/>
      <c r="I15" s="43"/>
      <c r="J15" s="45"/>
      <c r="K15" s="46"/>
      <c r="L15" s="46"/>
      <c r="M15" s="46"/>
      <c r="N15" s="46"/>
      <c r="O15" s="46"/>
      <c r="P15" s="46"/>
      <c r="Q15" s="46"/>
      <c r="R15" s="47"/>
    </row>
    <row r="16" spans="2:20" ht="18" customHeight="1" x14ac:dyDescent="0.25">
      <c r="B16" s="13"/>
      <c r="C16" s="18"/>
      <c r="D16" s="41"/>
      <c r="E16" s="42"/>
      <c r="F16" s="43"/>
      <c r="G16" s="44"/>
      <c r="H16" s="42"/>
      <c r="I16" s="43"/>
      <c r="J16" s="45"/>
      <c r="K16" s="46"/>
      <c r="L16" s="46"/>
      <c r="M16" s="46"/>
      <c r="N16" s="46"/>
      <c r="O16" s="46"/>
      <c r="P16" s="46"/>
      <c r="Q16" s="46"/>
      <c r="R16" s="47"/>
    </row>
    <row r="17" spans="2:18" ht="18" customHeight="1" x14ac:dyDescent="0.25">
      <c r="B17" s="13"/>
      <c r="C17" s="18"/>
      <c r="D17" s="41"/>
      <c r="E17" s="42"/>
      <c r="F17" s="43"/>
      <c r="G17" s="44"/>
      <c r="H17" s="42"/>
      <c r="I17" s="43"/>
      <c r="J17" s="45"/>
      <c r="K17" s="46"/>
      <c r="L17" s="46"/>
      <c r="M17" s="46"/>
      <c r="N17" s="46"/>
      <c r="O17" s="46"/>
      <c r="P17" s="46"/>
      <c r="Q17" s="46"/>
      <c r="R17" s="47"/>
    </row>
    <row r="18" spans="2:18" ht="18" customHeight="1" x14ac:dyDescent="0.25">
      <c r="B18" s="13"/>
      <c r="C18" s="18"/>
      <c r="D18" s="41"/>
      <c r="E18" s="42"/>
      <c r="F18" s="43"/>
      <c r="G18" s="44"/>
      <c r="H18" s="42"/>
      <c r="I18" s="43"/>
      <c r="J18" s="45"/>
      <c r="K18" s="46"/>
      <c r="L18" s="46"/>
      <c r="M18" s="46"/>
      <c r="N18" s="46"/>
      <c r="O18" s="46"/>
      <c r="P18" s="46"/>
      <c r="Q18" s="46"/>
      <c r="R18" s="47"/>
    </row>
    <row r="19" spans="2:18" ht="18" customHeight="1" x14ac:dyDescent="0.25">
      <c r="B19" s="31"/>
      <c r="C19" s="32"/>
      <c r="D19" s="32"/>
      <c r="E19" s="32"/>
      <c r="F19" s="33"/>
      <c r="G19" s="50">
        <f>SUM(G11:I16)</f>
        <v>160</v>
      </c>
      <c r="H19" s="51"/>
      <c r="I19" s="52"/>
      <c r="J19" s="45"/>
      <c r="K19" s="46"/>
      <c r="L19" s="46"/>
      <c r="M19" s="46"/>
      <c r="N19" s="46"/>
      <c r="O19" s="46"/>
      <c r="P19" s="46"/>
      <c r="Q19" s="46"/>
      <c r="R19" s="47"/>
    </row>
    <row r="20" spans="2:18" ht="6" customHeight="1" x14ac:dyDescent="0.25"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5"/>
    </row>
    <row r="21" spans="2:18" ht="24.75" customHeight="1" x14ac:dyDescent="0.25">
      <c r="B21" s="53" t="s">
        <v>58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5"/>
    </row>
    <row r="22" spans="2:18" ht="21" customHeight="1" x14ac:dyDescent="0.25">
      <c r="B22" s="17" t="s">
        <v>27</v>
      </c>
      <c r="C22" s="17" t="s">
        <v>67</v>
      </c>
      <c r="D22" s="31" t="s">
        <v>54</v>
      </c>
      <c r="E22" s="32"/>
      <c r="F22" s="33"/>
      <c r="G22" s="31" t="s">
        <v>55</v>
      </c>
      <c r="H22" s="32"/>
      <c r="I22" s="33"/>
      <c r="J22" s="31" t="s">
        <v>59</v>
      </c>
      <c r="K22" s="32"/>
      <c r="L22" s="32"/>
      <c r="M22" s="32"/>
      <c r="N22" s="32"/>
      <c r="O22" s="32"/>
      <c r="P22" s="32"/>
      <c r="Q22" s="32"/>
      <c r="R22" s="33"/>
    </row>
    <row r="23" spans="2:18" ht="18" customHeight="1" x14ac:dyDescent="0.25">
      <c r="B23" s="13">
        <v>45132</v>
      </c>
      <c r="C23" s="18">
        <v>1</v>
      </c>
      <c r="D23" s="41">
        <v>34</v>
      </c>
      <c r="E23" s="42"/>
      <c r="F23" s="43"/>
      <c r="G23" s="44">
        <v>34</v>
      </c>
      <c r="H23" s="48"/>
      <c r="I23" s="49"/>
      <c r="J23" s="45" t="s">
        <v>84</v>
      </c>
      <c r="K23" s="46"/>
      <c r="L23" s="46"/>
      <c r="M23" s="46"/>
      <c r="N23" s="46"/>
      <c r="O23" s="46"/>
      <c r="P23" s="46"/>
      <c r="Q23" s="46"/>
      <c r="R23" s="47"/>
    </row>
    <row r="24" spans="2:18" ht="18" customHeight="1" x14ac:dyDescent="0.25">
      <c r="B24" s="13"/>
      <c r="C24" s="14"/>
      <c r="D24" s="41"/>
      <c r="E24" s="42"/>
      <c r="F24" s="43"/>
      <c r="G24" s="44"/>
      <c r="H24" s="48"/>
      <c r="I24" s="49"/>
      <c r="J24" s="45"/>
      <c r="K24" s="46"/>
      <c r="L24" s="46"/>
      <c r="M24" s="46"/>
      <c r="N24" s="46"/>
      <c r="O24" s="46"/>
      <c r="P24" s="46"/>
      <c r="Q24" s="46"/>
      <c r="R24" s="47"/>
    </row>
    <row r="25" spans="2:18" ht="18" customHeight="1" x14ac:dyDescent="0.25">
      <c r="B25" s="13"/>
      <c r="C25" s="18"/>
      <c r="D25" s="41"/>
      <c r="E25" s="42"/>
      <c r="F25" s="43"/>
      <c r="G25" s="44"/>
      <c r="H25" s="48"/>
      <c r="I25" s="49"/>
      <c r="J25" s="45"/>
      <c r="K25" s="46"/>
      <c r="L25" s="46"/>
      <c r="M25" s="46"/>
      <c r="N25" s="46"/>
      <c r="O25" s="46"/>
      <c r="P25" s="46"/>
      <c r="Q25" s="46"/>
      <c r="R25" s="47"/>
    </row>
    <row r="26" spans="2:18" ht="18" customHeight="1" x14ac:dyDescent="0.25">
      <c r="B26" s="18"/>
      <c r="C26" s="18"/>
      <c r="D26" s="41"/>
      <c r="E26" s="42"/>
      <c r="F26" s="43"/>
      <c r="G26" s="44"/>
      <c r="H26" s="48"/>
      <c r="I26" s="49"/>
      <c r="J26" s="45"/>
      <c r="K26" s="46"/>
      <c r="L26" s="46"/>
      <c r="M26" s="46"/>
      <c r="N26" s="46"/>
      <c r="O26" s="46"/>
      <c r="P26" s="46"/>
      <c r="Q26" s="46"/>
      <c r="R26" s="47"/>
    </row>
    <row r="27" spans="2:18" ht="18" customHeight="1" x14ac:dyDescent="0.25">
      <c r="B27" s="31" t="s">
        <v>57</v>
      </c>
      <c r="C27" s="32"/>
      <c r="D27" s="32"/>
      <c r="E27" s="32"/>
      <c r="F27" s="33"/>
      <c r="G27" s="50">
        <f>SUM(G23:I26)</f>
        <v>34</v>
      </c>
      <c r="H27" s="51"/>
      <c r="I27" s="52"/>
      <c r="J27" s="45"/>
      <c r="K27" s="46"/>
      <c r="L27" s="46"/>
      <c r="M27" s="46"/>
      <c r="N27" s="46"/>
      <c r="O27" s="46"/>
      <c r="P27" s="46"/>
      <c r="Q27" s="46"/>
      <c r="R27" s="47"/>
    </row>
    <row r="28" spans="2:18" ht="6" customHeight="1" x14ac:dyDescent="0.25"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5"/>
    </row>
    <row r="29" spans="2:18" ht="24.75" customHeight="1" x14ac:dyDescent="0.25">
      <c r="B29" s="53" t="s">
        <v>73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5"/>
    </row>
    <row r="30" spans="2:18" ht="21" customHeight="1" x14ac:dyDescent="0.25">
      <c r="B30" s="17" t="s">
        <v>68</v>
      </c>
      <c r="C30" s="16" t="s">
        <v>72</v>
      </c>
      <c r="D30" s="31" t="s">
        <v>74</v>
      </c>
      <c r="E30" s="32"/>
      <c r="F30" s="33"/>
      <c r="G30" s="31" t="s">
        <v>55</v>
      </c>
      <c r="H30" s="32"/>
      <c r="I30" s="33"/>
      <c r="J30" s="31" t="s">
        <v>56</v>
      </c>
      <c r="K30" s="32"/>
      <c r="L30" s="32"/>
      <c r="M30" s="32"/>
      <c r="N30" s="32"/>
      <c r="O30" s="32"/>
      <c r="P30" s="32"/>
      <c r="Q30" s="32"/>
      <c r="R30" s="33"/>
    </row>
    <row r="31" spans="2:18" ht="17.25" customHeight="1" x14ac:dyDescent="0.25">
      <c r="B31" s="13"/>
      <c r="C31" s="18"/>
      <c r="D31" s="41"/>
      <c r="E31" s="42"/>
      <c r="F31" s="43"/>
      <c r="G31" s="44"/>
      <c r="H31" s="42"/>
      <c r="I31" s="43"/>
      <c r="J31" s="45"/>
      <c r="K31" s="46"/>
      <c r="L31" s="46"/>
      <c r="M31" s="46"/>
      <c r="N31" s="46"/>
      <c r="O31" s="46"/>
      <c r="P31" s="46"/>
      <c r="Q31" s="46"/>
      <c r="R31" s="47"/>
    </row>
    <row r="32" spans="2:18" ht="17.25" customHeight="1" x14ac:dyDescent="0.25">
      <c r="B32" s="13"/>
      <c r="C32" s="18"/>
      <c r="D32" s="41"/>
      <c r="E32" s="42"/>
      <c r="F32" s="43"/>
      <c r="G32" s="44"/>
      <c r="H32" s="42"/>
      <c r="I32" s="43"/>
      <c r="J32" s="45"/>
      <c r="K32" s="46"/>
      <c r="L32" s="46"/>
      <c r="M32" s="46"/>
      <c r="N32" s="46"/>
      <c r="O32" s="46"/>
      <c r="P32" s="46"/>
      <c r="Q32" s="46"/>
      <c r="R32" s="47"/>
    </row>
    <row r="33" spans="2:18" ht="17.25" customHeight="1" x14ac:dyDescent="0.25">
      <c r="B33" s="13"/>
      <c r="C33" s="18"/>
      <c r="D33" s="41"/>
      <c r="E33" s="42"/>
      <c r="F33" s="43"/>
      <c r="G33" s="44"/>
      <c r="H33" s="42"/>
      <c r="I33" s="43"/>
      <c r="J33" s="56"/>
      <c r="K33" s="57"/>
      <c r="L33" s="57"/>
      <c r="M33" s="57"/>
      <c r="N33" s="57"/>
      <c r="O33" s="57"/>
      <c r="P33" s="57"/>
      <c r="Q33" s="57"/>
      <c r="R33" s="58"/>
    </row>
    <row r="34" spans="2:18" ht="17.25" customHeight="1" x14ac:dyDescent="0.25">
      <c r="B34" s="13"/>
      <c r="C34" s="18"/>
      <c r="D34" s="41"/>
      <c r="E34" s="42"/>
      <c r="F34" s="43"/>
      <c r="G34" s="44"/>
      <c r="H34" s="42"/>
      <c r="I34" s="43"/>
      <c r="J34" s="45"/>
      <c r="K34" s="46"/>
      <c r="L34" s="46"/>
      <c r="M34" s="46"/>
      <c r="N34" s="46"/>
      <c r="O34" s="46"/>
      <c r="P34" s="46"/>
      <c r="Q34" s="46"/>
      <c r="R34" s="47"/>
    </row>
    <row r="35" spans="2:18" ht="17.25" customHeight="1" x14ac:dyDescent="0.25">
      <c r="B35" s="13"/>
      <c r="C35" s="18"/>
      <c r="D35" s="41"/>
      <c r="E35" s="42"/>
      <c r="F35" s="43"/>
      <c r="G35" s="44"/>
      <c r="H35" s="42"/>
      <c r="I35" s="43"/>
      <c r="J35" s="45"/>
      <c r="K35" s="46"/>
      <c r="L35" s="46"/>
      <c r="M35" s="46"/>
      <c r="N35" s="46"/>
      <c r="O35" s="46"/>
      <c r="P35" s="46"/>
      <c r="Q35" s="46"/>
      <c r="R35" s="47"/>
    </row>
    <row r="36" spans="2:18" ht="18" customHeight="1" x14ac:dyDescent="0.25">
      <c r="B36" s="13"/>
      <c r="C36" s="18"/>
      <c r="D36" s="41"/>
      <c r="E36" s="42"/>
      <c r="F36" s="43"/>
      <c r="G36" s="44"/>
      <c r="H36" s="42"/>
      <c r="I36" s="43"/>
      <c r="J36" s="45"/>
      <c r="K36" s="46"/>
      <c r="L36" s="46"/>
      <c r="M36" s="46"/>
      <c r="N36" s="46"/>
      <c r="O36" s="46"/>
      <c r="P36" s="46"/>
      <c r="Q36" s="46"/>
      <c r="R36" s="47"/>
    </row>
    <row r="37" spans="2:18" ht="18" customHeight="1" x14ac:dyDescent="0.25">
      <c r="B37" s="13"/>
      <c r="C37" s="18"/>
      <c r="D37" s="41"/>
      <c r="E37" s="42"/>
      <c r="F37" s="43"/>
      <c r="G37" s="44"/>
      <c r="H37" s="42"/>
      <c r="I37" s="43"/>
      <c r="J37" s="45"/>
      <c r="K37" s="46"/>
      <c r="L37" s="46"/>
      <c r="M37" s="46"/>
      <c r="N37" s="46"/>
      <c r="O37" s="46"/>
      <c r="P37" s="46"/>
      <c r="Q37" s="46"/>
      <c r="R37" s="47"/>
    </row>
    <row r="38" spans="2:18" ht="18" customHeight="1" x14ac:dyDescent="0.25">
      <c r="B38" s="13"/>
      <c r="C38" s="18"/>
      <c r="D38" s="41"/>
      <c r="E38" s="42"/>
      <c r="F38" s="43"/>
      <c r="G38" s="44"/>
      <c r="H38" s="42"/>
      <c r="I38" s="43"/>
      <c r="J38" s="45"/>
      <c r="K38" s="46"/>
      <c r="L38" s="46"/>
      <c r="M38" s="46"/>
      <c r="N38" s="46"/>
      <c r="O38" s="46"/>
      <c r="P38" s="46"/>
      <c r="Q38" s="46"/>
      <c r="R38" s="47"/>
    </row>
    <row r="39" spans="2:18" ht="18" customHeight="1" x14ac:dyDescent="0.25">
      <c r="B39" s="31" t="s">
        <v>57</v>
      </c>
      <c r="C39" s="32"/>
      <c r="D39" s="32"/>
      <c r="E39" s="32"/>
      <c r="F39" s="33"/>
      <c r="G39" s="50"/>
      <c r="H39" s="51"/>
      <c r="I39" s="52"/>
      <c r="J39" s="45"/>
      <c r="K39" s="59"/>
      <c r="L39" s="59"/>
      <c r="M39" s="59"/>
      <c r="N39" s="59"/>
      <c r="O39" s="59"/>
      <c r="P39" s="59"/>
      <c r="Q39" s="59"/>
      <c r="R39" s="60"/>
    </row>
    <row r="40" spans="2:18" ht="6" customHeight="1" x14ac:dyDescent="0.25"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5"/>
    </row>
    <row r="41" spans="2:18" ht="24.75" customHeight="1" x14ac:dyDescent="0.25">
      <c r="B41" s="53" t="s">
        <v>70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5"/>
    </row>
    <row r="42" spans="2:18" ht="21" customHeight="1" x14ac:dyDescent="0.25">
      <c r="B42" s="17" t="s">
        <v>68</v>
      </c>
      <c r="C42" s="17" t="s">
        <v>67</v>
      </c>
      <c r="D42" s="31" t="s">
        <v>54</v>
      </c>
      <c r="E42" s="32"/>
      <c r="F42" s="33"/>
      <c r="G42" s="31" t="s">
        <v>55</v>
      </c>
      <c r="H42" s="32"/>
      <c r="I42" s="33"/>
      <c r="J42" s="31" t="s">
        <v>71</v>
      </c>
      <c r="K42" s="32"/>
      <c r="L42" s="32"/>
      <c r="M42" s="32"/>
      <c r="N42" s="32"/>
      <c r="O42" s="32"/>
      <c r="P42" s="32"/>
      <c r="Q42" s="32"/>
      <c r="R42" s="33"/>
    </row>
    <row r="43" spans="2:18" ht="18" customHeight="1" x14ac:dyDescent="0.25">
      <c r="B43" s="13">
        <v>45125</v>
      </c>
      <c r="C43" s="18">
        <v>1</v>
      </c>
      <c r="D43" s="41">
        <v>35</v>
      </c>
      <c r="E43" s="42"/>
      <c r="F43" s="43"/>
      <c r="G43" s="44">
        <v>35</v>
      </c>
      <c r="H43" s="48"/>
      <c r="I43" s="49"/>
      <c r="J43" s="45" t="s">
        <v>83</v>
      </c>
      <c r="K43" s="46"/>
      <c r="L43" s="46"/>
      <c r="M43" s="46"/>
      <c r="N43" s="46"/>
      <c r="O43" s="46"/>
      <c r="P43" s="46"/>
      <c r="Q43" s="46"/>
      <c r="R43" s="47"/>
    </row>
    <row r="44" spans="2:18" ht="18" customHeight="1" x14ac:dyDescent="0.25">
      <c r="B44" s="13"/>
      <c r="C44" s="18"/>
      <c r="D44" s="41"/>
      <c r="E44" s="42"/>
      <c r="F44" s="43"/>
      <c r="G44" s="44"/>
      <c r="H44" s="48"/>
      <c r="I44" s="49"/>
      <c r="J44" s="45"/>
      <c r="K44" s="46"/>
      <c r="L44" s="46"/>
      <c r="M44" s="46"/>
      <c r="N44" s="46"/>
      <c r="O44" s="46"/>
      <c r="P44" s="46"/>
      <c r="Q44" s="46"/>
      <c r="R44" s="47"/>
    </row>
    <row r="45" spans="2:18" ht="18" customHeight="1" x14ac:dyDescent="0.25">
      <c r="B45" s="13"/>
      <c r="C45" s="18"/>
      <c r="D45" s="41"/>
      <c r="E45" s="42"/>
      <c r="F45" s="43"/>
      <c r="G45" s="44"/>
      <c r="H45" s="48"/>
      <c r="I45" s="49"/>
      <c r="J45" s="45"/>
      <c r="K45" s="46"/>
      <c r="L45" s="46"/>
      <c r="M45" s="46"/>
      <c r="N45" s="46"/>
      <c r="O45" s="46"/>
      <c r="P45" s="46"/>
      <c r="Q45" s="46"/>
      <c r="R45" s="47"/>
    </row>
    <row r="46" spans="2:18" ht="18" customHeight="1" x14ac:dyDescent="0.25">
      <c r="B46" s="18"/>
      <c r="C46" s="18"/>
      <c r="D46" s="41"/>
      <c r="E46" s="42"/>
      <c r="F46" s="43"/>
      <c r="G46" s="44"/>
      <c r="H46" s="48"/>
      <c r="I46" s="49"/>
      <c r="J46" s="45"/>
      <c r="K46" s="46"/>
      <c r="L46" s="46"/>
      <c r="M46" s="46"/>
      <c r="N46" s="46"/>
      <c r="O46" s="46"/>
      <c r="P46" s="46"/>
      <c r="Q46" s="46"/>
      <c r="R46" s="47"/>
    </row>
    <row r="47" spans="2:18" ht="18" customHeight="1" x14ac:dyDescent="0.25">
      <c r="B47" s="31" t="s">
        <v>57</v>
      </c>
      <c r="C47" s="32"/>
      <c r="D47" s="32"/>
      <c r="E47" s="32"/>
      <c r="F47" s="33"/>
      <c r="G47" s="50">
        <f>SUM(G43:I46)</f>
        <v>35</v>
      </c>
      <c r="H47" s="51"/>
      <c r="I47" s="52"/>
      <c r="J47" s="45"/>
      <c r="K47" s="46"/>
      <c r="L47" s="46"/>
      <c r="M47" s="46"/>
      <c r="N47" s="46"/>
      <c r="O47" s="46"/>
      <c r="P47" s="46"/>
      <c r="Q47" s="46"/>
      <c r="R47" s="47"/>
    </row>
    <row r="48" spans="2:18" ht="6" customHeight="1" x14ac:dyDescent="0.25">
      <c r="B48" s="53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5"/>
    </row>
    <row r="49" spans="2:18" ht="24.75" customHeight="1" x14ac:dyDescent="0.25">
      <c r="B49" s="61" t="s">
        <v>60</v>
      </c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3"/>
    </row>
    <row r="50" spans="2:18" ht="18" customHeight="1" x14ac:dyDescent="0.25">
      <c r="B50" s="45" t="s">
        <v>61</v>
      </c>
      <c r="C50" s="46"/>
      <c r="D50" s="46"/>
      <c r="E50" s="46"/>
      <c r="F50" s="47"/>
      <c r="G50" s="64">
        <v>229</v>
      </c>
      <c r="H50" s="65"/>
      <c r="I50" s="66"/>
      <c r="J50" s="45" t="s">
        <v>59</v>
      </c>
      <c r="K50" s="46"/>
      <c r="L50" s="46"/>
      <c r="M50" s="46"/>
      <c r="N50" s="46"/>
      <c r="O50" s="46"/>
      <c r="P50" s="46"/>
      <c r="Q50" s="46"/>
      <c r="R50" s="47"/>
    </row>
    <row r="51" spans="2:18" ht="18" customHeight="1" x14ac:dyDescent="0.25">
      <c r="B51" s="31" t="s">
        <v>62</v>
      </c>
      <c r="C51" s="32"/>
      <c r="D51" s="32"/>
      <c r="E51" s="32"/>
      <c r="F51" s="33"/>
      <c r="G51" s="64"/>
      <c r="H51" s="65"/>
      <c r="I51" s="66"/>
      <c r="J51" s="45"/>
      <c r="K51" s="46"/>
      <c r="L51" s="46"/>
      <c r="M51" s="46"/>
      <c r="N51" s="46"/>
      <c r="O51" s="46"/>
      <c r="P51" s="46"/>
      <c r="Q51" s="46"/>
      <c r="R51" s="47"/>
    </row>
    <row r="52" spans="2:18" ht="6" customHeight="1" x14ac:dyDescent="0.25">
      <c r="B52" s="73"/>
      <c r="C52" s="73"/>
      <c r="D52" s="73"/>
      <c r="E52" s="73"/>
      <c r="F52" s="73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</row>
    <row r="53" spans="2:18" ht="14.25" thickBot="1" x14ac:dyDescent="0.3">
      <c r="B53" s="75" t="s">
        <v>64</v>
      </c>
      <c r="C53" s="75"/>
      <c r="D53" s="75"/>
      <c r="E53" s="75"/>
      <c r="F53" s="75"/>
      <c r="G53" s="76" t="s">
        <v>63</v>
      </c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7"/>
    </row>
    <row r="54" spans="2:18" ht="60" customHeight="1" thickBot="1" x14ac:dyDescent="0.25">
      <c r="B54" s="67" t="s">
        <v>86</v>
      </c>
      <c r="C54" s="68"/>
      <c r="D54" s="68"/>
      <c r="E54" s="68"/>
      <c r="F54" s="69"/>
      <c r="G54" s="70" t="s">
        <v>75</v>
      </c>
      <c r="H54" s="71"/>
      <c r="I54" s="71"/>
      <c r="J54" s="71"/>
      <c r="K54" s="71"/>
      <c r="L54" s="71"/>
      <c r="M54" s="72"/>
      <c r="N54" s="71" t="s">
        <v>76</v>
      </c>
      <c r="O54" s="71"/>
      <c r="P54" s="71"/>
      <c r="Q54" s="71"/>
      <c r="R54" s="72"/>
    </row>
  </sheetData>
  <mergeCells count="127">
    <mergeCell ref="B54:F54"/>
    <mergeCell ref="G54:M54"/>
    <mergeCell ref="N54:R54"/>
    <mergeCell ref="B51:F51"/>
    <mergeCell ref="G51:I51"/>
    <mergeCell ref="J51:R51"/>
    <mergeCell ref="B52:R52"/>
    <mergeCell ref="B53:F53"/>
    <mergeCell ref="G53:R53"/>
    <mergeCell ref="B47:F47"/>
    <mergeCell ref="G47:I47"/>
    <mergeCell ref="J47:R47"/>
    <mergeCell ref="B48:R48"/>
    <mergeCell ref="B49:R49"/>
    <mergeCell ref="B50:F50"/>
    <mergeCell ref="G50:I50"/>
    <mergeCell ref="J50:R50"/>
    <mergeCell ref="D45:F45"/>
    <mergeCell ref="G45:I45"/>
    <mergeCell ref="J45:R45"/>
    <mergeCell ref="D46:F46"/>
    <mergeCell ref="G46:I46"/>
    <mergeCell ref="J46:R46"/>
    <mergeCell ref="D43:F43"/>
    <mergeCell ref="G43:I43"/>
    <mergeCell ref="J43:R43"/>
    <mergeCell ref="D44:F44"/>
    <mergeCell ref="G44:I44"/>
    <mergeCell ref="J44:R44"/>
    <mergeCell ref="B39:F39"/>
    <mergeCell ref="G39:I39"/>
    <mergeCell ref="J39:R39"/>
    <mergeCell ref="B40:R40"/>
    <mergeCell ref="B41:R41"/>
    <mergeCell ref="D42:F42"/>
    <mergeCell ref="G42:I42"/>
    <mergeCell ref="J42:R42"/>
    <mergeCell ref="D37:F37"/>
    <mergeCell ref="G37:I37"/>
    <mergeCell ref="J37:R37"/>
    <mergeCell ref="D38:F38"/>
    <mergeCell ref="G38:I38"/>
    <mergeCell ref="J38:R38"/>
    <mergeCell ref="D35:F35"/>
    <mergeCell ref="G35:I35"/>
    <mergeCell ref="J35:R35"/>
    <mergeCell ref="D36:F36"/>
    <mergeCell ref="G36:I36"/>
    <mergeCell ref="J36:R36"/>
    <mergeCell ref="D33:F33"/>
    <mergeCell ref="G33:I33"/>
    <mergeCell ref="J33:R33"/>
    <mergeCell ref="D34:F34"/>
    <mergeCell ref="G34:I34"/>
    <mergeCell ref="J34:R34"/>
    <mergeCell ref="D31:F31"/>
    <mergeCell ref="G31:I31"/>
    <mergeCell ref="J31:R31"/>
    <mergeCell ref="D32:F32"/>
    <mergeCell ref="G32:I32"/>
    <mergeCell ref="J32:R32"/>
    <mergeCell ref="B27:F27"/>
    <mergeCell ref="G27:I27"/>
    <mergeCell ref="J27:R27"/>
    <mergeCell ref="B28:R28"/>
    <mergeCell ref="B29:R29"/>
    <mergeCell ref="D30:F30"/>
    <mergeCell ref="G30:I30"/>
    <mergeCell ref="J30:R30"/>
    <mergeCell ref="D25:F25"/>
    <mergeCell ref="G25:I25"/>
    <mergeCell ref="J25:R25"/>
    <mergeCell ref="D26:F26"/>
    <mergeCell ref="G26:I26"/>
    <mergeCell ref="J26:R26"/>
    <mergeCell ref="D23:F23"/>
    <mergeCell ref="G23:I23"/>
    <mergeCell ref="J23:R23"/>
    <mergeCell ref="D24:F24"/>
    <mergeCell ref="G24:I24"/>
    <mergeCell ref="J24:R24"/>
    <mergeCell ref="B19:F19"/>
    <mergeCell ref="G19:I19"/>
    <mergeCell ref="J19:R19"/>
    <mergeCell ref="B20:R20"/>
    <mergeCell ref="B21:R21"/>
    <mergeCell ref="D22:F22"/>
    <mergeCell ref="G22:I22"/>
    <mergeCell ref="J22:R22"/>
    <mergeCell ref="D17:F17"/>
    <mergeCell ref="G17:I17"/>
    <mergeCell ref="J17:R17"/>
    <mergeCell ref="D18:F18"/>
    <mergeCell ref="G18:I18"/>
    <mergeCell ref="J18:R18"/>
    <mergeCell ref="D15:F15"/>
    <mergeCell ref="G15:I15"/>
    <mergeCell ref="J15:R15"/>
    <mergeCell ref="D16:F16"/>
    <mergeCell ref="G16:I16"/>
    <mergeCell ref="J16:R16"/>
    <mergeCell ref="D13:F13"/>
    <mergeCell ref="G13:I13"/>
    <mergeCell ref="J13:R13"/>
    <mergeCell ref="D14:F14"/>
    <mergeCell ref="G14:I14"/>
    <mergeCell ref="J14:R14"/>
    <mergeCell ref="D11:F11"/>
    <mergeCell ref="G11:I11"/>
    <mergeCell ref="J11:R11"/>
    <mergeCell ref="D12:F12"/>
    <mergeCell ref="G12:I12"/>
    <mergeCell ref="J12:R12"/>
    <mergeCell ref="B7:F7"/>
    <mergeCell ref="G7:N7"/>
    <mergeCell ref="O7:R7"/>
    <mergeCell ref="B8:R8"/>
    <mergeCell ref="B9:R9"/>
    <mergeCell ref="D10:F10"/>
    <mergeCell ref="G10:I10"/>
    <mergeCell ref="J10:R10"/>
    <mergeCell ref="B2:F4"/>
    <mergeCell ref="G2:R4"/>
    <mergeCell ref="B5:R5"/>
    <mergeCell ref="B6:F6"/>
    <mergeCell ref="G6:N6"/>
    <mergeCell ref="O6:R6"/>
  </mergeCells>
  <phoneticPr fontId="16" type="noConversion"/>
  <printOptions horizontalCentered="1"/>
  <pageMargins left="0" right="0" top="0.39370078740157483" bottom="0.3937007874015748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No. de Novos Negócios</vt:lpstr>
      <vt:lpstr>WIN  LOSS</vt:lpstr>
      <vt:lpstr>Prop. em Andamento</vt:lpstr>
      <vt:lpstr>status proposta</vt:lpstr>
      <vt:lpstr>Atividades semanais</vt:lpstr>
      <vt:lpstr>Andamento</vt:lpstr>
      <vt:lpstr>Planilha1</vt:lpstr>
      <vt:lpstr>RD 01.07.21 à 06.08.21</vt:lpstr>
      <vt:lpstr>'RD 01.07.21 à 06.08.21'!Area_de_impressao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</dc:creator>
  <cp:lastModifiedBy>Carlos Alberto</cp:lastModifiedBy>
  <cp:lastPrinted>2023-07-28T13:48:48Z</cp:lastPrinted>
  <dcterms:created xsi:type="dcterms:W3CDTF">2017-06-16T18:52:29Z</dcterms:created>
  <dcterms:modified xsi:type="dcterms:W3CDTF">2023-07-28T17:04:32Z</dcterms:modified>
</cp:coreProperties>
</file>