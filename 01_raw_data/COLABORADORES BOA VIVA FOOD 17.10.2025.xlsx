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0162FFF4-D56D-49BF-8AC4-AE21FBEB85D0}" xr6:coauthVersionLast="47" xr6:coauthVersionMax="47" xr10:uidLastSave="{00000000-0000-0000-0000-000000000000}"/>
  <bookViews>
    <workbookView xWindow="-108" yWindow="-108" windowWidth="23256" windowHeight="12456" activeTab="1" xr2:uid="{C645FDE7-C9D8-42BA-A2B8-40A86F71AC4C}"/>
  </bookViews>
  <sheets>
    <sheet name="FOLGUISTAS" sheetId="3" r:id="rId1"/>
    <sheet name="BOA" sheetId="2" r:id="rId2"/>
    <sheet name="REDUÇÕE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2" i="2" l="1"/>
  <c r="B156" i="2"/>
  <c r="B69" i="4"/>
  <c r="E67" i="4" s="1"/>
  <c r="E69" i="4" s="1"/>
  <c r="E65" i="4"/>
  <c r="E64" i="4"/>
</calcChain>
</file>

<file path=xl/sharedStrings.xml><?xml version="1.0" encoding="utf-8"?>
<sst xmlns="http://schemas.openxmlformats.org/spreadsheetml/2006/main" count="607" uniqueCount="88">
  <si>
    <t xml:space="preserve">BOA 1 HORTOLANDIA </t>
  </si>
  <si>
    <t>FUNÇÃO</t>
  </si>
  <si>
    <t>HORARIO</t>
  </si>
  <si>
    <t>5X1</t>
  </si>
  <si>
    <t>LIDER LIMPEZA</t>
  </si>
  <si>
    <t>05:00 ÁS 13:20</t>
  </si>
  <si>
    <t>AUX LIMPEZA</t>
  </si>
  <si>
    <t>13:20 ÁS 22:00</t>
  </si>
  <si>
    <t xml:space="preserve">FOLGUISTA </t>
  </si>
  <si>
    <t>BOA 2 ANHANGUERA</t>
  </si>
  <si>
    <t>11:00 ÁS 20:00</t>
  </si>
  <si>
    <t xml:space="preserve">BOA 3 IMIGRANTES </t>
  </si>
  <si>
    <t xml:space="preserve">HORARIO </t>
  </si>
  <si>
    <t>06:00 ÁS 14:20</t>
  </si>
  <si>
    <t>13:40 ÁS 22:00</t>
  </si>
  <si>
    <t>15:40 ÁS 00:00</t>
  </si>
  <si>
    <t>FOLGUISTA</t>
  </si>
  <si>
    <t xml:space="preserve">BOA 06 - IPÊ </t>
  </si>
  <si>
    <t xml:space="preserve">CD 07 - DENTRO DOM OLÍVIO </t>
  </si>
  <si>
    <t>5X2</t>
  </si>
  <si>
    <t>06:00 ÁS 15:48</t>
  </si>
  <si>
    <t>BOA 08 - VARZEA PAULISTA</t>
  </si>
  <si>
    <t>14:40 ÁS 23:00</t>
  </si>
  <si>
    <t>LOJA 09 - VILA RAMI</t>
  </si>
  <si>
    <t xml:space="preserve">BOA 10 - FRANCISCO MORATO </t>
  </si>
  <si>
    <t>15:20 ÁS 23:40</t>
  </si>
  <si>
    <t>LIDER FISCAL</t>
  </si>
  <si>
    <t>05:00 AS 13:40</t>
  </si>
  <si>
    <t>FISCAL</t>
  </si>
  <si>
    <t>06:40 ÁS 15:20</t>
  </si>
  <si>
    <t>11:00 ÁS 19:40</t>
  </si>
  <si>
    <t>15:30 AS 00:20</t>
  </si>
  <si>
    <t>BOA 11 - LIBERDADE</t>
  </si>
  <si>
    <t xml:space="preserve">BOA 12 - SOROCABA </t>
  </si>
  <si>
    <t>05:00 ÁS 13:40</t>
  </si>
  <si>
    <t>4X1</t>
  </si>
  <si>
    <t>06:40 às 15:20</t>
  </si>
  <si>
    <t>06:00 às 14:38</t>
  </si>
  <si>
    <t>14:22 às 23:00</t>
  </si>
  <si>
    <t xml:space="preserve">BOA 13 - CENTRO JUNDIAÍ </t>
  </si>
  <si>
    <t>06:40 AS 15:20</t>
  </si>
  <si>
    <t>05:20 ÁS 14:00</t>
  </si>
  <si>
    <t>05:00 AS 15:20</t>
  </si>
  <si>
    <t>14:00 AS 22:40</t>
  </si>
  <si>
    <t>14:00 ÁS 22:00</t>
  </si>
  <si>
    <t xml:space="preserve">BOA 14 - LIMPEZA </t>
  </si>
  <si>
    <t>12:00 ÁS 21:00</t>
  </si>
  <si>
    <t xml:space="preserve">BOA DOM OLIVIO 15 </t>
  </si>
  <si>
    <t>08:00 ÁS 17:30</t>
  </si>
  <si>
    <t>22:00 ÁS 05:00</t>
  </si>
  <si>
    <t>2X1</t>
  </si>
  <si>
    <t>06:00 às 18:00</t>
  </si>
  <si>
    <t>SUB LIDER</t>
  </si>
  <si>
    <t>18:00 às 06:00</t>
  </si>
  <si>
    <t>6X1</t>
  </si>
  <si>
    <t>FISCAL (ESTACIONAMENTO)</t>
  </si>
  <si>
    <t>07:00 ÁS 15:00</t>
  </si>
  <si>
    <t xml:space="preserve">BOA 16 CAMPO LIMPO </t>
  </si>
  <si>
    <t xml:space="preserve">BOA 17 - ELOY CHAVES </t>
  </si>
  <si>
    <t>BOA 21- CECAP</t>
  </si>
  <si>
    <t>07:00 ás 16:00</t>
  </si>
  <si>
    <t>05:00 ás 13:40</t>
  </si>
  <si>
    <t>14:00 ás 22:30</t>
  </si>
  <si>
    <t>BOA 22 - VALINHOS</t>
  </si>
  <si>
    <t>BOA 24</t>
  </si>
  <si>
    <t>TOTAL FUNCIONARIOS</t>
  </si>
  <si>
    <t>7 DIAS NA SEMANA</t>
  </si>
  <si>
    <t>FOLGUISTAS - 1 VEZ NA SEMANA</t>
  </si>
  <si>
    <t>BOA 23 - PAULINIA</t>
  </si>
  <si>
    <t>14:20 ÁS 00:00</t>
  </si>
  <si>
    <t>15:30 AS 00:00</t>
  </si>
  <si>
    <t>08:00 ÁS 16:00</t>
  </si>
  <si>
    <t>FATURAMENTO SEMANAL - 7 DIAS</t>
  </si>
  <si>
    <t>VALOR REFEIÇÃO</t>
  </si>
  <si>
    <t>FATURAMENTO SEMANAL</t>
  </si>
  <si>
    <t>REDUÇAO 01/06/2025</t>
  </si>
  <si>
    <t>REDUÇAO 01/10/2025</t>
  </si>
  <si>
    <t>BOA 19- HAVAN</t>
  </si>
  <si>
    <t>COLABORADORES</t>
  </si>
  <si>
    <t>DIAS</t>
  </si>
  <si>
    <t>ABATIMENTO</t>
  </si>
  <si>
    <t>01/07 Á 30/09/2025</t>
  </si>
  <si>
    <t>VALOR PAGO</t>
  </si>
  <si>
    <t>REDUÇÕES</t>
  </si>
  <si>
    <t>TOTAL REDUÇÕES DE JUN A OUTUBRO 2025</t>
  </si>
  <si>
    <t>01/10/2025 A 17/10/2025</t>
  </si>
  <si>
    <t>FATURAMENTO ANTERIORES</t>
  </si>
  <si>
    <t>ABATIMENTO RETROATIVO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</si>
</sst>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B1B1B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1"/>
      <color rgb="FFED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2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0" xfId="0" applyFont="1"/>
    <xf numFmtId="0" fontId="8" fillId="3" borderId="1" xfId="0" applyFont="1" applyFill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4" fontId="0" fillId="0" borderId="0" xfId="0" applyNumberFormat="1"/>
    <xf numFmtId="0" fontId="9" fillId="0" borderId="1" xfId="0" applyFont="1" applyBorder="1"/>
    <xf numFmtId="164" fontId="9" fillId="0" borderId="1" xfId="0" applyNumberFormat="1" applyFont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14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 vertical="center"/>
    </xf>
    <xf numFmtId="44" fontId="0" fillId="0" borderId="1" xfId="2" applyFont="1" applyBorder="1" applyAlignment="1">
      <alignment horizontal="center"/>
    </xf>
    <xf numFmtId="44" fontId="0" fillId="0" borderId="0" xfId="2" applyFont="1" applyBorder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3">
    <cellStyle name="Moeda" xfId="2" builtinId="4"/>
    <cellStyle name="Normal" xfId="0" builtinId="0"/>
    <cellStyle name="Normal 2" xfId="1" xr:uid="{E5321903-5D5A-4825-BED3-E991C50E0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67D0-B67D-458B-8753-23E748579714}">
  <dimension ref="A1:C54"/>
  <sheetViews>
    <sheetView showGridLines="0" workbookViewId="0">
      <selection activeCell="F18" sqref="F18"/>
    </sheetView>
  </sheetViews>
  <sheetFormatPr defaultRowHeight="14.4" x14ac:dyDescent="0.3"/>
  <cols>
    <col min="1" max="1" width="34.88671875" bestFit="1" customWidth="1"/>
    <col min="2" max="2" width="25" bestFit="1" customWidth="1"/>
    <col min="3" max="3" width="13.33203125" bestFit="1" customWidth="1"/>
  </cols>
  <sheetData>
    <row r="1" spans="1:3" ht="18" x14ac:dyDescent="0.3">
      <c r="A1" s="1" t="s">
        <v>0</v>
      </c>
      <c r="B1" s="2" t="s">
        <v>1</v>
      </c>
      <c r="C1" s="2" t="s">
        <v>2</v>
      </c>
    </row>
    <row r="2" spans="1:3" ht="13.2" customHeight="1" x14ac:dyDescent="0.3">
      <c r="A2" s="3" t="s">
        <v>3</v>
      </c>
      <c r="B2" s="3" t="s">
        <v>6</v>
      </c>
      <c r="C2" s="4" t="s">
        <v>8</v>
      </c>
    </row>
    <row r="3" spans="1:3" ht="13.2" customHeight="1" x14ac:dyDescent="0.3">
      <c r="A3" s="5"/>
      <c r="B3" s="5"/>
      <c r="C3" s="6"/>
    </row>
    <row r="4" spans="1:3" ht="18" x14ac:dyDescent="0.35">
      <c r="A4" s="9" t="s">
        <v>11</v>
      </c>
      <c r="B4" s="2" t="s">
        <v>1</v>
      </c>
      <c r="C4" s="2" t="s">
        <v>12</v>
      </c>
    </row>
    <row r="5" spans="1:3" x14ac:dyDescent="0.3">
      <c r="A5" s="3" t="s">
        <v>3</v>
      </c>
      <c r="B5" s="3" t="s">
        <v>6</v>
      </c>
      <c r="C5" s="4" t="s">
        <v>8</v>
      </c>
    </row>
    <row r="6" spans="1:3" x14ac:dyDescent="0.3">
      <c r="A6" s="5"/>
      <c r="B6" s="5"/>
      <c r="C6" s="6"/>
    </row>
    <row r="7" spans="1:3" x14ac:dyDescent="0.3">
      <c r="A7" s="5"/>
      <c r="B7" s="5"/>
      <c r="C7" s="6"/>
    </row>
    <row r="8" spans="1:3" ht="18" x14ac:dyDescent="0.35">
      <c r="A8" s="9" t="s">
        <v>17</v>
      </c>
      <c r="B8" s="10" t="s">
        <v>1</v>
      </c>
      <c r="C8" s="10" t="s">
        <v>12</v>
      </c>
    </row>
    <row r="9" spans="1:3" x14ac:dyDescent="0.3">
      <c r="A9" s="3" t="s">
        <v>3</v>
      </c>
      <c r="B9" s="3" t="s">
        <v>6</v>
      </c>
      <c r="C9" s="4" t="s">
        <v>16</v>
      </c>
    </row>
    <row r="10" spans="1:3" x14ac:dyDescent="0.3">
      <c r="A10" s="5"/>
      <c r="B10" s="5"/>
      <c r="C10" s="6"/>
    </row>
    <row r="11" spans="1:3" x14ac:dyDescent="0.3">
      <c r="A11" s="5"/>
      <c r="B11" s="5"/>
      <c r="C11" s="6"/>
    </row>
    <row r="12" spans="1:3" ht="18" x14ac:dyDescent="0.35">
      <c r="A12" s="9" t="s">
        <v>21</v>
      </c>
      <c r="B12" s="10" t="s">
        <v>1</v>
      </c>
      <c r="C12" s="10" t="s">
        <v>2</v>
      </c>
    </row>
    <row r="13" spans="1:3" x14ac:dyDescent="0.3">
      <c r="A13" s="3" t="s">
        <v>3</v>
      </c>
      <c r="B13" s="3" t="s">
        <v>6</v>
      </c>
      <c r="C13" s="4" t="s">
        <v>16</v>
      </c>
    </row>
    <row r="14" spans="1:3" x14ac:dyDescent="0.3">
      <c r="A14" s="5"/>
      <c r="B14" s="5"/>
      <c r="C14" s="6"/>
    </row>
    <row r="15" spans="1:3" ht="18" x14ac:dyDescent="0.35">
      <c r="A15" s="9" t="s">
        <v>23</v>
      </c>
      <c r="B15" s="10" t="s">
        <v>1</v>
      </c>
      <c r="C15" s="10" t="s">
        <v>2</v>
      </c>
    </row>
    <row r="16" spans="1:3" x14ac:dyDescent="0.3">
      <c r="A16" s="3" t="s">
        <v>3</v>
      </c>
      <c r="B16" s="3" t="s">
        <v>6</v>
      </c>
      <c r="C16" s="4" t="s">
        <v>16</v>
      </c>
    </row>
    <row r="17" spans="1:3" x14ac:dyDescent="0.3">
      <c r="A17" s="5"/>
      <c r="B17" s="5"/>
      <c r="C17" s="6"/>
    </row>
    <row r="18" spans="1:3" ht="18" x14ac:dyDescent="0.35">
      <c r="A18" s="9" t="s">
        <v>24</v>
      </c>
      <c r="B18" s="10" t="s">
        <v>1</v>
      </c>
      <c r="C18" s="10" t="s">
        <v>2</v>
      </c>
    </row>
    <row r="19" spans="1:3" x14ac:dyDescent="0.3">
      <c r="A19" s="3" t="s">
        <v>3</v>
      </c>
      <c r="B19" s="3" t="s">
        <v>6</v>
      </c>
      <c r="C19" s="3" t="s">
        <v>16</v>
      </c>
    </row>
    <row r="20" spans="1:3" x14ac:dyDescent="0.3">
      <c r="A20" s="5"/>
      <c r="B20" s="5"/>
      <c r="C20" s="6"/>
    </row>
    <row r="21" spans="1:3" x14ac:dyDescent="0.3">
      <c r="A21" s="5"/>
      <c r="B21" s="5"/>
      <c r="C21" s="6"/>
    </row>
    <row r="22" spans="1:3" ht="18" x14ac:dyDescent="0.35">
      <c r="A22" s="9" t="s">
        <v>33</v>
      </c>
      <c r="B22" s="10" t="s">
        <v>1</v>
      </c>
      <c r="C22" s="10" t="s">
        <v>2</v>
      </c>
    </row>
    <row r="23" spans="1:3" x14ac:dyDescent="0.3">
      <c r="A23" s="3" t="s">
        <v>3</v>
      </c>
      <c r="B23" s="3" t="s">
        <v>6</v>
      </c>
      <c r="C23" s="4" t="s">
        <v>8</v>
      </c>
    </row>
    <row r="24" spans="1:3" x14ac:dyDescent="0.3">
      <c r="A24" s="3" t="s">
        <v>35</v>
      </c>
      <c r="B24" s="3" t="s">
        <v>28</v>
      </c>
      <c r="C24" s="14" t="s">
        <v>16</v>
      </c>
    </row>
    <row r="25" spans="1:3" x14ac:dyDescent="0.3">
      <c r="A25" s="5"/>
      <c r="B25" s="5"/>
      <c r="C25" s="6"/>
    </row>
    <row r="26" spans="1:3" ht="18" x14ac:dyDescent="0.35">
      <c r="A26" s="9" t="s">
        <v>39</v>
      </c>
      <c r="B26" s="10" t="s">
        <v>1</v>
      </c>
      <c r="C26" s="10" t="s">
        <v>2</v>
      </c>
    </row>
    <row r="27" spans="1:3" x14ac:dyDescent="0.3">
      <c r="A27" s="3" t="s">
        <v>3</v>
      </c>
      <c r="B27" s="3" t="s">
        <v>6</v>
      </c>
      <c r="C27" s="4" t="s">
        <v>16</v>
      </c>
    </row>
    <row r="28" spans="1:3" x14ac:dyDescent="0.3">
      <c r="A28" s="5"/>
      <c r="B28" s="5"/>
      <c r="C28" s="15"/>
    </row>
    <row r="29" spans="1:3" x14ac:dyDescent="0.3">
      <c r="A29" s="5"/>
      <c r="B29" s="5"/>
      <c r="C29" s="6"/>
    </row>
    <row r="30" spans="1:3" ht="18" x14ac:dyDescent="0.35">
      <c r="A30" s="9" t="s">
        <v>45</v>
      </c>
      <c r="B30" s="10" t="s">
        <v>1</v>
      </c>
      <c r="C30" s="10" t="s">
        <v>2</v>
      </c>
    </row>
    <row r="31" spans="1:3" x14ac:dyDescent="0.3">
      <c r="A31" s="3" t="s">
        <v>3</v>
      </c>
      <c r="B31" s="3" t="s">
        <v>6</v>
      </c>
      <c r="C31" s="4" t="s">
        <v>8</v>
      </c>
    </row>
    <row r="32" spans="1:3" x14ac:dyDescent="0.3">
      <c r="A32" s="5"/>
      <c r="B32" s="5"/>
      <c r="C32" s="6"/>
    </row>
    <row r="33" spans="1:3" x14ac:dyDescent="0.3">
      <c r="A33" s="16"/>
      <c r="B33" s="5"/>
      <c r="C33" s="6"/>
    </row>
    <row r="34" spans="1:3" ht="18" x14ac:dyDescent="0.35">
      <c r="A34" s="9" t="s">
        <v>57</v>
      </c>
      <c r="B34" s="10" t="s">
        <v>1</v>
      </c>
      <c r="C34" s="10" t="s">
        <v>2</v>
      </c>
    </row>
    <row r="35" spans="1:3" x14ac:dyDescent="0.3">
      <c r="A35" s="3" t="s">
        <v>3</v>
      </c>
      <c r="B35" s="3" t="s">
        <v>6</v>
      </c>
      <c r="C35" s="4" t="s">
        <v>16</v>
      </c>
    </row>
    <row r="36" spans="1:3" x14ac:dyDescent="0.3">
      <c r="A36" s="16"/>
      <c r="B36" s="5"/>
      <c r="C36" s="6"/>
    </row>
    <row r="37" spans="1:3" ht="18" x14ac:dyDescent="0.35">
      <c r="A37" s="9" t="s">
        <v>58</v>
      </c>
      <c r="B37" s="10" t="s">
        <v>1</v>
      </c>
      <c r="C37" s="10" t="s">
        <v>2</v>
      </c>
    </row>
    <row r="38" spans="1:3" x14ac:dyDescent="0.3">
      <c r="A38" s="3" t="s">
        <v>3</v>
      </c>
      <c r="B38" s="3" t="s">
        <v>6</v>
      </c>
      <c r="C38" s="4" t="s">
        <v>16</v>
      </c>
    </row>
    <row r="39" spans="1:3" x14ac:dyDescent="0.3">
      <c r="A39" s="5"/>
      <c r="B39" s="5"/>
      <c r="C39" s="6"/>
    </row>
    <row r="40" spans="1:3" x14ac:dyDescent="0.3">
      <c r="A40" s="5"/>
      <c r="B40" s="5"/>
      <c r="C40" s="15"/>
    </row>
    <row r="41" spans="1:3" ht="18" x14ac:dyDescent="0.35">
      <c r="A41" s="9" t="s">
        <v>59</v>
      </c>
      <c r="B41" s="10" t="s">
        <v>1</v>
      </c>
      <c r="C41" s="10" t="s">
        <v>2</v>
      </c>
    </row>
    <row r="42" spans="1:3" x14ac:dyDescent="0.3">
      <c r="A42" s="3" t="s">
        <v>3</v>
      </c>
      <c r="B42" s="3" t="s">
        <v>6</v>
      </c>
      <c r="C42" s="4" t="s">
        <v>8</v>
      </c>
    </row>
    <row r="43" spans="1:3" x14ac:dyDescent="0.3">
      <c r="A43" s="5"/>
      <c r="B43" s="5"/>
      <c r="C43" s="5"/>
    </row>
    <row r="44" spans="1:3" x14ac:dyDescent="0.3">
      <c r="A44" s="16"/>
      <c r="B44" s="5"/>
      <c r="C44" s="6"/>
    </row>
    <row r="45" spans="1:3" ht="18" x14ac:dyDescent="0.35">
      <c r="A45" s="9" t="s">
        <v>63</v>
      </c>
      <c r="B45" s="10" t="s">
        <v>1</v>
      </c>
      <c r="C45" s="10" t="s">
        <v>2</v>
      </c>
    </row>
    <row r="46" spans="1:3" x14ac:dyDescent="0.3">
      <c r="A46" s="3" t="s">
        <v>3</v>
      </c>
      <c r="B46" s="3" t="s">
        <v>6</v>
      </c>
      <c r="C46" s="4" t="s">
        <v>8</v>
      </c>
    </row>
    <row r="47" spans="1:3" x14ac:dyDescent="0.3">
      <c r="A47" s="3" t="s">
        <v>35</v>
      </c>
      <c r="B47" s="3" t="s">
        <v>28</v>
      </c>
      <c r="C47" s="3" t="s">
        <v>16</v>
      </c>
    </row>
    <row r="48" spans="1:3" ht="16.2" customHeight="1" x14ac:dyDescent="0.3">
      <c r="B48" s="6"/>
      <c r="C48" s="6"/>
    </row>
    <row r="49" spans="1:3" ht="16.2" customHeight="1" x14ac:dyDescent="0.3">
      <c r="B49" s="6"/>
      <c r="C49" s="6"/>
    </row>
    <row r="50" spans="1:3" ht="18" x14ac:dyDescent="0.35">
      <c r="A50" s="9" t="s">
        <v>68</v>
      </c>
      <c r="B50" s="10" t="s">
        <v>1</v>
      </c>
      <c r="C50" s="10" t="s">
        <v>2</v>
      </c>
    </row>
    <row r="51" spans="1:3" x14ac:dyDescent="0.3">
      <c r="A51" s="3" t="s">
        <v>3</v>
      </c>
      <c r="B51" s="3" t="s">
        <v>6</v>
      </c>
      <c r="C51" s="4" t="s">
        <v>8</v>
      </c>
    </row>
    <row r="54" spans="1:3" x14ac:dyDescent="0.3">
      <c r="A54" s="3" t="s">
        <v>65</v>
      </c>
      <c r="B54" s="17">
        <v>16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F131-FD6C-4107-9F84-1E5A50DE8D8C}">
  <dimension ref="A1:F164"/>
  <sheetViews>
    <sheetView showGridLines="0" tabSelected="1" workbookViewId="0">
      <selection activeCell="F7" sqref="F7"/>
    </sheetView>
  </sheetViews>
  <sheetFormatPr defaultRowHeight="14.4" x14ac:dyDescent="0.3"/>
  <cols>
    <col min="1" max="1" width="34.88671875" bestFit="1" customWidth="1"/>
    <col min="2" max="2" width="25" bestFit="1" customWidth="1"/>
    <col min="3" max="3" width="17.6640625" bestFit="1" customWidth="1"/>
    <col min="6" max="6" width="12.88671875" bestFit="1" customWidth="1"/>
  </cols>
  <sheetData>
    <row r="1" spans="1:3" ht="18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4" t="s">
        <v>5</v>
      </c>
    </row>
    <row r="3" spans="1:3" x14ac:dyDescent="0.3">
      <c r="A3" s="3" t="s">
        <v>3</v>
      </c>
      <c r="B3" s="3" t="s">
        <v>6</v>
      </c>
      <c r="C3" s="4" t="s">
        <v>5</v>
      </c>
    </row>
    <row r="4" spans="1:3" x14ac:dyDescent="0.3">
      <c r="A4" s="3" t="s">
        <v>3</v>
      </c>
      <c r="B4" s="3" t="s">
        <v>6</v>
      </c>
      <c r="C4" s="4" t="s">
        <v>7</v>
      </c>
    </row>
    <row r="5" spans="1:3" x14ac:dyDescent="0.3">
      <c r="A5" s="3" t="s">
        <v>3</v>
      </c>
      <c r="B5" s="3" t="s">
        <v>6</v>
      </c>
      <c r="C5" s="4" t="s">
        <v>7</v>
      </c>
    </row>
    <row r="6" spans="1:3" x14ac:dyDescent="0.3">
      <c r="A6" s="5"/>
      <c r="B6" s="5"/>
      <c r="C6" s="6"/>
    </row>
    <row r="7" spans="1:3" ht="18" x14ac:dyDescent="0.3">
      <c r="A7" s="7" t="s">
        <v>9</v>
      </c>
      <c r="B7" s="2" t="s">
        <v>1</v>
      </c>
      <c r="C7" s="2" t="s">
        <v>2</v>
      </c>
    </row>
    <row r="8" spans="1:3" x14ac:dyDescent="0.3">
      <c r="A8" s="8" t="s">
        <v>3</v>
      </c>
      <c r="B8" s="3" t="s">
        <v>6</v>
      </c>
      <c r="C8" s="4" t="s">
        <v>5</v>
      </c>
    </row>
    <row r="9" spans="1:3" x14ac:dyDescent="0.3">
      <c r="A9" s="8" t="s">
        <v>3</v>
      </c>
      <c r="B9" s="3" t="s">
        <v>6</v>
      </c>
      <c r="C9" s="4" t="s">
        <v>10</v>
      </c>
    </row>
    <row r="10" spans="1:3" x14ac:dyDescent="0.3">
      <c r="A10" s="5"/>
      <c r="B10" s="5"/>
      <c r="C10" s="6"/>
    </row>
    <row r="11" spans="1:3" ht="18" x14ac:dyDescent="0.35">
      <c r="A11" s="9" t="s">
        <v>11</v>
      </c>
      <c r="B11" s="2" t="s">
        <v>1</v>
      </c>
      <c r="C11" s="2" t="s">
        <v>12</v>
      </c>
    </row>
    <row r="12" spans="1:3" x14ac:dyDescent="0.3">
      <c r="A12" s="8" t="s">
        <v>3</v>
      </c>
      <c r="B12" s="3" t="s">
        <v>4</v>
      </c>
      <c r="C12" s="4" t="s">
        <v>13</v>
      </c>
    </row>
    <row r="13" spans="1:3" x14ac:dyDescent="0.3">
      <c r="A13" s="3" t="s">
        <v>3</v>
      </c>
      <c r="B13" s="3" t="s">
        <v>6</v>
      </c>
      <c r="C13" s="4" t="s">
        <v>5</v>
      </c>
    </row>
    <row r="14" spans="1:3" x14ac:dyDescent="0.3">
      <c r="A14" s="3" t="s">
        <v>3</v>
      </c>
      <c r="B14" s="3" t="s">
        <v>6</v>
      </c>
      <c r="C14" s="4" t="s">
        <v>5</v>
      </c>
    </row>
    <row r="15" spans="1:3" x14ac:dyDescent="0.3">
      <c r="A15" s="3" t="s">
        <v>3</v>
      </c>
      <c r="B15" s="3" t="s">
        <v>6</v>
      </c>
      <c r="C15" s="4" t="s">
        <v>14</v>
      </c>
    </row>
    <row r="16" spans="1:3" x14ac:dyDescent="0.3">
      <c r="A16" s="12" t="s">
        <v>3</v>
      </c>
      <c r="B16" s="12" t="s">
        <v>6</v>
      </c>
      <c r="C16" s="12" t="s">
        <v>15</v>
      </c>
    </row>
    <row r="17" spans="1:3" x14ac:dyDescent="0.3">
      <c r="A17" s="5"/>
      <c r="B17" s="5"/>
      <c r="C17" s="6"/>
    </row>
    <row r="18" spans="1:3" ht="24.6" customHeight="1" x14ac:dyDescent="0.3">
      <c r="A18" s="5"/>
      <c r="B18" s="5"/>
      <c r="C18" s="6"/>
    </row>
    <row r="19" spans="1:3" ht="18" x14ac:dyDescent="0.35">
      <c r="A19" s="9" t="s">
        <v>17</v>
      </c>
      <c r="B19" s="10" t="s">
        <v>1</v>
      </c>
      <c r="C19" s="10" t="s">
        <v>12</v>
      </c>
    </row>
    <row r="20" spans="1:3" x14ac:dyDescent="0.3">
      <c r="A20" s="3" t="s">
        <v>3</v>
      </c>
      <c r="B20" s="3" t="s">
        <v>4</v>
      </c>
      <c r="C20" s="4" t="s">
        <v>5</v>
      </c>
    </row>
    <row r="21" spans="1:3" x14ac:dyDescent="0.3">
      <c r="A21" s="3" t="s">
        <v>3</v>
      </c>
      <c r="B21" s="3" t="s">
        <v>6</v>
      </c>
      <c r="C21" s="4" t="s">
        <v>5</v>
      </c>
    </row>
    <row r="22" spans="1:3" x14ac:dyDescent="0.3">
      <c r="A22" s="3" t="s">
        <v>3</v>
      </c>
      <c r="B22" s="3" t="s">
        <v>6</v>
      </c>
      <c r="C22" s="4" t="s">
        <v>5</v>
      </c>
    </row>
    <row r="23" spans="1:3" x14ac:dyDescent="0.3">
      <c r="A23" s="3" t="s">
        <v>3</v>
      </c>
      <c r="B23" s="3" t="s">
        <v>6</v>
      </c>
      <c r="C23" s="4" t="s">
        <v>5</v>
      </c>
    </row>
    <row r="24" spans="1:3" x14ac:dyDescent="0.3">
      <c r="A24" s="3" t="s">
        <v>3</v>
      </c>
      <c r="B24" s="3" t="s">
        <v>6</v>
      </c>
      <c r="C24" s="4" t="s">
        <v>14</v>
      </c>
    </row>
    <row r="25" spans="1:3" x14ac:dyDescent="0.3">
      <c r="A25" s="5"/>
      <c r="B25" s="5"/>
      <c r="C25" s="6"/>
    </row>
    <row r="26" spans="1:3" ht="18" x14ac:dyDescent="0.35">
      <c r="A26" s="11" t="s">
        <v>18</v>
      </c>
      <c r="B26" s="10" t="s">
        <v>1</v>
      </c>
      <c r="C26" s="10" t="s">
        <v>12</v>
      </c>
    </row>
    <row r="27" spans="1:3" x14ac:dyDescent="0.3">
      <c r="A27" s="12" t="s">
        <v>19</v>
      </c>
      <c r="B27" s="3" t="s">
        <v>6</v>
      </c>
      <c r="C27" s="4" t="s">
        <v>20</v>
      </c>
    </row>
    <row r="28" spans="1:3" x14ac:dyDescent="0.3">
      <c r="A28" s="12" t="s">
        <v>19</v>
      </c>
      <c r="B28" s="3" t="s">
        <v>6</v>
      </c>
      <c r="C28" s="4" t="s">
        <v>20</v>
      </c>
    </row>
    <row r="29" spans="1:3" x14ac:dyDescent="0.3">
      <c r="A29" s="5"/>
      <c r="B29" s="5"/>
      <c r="C29" s="6"/>
    </row>
    <row r="30" spans="1:3" ht="18" x14ac:dyDescent="0.35">
      <c r="A30" s="9" t="s">
        <v>21</v>
      </c>
      <c r="B30" s="10" t="s">
        <v>1</v>
      </c>
      <c r="C30" s="10" t="s">
        <v>2</v>
      </c>
    </row>
    <row r="31" spans="1:3" x14ac:dyDescent="0.3">
      <c r="A31" s="3" t="s">
        <v>3</v>
      </c>
      <c r="B31" s="3" t="s">
        <v>4</v>
      </c>
      <c r="C31" s="4" t="s">
        <v>5</v>
      </c>
    </row>
    <row r="32" spans="1:3" x14ac:dyDescent="0.3">
      <c r="A32" s="3" t="s">
        <v>3</v>
      </c>
      <c r="B32" s="3" t="s">
        <v>6</v>
      </c>
      <c r="C32" s="4" t="s">
        <v>5</v>
      </c>
    </row>
    <row r="33" spans="1:3" x14ac:dyDescent="0.3">
      <c r="A33" s="3" t="s">
        <v>3</v>
      </c>
      <c r="B33" s="3" t="s">
        <v>6</v>
      </c>
      <c r="C33" s="4" t="s">
        <v>5</v>
      </c>
    </row>
    <row r="34" spans="1:3" x14ac:dyDescent="0.3">
      <c r="A34" s="3" t="s">
        <v>3</v>
      </c>
      <c r="B34" s="3" t="s">
        <v>6</v>
      </c>
      <c r="C34" s="4" t="s">
        <v>14</v>
      </c>
    </row>
    <row r="35" spans="1:3" x14ac:dyDescent="0.3">
      <c r="A35" s="3" t="s">
        <v>3</v>
      </c>
      <c r="B35" s="3" t="s">
        <v>6</v>
      </c>
      <c r="C35" s="22" t="s">
        <v>69</v>
      </c>
    </row>
    <row r="36" spans="1:3" x14ac:dyDescent="0.3">
      <c r="A36" s="5"/>
      <c r="B36" s="5"/>
      <c r="C36" s="6"/>
    </row>
    <row r="37" spans="1:3" ht="18" x14ac:dyDescent="0.35">
      <c r="A37" s="9" t="s">
        <v>23</v>
      </c>
      <c r="B37" s="10" t="s">
        <v>1</v>
      </c>
      <c r="C37" s="10" t="s">
        <v>2</v>
      </c>
    </row>
    <row r="38" spans="1:3" x14ac:dyDescent="0.3">
      <c r="A38" s="3" t="s">
        <v>3</v>
      </c>
      <c r="B38" s="3" t="s">
        <v>4</v>
      </c>
      <c r="C38" s="4" t="s">
        <v>5</v>
      </c>
    </row>
    <row r="39" spans="1:3" x14ac:dyDescent="0.3">
      <c r="A39" s="3" t="s">
        <v>3</v>
      </c>
      <c r="B39" s="3" t="s">
        <v>6</v>
      </c>
      <c r="C39" s="4" t="s">
        <v>5</v>
      </c>
    </row>
    <row r="40" spans="1:3" x14ac:dyDescent="0.3">
      <c r="A40" s="3" t="s">
        <v>3</v>
      </c>
      <c r="B40" s="3" t="s">
        <v>6</v>
      </c>
      <c r="C40" s="4" t="s">
        <v>14</v>
      </c>
    </row>
    <row r="41" spans="1:3" x14ac:dyDescent="0.3">
      <c r="A41" s="3" t="s">
        <v>3</v>
      </c>
      <c r="B41" s="3" t="s">
        <v>6</v>
      </c>
      <c r="C41" s="4" t="s">
        <v>14</v>
      </c>
    </row>
    <row r="42" spans="1:3" x14ac:dyDescent="0.3">
      <c r="A42" s="5"/>
      <c r="B42" s="5"/>
      <c r="C42" s="6"/>
    </row>
    <row r="43" spans="1:3" ht="18" x14ac:dyDescent="0.35">
      <c r="A43" s="9" t="s">
        <v>24</v>
      </c>
      <c r="B43" s="10" t="s">
        <v>1</v>
      </c>
      <c r="C43" s="10" t="s">
        <v>2</v>
      </c>
    </row>
    <row r="44" spans="1:3" x14ac:dyDescent="0.3">
      <c r="A44" s="3" t="s">
        <v>3</v>
      </c>
      <c r="B44" s="3" t="s">
        <v>4</v>
      </c>
      <c r="C44" s="4" t="s">
        <v>5</v>
      </c>
    </row>
    <row r="45" spans="1:3" x14ac:dyDescent="0.3">
      <c r="A45" s="3" t="s">
        <v>3</v>
      </c>
      <c r="B45" s="3" t="s">
        <v>6</v>
      </c>
      <c r="C45" s="4" t="s">
        <v>5</v>
      </c>
    </row>
    <row r="46" spans="1:3" x14ac:dyDescent="0.3">
      <c r="A46" s="3" t="s">
        <v>3</v>
      </c>
      <c r="B46" s="3" t="s">
        <v>6</v>
      </c>
      <c r="C46" s="4" t="s">
        <v>5</v>
      </c>
    </row>
    <row r="47" spans="1:3" x14ac:dyDescent="0.3">
      <c r="A47" s="12" t="s">
        <v>3</v>
      </c>
      <c r="B47" s="12" t="s">
        <v>6</v>
      </c>
      <c r="C47" s="12" t="s">
        <v>25</v>
      </c>
    </row>
    <row r="48" spans="1:3" s="20" customFormat="1" x14ac:dyDescent="0.3">
      <c r="A48" s="12" t="s">
        <v>3</v>
      </c>
      <c r="B48" s="12" t="s">
        <v>6</v>
      </c>
      <c r="C48" s="12" t="s">
        <v>14</v>
      </c>
    </row>
    <row r="49" spans="1:3" x14ac:dyDescent="0.3">
      <c r="A49" s="5"/>
      <c r="B49" s="5"/>
      <c r="C49" s="6"/>
    </row>
    <row r="50" spans="1:3" ht="18" x14ac:dyDescent="0.35">
      <c r="A50" s="9" t="s">
        <v>32</v>
      </c>
      <c r="B50" s="10" t="s">
        <v>1</v>
      </c>
      <c r="C50" s="10" t="s">
        <v>2</v>
      </c>
    </row>
    <row r="51" spans="1:3" x14ac:dyDescent="0.3">
      <c r="A51" s="3" t="s">
        <v>3</v>
      </c>
      <c r="B51" s="3" t="s">
        <v>6</v>
      </c>
      <c r="C51" s="4" t="s">
        <v>5</v>
      </c>
    </row>
    <row r="52" spans="1:3" x14ac:dyDescent="0.3">
      <c r="A52" s="13" t="s">
        <v>3</v>
      </c>
      <c r="B52" s="3" t="s">
        <v>6</v>
      </c>
      <c r="C52" s="4" t="s">
        <v>10</v>
      </c>
    </row>
    <row r="53" spans="1:3" x14ac:dyDescent="0.3">
      <c r="A53" s="5"/>
      <c r="B53" s="5"/>
      <c r="C53" s="6"/>
    </row>
    <row r="54" spans="1:3" ht="18" x14ac:dyDescent="0.35">
      <c r="A54" s="9" t="s">
        <v>33</v>
      </c>
      <c r="B54" s="10" t="s">
        <v>1</v>
      </c>
      <c r="C54" s="10" t="s">
        <v>2</v>
      </c>
    </row>
    <row r="55" spans="1:3" x14ac:dyDescent="0.3">
      <c r="A55" s="3" t="s">
        <v>3</v>
      </c>
      <c r="B55" s="3" t="s">
        <v>4</v>
      </c>
      <c r="C55" s="4" t="s">
        <v>34</v>
      </c>
    </row>
    <row r="56" spans="1:3" x14ac:dyDescent="0.3">
      <c r="A56" s="3" t="s">
        <v>3</v>
      </c>
      <c r="B56" s="3" t="s">
        <v>6</v>
      </c>
      <c r="C56" s="4" t="s">
        <v>34</v>
      </c>
    </row>
    <row r="57" spans="1:3" x14ac:dyDescent="0.3">
      <c r="A57" s="3" t="s">
        <v>3</v>
      </c>
      <c r="B57" s="3" t="s">
        <v>6</v>
      </c>
      <c r="C57" s="4" t="s">
        <v>14</v>
      </c>
    </row>
    <row r="58" spans="1:3" x14ac:dyDescent="0.3">
      <c r="A58" s="3" t="s">
        <v>3</v>
      </c>
      <c r="B58" s="3" t="s">
        <v>6</v>
      </c>
      <c r="C58" s="4" t="s">
        <v>14</v>
      </c>
    </row>
    <row r="59" spans="1:3" x14ac:dyDescent="0.3">
      <c r="A59" s="3" t="s">
        <v>35</v>
      </c>
      <c r="B59" s="3" t="s">
        <v>26</v>
      </c>
      <c r="C59" s="3" t="s">
        <v>36</v>
      </c>
    </row>
    <row r="60" spans="1:3" x14ac:dyDescent="0.3">
      <c r="A60" s="3" t="s">
        <v>35</v>
      </c>
      <c r="B60" s="3" t="s">
        <v>28</v>
      </c>
      <c r="C60" s="3" t="s">
        <v>37</v>
      </c>
    </row>
    <row r="61" spans="1:3" x14ac:dyDescent="0.3">
      <c r="A61" s="3" t="s">
        <v>35</v>
      </c>
      <c r="B61" s="3" t="s">
        <v>28</v>
      </c>
      <c r="C61" s="14" t="s">
        <v>38</v>
      </c>
    </row>
    <row r="62" spans="1:3" x14ac:dyDescent="0.3">
      <c r="A62" s="3" t="s">
        <v>35</v>
      </c>
      <c r="B62" s="3" t="s">
        <v>28</v>
      </c>
      <c r="C62" s="14" t="s">
        <v>38</v>
      </c>
    </row>
    <row r="63" spans="1:3" x14ac:dyDescent="0.3">
      <c r="A63" s="5"/>
      <c r="B63" s="5"/>
      <c r="C63" s="15"/>
    </row>
    <row r="64" spans="1:3" x14ac:dyDescent="0.3">
      <c r="A64" s="5"/>
      <c r="B64" s="5"/>
      <c r="C64" s="6"/>
    </row>
    <row r="65" spans="1:3" ht="18" x14ac:dyDescent="0.35">
      <c r="A65" s="9" t="s">
        <v>39</v>
      </c>
      <c r="B65" s="10" t="s">
        <v>1</v>
      </c>
      <c r="C65" s="10" t="s">
        <v>2</v>
      </c>
    </row>
    <row r="66" spans="1:3" x14ac:dyDescent="0.3">
      <c r="A66" s="3" t="s">
        <v>3</v>
      </c>
      <c r="B66" s="3" t="s">
        <v>4</v>
      </c>
      <c r="C66" s="4" t="s">
        <v>34</v>
      </c>
    </row>
    <row r="67" spans="1:3" x14ac:dyDescent="0.3">
      <c r="A67" s="3" t="s">
        <v>3</v>
      </c>
      <c r="B67" s="3" t="s">
        <v>6</v>
      </c>
      <c r="C67" s="4" t="s">
        <v>34</v>
      </c>
    </row>
    <row r="68" spans="1:3" x14ac:dyDescent="0.3">
      <c r="A68" s="3" t="s">
        <v>3</v>
      </c>
      <c r="B68" s="3" t="s">
        <v>6</v>
      </c>
      <c r="C68" s="4" t="s">
        <v>14</v>
      </c>
    </row>
    <row r="69" spans="1:3" x14ac:dyDescent="0.3">
      <c r="A69" s="3" t="s">
        <v>3</v>
      </c>
      <c r="B69" s="3" t="s">
        <v>6</v>
      </c>
      <c r="C69" s="4" t="s">
        <v>14</v>
      </c>
    </row>
    <row r="70" spans="1:3" x14ac:dyDescent="0.3">
      <c r="A70" s="5"/>
      <c r="B70" s="5"/>
      <c r="C70" s="15"/>
    </row>
    <row r="71" spans="1:3" x14ac:dyDescent="0.3">
      <c r="A71" s="5"/>
      <c r="B71" s="5"/>
      <c r="C71" s="6"/>
    </row>
    <row r="72" spans="1:3" ht="18" x14ac:dyDescent="0.35">
      <c r="A72" s="9" t="s">
        <v>45</v>
      </c>
      <c r="B72" s="10" t="s">
        <v>1</v>
      </c>
      <c r="C72" s="10" t="s">
        <v>2</v>
      </c>
    </row>
    <row r="73" spans="1:3" x14ac:dyDescent="0.3">
      <c r="A73" s="3" t="s">
        <v>3</v>
      </c>
      <c r="B73" s="3" t="s">
        <v>4</v>
      </c>
      <c r="C73" s="4" t="s">
        <v>34</v>
      </c>
    </row>
    <row r="74" spans="1:3" x14ac:dyDescent="0.3">
      <c r="A74" s="3" t="s">
        <v>3</v>
      </c>
      <c r="B74" s="3" t="s">
        <v>6</v>
      </c>
      <c r="C74" s="4" t="s">
        <v>34</v>
      </c>
    </row>
    <row r="75" spans="1:3" x14ac:dyDescent="0.3">
      <c r="A75" s="3" t="s">
        <v>3</v>
      </c>
      <c r="B75" s="3" t="s">
        <v>6</v>
      </c>
      <c r="C75" s="4" t="s">
        <v>14</v>
      </c>
    </row>
    <row r="76" spans="1:3" x14ac:dyDescent="0.3">
      <c r="A76" s="3" t="s">
        <v>3</v>
      </c>
      <c r="B76" s="3" t="s">
        <v>6</v>
      </c>
      <c r="C76" s="4" t="s">
        <v>46</v>
      </c>
    </row>
    <row r="77" spans="1:3" x14ac:dyDescent="0.3">
      <c r="A77" s="5"/>
      <c r="B77" s="5"/>
      <c r="C77" s="6"/>
    </row>
    <row r="78" spans="1:3" x14ac:dyDescent="0.3">
      <c r="A78" s="5"/>
      <c r="B78" s="5"/>
      <c r="C78" s="6"/>
    </row>
    <row r="79" spans="1:3" ht="18" x14ac:dyDescent="0.35">
      <c r="A79" s="9" t="s">
        <v>47</v>
      </c>
      <c r="B79" s="10" t="s">
        <v>1</v>
      </c>
      <c r="C79" s="10" t="s">
        <v>2</v>
      </c>
    </row>
    <row r="80" spans="1:3" x14ac:dyDescent="0.3">
      <c r="A80" s="3" t="s">
        <v>3</v>
      </c>
      <c r="B80" s="3" t="s">
        <v>6</v>
      </c>
      <c r="C80" s="4" t="s">
        <v>34</v>
      </c>
    </row>
    <row r="81" spans="1:3" x14ac:dyDescent="0.3">
      <c r="A81" s="3" t="s">
        <v>3</v>
      </c>
      <c r="B81" s="3" t="s">
        <v>6</v>
      </c>
      <c r="C81" s="4" t="s">
        <v>34</v>
      </c>
    </row>
    <row r="82" spans="1:3" x14ac:dyDescent="0.3">
      <c r="A82" s="3" t="s">
        <v>19</v>
      </c>
      <c r="B82" s="3" t="s">
        <v>6</v>
      </c>
      <c r="C82" s="4" t="s">
        <v>48</v>
      </c>
    </row>
    <row r="83" spans="1:3" x14ac:dyDescent="0.3">
      <c r="A83" s="3" t="s">
        <v>3</v>
      </c>
      <c r="B83" s="3" t="s">
        <v>6</v>
      </c>
      <c r="C83" s="4" t="s">
        <v>14</v>
      </c>
    </row>
    <row r="84" spans="1:3" x14ac:dyDescent="0.3">
      <c r="A84" s="3" t="s">
        <v>3</v>
      </c>
      <c r="B84" s="3" t="s">
        <v>6</v>
      </c>
      <c r="C84" s="4" t="s">
        <v>14</v>
      </c>
    </row>
    <row r="85" spans="1:3" x14ac:dyDescent="0.3">
      <c r="A85" s="3" t="s">
        <v>3</v>
      </c>
      <c r="B85" s="3" t="s">
        <v>6</v>
      </c>
      <c r="C85" s="4" t="s">
        <v>14</v>
      </c>
    </row>
    <row r="86" spans="1:3" x14ac:dyDescent="0.3">
      <c r="A86" s="3" t="s">
        <v>3</v>
      </c>
      <c r="B86" s="3" t="s">
        <v>6</v>
      </c>
      <c r="C86" s="4" t="s">
        <v>49</v>
      </c>
    </row>
    <row r="87" spans="1:3" x14ac:dyDescent="0.3">
      <c r="A87" s="3" t="s">
        <v>50</v>
      </c>
      <c r="B87" s="3" t="s">
        <v>26</v>
      </c>
      <c r="C87" s="3" t="s">
        <v>51</v>
      </c>
    </row>
    <row r="88" spans="1:3" x14ac:dyDescent="0.3">
      <c r="A88" s="5"/>
      <c r="B88" s="5"/>
      <c r="C88" s="15"/>
    </row>
    <row r="89" spans="1:3" x14ac:dyDescent="0.3">
      <c r="A89" s="16"/>
      <c r="B89" s="5"/>
      <c r="C89" s="6"/>
    </row>
    <row r="90" spans="1:3" ht="18" x14ac:dyDescent="0.35">
      <c r="A90" s="9" t="s">
        <v>57</v>
      </c>
      <c r="B90" s="10" t="s">
        <v>1</v>
      </c>
      <c r="C90" s="10" t="s">
        <v>2</v>
      </c>
    </row>
    <row r="91" spans="1:3" x14ac:dyDescent="0.3">
      <c r="A91" s="3" t="s">
        <v>3</v>
      </c>
      <c r="B91" s="3" t="s">
        <v>4</v>
      </c>
      <c r="C91" s="4" t="s">
        <v>34</v>
      </c>
    </row>
    <row r="92" spans="1:3" x14ac:dyDescent="0.3">
      <c r="A92" s="3" t="s">
        <v>3</v>
      </c>
      <c r="B92" s="3" t="s">
        <v>6</v>
      </c>
      <c r="C92" s="4" t="s">
        <v>34</v>
      </c>
    </row>
    <row r="93" spans="1:3" x14ac:dyDescent="0.3">
      <c r="A93" s="3" t="s">
        <v>3</v>
      </c>
      <c r="B93" s="3" t="s">
        <v>6</v>
      </c>
      <c r="C93" s="4" t="s">
        <v>34</v>
      </c>
    </row>
    <row r="94" spans="1:3" x14ac:dyDescent="0.3">
      <c r="A94" s="3" t="s">
        <v>3</v>
      </c>
      <c r="B94" s="3" t="s">
        <v>6</v>
      </c>
      <c r="C94" s="4" t="s">
        <v>14</v>
      </c>
    </row>
    <row r="95" spans="1:3" s="20" customFormat="1" x14ac:dyDescent="0.3">
      <c r="A95" s="12" t="s">
        <v>3</v>
      </c>
      <c r="B95" s="12" t="s">
        <v>6</v>
      </c>
      <c r="C95" s="12" t="s">
        <v>22</v>
      </c>
    </row>
    <row r="96" spans="1:3" x14ac:dyDescent="0.3">
      <c r="A96" s="16"/>
      <c r="B96" s="5"/>
      <c r="C96" s="6"/>
    </row>
    <row r="97" spans="1:3" ht="18" x14ac:dyDescent="0.35">
      <c r="A97" s="9" t="s">
        <v>58</v>
      </c>
      <c r="B97" s="10" t="s">
        <v>1</v>
      </c>
      <c r="C97" s="10" t="s">
        <v>2</v>
      </c>
    </row>
    <row r="98" spans="1:3" x14ac:dyDescent="0.3">
      <c r="A98" s="3" t="s">
        <v>3</v>
      </c>
      <c r="B98" s="3" t="s">
        <v>4</v>
      </c>
      <c r="C98" s="4" t="s">
        <v>34</v>
      </c>
    </row>
    <row r="99" spans="1:3" x14ac:dyDescent="0.3">
      <c r="A99" s="3" t="s">
        <v>3</v>
      </c>
      <c r="B99" s="3" t="s">
        <v>6</v>
      </c>
      <c r="C99" s="4" t="s">
        <v>34</v>
      </c>
    </row>
    <row r="100" spans="1:3" x14ac:dyDescent="0.3">
      <c r="A100" s="3" t="s">
        <v>3</v>
      </c>
      <c r="B100" s="3" t="s">
        <v>6</v>
      </c>
      <c r="C100" s="4" t="s">
        <v>14</v>
      </c>
    </row>
    <row r="101" spans="1:3" x14ac:dyDescent="0.3">
      <c r="A101" s="3" t="s">
        <v>3</v>
      </c>
      <c r="B101" s="3" t="s">
        <v>6</v>
      </c>
      <c r="C101" s="4" t="s">
        <v>14</v>
      </c>
    </row>
    <row r="102" spans="1:3" x14ac:dyDescent="0.3">
      <c r="A102" s="5"/>
      <c r="B102" s="5"/>
      <c r="C102" s="6"/>
    </row>
    <row r="103" spans="1:3" x14ac:dyDescent="0.3">
      <c r="A103" s="5"/>
      <c r="B103" s="5"/>
      <c r="C103" s="15"/>
    </row>
    <row r="104" spans="1:3" ht="18" x14ac:dyDescent="0.35">
      <c r="A104" s="9" t="s">
        <v>77</v>
      </c>
      <c r="B104" s="10" t="s">
        <v>1</v>
      </c>
      <c r="C104" s="10" t="s">
        <v>2</v>
      </c>
    </row>
    <row r="105" spans="1:3" x14ac:dyDescent="0.3">
      <c r="A105" s="3" t="s">
        <v>3</v>
      </c>
      <c r="B105" s="3" t="s">
        <v>4</v>
      </c>
      <c r="C105" s="4" t="s">
        <v>34</v>
      </c>
    </row>
    <row r="106" spans="1:3" x14ac:dyDescent="0.3">
      <c r="A106" s="3" t="s">
        <v>3</v>
      </c>
      <c r="B106" s="3" t="s">
        <v>6</v>
      </c>
      <c r="C106" s="4" t="s">
        <v>34</v>
      </c>
    </row>
    <row r="107" spans="1:3" x14ac:dyDescent="0.3">
      <c r="A107" s="3" t="s">
        <v>3</v>
      </c>
      <c r="B107" s="3" t="s">
        <v>6</v>
      </c>
      <c r="C107" s="4" t="s">
        <v>14</v>
      </c>
    </row>
    <row r="108" spans="1:3" x14ac:dyDescent="0.3">
      <c r="A108" s="3" t="s">
        <v>3</v>
      </c>
      <c r="B108" s="3" t="s">
        <v>6</v>
      </c>
      <c r="C108" s="4" t="s">
        <v>14</v>
      </c>
    </row>
    <row r="109" spans="1:3" x14ac:dyDescent="0.3">
      <c r="A109" s="5"/>
      <c r="B109" s="5"/>
      <c r="C109" s="15"/>
    </row>
    <row r="110" spans="1:3" ht="18" x14ac:dyDescent="0.35">
      <c r="A110" s="9" t="s">
        <v>59</v>
      </c>
      <c r="B110" s="10" t="s">
        <v>1</v>
      </c>
      <c r="C110" s="10" t="s">
        <v>2</v>
      </c>
    </row>
    <row r="111" spans="1:3" x14ac:dyDescent="0.3">
      <c r="A111" s="3" t="s">
        <v>3</v>
      </c>
      <c r="B111" s="3" t="s">
        <v>4</v>
      </c>
      <c r="C111" s="4" t="s">
        <v>34</v>
      </c>
    </row>
    <row r="112" spans="1:3" x14ac:dyDescent="0.3">
      <c r="A112" s="3" t="s">
        <v>3</v>
      </c>
      <c r="B112" s="3" t="s">
        <v>6</v>
      </c>
      <c r="C112" s="4" t="s">
        <v>34</v>
      </c>
    </row>
    <row r="113" spans="1:3" x14ac:dyDescent="0.3">
      <c r="A113" s="3" t="s">
        <v>3</v>
      </c>
      <c r="B113" s="3" t="s">
        <v>6</v>
      </c>
      <c r="C113" s="4" t="s">
        <v>14</v>
      </c>
    </row>
    <row r="114" spans="1:3" x14ac:dyDescent="0.3">
      <c r="A114" s="3" t="s">
        <v>3</v>
      </c>
      <c r="B114" s="3" t="s">
        <v>6</v>
      </c>
      <c r="C114" s="4" t="s">
        <v>14</v>
      </c>
    </row>
    <row r="115" spans="1:3" x14ac:dyDescent="0.3">
      <c r="A115" s="5"/>
      <c r="B115" s="5"/>
      <c r="C115" s="5"/>
    </row>
    <row r="116" spans="1:3" x14ac:dyDescent="0.3">
      <c r="A116" s="16"/>
      <c r="B116" s="5"/>
      <c r="C116" s="6"/>
    </row>
    <row r="117" spans="1:3" ht="18" x14ac:dyDescent="0.35">
      <c r="A117" s="9" t="s">
        <v>63</v>
      </c>
      <c r="B117" s="10" t="s">
        <v>1</v>
      </c>
      <c r="C117" s="10" t="s">
        <v>2</v>
      </c>
    </row>
    <row r="118" spans="1:3" x14ac:dyDescent="0.3">
      <c r="A118" s="3" t="s">
        <v>3</v>
      </c>
      <c r="B118" s="3" t="s">
        <v>4</v>
      </c>
      <c r="C118" s="4" t="s">
        <v>34</v>
      </c>
    </row>
    <row r="119" spans="1:3" x14ac:dyDescent="0.3">
      <c r="A119" s="3" t="s">
        <v>3</v>
      </c>
      <c r="B119" s="3" t="s">
        <v>6</v>
      </c>
      <c r="C119" s="4" t="s">
        <v>34</v>
      </c>
    </row>
    <row r="120" spans="1:3" x14ac:dyDescent="0.3">
      <c r="A120" s="3" t="s">
        <v>3</v>
      </c>
      <c r="B120" s="3" t="s">
        <v>6</v>
      </c>
      <c r="C120" s="4" t="s">
        <v>14</v>
      </c>
    </row>
    <row r="121" spans="1:3" x14ac:dyDescent="0.3">
      <c r="A121" s="3" t="s">
        <v>3</v>
      </c>
      <c r="B121" s="3" t="s">
        <v>6</v>
      </c>
      <c r="C121" s="4" t="s">
        <v>14</v>
      </c>
    </row>
    <row r="122" spans="1:3" x14ac:dyDescent="0.3">
      <c r="A122" s="3" t="s">
        <v>35</v>
      </c>
      <c r="B122" s="3" t="s">
        <v>28</v>
      </c>
      <c r="C122" s="3" t="s">
        <v>60</v>
      </c>
    </row>
    <row r="123" spans="1:3" x14ac:dyDescent="0.3">
      <c r="A123" s="3" t="s">
        <v>35</v>
      </c>
      <c r="B123" s="3" t="s">
        <v>26</v>
      </c>
      <c r="C123" s="3" t="s">
        <v>61</v>
      </c>
    </row>
    <row r="124" spans="1:3" x14ac:dyDescent="0.3">
      <c r="A124" s="3" t="s">
        <v>35</v>
      </c>
      <c r="B124" s="3" t="s">
        <v>28</v>
      </c>
      <c r="C124" s="3" t="s">
        <v>62</v>
      </c>
    </row>
    <row r="125" spans="1:3" x14ac:dyDescent="0.3">
      <c r="A125" s="3" t="s">
        <v>35</v>
      </c>
      <c r="B125" s="3" t="s">
        <v>28</v>
      </c>
      <c r="C125" s="3" t="s">
        <v>62</v>
      </c>
    </row>
    <row r="126" spans="1:3" x14ac:dyDescent="0.3">
      <c r="B126" s="6"/>
      <c r="C126" s="6"/>
    </row>
    <row r="127" spans="1:3" ht="18" x14ac:dyDescent="0.35">
      <c r="A127" s="9" t="s">
        <v>68</v>
      </c>
      <c r="B127" s="10" t="s">
        <v>1</v>
      </c>
      <c r="C127" s="10" t="s">
        <v>2</v>
      </c>
    </row>
    <row r="128" spans="1:3" x14ac:dyDescent="0.3">
      <c r="A128" s="3" t="s">
        <v>3</v>
      </c>
      <c r="B128" s="3" t="s">
        <v>4</v>
      </c>
      <c r="C128" s="4" t="s">
        <v>34</v>
      </c>
    </row>
    <row r="129" spans="1:3" x14ac:dyDescent="0.3">
      <c r="A129" s="3" t="s">
        <v>3</v>
      </c>
      <c r="B129" s="3" t="s">
        <v>6</v>
      </c>
      <c r="C129" s="4" t="s">
        <v>34</v>
      </c>
    </row>
    <row r="130" spans="1:3" x14ac:dyDescent="0.3">
      <c r="A130" s="3" t="s">
        <v>3</v>
      </c>
      <c r="B130" s="3" t="s">
        <v>6</v>
      </c>
      <c r="C130" s="4" t="s">
        <v>14</v>
      </c>
    </row>
    <row r="131" spans="1:3" x14ac:dyDescent="0.3">
      <c r="A131" s="3" t="s">
        <v>3</v>
      </c>
      <c r="B131" s="3" t="s">
        <v>6</v>
      </c>
      <c r="C131" s="4" t="s">
        <v>14</v>
      </c>
    </row>
    <row r="132" spans="1:3" x14ac:dyDescent="0.3">
      <c r="B132" s="6"/>
      <c r="C132" s="6"/>
    </row>
    <row r="133" spans="1:3" x14ac:dyDescent="0.3">
      <c r="B133" s="6"/>
      <c r="C133" s="6"/>
    </row>
    <row r="134" spans="1:3" ht="18" x14ac:dyDescent="0.35">
      <c r="A134" s="9" t="s">
        <v>64</v>
      </c>
      <c r="B134" s="10" t="s">
        <v>1</v>
      </c>
      <c r="C134" s="10" t="s">
        <v>2</v>
      </c>
    </row>
    <row r="135" spans="1:3" x14ac:dyDescent="0.3">
      <c r="A135" s="3" t="s">
        <v>3</v>
      </c>
      <c r="B135" s="3" t="s">
        <v>6</v>
      </c>
      <c r="C135" s="4" t="s">
        <v>34</v>
      </c>
    </row>
    <row r="136" spans="1:3" x14ac:dyDescent="0.3">
      <c r="A136" s="3" t="s">
        <v>3</v>
      </c>
      <c r="B136" s="3" t="s">
        <v>6</v>
      </c>
      <c r="C136" s="4" t="s">
        <v>34</v>
      </c>
    </row>
    <row r="137" spans="1:3" x14ac:dyDescent="0.3">
      <c r="A137" s="3" t="s">
        <v>19</v>
      </c>
      <c r="B137" s="3" t="s">
        <v>6</v>
      </c>
      <c r="C137" s="4" t="s">
        <v>71</v>
      </c>
    </row>
    <row r="138" spans="1:3" x14ac:dyDescent="0.3">
      <c r="A138" s="3" t="s">
        <v>3</v>
      </c>
      <c r="B138" s="3" t="s">
        <v>6</v>
      </c>
      <c r="C138" s="4" t="s">
        <v>14</v>
      </c>
    </row>
    <row r="139" spans="1:3" x14ac:dyDescent="0.3">
      <c r="A139" s="3" t="s">
        <v>3</v>
      </c>
      <c r="B139" s="3" t="s">
        <v>6</v>
      </c>
      <c r="C139" s="4" t="s">
        <v>14</v>
      </c>
    </row>
    <row r="140" spans="1:3" x14ac:dyDescent="0.3">
      <c r="A140" s="3" t="s">
        <v>3</v>
      </c>
      <c r="B140" s="3" t="s">
        <v>6</v>
      </c>
      <c r="C140" s="4" t="s">
        <v>14</v>
      </c>
    </row>
    <row r="141" spans="1:3" x14ac:dyDescent="0.3">
      <c r="A141" s="3" t="s">
        <v>3</v>
      </c>
      <c r="B141" s="3" t="s">
        <v>6</v>
      </c>
      <c r="C141" s="4" t="s">
        <v>70</v>
      </c>
    </row>
    <row r="142" spans="1:3" x14ac:dyDescent="0.3">
      <c r="A142" s="3" t="s">
        <v>54</v>
      </c>
      <c r="B142" s="3" t="s">
        <v>28</v>
      </c>
      <c r="C142" s="3" t="s">
        <v>56</v>
      </c>
    </row>
    <row r="145" spans="1:6" x14ac:dyDescent="0.3">
      <c r="A145" s="3"/>
      <c r="B145" s="3"/>
      <c r="C145" s="15"/>
    </row>
    <row r="146" spans="1:6" x14ac:dyDescent="0.3">
      <c r="A146" s="3"/>
      <c r="B146" s="3"/>
      <c r="C146" s="15"/>
    </row>
    <row r="147" spans="1:6" x14ac:dyDescent="0.3">
      <c r="A147" s="3" t="s">
        <v>65</v>
      </c>
      <c r="B147" s="18">
        <v>95</v>
      </c>
      <c r="C147" s="5" t="s">
        <v>66</v>
      </c>
    </row>
    <row r="149" spans="1:6" x14ac:dyDescent="0.3">
      <c r="A149" s="18" t="s">
        <v>67</v>
      </c>
      <c r="B149" s="18">
        <v>16</v>
      </c>
      <c r="F149" s="23"/>
    </row>
    <row r="152" spans="1:6" x14ac:dyDescent="0.3">
      <c r="A152" s="18" t="s">
        <v>72</v>
      </c>
      <c r="B152" s="18">
        <f>B147*7+B149</f>
        <v>681</v>
      </c>
    </row>
    <row r="153" spans="1:6" ht="9" customHeight="1" x14ac:dyDescent="0.3"/>
    <row r="154" spans="1:6" x14ac:dyDescent="0.3">
      <c r="A154" s="24" t="s">
        <v>73</v>
      </c>
      <c r="B154" s="25">
        <v>19.149999999999999</v>
      </c>
    </row>
    <row r="155" spans="1:6" ht="6" customHeight="1" x14ac:dyDescent="0.3"/>
    <row r="156" spans="1:6" x14ac:dyDescent="0.3">
      <c r="A156" s="26" t="s">
        <v>74</v>
      </c>
      <c r="B156" s="27">
        <f>B154*B152</f>
        <v>13041.15</v>
      </c>
    </row>
    <row r="162" spans="1:1" x14ac:dyDescent="0.3">
      <c r="A162" s="29" t="s">
        <v>86</v>
      </c>
    </row>
    <row r="163" spans="1:1" x14ac:dyDescent="0.3">
      <c r="A163" s="29">
        <v>865</v>
      </c>
    </row>
    <row r="164" spans="1:1" x14ac:dyDescent="0.3">
      <c r="A164" s="29">
        <v>900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35C5-8B0C-4F4C-AC8C-709F4D6AD431}">
  <dimension ref="A1:N81"/>
  <sheetViews>
    <sheetView showGridLines="0" topLeftCell="A58" zoomScaleNormal="100" workbookViewId="0">
      <selection activeCell="C78" sqref="C78"/>
    </sheetView>
  </sheetViews>
  <sheetFormatPr defaultRowHeight="14.4" x14ac:dyDescent="0.3"/>
  <cols>
    <col min="1" max="1" width="38" bestFit="1" customWidth="1"/>
    <col min="2" max="2" width="25" bestFit="1" customWidth="1"/>
    <col min="3" max="3" width="17.6640625" bestFit="1" customWidth="1"/>
    <col min="5" max="5" width="12.88671875" bestFit="1" customWidth="1"/>
    <col min="14" max="14" width="10.5546875" bestFit="1" customWidth="1"/>
  </cols>
  <sheetData>
    <row r="1" spans="1:4" x14ac:dyDescent="0.3">
      <c r="A1" s="5"/>
      <c r="B1" s="5"/>
      <c r="C1" s="6"/>
    </row>
    <row r="2" spans="1:4" ht="18" x14ac:dyDescent="0.35">
      <c r="A2" s="9" t="s">
        <v>11</v>
      </c>
      <c r="B2" s="2" t="s">
        <v>1</v>
      </c>
      <c r="C2" s="2" t="s">
        <v>12</v>
      </c>
    </row>
    <row r="3" spans="1:4" s="20" customFormat="1" x14ac:dyDescent="0.3">
      <c r="A3" s="19" t="s">
        <v>3</v>
      </c>
      <c r="B3" s="19" t="s">
        <v>6</v>
      </c>
      <c r="C3" s="19" t="s">
        <v>5</v>
      </c>
      <c r="D3" s="20" t="s">
        <v>75</v>
      </c>
    </row>
    <row r="4" spans="1:4" x14ac:dyDescent="0.3">
      <c r="A4" s="5"/>
      <c r="B4" s="5"/>
      <c r="C4" s="6"/>
    </row>
    <row r="5" spans="1:4" ht="24.6" customHeight="1" x14ac:dyDescent="0.3">
      <c r="A5" s="5"/>
      <c r="B5" s="5"/>
      <c r="C5" s="6"/>
    </row>
    <row r="6" spans="1:4" ht="18" x14ac:dyDescent="0.35">
      <c r="A6" s="9" t="s">
        <v>17</v>
      </c>
      <c r="B6" s="10" t="s">
        <v>1</v>
      </c>
      <c r="C6" s="10" t="s">
        <v>12</v>
      </c>
    </row>
    <row r="7" spans="1:4" s="20" customFormat="1" x14ac:dyDescent="0.3">
      <c r="A7" s="19" t="s">
        <v>3</v>
      </c>
      <c r="B7" s="19" t="s">
        <v>6</v>
      </c>
      <c r="C7" s="19" t="s">
        <v>14</v>
      </c>
      <c r="D7" s="20" t="s">
        <v>75</v>
      </c>
    </row>
    <row r="8" spans="1:4" x14ac:dyDescent="0.3">
      <c r="A8" s="5"/>
      <c r="B8" s="5"/>
      <c r="C8" s="6"/>
    </row>
    <row r="9" spans="1:4" ht="18" x14ac:dyDescent="0.35">
      <c r="A9" s="11" t="s">
        <v>18</v>
      </c>
      <c r="B9" s="10" t="s">
        <v>1</v>
      </c>
      <c r="C9" s="10" t="s">
        <v>12</v>
      </c>
    </row>
    <row r="10" spans="1:4" s="20" customFormat="1" x14ac:dyDescent="0.3">
      <c r="A10" s="19" t="s">
        <v>19</v>
      </c>
      <c r="B10" s="19" t="s">
        <v>6</v>
      </c>
      <c r="C10" s="19" t="s">
        <v>20</v>
      </c>
      <c r="D10" s="20" t="s">
        <v>75</v>
      </c>
    </row>
    <row r="11" spans="1:4" x14ac:dyDescent="0.3">
      <c r="A11" s="5"/>
      <c r="B11" s="5"/>
      <c r="C11" s="6"/>
    </row>
    <row r="12" spans="1:4" ht="18" x14ac:dyDescent="0.35">
      <c r="A12" s="9" t="s">
        <v>21</v>
      </c>
      <c r="B12" s="10" t="s">
        <v>1</v>
      </c>
      <c r="C12" s="10" t="s">
        <v>2</v>
      </c>
    </row>
    <row r="13" spans="1:4" s="20" customFormat="1" x14ac:dyDescent="0.3">
      <c r="A13" s="19" t="s">
        <v>3</v>
      </c>
      <c r="B13" s="19" t="s">
        <v>6</v>
      </c>
      <c r="C13" s="19" t="s">
        <v>22</v>
      </c>
      <c r="D13" s="20" t="s">
        <v>75</v>
      </c>
    </row>
    <row r="14" spans="1:4" x14ac:dyDescent="0.3">
      <c r="A14" s="5"/>
      <c r="B14" s="5"/>
      <c r="C14" s="6"/>
    </row>
    <row r="15" spans="1:4" x14ac:dyDescent="0.3">
      <c r="A15" s="5"/>
      <c r="B15" s="5"/>
      <c r="C15" s="6"/>
    </row>
    <row r="16" spans="1:4" ht="18" x14ac:dyDescent="0.35">
      <c r="A16" s="9" t="s">
        <v>24</v>
      </c>
      <c r="B16" s="10" t="s">
        <v>1</v>
      </c>
      <c r="C16" s="10" t="s">
        <v>2</v>
      </c>
    </row>
    <row r="17" spans="1:4" s="20" customFormat="1" x14ac:dyDescent="0.3">
      <c r="A17" s="19" t="s">
        <v>3</v>
      </c>
      <c r="B17" s="19" t="s">
        <v>6</v>
      </c>
      <c r="C17" s="19" t="s">
        <v>14</v>
      </c>
      <c r="D17" s="20" t="s">
        <v>75</v>
      </c>
    </row>
    <row r="18" spans="1:4" s="20" customFormat="1" x14ac:dyDescent="0.3">
      <c r="A18" s="19" t="s">
        <v>3</v>
      </c>
      <c r="B18" s="21" t="s">
        <v>26</v>
      </c>
      <c r="C18" s="19" t="s">
        <v>27</v>
      </c>
      <c r="D18" s="20" t="s">
        <v>76</v>
      </c>
    </row>
    <row r="19" spans="1:4" s="20" customFormat="1" x14ac:dyDescent="0.3">
      <c r="A19" s="19" t="s">
        <v>3</v>
      </c>
      <c r="B19" s="19" t="s">
        <v>28</v>
      </c>
      <c r="C19" s="19" t="s">
        <v>29</v>
      </c>
      <c r="D19" s="20" t="s">
        <v>76</v>
      </c>
    </row>
    <row r="20" spans="1:4" s="20" customFormat="1" x14ac:dyDescent="0.3">
      <c r="A20" s="19" t="s">
        <v>3</v>
      </c>
      <c r="B20" s="21" t="s">
        <v>28</v>
      </c>
      <c r="C20" s="19" t="s">
        <v>30</v>
      </c>
      <c r="D20" s="20" t="s">
        <v>76</v>
      </c>
    </row>
    <row r="21" spans="1:4" s="20" customFormat="1" x14ac:dyDescent="0.3">
      <c r="A21" s="19" t="s">
        <v>3</v>
      </c>
      <c r="B21" s="21" t="s">
        <v>28</v>
      </c>
      <c r="C21" s="19" t="s">
        <v>31</v>
      </c>
      <c r="D21" s="20" t="s">
        <v>76</v>
      </c>
    </row>
    <row r="22" spans="1:4" s="20" customFormat="1" x14ac:dyDescent="0.3">
      <c r="A22" s="19" t="s">
        <v>3</v>
      </c>
      <c r="B22" s="21" t="s">
        <v>28</v>
      </c>
      <c r="C22" s="19" t="s">
        <v>31</v>
      </c>
      <c r="D22" s="20" t="s">
        <v>76</v>
      </c>
    </row>
    <row r="23" spans="1:4" x14ac:dyDescent="0.3">
      <c r="A23" s="5"/>
      <c r="B23" s="5"/>
      <c r="C23" s="6"/>
    </row>
    <row r="24" spans="1:4" x14ac:dyDescent="0.3">
      <c r="A24" s="5"/>
      <c r="B24" s="5"/>
      <c r="C24" s="6"/>
    </row>
    <row r="25" spans="1:4" ht="18" x14ac:dyDescent="0.35">
      <c r="A25" s="9" t="s">
        <v>39</v>
      </c>
      <c r="B25" s="10" t="s">
        <v>1</v>
      </c>
      <c r="C25" s="10" t="s">
        <v>2</v>
      </c>
    </row>
    <row r="26" spans="1:4" s="20" customFormat="1" x14ac:dyDescent="0.3">
      <c r="A26" s="19" t="s">
        <v>35</v>
      </c>
      <c r="B26" s="19" t="s">
        <v>26</v>
      </c>
      <c r="C26" s="19" t="s">
        <v>40</v>
      </c>
      <c r="D26" s="20" t="s">
        <v>75</v>
      </c>
    </row>
    <row r="27" spans="1:4" s="20" customFormat="1" x14ac:dyDescent="0.3">
      <c r="A27" s="19" t="s">
        <v>35</v>
      </c>
      <c r="B27" s="19" t="s">
        <v>28</v>
      </c>
      <c r="C27" s="19" t="s">
        <v>41</v>
      </c>
      <c r="D27" s="20" t="s">
        <v>75</v>
      </c>
    </row>
    <row r="28" spans="1:4" s="20" customFormat="1" x14ac:dyDescent="0.3">
      <c r="A28" s="19" t="s">
        <v>35</v>
      </c>
      <c r="B28" s="19" t="s">
        <v>28</v>
      </c>
      <c r="C28" s="19" t="s">
        <v>42</v>
      </c>
      <c r="D28" s="20" t="s">
        <v>75</v>
      </c>
    </row>
    <row r="29" spans="1:4" s="20" customFormat="1" x14ac:dyDescent="0.3">
      <c r="A29" s="19" t="s">
        <v>35</v>
      </c>
      <c r="B29" s="19" t="s">
        <v>28</v>
      </c>
      <c r="C29" s="19" t="s">
        <v>43</v>
      </c>
      <c r="D29" s="20" t="s">
        <v>75</v>
      </c>
    </row>
    <row r="30" spans="1:4" s="20" customFormat="1" x14ac:dyDescent="0.3">
      <c r="A30" s="19" t="s">
        <v>35</v>
      </c>
      <c r="B30" s="19" t="s">
        <v>28</v>
      </c>
      <c r="C30" s="19" t="s">
        <v>44</v>
      </c>
      <c r="D30" s="20" t="s">
        <v>75</v>
      </c>
    </row>
    <row r="31" spans="1:4" x14ac:dyDescent="0.3">
      <c r="A31" s="5"/>
      <c r="B31" s="5"/>
      <c r="C31" s="15"/>
    </row>
    <row r="32" spans="1:4" x14ac:dyDescent="0.3">
      <c r="A32" s="5"/>
      <c r="B32" s="5"/>
      <c r="C32" s="6"/>
    </row>
    <row r="33" spans="1:4" x14ac:dyDescent="0.3">
      <c r="A33" s="5"/>
      <c r="B33" s="5"/>
      <c r="C33" s="6"/>
    </row>
    <row r="34" spans="1:4" x14ac:dyDescent="0.3">
      <c r="A34" s="5"/>
      <c r="B34" s="5"/>
      <c r="C34" s="6"/>
    </row>
    <row r="35" spans="1:4" ht="18" x14ac:dyDescent="0.35">
      <c r="A35" s="9" t="s">
        <v>47</v>
      </c>
      <c r="B35" s="10" t="s">
        <v>1</v>
      </c>
      <c r="C35" s="10" t="s">
        <v>2</v>
      </c>
    </row>
    <row r="36" spans="1:4" s="20" customFormat="1" x14ac:dyDescent="0.3">
      <c r="A36" s="19" t="s">
        <v>3</v>
      </c>
      <c r="B36" s="19" t="s">
        <v>4</v>
      </c>
      <c r="C36" s="19" t="s">
        <v>34</v>
      </c>
      <c r="D36" s="20" t="s">
        <v>75</v>
      </c>
    </row>
    <row r="37" spans="1:4" s="20" customFormat="1" x14ac:dyDescent="0.3">
      <c r="A37" s="19" t="s">
        <v>3</v>
      </c>
      <c r="B37" s="19" t="s">
        <v>6</v>
      </c>
      <c r="C37" s="19" t="s">
        <v>34</v>
      </c>
      <c r="D37" s="20" t="s">
        <v>75</v>
      </c>
    </row>
    <row r="38" spans="1:4" s="20" customFormat="1" x14ac:dyDescent="0.3">
      <c r="A38" s="19" t="s">
        <v>50</v>
      </c>
      <c r="B38" s="19" t="s">
        <v>52</v>
      </c>
      <c r="C38" s="19" t="s">
        <v>51</v>
      </c>
      <c r="D38" s="20" t="s">
        <v>76</v>
      </c>
    </row>
    <row r="39" spans="1:4" s="20" customFormat="1" x14ac:dyDescent="0.3">
      <c r="A39" s="19" t="s">
        <v>50</v>
      </c>
      <c r="B39" s="19" t="s">
        <v>28</v>
      </c>
      <c r="C39" s="19" t="s">
        <v>51</v>
      </c>
      <c r="D39" s="20" t="s">
        <v>76</v>
      </c>
    </row>
    <row r="40" spans="1:4" s="20" customFormat="1" x14ac:dyDescent="0.3">
      <c r="A40" s="19" t="s">
        <v>50</v>
      </c>
      <c r="B40" s="19" t="s">
        <v>28</v>
      </c>
      <c r="C40" s="19" t="s">
        <v>53</v>
      </c>
      <c r="D40" s="20" t="s">
        <v>76</v>
      </c>
    </row>
    <row r="41" spans="1:4" s="20" customFormat="1" x14ac:dyDescent="0.3">
      <c r="A41" s="19" t="s">
        <v>50</v>
      </c>
      <c r="B41" s="19" t="s">
        <v>28</v>
      </c>
      <c r="C41" s="19" t="s">
        <v>53</v>
      </c>
      <c r="D41" s="20" t="s">
        <v>76</v>
      </c>
    </row>
    <row r="42" spans="1:4" s="20" customFormat="1" x14ac:dyDescent="0.3">
      <c r="A42" s="19" t="s">
        <v>50</v>
      </c>
      <c r="B42" s="19" t="s">
        <v>28</v>
      </c>
      <c r="C42" s="19" t="s">
        <v>53</v>
      </c>
      <c r="D42" s="20" t="s">
        <v>76</v>
      </c>
    </row>
    <row r="43" spans="1:4" s="20" customFormat="1" x14ac:dyDescent="0.3">
      <c r="A43" s="19" t="s">
        <v>54</v>
      </c>
      <c r="B43" s="19" t="s">
        <v>55</v>
      </c>
      <c r="C43" s="19" t="s">
        <v>56</v>
      </c>
      <c r="D43" s="20" t="s">
        <v>76</v>
      </c>
    </row>
    <row r="44" spans="1:4" x14ac:dyDescent="0.3">
      <c r="A44" s="5"/>
      <c r="B44" s="5"/>
      <c r="C44" s="15"/>
    </row>
    <row r="45" spans="1:4" x14ac:dyDescent="0.3">
      <c r="A45" s="16"/>
      <c r="B45" s="5"/>
      <c r="C45" s="6"/>
    </row>
    <row r="46" spans="1:4" ht="18" x14ac:dyDescent="0.35">
      <c r="A46" s="9" t="s">
        <v>57</v>
      </c>
      <c r="B46" s="10" t="s">
        <v>1</v>
      </c>
      <c r="C46" s="10" t="s">
        <v>2</v>
      </c>
    </row>
    <row r="47" spans="1:4" s="20" customFormat="1" x14ac:dyDescent="0.3">
      <c r="A47" s="19" t="s">
        <v>3</v>
      </c>
      <c r="B47" s="19" t="s">
        <v>6</v>
      </c>
      <c r="C47" s="19" t="s">
        <v>22</v>
      </c>
      <c r="D47" s="20" t="s">
        <v>75</v>
      </c>
    </row>
    <row r="48" spans="1:4" x14ac:dyDescent="0.3">
      <c r="A48" s="16"/>
      <c r="B48" s="5"/>
      <c r="C48" s="6"/>
    </row>
    <row r="49" spans="1:14" x14ac:dyDescent="0.3">
      <c r="B49" s="6"/>
      <c r="C49" s="6"/>
    </row>
    <row r="50" spans="1:14" ht="18" x14ac:dyDescent="0.35">
      <c r="A50" s="9" t="s">
        <v>64</v>
      </c>
      <c r="B50" s="10" t="s">
        <v>1</v>
      </c>
      <c r="C50" s="10" t="s">
        <v>2</v>
      </c>
    </row>
    <row r="51" spans="1:14" s="20" customFormat="1" x14ac:dyDescent="0.3">
      <c r="A51" s="19" t="s">
        <v>3</v>
      </c>
      <c r="B51" s="19" t="s">
        <v>4</v>
      </c>
      <c r="C51" s="19" t="s">
        <v>34</v>
      </c>
      <c r="D51" s="20" t="s">
        <v>75</v>
      </c>
    </row>
    <row r="52" spans="1:14" s="20" customFormat="1" x14ac:dyDescent="0.3">
      <c r="A52" s="19" t="s">
        <v>3</v>
      </c>
      <c r="B52" s="19" t="s">
        <v>6</v>
      </c>
      <c r="C52" s="19" t="s">
        <v>34</v>
      </c>
      <c r="D52" s="20" t="s">
        <v>75</v>
      </c>
    </row>
    <row r="53" spans="1:14" s="20" customFormat="1" x14ac:dyDescent="0.3">
      <c r="A53" s="19" t="s">
        <v>50</v>
      </c>
      <c r="B53" s="19" t="s">
        <v>26</v>
      </c>
      <c r="C53" s="19" t="s">
        <v>51</v>
      </c>
      <c r="D53" s="20" t="s">
        <v>75</v>
      </c>
    </row>
    <row r="54" spans="1:14" s="20" customFormat="1" x14ac:dyDescent="0.3">
      <c r="A54" s="19" t="s">
        <v>50</v>
      </c>
      <c r="B54" s="19" t="s">
        <v>52</v>
      </c>
      <c r="C54" s="19" t="s">
        <v>51</v>
      </c>
      <c r="D54" s="20" t="s">
        <v>75</v>
      </c>
    </row>
    <row r="55" spans="1:14" s="20" customFormat="1" x14ac:dyDescent="0.3">
      <c r="A55" s="19" t="s">
        <v>50</v>
      </c>
      <c r="B55" s="19" t="s">
        <v>28</v>
      </c>
      <c r="C55" s="19" t="s">
        <v>51</v>
      </c>
      <c r="D55" s="20" t="s">
        <v>76</v>
      </c>
    </row>
    <row r="56" spans="1:14" s="20" customFormat="1" x14ac:dyDescent="0.3">
      <c r="A56" s="19" t="s">
        <v>50</v>
      </c>
      <c r="B56" s="19" t="s">
        <v>28</v>
      </c>
      <c r="C56" s="19" t="s">
        <v>53</v>
      </c>
      <c r="D56" s="20" t="s">
        <v>76</v>
      </c>
    </row>
    <row r="57" spans="1:14" s="20" customFormat="1" x14ac:dyDescent="0.3">
      <c r="A57" s="19" t="s">
        <v>50</v>
      </c>
      <c r="B57" s="19" t="s">
        <v>28</v>
      </c>
      <c r="C57" s="19" t="s">
        <v>53</v>
      </c>
      <c r="D57" s="20" t="s">
        <v>76</v>
      </c>
    </row>
    <row r="58" spans="1:14" s="20" customFormat="1" x14ac:dyDescent="0.3">
      <c r="A58" s="19" t="s">
        <v>50</v>
      </c>
      <c r="B58" s="19" t="s">
        <v>28</v>
      </c>
      <c r="C58" s="19" t="s">
        <v>53</v>
      </c>
      <c r="D58" s="20" t="s">
        <v>76</v>
      </c>
    </row>
    <row r="61" spans="1:14" x14ac:dyDescent="0.3">
      <c r="A61" s="39" t="s">
        <v>87</v>
      </c>
      <c r="B61" s="39"/>
      <c r="C61" s="39"/>
      <c r="D61" s="39"/>
      <c r="E61" s="39"/>
      <c r="N61" s="28"/>
    </row>
    <row r="62" spans="1:14" x14ac:dyDescent="0.3">
      <c r="A62" s="39"/>
      <c r="B62" s="39"/>
      <c r="C62" s="39"/>
      <c r="D62" s="39"/>
      <c r="E62" s="39"/>
    </row>
    <row r="63" spans="1:14" x14ac:dyDescent="0.3">
      <c r="A63" s="4" t="s">
        <v>83</v>
      </c>
      <c r="B63" s="4" t="s">
        <v>78</v>
      </c>
      <c r="C63" s="4" t="s">
        <v>82</v>
      </c>
      <c r="D63" s="4" t="s">
        <v>79</v>
      </c>
      <c r="E63" s="4" t="s">
        <v>80</v>
      </c>
    </row>
    <row r="64" spans="1:14" x14ac:dyDescent="0.3">
      <c r="A64" s="31">
        <v>45809</v>
      </c>
      <c r="B64" s="30">
        <v>17</v>
      </c>
      <c r="C64" s="33">
        <v>18</v>
      </c>
      <c r="D64" s="30">
        <v>30</v>
      </c>
      <c r="E64" s="32">
        <f>B64*C64*D64</f>
        <v>9180</v>
      </c>
    </row>
    <row r="65" spans="1:5" x14ac:dyDescent="0.3">
      <c r="A65" s="30" t="s">
        <v>81</v>
      </c>
      <c r="B65" s="30">
        <v>17</v>
      </c>
      <c r="C65" s="32">
        <v>19.149999999999999</v>
      </c>
      <c r="D65" s="30">
        <v>92</v>
      </c>
      <c r="E65" s="32">
        <f>C65*B65*D65</f>
        <v>29950.599999999995</v>
      </c>
    </row>
    <row r="66" spans="1:5" x14ac:dyDescent="0.3">
      <c r="A66" s="31">
        <v>45931</v>
      </c>
      <c r="B66" s="30">
        <v>15</v>
      </c>
      <c r="C66" s="30"/>
      <c r="D66" s="30"/>
      <c r="E66" s="30"/>
    </row>
    <row r="67" spans="1:5" x14ac:dyDescent="0.3">
      <c r="A67" s="30" t="s">
        <v>85</v>
      </c>
      <c r="B67" s="30">
        <v>32</v>
      </c>
      <c r="C67" s="34">
        <v>19.149999999999999</v>
      </c>
      <c r="D67" s="30">
        <v>17</v>
      </c>
      <c r="E67" s="32">
        <f>B69*C67*D67</f>
        <v>10417.599999999999</v>
      </c>
    </row>
    <row r="68" spans="1:5" x14ac:dyDescent="0.3">
      <c r="A68" s="6"/>
      <c r="B68" s="6"/>
      <c r="C68" s="35"/>
      <c r="D68" s="6"/>
      <c r="E68" s="36"/>
    </row>
    <row r="69" spans="1:5" x14ac:dyDescent="0.3">
      <c r="A69" s="4" t="s">
        <v>84</v>
      </c>
      <c r="B69" s="4">
        <f>15+17</f>
        <v>32</v>
      </c>
      <c r="C69" s="6"/>
      <c r="D69" s="6"/>
      <c r="E69" s="38">
        <f>E64+E65+E67</f>
        <v>49548.19999999999</v>
      </c>
    </row>
    <row r="70" spans="1:5" x14ac:dyDescent="0.3">
      <c r="A70" s="37"/>
      <c r="E70" s="23"/>
    </row>
    <row r="80" spans="1:5" x14ac:dyDescent="0.3">
      <c r="A80" s="28"/>
    </row>
    <row r="81" spans="1:1" x14ac:dyDescent="0.3">
      <c r="A81" s="28"/>
    </row>
  </sheetData>
  <mergeCells count="1">
    <mergeCell ref="A61:E6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FOLGUISTAS</vt:lpstr>
      <vt:lpstr>BOA</vt:lpstr>
      <vt:lpstr>REDUÇÕES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Rocha</dc:creator>
  <cp:lastModifiedBy>Pamela Rocha</cp:lastModifiedBy>
  <dcterms:created xsi:type="dcterms:W3CDTF">2024-12-23T14:05:09Z</dcterms:created>
  <dcterms:modified xsi:type="dcterms:W3CDTF">2025-10-17T18:37:59Z</dcterms:modified>
</cp:coreProperties>
</file>