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B15A34DF-3510-467D-ABAD-80B3173FAAB8}" xr6:coauthVersionLast="47" xr6:coauthVersionMax="47" xr10:uidLastSave="{00000000-0000-0000-0000-000000000000}"/>
  <bookViews>
    <workbookView xWindow="-108" yWindow="-108" windowWidth="23256" windowHeight="12456" firstSheet="7" activeTab="9" xr2:uid="{64EF3A16-EEEE-4C44-AC8F-3D4BF1A9111A}"/>
  </bookViews>
  <sheets>
    <sheet name="HSERV CABREUVA SERVICOS DE APOI" sheetId="3" r:id="rId1"/>
    <sheet name="H SERV CLEAN COMERCIO DE PRODUT" sheetId="1" r:id="rId2"/>
    <sheet name="HSERV SERVICOS COMBINADOS DE FA" sheetId="4" r:id="rId3"/>
    <sheet name="HSERV LTDA" sheetId="8" r:id="rId4"/>
    <sheet name="HENRIQUE JEAN DUARTE LTDA" sheetId="9" r:id="rId5"/>
    <sheet name="HSERV TECNOLOGIA E SERVICOS SOC" sheetId="7" r:id="rId6"/>
    <sheet name="HSERV SERVICOS TERCEIRIZADOS SO" sheetId="6" r:id="rId7"/>
    <sheet name="HSERV SERVICOS DE LIMPEZA E SEG" sheetId="5" r:id="rId8"/>
    <sheet name="HSERV CABREUVA REPRESENTACOES C" sheetId="2" r:id="rId9"/>
    <sheet name="RESUMO" sheetId="11" r:id="rId10"/>
    <sheet name="Planilha3" sheetId="12" r:id="rId11"/>
    <sheet name="Planilha1" sheetId="10" r:id="rId12"/>
  </sheets>
  <definedNames>
    <definedName name="_xlnm._FilterDatabase" localSheetId="3" hidden="1">'HSERV LTDA'!$A$1:$F$69</definedName>
    <definedName name="_xlnm._FilterDatabase" localSheetId="9" hidden="1">RESUMO!$A$1:$D$38</definedName>
  </definedNames>
  <calcPr calcId="191029"/>
  <pivotCaches>
    <pivotCache cacheId="15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" i="2" l="1"/>
  <c r="B40" i="5"/>
  <c r="B41" i="6"/>
  <c r="B29" i="7"/>
  <c r="G20" i="5"/>
  <c r="G19" i="5"/>
  <c r="G17" i="5"/>
  <c r="G16" i="7"/>
  <c r="G15" i="7"/>
  <c r="B41" i="9"/>
  <c r="D44" i="4"/>
  <c r="B54" i="4" s="1"/>
  <c r="B112" i="8"/>
  <c r="D100" i="8"/>
  <c r="G87" i="8"/>
  <c r="G29" i="1"/>
  <c r="G27" i="1"/>
  <c r="G23" i="2"/>
  <c r="G20" i="2"/>
  <c r="G22" i="2"/>
  <c r="G29" i="4"/>
  <c r="G28" i="4"/>
  <c r="G27" i="4"/>
  <c r="G22" i="9"/>
  <c r="G21" i="9"/>
  <c r="G20" i="9"/>
  <c r="G86" i="8"/>
  <c r="G85" i="8"/>
  <c r="G26" i="1"/>
  <c r="B41" i="3"/>
  <c r="D34" i="2"/>
  <c r="B40" i="2"/>
  <c r="B37" i="5"/>
  <c r="B37" i="6"/>
  <c r="D30" i="5"/>
  <c r="D30" i="6"/>
  <c r="G16" i="6"/>
  <c r="D26" i="7"/>
  <c r="D30" i="9"/>
  <c r="E12" i="9"/>
  <c r="G12" i="9" s="1"/>
  <c r="D42" i="1"/>
  <c r="G28" i="3" l="1"/>
  <c r="G26" i="3"/>
  <c r="G27" i="3"/>
  <c r="B36" i="3"/>
  <c r="F28" i="1"/>
  <c r="E28" i="1"/>
  <c r="E19" i="9"/>
  <c r="G19" i="9" s="1"/>
  <c r="G28" i="1" l="1"/>
  <c r="G30" i="1" s="1"/>
  <c r="G18" i="5"/>
  <c r="F18" i="5"/>
  <c r="E18" i="5"/>
  <c r="G13" i="7"/>
  <c r="G14" i="7"/>
  <c r="F14" i="7"/>
  <c r="E14" i="7"/>
  <c r="F26" i="4"/>
  <c r="E26" i="4"/>
  <c r="F21" i="2"/>
  <c r="G21" i="2" s="1"/>
  <c r="E21" i="2"/>
  <c r="G26" i="4"/>
  <c r="G25" i="4"/>
  <c r="G25" i="3"/>
  <c r="G24" i="3"/>
  <c r="E18" i="9"/>
  <c r="G18" i="9" s="1"/>
  <c r="E82" i="8"/>
  <c r="G82" i="8" s="1"/>
  <c r="G84" i="8"/>
  <c r="G23" i="3"/>
  <c r="G22" i="3"/>
  <c r="E83" i="8"/>
  <c r="G83" i="8" s="1"/>
  <c r="G23" i="4"/>
  <c r="E23" i="4"/>
  <c r="G21" i="3"/>
  <c r="E20" i="3"/>
  <c r="G20" i="3" s="1"/>
  <c r="B10" i="10"/>
  <c r="B36" i="9" l="1"/>
  <c r="E11" i="9"/>
  <c r="G11" i="9" s="1"/>
  <c r="G13" i="9" s="1"/>
  <c r="B50" i="4"/>
  <c r="E18" i="4"/>
  <c r="G18" i="4" s="1"/>
  <c r="B108" i="8"/>
  <c r="B54" i="1"/>
  <c r="F21" i="1"/>
  <c r="H21" i="1" s="1"/>
  <c r="F20" i="1"/>
  <c r="H20" i="1" s="1"/>
  <c r="F19" i="1"/>
  <c r="H19" i="1" s="1"/>
  <c r="B38" i="3"/>
  <c r="E32" i="3"/>
  <c r="G32" i="3" s="1"/>
  <c r="B32" i="3"/>
  <c r="E15" i="3"/>
  <c r="G15" i="3" s="1"/>
  <c r="G16" i="3" s="1"/>
  <c r="E14" i="3"/>
  <c r="G14" i="3" s="1"/>
  <c r="E13" i="3"/>
  <c r="E16" i="4"/>
  <c r="E15" i="4"/>
  <c r="G15" i="4" s="1"/>
  <c r="G19" i="4" l="1"/>
  <c r="H22" i="1"/>
  <c r="B57" i="1" s="1"/>
  <c r="E10" i="2" l="1"/>
  <c r="E6" i="6"/>
  <c r="D6" i="6"/>
  <c r="E8" i="5"/>
  <c r="E11" i="1"/>
  <c r="E69" i="8"/>
  <c r="D11" i="1" l="1"/>
  <c r="D8" i="5"/>
  <c r="D10" i="2"/>
  <c r="D69" i="8" l="1"/>
  <c r="F76" i="8"/>
  <c r="H76" i="8" s="1"/>
</calcChain>
</file>

<file path=xl/sharedStrings.xml><?xml version="1.0" encoding="utf-8"?>
<sst xmlns="http://schemas.openxmlformats.org/spreadsheetml/2006/main" count="979" uniqueCount="218">
  <si>
    <t>CLIENTE</t>
  </si>
  <si>
    <t>VALOR 2024</t>
  </si>
  <si>
    <t>DESCRIÇAO DOS SERVIÇOS</t>
  </si>
  <si>
    <t>CONTROLE DE ACESSO</t>
  </si>
  <si>
    <t>LIMPEZA</t>
  </si>
  <si>
    <t>PLASTY COMERCIAL DE PLASTICOS LTDA - ISOFORMA</t>
  </si>
  <si>
    <t xml:space="preserve">JARDINAGEM </t>
  </si>
  <si>
    <t>LIMPEZA NOTURNA</t>
  </si>
  <si>
    <t>MONITORAMENTO.</t>
  </si>
  <si>
    <t>SEGURANÇA</t>
  </si>
  <si>
    <t>RONDA</t>
  </si>
  <si>
    <t>LOCAÇÃO</t>
  </si>
  <si>
    <t>TTB INDUSTRIA E COMERCIO DE PRODUTOS METALICOS LTDA</t>
  </si>
  <si>
    <t>JARDINAGEM 1 X NA SEMANA.</t>
  </si>
  <si>
    <t>VETTOR PECAS E TUBOS INDUSTRIA E COMERCIO LTDA.</t>
  </si>
  <si>
    <t>VETTOR TORRES DE RESFRIAMENTO LTDA</t>
  </si>
  <si>
    <t>CONDOMINIO PALAZZO VENEZA</t>
  </si>
  <si>
    <t>FISCAL</t>
  </si>
  <si>
    <t>TECNIPLAS EQUIPAMENTOS EM COMPOSITOS LTDA</t>
  </si>
  <si>
    <t>EDMAR APARECIDO MARTINEZ</t>
  </si>
  <si>
    <t>MIPAL INDUSTRIA DE EVAPORADORES LTDA</t>
  </si>
  <si>
    <t>RONDA NOTURNO</t>
  </si>
  <si>
    <t>CONDOMINIO NEW PARQUE TENIS</t>
  </si>
  <si>
    <t>CONDOMINIO BELL ART</t>
  </si>
  <si>
    <t>CONTROLADE DE ACESSO</t>
  </si>
  <si>
    <t>PREFEITURA MUNICIPAL DE CABREUVA</t>
  </si>
  <si>
    <t>INTERBRILHO HIGIENE E LIMPEZA LTDA</t>
  </si>
  <si>
    <t>DEPOSITO SANTA CATARINA DE CABREUVA LTDA</t>
  </si>
  <si>
    <t>MONITORAMENTO</t>
  </si>
  <si>
    <t>IRMÃOS BOA - CAMPO LIMPO (LOJA 16)</t>
  </si>
  <si>
    <t>IRMÃO BOA - ELOY CHAVES (LOJA17)</t>
  </si>
  <si>
    <t>IRMÃOS BOA - CENTENARIO (LOJA 06)</t>
  </si>
  <si>
    <t>IRMÃOS BOA - SOROCABA (LOJA 12)</t>
  </si>
  <si>
    <t>IRMÃOS BOA - DOM OLIVIO (LOJA 15)</t>
  </si>
  <si>
    <t>IRMÃOS BOA  - VILA RAMI (LOJA 09)</t>
  </si>
  <si>
    <t>IRMÃOS BOA  - CENTRO (LOJA 13)</t>
  </si>
  <si>
    <t>IRMÃOS BOA - ANHANGUERA (LOJA 02)</t>
  </si>
  <si>
    <t>IRMÃOS BOA - HORTOLANDIA (LOJA 01)</t>
  </si>
  <si>
    <t>IRMÃOS BOA - IMIGRANTES (LOJA 03)</t>
  </si>
  <si>
    <t>IRMÃOS BOA - VILA ARENS (LOJA 14)</t>
  </si>
  <si>
    <t>IRMÃOS BOA - DOM OLIVIO (LOJA 15) CD 07</t>
  </si>
  <si>
    <t>IRMÃOS BOA  - FRANCISCO MORATO (LOJA 10)</t>
  </si>
  <si>
    <t>IRMÃOS BOA  - VARZEA PAULISTA (LOJA 08)</t>
  </si>
  <si>
    <t>IRMÃOS BOA - CABREÚVA (LOJA 05)</t>
  </si>
  <si>
    <t>IRMAOS BOA CD ITUPEVA (LOJA 18)</t>
  </si>
  <si>
    <t>IRMÃO BOA - LIBERDADE (LOJA 11)</t>
  </si>
  <si>
    <t>AVENIDA LOJA 10</t>
  </si>
  <si>
    <t>AVENIDA LOJA 11</t>
  </si>
  <si>
    <t>AVENIDA LOJA 25</t>
  </si>
  <si>
    <t>AVENIDA LOJA 26</t>
  </si>
  <si>
    <t>AVENIDA LOJA 29</t>
  </si>
  <si>
    <t>AVENIDA LOJA 31</t>
  </si>
  <si>
    <t>AVENIDA LOJA 32</t>
  </si>
  <si>
    <t>AVENIDA LOJA 07</t>
  </si>
  <si>
    <t>AVENIDA LOJA 09</t>
  </si>
  <si>
    <t>AVENIDA LOJA 18</t>
  </si>
  <si>
    <t>AVENIDA LOJA 30</t>
  </si>
  <si>
    <t>AVENIDA LOJA 41</t>
  </si>
  <si>
    <t>AVENIDA LOJA 08</t>
  </si>
  <si>
    <t>AVENIDA LOJA 12</t>
  </si>
  <si>
    <t>AVENIDA LOJA 21</t>
  </si>
  <si>
    <t>AVENIDA LOJA 33</t>
  </si>
  <si>
    <t>AVENIDA LOJA 38</t>
  </si>
  <si>
    <t>AVENIDA LOJA 37</t>
  </si>
  <si>
    <t>AVENIDA LOJA 39</t>
  </si>
  <si>
    <t>AVENIDA LOJA 40</t>
  </si>
  <si>
    <t>AVENIDA LOJA 02</t>
  </si>
  <si>
    <t>AVENIDA LOJA 03</t>
  </si>
  <si>
    <t>AVENIDA LOJA 04</t>
  </si>
  <si>
    <t>AVENIDA LOJA 13</t>
  </si>
  <si>
    <t>AVENIDA LOJA 20</t>
  </si>
  <si>
    <t>AVENIDA LOJA 23</t>
  </si>
  <si>
    <t>AVENIDA LOJA 28</t>
  </si>
  <si>
    <t>AVENIDALOJA 14</t>
  </si>
  <si>
    <t>AVENIDA LOJA 27</t>
  </si>
  <si>
    <t>AVENIDA LOJA 34</t>
  </si>
  <si>
    <t>AVENIDALOJA 35</t>
  </si>
  <si>
    <t>AVENIDA LOJA 36</t>
  </si>
  <si>
    <t>CNPJ</t>
  </si>
  <si>
    <t>13.423.530/0001-94</t>
  </si>
  <si>
    <t>17.712.528/0001-96</t>
  </si>
  <si>
    <t>09.084.364/0001-71</t>
  </si>
  <si>
    <t>32.488.187/0001-00</t>
  </si>
  <si>
    <t>47.218.628/0001-98</t>
  </si>
  <si>
    <t xml:space="preserve"> 47.209.318/0001-40</t>
  </si>
  <si>
    <t>47.209.799/0001-94</t>
  </si>
  <si>
    <t>22.142.040/0001-00</t>
  </si>
  <si>
    <t>SÓCIO</t>
  </si>
  <si>
    <t>CRISTIANE TRINDADE DOS SANTOS RODRIGUES</t>
  </si>
  <si>
    <t>MARIA JOSE DE OLIVEIRA</t>
  </si>
  <si>
    <t>GUTHIERRE TRINDADE RODRIGUES</t>
  </si>
  <si>
    <t>MARIA MADALENA DUARTE</t>
  </si>
  <si>
    <t>31.631.347/0001-66</t>
  </si>
  <si>
    <t>HENRIQUE JEAN DUARTE</t>
  </si>
  <si>
    <t>BANCO</t>
  </si>
  <si>
    <t xml:space="preserve">VALOR </t>
  </si>
  <si>
    <t>PARCELAS PAGAS</t>
  </si>
  <si>
    <t>VALOR RESIDUAL</t>
  </si>
  <si>
    <t>TOTAL PARCELAS</t>
  </si>
  <si>
    <t>PARCELAS A PAGAR</t>
  </si>
  <si>
    <t>CAIXA</t>
  </si>
  <si>
    <t>SAFRA</t>
  </si>
  <si>
    <t>VALOR DA PARCELA</t>
  </si>
  <si>
    <t>SOFISA</t>
  </si>
  <si>
    <t>SICOOB</t>
  </si>
  <si>
    <t>DÍVIDAS BANCARIAS</t>
  </si>
  <si>
    <t>RICARO IMPORTACAO IND. E COM. DE EMBALAGENS E INSUM.</t>
  </si>
  <si>
    <t>SOFISA EXECUÇÃO</t>
  </si>
  <si>
    <t>SANTANDER</t>
  </si>
  <si>
    <t>BRADESCO - CARTAO</t>
  </si>
  <si>
    <t>COLABORADORES</t>
  </si>
  <si>
    <t>DÍVIDAS TRIBUTARIAS</t>
  </si>
  <si>
    <t>CONTRATO 2025</t>
  </si>
  <si>
    <t>LIQUIDO</t>
  </si>
  <si>
    <t>DATA DE PAGAMENTO</t>
  </si>
  <si>
    <t>ULTIMA QUINTA DO MÊS</t>
  </si>
  <si>
    <t>IRMÃOS BOA -  (LOJA 21)</t>
  </si>
  <si>
    <t>IRMÃOS BOA - PEDREIRA (LOJA 25)</t>
  </si>
  <si>
    <t>IRMÃOS BOA - CECAP  (LOJA 19)</t>
  </si>
  <si>
    <t>IRMÃOS BOA - PAULINIA  (LOJA 23)</t>
  </si>
  <si>
    <t>IRMÃO BOA - VALINHOS (LOJA 22)</t>
  </si>
  <si>
    <t>IRMÃOS BOA - DOM SOROCABA (LOJA 24)</t>
  </si>
  <si>
    <t>SUPERMERCARDO TROIYANO - DRACENA (AVENIDA)</t>
  </si>
  <si>
    <t>SUPERMERCARDO TROIYANO- TUPI (AVENIDA)</t>
  </si>
  <si>
    <t>SUPERMERCARDO TROIYANO- JUNQUEIROPOLIS (AVENIDA)</t>
  </si>
  <si>
    <t>ESCRITORIO ASSIS</t>
  </si>
  <si>
    <t>SANTA CASA DE MISERICORDIA DE CABREUVA</t>
  </si>
  <si>
    <t>VALOR 2025</t>
  </si>
  <si>
    <t>CONTROLADOR DE ACESSO</t>
  </si>
  <si>
    <t>RAI INGREDIENTES INDUSTRIAL S/A</t>
  </si>
  <si>
    <t>OK</t>
  </si>
  <si>
    <t>CARTÃO DE CREDITO</t>
  </si>
  <si>
    <t>BRADESCO</t>
  </si>
  <si>
    <t>ITAUCARD FIORINOS</t>
  </si>
  <si>
    <t>DIVIDAS TRABALHISTAS</t>
  </si>
  <si>
    <t>TOTAL DIVIDAS</t>
  </si>
  <si>
    <t>ok</t>
  </si>
  <si>
    <t>EMPRESA</t>
  </si>
  <si>
    <t>VENCIMENTO</t>
  </si>
  <si>
    <t>VALOR</t>
  </si>
  <si>
    <t>LOCALIZA FLEET S.A.</t>
  </si>
  <si>
    <t>HSERV CABREUVA SERVICOS DE APOIO A EDIFI</t>
  </si>
  <si>
    <t>HSERV LTDA</t>
  </si>
  <si>
    <t>HSERV CLEAN LTDA</t>
  </si>
  <si>
    <t>HENRIQUE JEAN DUARTE LTDA</t>
  </si>
  <si>
    <t xml:space="preserve">HSERV SERVICOS COMBINADOS DE FACILITIES </t>
  </si>
  <si>
    <t>HSERV CABREUVA REPRESENTACOES COMERCIAIS</t>
  </si>
  <si>
    <t>HSERV SERVICOS TERCEIRIZADOS SOCIEDADE U</t>
  </si>
  <si>
    <t>HSERV SERVICOS DE LIMPEZA E SEGURANCA SO</t>
  </si>
  <si>
    <t>HSERV TECNOLOGIA E SERVICOS SOCIEDADE UN</t>
  </si>
  <si>
    <t>AFASTADOS</t>
  </si>
  <si>
    <t>RECEITA</t>
  </si>
  <si>
    <t>DIVIDAS BANCARIAS</t>
  </si>
  <si>
    <t>DIVIDAS TRIBUTARIAS</t>
  </si>
  <si>
    <t>DIVIDAS FINANCEIRAS</t>
  </si>
  <si>
    <t>HSERV CABREUVA</t>
  </si>
  <si>
    <t>HSERV CLEAN</t>
  </si>
  <si>
    <t>HSERV COMBINADOS</t>
  </si>
  <si>
    <t>HENRIQUE JEAN</t>
  </si>
  <si>
    <t>HSERV LIMPEZA</t>
  </si>
  <si>
    <t>HSERV REPRESENTAÇÕES</t>
  </si>
  <si>
    <t>HSERV TERCEIRIZADOS</t>
  </si>
  <si>
    <t>HSERV TECNOLOGIA</t>
  </si>
  <si>
    <t>Soma de VALOR</t>
  </si>
  <si>
    <t>Rótulos de Linha</t>
  </si>
  <si>
    <t>Total Geral</t>
  </si>
  <si>
    <t>TIPO</t>
  </si>
  <si>
    <t>Rótulos de Coluna</t>
  </si>
  <si>
    <t>DIVIDAS FINANCIAMENTO</t>
  </si>
  <si>
    <t>ENTRADA SIMPLES NACIONAL</t>
  </si>
  <si>
    <t>PRESTAÇÃO BASICA</t>
  </si>
  <si>
    <t>MULTA PGDAS</t>
  </si>
  <si>
    <t>INSS 13º</t>
  </si>
  <si>
    <t>PRESTAÇÃO</t>
  </si>
  <si>
    <t>INSS 3º</t>
  </si>
  <si>
    <t>GUIA LUCRO REAL - INSS NOV 24 A JAN25</t>
  </si>
  <si>
    <t>MULTA DCTF</t>
  </si>
  <si>
    <t>GUIA LUCRO REAL - INSS JUN 24 A OUT24</t>
  </si>
  <si>
    <t>IRPJ 2025</t>
  </si>
  <si>
    <t>CSLL 2025</t>
  </si>
  <si>
    <t>FGTS 2024</t>
  </si>
  <si>
    <t>PARCELAMENTO ISS</t>
  </si>
  <si>
    <t>TAXA PREFEITURA</t>
  </si>
  <si>
    <t>PARCELAMENTO PREFEITURA</t>
  </si>
  <si>
    <t>PREFEITURA</t>
  </si>
  <si>
    <t>FGTS - 13° 2024</t>
  </si>
  <si>
    <t xml:space="preserve">R$       2.399,87 </t>
  </si>
  <si>
    <t>DIVIDAS FINANCEIRA</t>
  </si>
  <si>
    <t xml:space="preserve">DESCRIÇÃO </t>
  </si>
  <si>
    <t>CENTRO DE CUSTO</t>
  </si>
  <si>
    <t xml:space="preserve">GNB ADMINISTRACAO DE BENEFICIOS SOCIAIS </t>
  </si>
  <si>
    <t>SINDICATO</t>
  </si>
  <si>
    <t>SINDICATO DOS EMPREGADOS E TRABALHADORES</t>
  </si>
  <si>
    <t xml:space="preserve">ASOMETRA ENGENHARIA DE SEGURANCA E MEDICINA DO TRABALHO </t>
  </si>
  <si>
    <t>EXAMES MEDICOS</t>
  </si>
  <si>
    <t>VITOR DUARTE</t>
  </si>
  <si>
    <t>SIEMACO-PRUDENTE SINDICATO AVENIDA, ASSIS E REGIÃO- REFERENTE MARÇO</t>
  </si>
  <si>
    <t>GNB ADMINISTRACAO DE BENEFICIOS SOCIAIS LTDA</t>
  </si>
  <si>
    <t>LOCALIZA</t>
  </si>
  <si>
    <t>DÍVIDAS FINANCEIRA</t>
  </si>
  <si>
    <t>SINDICATO DOS EMPREGADOS E TRABALHADORES NAS EMPRESAS DE PRE</t>
  </si>
  <si>
    <t>ASOMETRA ENGENHARIA DE SEGURANCA E MEDICINA DO TRABALHO LTDA</t>
  </si>
  <si>
    <t>OBS</t>
  </si>
  <si>
    <t>DEPARTAMENTO</t>
  </si>
  <si>
    <t xml:space="preserve">SINDICATO DOS EMPREGADOS E TRABALHADORES NAS EMPRESAS </t>
  </si>
  <si>
    <t>DATA</t>
  </si>
  <si>
    <t>DESCRIÇÃO</t>
  </si>
  <si>
    <t xml:space="preserve">CATEGORIA </t>
  </si>
  <si>
    <t>ASOMETRA ENGENHARIA DE SEGURANCA E MEDICINA DO TRABALHO</t>
  </si>
  <si>
    <t>SINDICATO DOS EMPREGADOS E TRABALHADORES NAS EMPRESAS</t>
  </si>
  <si>
    <t>MOVIDA</t>
  </si>
  <si>
    <t>HSERV REPRESENTACOES</t>
  </si>
  <si>
    <t>FGTS CONFISSAO</t>
  </si>
  <si>
    <t>FGTS 13º</t>
  </si>
  <si>
    <t>CONFISSAO FGTS</t>
  </si>
  <si>
    <t xml:space="preserve">R$    80.502,39 </t>
  </si>
  <si>
    <t>DÍVIDAS COM FINANCIAMENTO</t>
  </si>
  <si>
    <t xml:space="preserve">R$       1.352,60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</si>
</sst>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[$R$ ]\ #,##0.00;\-[$R$ ]#,##0.00"/>
  </numFmts>
  <fonts count="3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1111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333333"/>
      <name val="Calibri Light"/>
      <family val="2"/>
      <scheme val="major"/>
    </font>
    <font>
      <sz val="11"/>
      <color indexed="8"/>
      <name val="Calibri"/>
      <family val="2"/>
      <scheme val="minor"/>
    </font>
    <font>
      <sz val="7"/>
      <color rgb="FF5A5A5A"/>
      <name val="Verdana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111111"/>
      <name val="Calibri"/>
      <family val="2"/>
    </font>
    <font>
      <b/>
      <sz val="10"/>
      <color rgb="FF111111"/>
      <name val="Calibri Light"/>
      <family val="2"/>
    </font>
    <font>
      <b/>
      <sz val="10"/>
      <name val="Calibri Light"/>
      <family val="2"/>
    </font>
    <font>
      <sz val="10"/>
      <color rgb="FF11111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rgb="FF111111"/>
      <name val="Calibri Light"/>
      <family val="2"/>
    </font>
    <font>
      <sz val="11"/>
      <color rgb="FF111111"/>
      <name val="Calibri Light"/>
      <family val="2"/>
      <scheme val="major"/>
    </font>
    <font>
      <sz val="11"/>
      <color rgb="FF111111"/>
      <name val="Calibri Light"/>
      <family val="2"/>
    </font>
    <font>
      <b/>
      <sz val="11"/>
      <color rgb="FFED0000"/>
      <name val="Calibri"/>
      <family val="2"/>
      <scheme val="minor"/>
    </font>
    <font>
      <sz val="10"/>
      <name val="Calibri Light"/>
      <family val="2"/>
      <scheme val="major"/>
    </font>
    <font>
      <sz val="10"/>
      <color rgb="FFFF0000"/>
      <name val="Calibri Light"/>
      <family val="2"/>
    </font>
    <font>
      <sz val="10"/>
      <name val="Calibri Light"/>
      <family val="2"/>
    </font>
    <font>
      <sz val="10"/>
      <color rgb="FF333333"/>
      <name val="Calibri"/>
      <family val="2"/>
      <scheme val="minor"/>
    </font>
    <font>
      <sz val="10"/>
      <color theme="1"/>
      <name val="Calibri Light"/>
      <family val="2"/>
    </font>
    <font>
      <sz val="11"/>
      <color theme="1"/>
      <name val="Calibri"/>
      <family val="2"/>
    </font>
    <font>
      <sz val="11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E9E9E9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rgb="FF00006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4" tint="0.59999389629810485"/>
      </patternFill>
    </fill>
  </fills>
  <borders count="2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/>
  </cellStyleXfs>
  <cellXfs count="18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44" fontId="5" fillId="0" borderId="2" xfId="0" applyNumberFormat="1" applyFont="1" applyBorder="1" applyAlignment="1">
      <alignment horizontal="left" vertical="center"/>
    </xf>
    <xf numFmtId="0" fontId="4" fillId="0" borderId="0" xfId="0" applyFont="1"/>
    <xf numFmtId="4" fontId="6" fillId="0" borderId="0" xfId="0" applyNumberFormat="1" applyFont="1"/>
    <xf numFmtId="44" fontId="4" fillId="0" borderId="0" xfId="0" applyNumberFormat="1" applyFont="1"/>
    <xf numFmtId="0" fontId="7" fillId="0" borderId="0" xfId="0" applyFont="1"/>
    <xf numFmtId="44" fontId="0" fillId="0" borderId="0" xfId="0" applyNumberFormat="1"/>
    <xf numFmtId="0" fontId="6" fillId="0" borderId="0" xfId="0" applyFont="1"/>
    <xf numFmtId="44" fontId="5" fillId="0" borderId="2" xfId="0" applyNumberFormat="1" applyFont="1" applyBorder="1" applyAlignment="1">
      <alignment horizontal="left"/>
    </xf>
    <xf numFmtId="44" fontId="0" fillId="0" borderId="2" xfId="0" applyNumberFormat="1" applyBorder="1"/>
    <xf numFmtId="44" fontId="5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 applyAlignment="1">
      <alignment vertical="center"/>
    </xf>
    <xf numFmtId="0" fontId="2" fillId="0" borderId="0" xfId="0" applyFont="1"/>
    <xf numFmtId="0" fontId="2" fillId="0" borderId="2" xfId="0" applyFont="1" applyBorder="1"/>
    <xf numFmtId="0" fontId="0" fillId="0" borderId="5" xfId="0" applyBorder="1"/>
    <xf numFmtId="44" fontId="2" fillId="0" borderId="0" xfId="0" applyNumberFormat="1" applyFont="1"/>
    <xf numFmtId="0" fontId="2" fillId="0" borderId="6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44" fontId="0" fillId="3" borderId="2" xfId="0" applyNumberFormat="1" applyFill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16" fontId="0" fillId="0" borderId="0" xfId="0" applyNumberFormat="1"/>
    <xf numFmtId="44" fontId="1" fillId="0" borderId="2" xfId="0" applyNumberFormat="1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165" fontId="8" fillId="4" borderId="2" xfId="0" applyNumberFormat="1" applyFont="1" applyFill="1" applyBorder="1" applyAlignment="1">
      <alignment horizontal="right" vertical="center" wrapText="1"/>
    </xf>
    <xf numFmtId="0" fontId="5" fillId="0" borderId="8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5" fontId="2" fillId="0" borderId="0" xfId="0" applyNumberFormat="1" applyFont="1"/>
    <xf numFmtId="0" fontId="3" fillId="2" borderId="2" xfId="0" applyFont="1" applyFill="1" applyBorder="1" applyAlignment="1">
      <alignment horizontal="left" vertical="center"/>
    </xf>
    <xf numFmtId="165" fontId="8" fillId="4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44" fontId="0" fillId="3" borderId="2" xfId="0" applyNumberFormat="1" applyFill="1" applyBorder="1" applyAlignment="1">
      <alignment horizontal="center" vertical="center"/>
    </xf>
    <xf numFmtId="44" fontId="0" fillId="3" borderId="0" xfId="0" applyNumberFormat="1" applyFill="1" applyAlignment="1">
      <alignment horizontal="center"/>
    </xf>
    <xf numFmtId="4" fontId="0" fillId="0" borderId="2" xfId="0" applyNumberFormat="1" applyBorder="1"/>
    <xf numFmtId="0" fontId="2" fillId="0" borderId="9" xfId="0" applyFont="1" applyBorder="1"/>
    <xf numFmtId="0" fontId="2" fillId="0" borderId="10" xfId="0" applyFont="1" applyBorder="1"/>
    <xf numFmtId="0" fontId="12" fillId="3" borderId="11" xfId="0" applyFont="1" applyFill="1" applyBorder="1"/>
    <xf numFmtId="0" fontId="12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/>
    </xf>
    <xf numFmtId="44" fontId="12" fillId="3" borderId="2" xfId="0" applyNumberFormat="1" applyFont="1" applyFill="1" applyBorder="1"/>
    <xf numFmtId="44" fontId="12" fillId="0" borderId="12" xfId="0" applyNumberFormat="1" applyFont="1" applyBorder="1"/>
    <xf numFmtId="44" fontId="12" fillId="3" borderId="0" xfId="0" applyNumberFormat="1" applyFont="1" applyFill="1"/>
    <xf numFmtId="0" fontId="12" fillId="3" borderId="0" xfId="0" applyFont="1" applyFill="1"/>
    <xf numFmtId="0" fontId="0" fillId="3" borderId="11" xfId="0" applyFill="1" applyBorder="1"/>
    <xf numFmtId="44" fontId="0" fillId="3" borderId="2" xfId="0" applyNumberFormat="1" applyFill="1" applyBorder="1"/>
    <xf numFmtId="44" fontId="0" fillId="3" borderId="13" xfId="0" applyNumberFormat="1" applyFill="1" applyBorder="1"/>
    <xf numFmtId="0" fontId="0" fillId="3" borderId="0" xfId="0" applyFill="1"/>
    <xf numFmtId="0" fontId="0" fillId="3" borderId="14" xfId="0" applyFill="1" applyBorder="1"/>
    <xf numFmtId="44" fontId="0" fillId="3" borderId="15" xfId="0" applyNumberFormat="1" applyFill="1" applyBorder="1"/>
    <xf numFmtId="0" fontId="0" fillId="3" borderId="15" xfId="0" applyFill="1" applyBorder="1" applyAlignment="1">
      <alignment horizontal="center"/>
    </xf>
    <xf numFmtId="44" fontId="0" fillId="3" borderId="16" xfId="0" applyNumberFormat="1" applyFill="1" applyBorder="1"/>
    <xf numFmtId="44" fontId="2" fillId="0" borderId="2" xfId="0" applyNumberFormat="1" applyFont="1" applyBorder="1"/>
    <xf numFmtId="14" fontId="14" fillId="3" borderId="2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49" fontId="15" fillId="0" borderId="2" xfId="0" applyNumberFormat="1" applyFont="1" applyBorder="1" applyAlignment="1">
      <alignment vertical="top" wrapText="1"/>
    </xf>
    <xf numFmtId="49" fontId="15" fillId="7" borderId="2" xfId="0" applyNumberFormat="1" applyFont="1" applyFill="1" applyBorder="1" applyAlignment="1">
      <alignment vertical="top"/>
    </xf>
    <xf numFmtId="0" fontId="12" fillId="0" borderId="0" xfId="0" applyFont="1"/>
    <xf numFmtId="44" fontId="8" fillId="4" borderId="2" xfId="0" applyNumberFormat="1" applyFont="1" applyFill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49" fontId="9" fillId="0" borderId="0" xfId="0" applyNumberFormat="1" applyFont="1"/>
    <xf numFmtId="0" fontId="2" fillId="0" borderId="9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 applyAlignment="1">
      <alignment horizontal="left"/>
    </xf>
    <xf numFmtId="4" fontId="16" fillId="8" borderId="18" xfId="0" applyNumberFormat="1" applyFont="1" applyFill="1" applyBorder="1" applyAlignment="1">
      <alignment horizontal="right" vertical="center" wrapText="1"/>
    </xf>
    <xf numFmtId="44" fontId="0" fillId="0" borderId="0" xfId="0" applyNumberFormat="1" applyAlignment="1">
      <alignment horizontal="center"/>
    </xf>
    <xf numFmtId="44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8" fillId="5" borderId="2" xfId="0" applyNumberFormat="1" applyFont="1" applyFill="1" applyBorder="1" applyAlignment="1">
      <alignment horizontal="right" vertical="center" wrapText="1"/>
    </xf>
    <xf numFmtId="44" fontId="18" fillId="8" borderId="2" xfId="0" applyNumberFormat="1" applyFont="1" applyFill="1" applyBorder="1" applyAlignment="1">
      <alignment horizontal="right" vertical="center" wrapText="1"/>
    </xf>
    <xf numFmtId="4" fontId="17" fillId="0" borderId="2" xfId="0" applyNumberFormat="1" applyFont="1" applyBorder="1"/>
    <xf numFmtId="44" fontId="17" fillId="0" borderId="2" xfId="0" applyNumberFormat="1" applyFont="1" applyBorder="1"/>
    <xf numFmtId="44" fontId="18" fillId="8" borderId="2" xfId="0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11" fillId="6" borderId="8" xfId="0" applyFont="1" applyFill="1" applyBorder="1" applyAlignment="1">
      <alignment horizontal="center"/>
    </xf>
    <xf numFmtId="0" fontId="11" fillId="6" borderId="1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44" fontId="0" fillId="0" borderId="2" xfId="0" applyNumberFormat="1" applyBorder="1" applyAlignment="1">
      <alignment horizontal="right"/>
    </xf>
    <xf numFmtId="0" fontId="19" fillId="8" borderId="2" xfId="0" applyFont="1" applyFill="1" applyBorder="1" applyAlignment="1">
      <alignment vertical="center" wrapText="1"/>
    </xf>
    <xf numFmtId="0" fontId="18" fillId="8" borderId="2" xfId="0" applyFont="1" applyFill="1" applyBorder="1" applyAlignment="1">
      <alignment horizontal="right" vertical="center" wrapText="1"/>
    </xf>
    <xf numFmtId="0" fontId="11" fillId="6" borderId="19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14" fontId="20" fillId="4" borderId="2" xfId="0" applyNumberFormat="1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left" wrapText="1"/>
    </xf>
    <xf numFmtId="44" fontId="21" fillId="4" borderId="2" xfId="0" applyNumberFormat="1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14" fontId="22" fillId="4" borderId="2" xfId="0" applyNumberFormat="1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left" wrapText="1"/>
    </xf>
    <xf numFmtId="0" fontId="24" fillId="4" borderId="2" xfId="0" applyFont="1" applyFill="1" applyBorder="1" applyAlignment="1">
      <alignment horizontal="center" vertical="center" wrapText="1"/>
    </xf>
    <xf numFmtId="14" fontId="25" fillId="4" borderId="2" xfId="0" applyNumberFormat="1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left" wrapText="1"/>
    </xf>
    <xf numFmtId="0" fontId="26" fillId="4" borderId="2" xfId="0" applyFont="1" applyFill="1" applyBorder="1" applyAlignment="1">
      <alignment horizontal="center" vertical="center" wrapText="1"/>
    </xf>
    <xf numFmtId="14" fontId="22" fillId="9" borderId="2" xfId="0" applyNumberFormat="1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44" fontId="27" fillId="0" borderId="2" xfId="0" applyNumberFormat="1" applyFont="1" applyBorder="1"/>
    <xf numFmtId="14" fontId="28" fillId="3" borderId="2" xfId="0" applyNumberFormat="1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8" fillId="10" borderId="2" xfId="0" applyFont="1" applyFill="1" applyBorder="1"/>
    <xf numFmtId="44" fontId="23" fillId="10" borderId="2" xfId="0" applyNumberFormat="1" applyFont="1" applyFill="1" applyBorder="1" applyAlignment="1">
      <alignment vertical="center"/>
    </xf>
    <xf numFmtId="14" fontId="24" fillId="4" borderId="2" xfId="0" applyNumberFormat="1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left" wrapText="1"/>
    </xf>
    <xf numFmtId="44" fontId="29" fillId="4" borderId="2" xfId="0" applyNumberFormat="1" applyFont="1" applyFill="1" applyBorder="1" applyAlignment="1">
      <alignment horizontal="right" vertical="center" wrapText="1"/>
    </xf>
    <xf numFmtId="0" fontId="22" fillId="4" borderId="2" xfId="0" applyFont="1" applyFill="1" applyBorder="1" applyAlignment="1">
      <alignment horizontal="center" vertical="center"/>
    </xf>
    <xf numFmtId="14" fontId="24" fillId="9" borderId="2" xfId="0" applyNumberFormat="1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left" wrapText="1"/>
    </xf>
    <xf numFmtId="44" fontId="29" fillId="9" borderId="2" xfId="0" applyNumberFormat="1" applyFont="1" applyFill="1" applyBorder="1" applyAlignment="1">
      <alignment horizontal="right" vertical="center" wrapText="1"/>
    </xf>
    <xf numFmtId="44" fontId="30" fillId="4" borderId="2" xfId="0" applyNumberFormat="1" applyFont="1" applyFill="1" applyBorder="1" applyAlignment="1">
      <alignment horizontal="right" vertical="center" wrapText="1"/>
    </xf>
    <xf numFmtId="44" fontId="28" fillId="4" borderId="2" xfId="0" applyNumberFormat="1" applyFont="1" applyFill="1" applyBorder="1" applyAlignment="1">
      <alignment horizontal="right" vertical="center" wrapText="1"/>
    </xf>
    <xf numFmtId="44" fontId="30" fillId="9" borderId="2" xfId="0" applyNumberFormat="1" applyFont="1" applyFill="1" applyBorder="1" applyAlignment="1">
      <alignment horizontal="right" vertical="center" wrapText="1"/>
    </xf>
    <xf numFmtId="44" fontId="12" fillId="0" borderId="0" xfId="0" applyNumberFormat="1" applyFont="1"/>
    <xf numFmtId="4" fontId="14" fillId="3" borderId="8" xfId="0" applyNumberFormat="1" applyFont="1" applyFill="1" applyBorder="1" applyAlignment="1">
      <alignment horizontal="left" vertical="center" wrapText="1"/>
    </xf>
    <xf numFmtId="44" fontId="12" fillId="0" borderId="2" xfId="0" applyNumberFormat="1" applyFont="1" applyBorder="1"/>
    <xf numFmtId="44" fontId="2" fillId="0" borderId="0" xfId="0" applyNumberFormat="1" applyFont="1" applyAlignment="1">
      <alignment horizontal="center"/>
    </xf>
    <xf numFmtId="0" fontId="24" fillId="4" borderId="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9" fillId="3" borderId="2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0" fillId="0" borderId="2" xfId="0" applyFont="1" applyBorder="1"/>
    <xf numFmtId="14" fontId="8" fillId="4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14" fontId="8" fillId="9" borderId="2" xfId="0" applyNumberFormat="1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14" fontId="31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/>
    <xf numFmtId="4" fontId="31" fillId="3" borderId="2" xfId="0" applyNumberFormat="1" applyFont="1" applyFill="1" applyBorder="1" applyAlignment="1">
      <alignment horizontal="right" vertical="center" wrapText="1"/>
    </xf>
    <xf numFmtId="0" fontId="4" fillId="0" borderId="2" xfId="0" applyFont="1" applyBorder="1"/>
    <xf numFmtId="0" fontId="11" fillId="6" borderId="22" xfId="0" applyFont="1" applyFill="1" applyBorder="1" applyAlignment="1">
      <alignment horizontal="center"/>
    </xf>
    <xf numFmtId="0" fontId="11" fillId="6" borderId="0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24" fillId="4" borderId="2" xfId="0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/>
    </xf>
    <xf numFmtId="44" fontId="32" fillId="0" borderId="2" xfId="0" applyNumberFormat="1" applyFont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6" borderId="2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left" vertical="center" wrapText="1"/>
    </xf>
    <xf numFmtId="14" fontId="0" fillId="0" borderId="2" xfId="0" applyNumberFormat="1" applyBorder="1" applyAlignment="1">
      <alignment horizontal="center"/>
    </xf>
    <xf numFmtId="44" fontId="13" fillId="0" borderId="2" xfId="0" applyNumberFormat="1" applyFont="1" applyBorder="1"/>
    <xf numFmtId="0" fontId="32" fillId="0" borderId="2" xfId="0" applyFont="1" applyBorder="1" applyAlignment="1">
      <alignment horizontal="center" vertical="center"/>
    </xf>
    <xf numFmtId="14" fontId="24" fillId="4" borderId="2" xfId="0" applyNumberFormat="1" applyFont="1" applyFill="1" applyBorder="1" applyAlignment="1">
      <alignment horizontal="right" vertical="center" wrapText="1"/>
    </xf>
    <xf numFmtId="14" fontId="24" fillId="9" borderId="2" xfId="0" applyNumberFormat="1" applyFont="1" applyFill="1" applyBorder="1" applyAlignment="1">
      <alignment horizontal="right" vertical="center" wrapText="1"/>
    </xf>
    <xf numFmtId="44" fontId="0" fillId="0" borderId="2" xfId="0" applyNumberFormat="1" applyBorder="1" applyAlignment="1">
      <alignment vertical="center"/>
    </xf>
    <xf numFmtId="44" fontId="11" fillId="6" borderId="20" xfId="0" applyNumberFormat="1" applyFont="1" applyFill="1" applyBorder="1" applyAlignment="1">
      <alignment horizontal="center"/>
    </xf>
    <xf numFmtId="0" fontId="0" fillId="0" borderId="2" xfId="0" applyFill="1" applyBorder="1"/>
    <xf numFmtId="44" fontId="0" fillId="0" borderId="2" xfId="0" applyNumberFormat="1" applyFont="1" applyBorder="1"/>
    <xf numFmtId="0" fontId="0" fillId="0" borderId="2" xfId="0" applyFont="1" applyFill="1" applyBorder="1"/>
    <xf numFmtId="44" fontId="9" fillId="0" borderId="2" xfId="0" applyNumberFormat="1" applyFont="1" applyBorder="1"/>
    <xf numFmtId="44" fontId="0" fillId="0" borderId="2" xfId="0" applyNumberFormat="1" applyFont="1" applyBorder="1" applyAlignment="1">
      <alignment horizontal="center"/>
    </xf>
    <xf numFmtId="0" fontId="17" fillId="0" borderId="2" xfId="0" applyFont="1" applyBorder="1"/>
    <xf numFmtId="44" fontId="17" fillId="0" borderId="2" xfId="0" applyNumberFormat="1" applyFont="1" applyBorder="1" applyAlignment="1">
      <alignment horizontal="center"/>
    </xf>
    <xf numFmtId="44" fontId="33" fillId="0" borderId="2" xfId="0" applyNumberFormat="1" applyFont="1" applyBorder="1" applyAlignment="1">
      <alignment horizontal="right" vertical="center"/>
    </xf>
    <xf numFmtId="44" fontId="34" fillId="4" borderId="2" xfId="0" applyNumberFormat="1" applyFont="1" applyFill="1" applyBorder="1" applyAlignment="1">
      <alignment horizontal="right" vertical="center" wrapText="1"/>
    </xf>
    <xf numFmtId="44" fontId="28" fillId="9" borderId="2" xfId="0" applyNumberFormat="1" applyFont="1" applyFill="1" applyBorder="1" applyAlignment="1">
      <alignment horizontal="right" vertical="center" wrapText="1"/>
    </xf>
    <xf numFmtId="0" fontId="0" fillId="0" borderId="2" xfId="0" applyBorder="1" applyAlignment="1"/>
    <xf numFmtId="4" fontId="17" fillId="0" borderId="2" xfId="0" applyNumberFormat="1" applyFont="1" applyBorder="1" applyAlignment="1"/>
    <xf numFmtId="44" fontId="0" fillId="0" borderId="2" xfId="0" applyNumberFormat="1" applyBorder="1" applyAlignment="1"/>
    <xf numFmtId="0" fontId="0" fillId="0" borderId="2" xfId="0" applyFill="1" applyBorder="1" applyAlignment="1"/>
    <xf numFmtId="0" fontId="18" fillId="8" borderId="2" xfId="0" applyFont="1" applyFill="1" applyBorder="1" applyAlignment="1">
      <alignment vertical="center" wrapText="1"/>
    </xf>
    <xf numFmtId="44" fontId="1" fillId="0" borderId="2" xfId="0" applyNumberFormat="1" applyFont="1" applyBorder="1"/>
    <xf numFmtId="0" fontId="4" fillId="0" borderId="2" xfId="0" applyFont="1" applyBorder="1" applyAlignment="1">
      <alignment horizontal="center"/>
    </xf>
    <xf numFmtId="44" fontId="4" fillId="0" borderId="2" xfId="0" applyNumberFormat="1" applyFont="1" applyBorder="1" applyAlignment="1">
      <alignment horizontal="center"/>
    </xf>
    <xf numFmtId="0" fontId="8" fillId="4" borderId="2" xfId="0" applyFont="1" applyFill="1" applyBorder="1" applyAlignment="1">
      <alignment horizontal="left" wrapText="1"/>
    </xf>
    <xf numFmtId="44" fontId="5" fillId="4" borderId="2" xfId="0" applyNumberFormat="1" applyFont="1" applyFill="1" applyBorder="1" applyAlignment="1">
      <alignment horizontal="right" vertical="center" wrapText="1"/>
    </xf>
    <xf numFmtId="44" fontId="5" fillId="9" borderId="2" xfId="0" applyNumberFormat="1" applyFont="1" applyFill="1" applyBorder="1" applyAlignment="1">
      <alignment horizontal="right" vertical="center" wrapText="1"/>
    </xf>
    <xf numFmtId="0" fontId="8" fillId="9" borderId="2" xfId="0" applyFont="1" applyFill="1" applyBorder="1" applyAlignment="1">
      <alignment horizontal="left" wrapText="1"/>
    </xf>
  </cellXfs>
  <cellStyles count="2">
    <cellStyle name="Normal" xfId="0" builtinId="0"/>
    <cellStyle name="Normal 6" xfId="1" xr:uid="{28E8CBD6-0FE2-47C0-8D83-F877BF63D27F}"/>
  </cellStyles>
  <dxfs count="2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mela Rocha" refreshedDate="45916.587501388887" createdVersion="8" refreshedVersion="8" minRefreshableVersion="3" recordCount="40" xr:uid="{22CD75A6-11E4-4BE1-BE28-66478E627A3A}">
  <cacheSource type="worksheet">
    <worksheetSource ref="A1:D41" sheet="RESUMO"/>
  </cacheSource>
  <cacheFields count="4">
    <cacheField name="CNPJ" numFmtId="0">
      <sharedItems/>
    </cacheField>
    <cacheField name="EMPRESA" numFmtId="0">
      <sharedItems count="9">
        <s v="HSERV CABREUVA"/>
        <s v="HSERV CLEAN"/>
        <s v="HSERV LTDA"/>
        <s v="HSERV COMBINADOS"/>
        <s v="HENRIQUE JEAN"/>
        <s v="HSERV TECNOLOGIA"/>
        <s v="HSERV TERCEIRIZADOS"/>
        <s v="HSERV LIMPEZA"/>
        <s v="HSERV REPRESENTAÇÕES"/>
      </sharedItems>
    </cacheField>
    <cacheField name="TIPO" numFmtId="0">
      <sharedItems count="6">
        <s v="RECEITA"/>
        <s v="DIVIDAS BANCARIAS"/>
        <s v="DIVIDAS TRIBUTARIAS"/>
        <s v="DIVIDAS FINANCIAMENTO"/>
        <s v="DIVIDAS TRABALHISTAS"/>
        <s v="DIVIDAS FINANCEIRAS"/>
      </sharedItems>
    </cacheField>
    <cacheField name="VALOR" numFmtId="44">
      <sharedItems containsSemiMixedTypes="0" containsString="0" containsNumber="1" minValue="937.37" maxValue="2101399.53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09.084.364/0001-71"/>
    <x v="0"/>
    <x v="0"/>
    <n v="5691.74"/>
  </r>
  <r>
    <s v="09.084.364/0001-71"/>
    <x v="0"/>
    <x v="1"/>
    <n v="604250.92000000004"/>
  </r>
  <r>
    <s v="09.084.364/0001-71"/>
    <x v="0"/>
    <x v="2"/>
    <n v="198726.76"/>
  </r>
  <r>
    <s v="09.084.364/0001-71"/>
    <x v="0"/>
    <x v="3"/>
    <n v="45719.76"/>
  </r>
  <r>
    <s v="09.084.364/0001-71"/>
    <x v="0"/>
    <x v="4"/>
    <n v="2101399.5300000003"/>
  </r>
  <r>
    <s v="13.423.530/0001-94"/>
    <x v="1"/>
    <x v="0"/>
    <n v="100278.58999999998"/>
  </r>
  <r>
    <s v="13.423.530/0001-94"/>
    <x v="1"/>
    <x v="1"/>
    <n v="129533.43"/>
  </r>
  <r>
    <s v="13.423.530/0001-94"/>
    <x v="1"/>
    <x v="4"/>
    <n v="59044.95"/>
  </r>
  <r>
    <s v="13.423.530/0001-94"/>
    <x v="1"/>
    <x v="2"/>
    <n v="8875.92"/>
  </r>
  <r>
    <s v="13.423.530/0001-94"/>
    <x v="1"/>
    <x v="5"/>
    <n v="2540"/>
  </r>
  <r>
    <s v="22.142.040/0001-00"/>
    <x v="2"/>
    <x v="0"/>
    <n v="1103342.3180957143"/>
  </r>
  <r>
    <s v="22.142.040/0001-00"/>
    <x v="2"/>
    <x v="1"/>
    <n v="21147.600000000002"/>
  </r>
  <r>
    <s v="22.142.040/0001-00"/>
    <x v="2"/>
    <x v="5"/>
    <n v="12582.24"/>
  </r>
  <r>
    <s v="22.142.040/0001-00"/>
    <x v="2"/>
    <x v="4"/>
    <n v="76247.16"/>
  </r>
  <r>
    <s v="22.142.040/0001-00"/>
    <x v="2"/>
    <x v="2"/>
    <n v="658560.28999999992"/>
  </r>
  <r>
    <s v="32.488.187/0001-00"/>
    <x v="3"/>
    <x v="0"/>
    <n v="25398.080000000002"/>
  </r>
  <r>
    <s v="32.488.187/0001-00"/>
    <x v="3"/>
    <x v="1"/>
    <n v="130333.71"/>
  </r>
  <r>
    <s v="32.488.187/0001-00"/>
    <x v="3"/>
    <x v="5"/>
    <n v="13315.259999999998"/>
  </r>
  <r>
    <s v="32.488.187/0001-00"/>
    <x v="3"/>
    <x v="2"/>
    <n v="183010.44"/>
  </r>
  <r>
    <s v="32.488.187/0001-00"/>
    <x v="3"/>
    <x v="4"/>
    <n v="11200"/>
  </r>
  <r>
    <s v="31.631.347/0001-66"/>
    <x v="4"/>
    <x v="0"/>
    <n v="22930"/>
  </r>
  <r>
    <s v="31.631.347/0001-66"/>
    <x v="4"/>
    <x v="1"/>
    <n v="106936.99"/>
  </r>
  <r>
    <s v="31.631.347/0001-66"/>
    <x v="4"/>
    <x v="4"/>
    <n v="36823.839999999997"/>
  </r>
  <r>
    <s v="31.631.347/0001-66"/>
    <x v="4"/>
    <x v="5"/>
    <n v="1172.52"/>
  </r>
  <r>
    <s v="31.631.347/0001-66"/>
    <x v="4"/>
    <x v="2"/>
    <n v="90237.57"/>
  </r>
  <r>
    <s v="47.209.799/0001-94"/>
    <x v="5"/>
    <x v="0"/>
    <n v="23638.67"/>
  </r>
  <r>
    <s v="47.209.799/0001-94"/>
    <x v="5"/>
    <x v="2"/>
    <n v="1141.788"/>
  </r>
  <r>
    <s v="47.209.799/0001-94"/>
    <x v="5"/>
    <x v="5"/>
    <n v="5377.08"/>
  </r>
  <r>
    <s v=" 47.209.318/0001-40"/>
    <x v="6"/>
    <x v="0"/>
    <n v="40047.869999999995"/>
  </r>
  <r>
    <s v=" 47.209.318/0001-40"/>
    <x v="6"/>
    <x v="2"/>
    <n v="937.37"/>
  </r>
  <r>
    <s v=" 47.209.318/0001-40"/>
    <x v="6"/>
    <x v="5"/>
    <n v="9629.2000000000007"/>
  </r>
  <r>
    <s v=" 47.209.318/0001-40"/>
    <x v="6"/>
    <x v="4"/>
    <n v="5000"/>
  </r>
  <r>
    <s v="47.218.628/0001-98"/>
    <x v="7"/>
    <x v="0"/>
    <n v="102026.3588"/>
  </r>
  <r>
    <s v="47.218.628/0001-98"/>
    <x v="7"/>
    <x v="2"/>
    <n v="2766.058"/>
  </r>
  <r>
    <s v="47.218.628/0001-98"/>
    <x v="7"/>
    <x v="5"/>
    <n v="2386"/>
  </r>
  <r>
    <s v="47.218.628/0001-98"/>
    <x v="7"/>
    <x v="4"/>
    <n v="8000"/>
  </r>
  <r>
    <s v="17.712.528/0001-96"/>
    <x v="8"/>
    <x v="0"/>
    <n v="80822.98000000001"/>
  </r>
  <r>
    <s v="17.712.528/0001-96"/>
    <x v="8"/>
    <x v="2"/>
    <n v="7158.17"/>
  </r>
  <r>
    <s v="17.712.528/0001-96"/>
    <x v="8"/>
    <x v="5"/>
    <n v="2408.1000000000004"/>
  </r>
  <r>
    <s v="17.712.528/0001-96"/>
    <x v="8"/>
    <x v="4"/>
    <n v="1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982CA-244D-471E-8844-7F41482759F0}" name="Tabela dinâmica2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:K16" firstHeaderRow="1" firstDataRow="2" firstDataCol="1"/>
  <pivotFields count="4">
    <pivotField showAll="0"/>
    <pivotField axis="axisCol" showAll="0">
      <items count="10">
        <item x="4"/>
        <item x="0"/>
        <item x="1"/>
        <item x="3"/>
        <item x="7"/>
        <item x="2"/>
        <item x="8"/>
        <item x="5"/>
        <item x="6"/>
        <item t="default"/>
      </items>
    </pivotField>
    <pivotField axis="axisRow" showAll="0">
      <items count="7">
        <item x="1"/>
        <item x="5"/>
        <item x="3"/>
        <item x="4"/>
        <item x="2"/>
        <item x="0"/>
        <item t="default"/>
      </items>
    </pivotField>
    <pivotField dataField="1" numFmtId="4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oma de VALOR" fld="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6DC4-5AA0-4B52-BDF3-FD9C7F4DA009}">
  <dimension ref="A1:H41"/>
  <sheetViews>
    <sheetView showGridLines="0" workbookViewId="0">
      <selection activeCell="B38" sqref="B38"/>
    </sheetView>
  </sheetViews>
  <sheetFormatPr defaultRowHeight="14.4" x14ac:dyDescent="0.3"/>
  <cols>
    <col min="1" max="1" width="25.88671875" bestFit="1" customWidth="1"/>
    <col min="2" max="2" width="24" bestFit="1" customWidth="1"/>
    <col min="3" max="3" width="38" bestFit="1" customWidth="1"/>
    <col min="4" max="4" width="16" bestFit="1" customWidth="1"/>
    <col min="5" max="5" width="17.88671875" bestFit="1" customWidth="1"/>
    <col min="6" max="6" width="29.6640625" bestFit="1" customWidth="1"/>
    <col min="7" max="7" width="18" bestFit="1" customWidth="1"/>
    <col min="8" max="8" width="29.6640625" bestFit="1" customWidth="1"/>
  </cols>
  <sheetData>
    <row r="1" spans="1:8" x14ac:dyDescent="0.3">
      <c r="A1" s="14" t="s">
        <v>78</v>
      </c>
      <c r="B1" s="14" t="s">
        <v>87</v>
      </c>
      <c r="C1" s="1" t="s">
        <v>0</v>
      </c>
      <c r="D1" s="36" t="s">
        <v>112</v>
      </c>
      <c r="E1" s="18" t="s">
        <v>113</v>
      </c>
      <c r="F1" s="18" t="s">
        <v>2</v>
      </c>
      <c r="G1" s="18" t="s">
        <v>114</v>
      </c>
    </row>
    <row r="2" spans="1:8" x14ac:dyDescent="0.3">
      <c r="A2" s="19" t="s">
        <v>81</v>
      </c>
      <c r="B2" s="19" t="s">
        <v>91</v>
      </c>
      <c r="C2" s="2" t="s">
        <v>16</v>
      </c>
      <c r="D2" s="37">
        <v>5691.74</v>
      </c>
      <c r="E2" s="37">
        <v>5062.7951999999996</v>
      </c>
      <c r="F2" s="2" t="s">
        <v>4</v>
      </c>
      <c r="G2" s="19">
        <v>10</v>
      </c>
    </row>
    <row r="6" spans="1:8" x14ac:dyDescent="0.3">
      <c r="A6" s="22" t="s">
        <v>110</v>
      </c>
      <c r="B6" s="22">
        <v>24</v>
      </c>
    </row>
    <row r="11" spans="1:8" x14ac:dyDescent="0.3">
      <c r="A11" s="89" t="s">
        <v>105</v>
      </c>
      <c r="B11" s="89"/>
      <c r="C11" s="89"/>
      <c r="D11" s="89"/>
      <c r="E11" s="89"/>
      <c r="F11" s="89"/>
      <c r="G11" s="89"/>
    </row>
    <row r="12" spans="1:8" s="21" customFormat="1" x14ac:dyDescent="0.3">
      <c r="A12" s="48" t="s">
        <v>94</v>
      </c>
      <c r="B12" s="25" t="s">
        <v>95</v>
      </c>
      <c r="C12" s="25" t="s">
        <v>98</v>
      </c>
      <c r="D12" s="25" t="s">
        <v>96</v>
      </c>
      <c r="E12" s="25" t="s">
        <v>99</v>
      </c>
      <c r="F12" s="25" t="s">
        <v>102</v>
      </c>
      <c r="G12" s="49" t="s">
        <v>97</v>
      </c>
    </row>
    <row r="13" spans="1:8" s="56" customFormat="1" x14ac:dyDescent="0.3">
      <c r="A13" s="50" t="s">
        <v>132</v>
      </c>
      <c r="B13" s="8">
        <v>886687.77</v>
      </c>
      <c r="C13" s="51">
        <v>24</v>
      </c>
      <c r="D13" s="52">
        <v>8</v>
      </c>
      <c r="E13" s="52">
        <f t="shared" ref="E13:E15" si="0">C13-D13</f>
        <v>16</v>
      </c>
      <c r="F13" s="53">
        <v>35714.97</v>
      </c>
      <c r="G13" s="54">
        <v>571439.52</v>
      </c>
      <c r="H13" s="55"/>
    </row>
    <row r="14" spans="1:8" s="60" customFormat="1" x14ac:dyDescent="0.3">
      <c r="A14" s="57" t="s">
        <v>104</v>
      </c>
      <c r="B14" s="58">
        <v>40249</v>
      </c>
      <c r="C14" s="44">
        <v>20</v>
      </c>
      <c r="D14" s="44">
        <v>12</v>
      </c>
      <c r="E14" s="44">
        <f t="shared" si="0"/>
        <v>8</v>
      </c>
      <c r="F14" s="58">
        <v>2012.45</v>
      </c>
      <c r="G14" s="59">
        <f>F14*E14</f>
        <v>16099.6</v>
      </c>
    </row>
    <row r="15" spans="1:8" s="60" customFormat="1" ht="15" thickBot="1" x14ac:dyDescent="0.35">
      <c r="A15" s="61" t="s">
        <v>109</v>
      </c>
      <c r="B15" s="62">
        <v>29576.639999999999</v>
      </c>
      <c r="C15" s="63">
        <v>24</v>
      </c>
      <c r="D15" s="63">
        <v>12</v>
      </c>
      <c r="E15" s="63">
        <f t="shared" si="0"/>
        <v>12</v>
      </c>
      <c r="F15" s="62">
        <v>1392.65</v>
      </c>
      <c r="G15" s="64">
        <f>F15*E15</f>
        <v>16711.800000000003</v>
      </c>
    </row>
    <row r="16" spans="1:8" x14ac:dyDescent="0.3">
      <c r="G16" s="8">
        <f>SUM(G13:G15)</f>
        <v>604250.92000000004</v>
      </c>
    </row>
    <row r="18" spans="1:7" x14ac:dyDescent="0.3">
      <c r="A18" s="89" t="s">
        <v>111</v>
      </c>
      <c r="B18" s="89"/>
      <c r="C18" s="89"/>
      <c r="D18" s="89"/>
      <c r="E18" s="89"/>
      <c r="F18" s="89"/>
      <c r="G18" s="89"/>
    </row>
    <row r="19" spans="1:7" s="78" customFormat="1" x14ac:dyDescent="0.3">
      <c r="A19" s="75" t="s">
        <v>94</v>
      </c>
      <c r="B19" s="76" t="s">
        <v>95</v>
      </c>
      <c r="C19" s="76" t="s">
        <v>98</v>
      </c>
      <c r="D19" s="76" t="s">
        <v>96</v>
      </c>
      <c r="E19" s="76" t="s">
        <v>99</v>
      </c>
      <c r="F19" s="76" t="s">
        <v>102</v>
      </c>
      <c r="G19" s="77" t="s">
        <v>97</v>
      </c>
    </row>
    <row r="20" spans="1:7" x14ac:dyDescent="0.3">
      <c r="A20" s="19" t="s">
        <v>169</v>
      </c>
      <c r="B20" s="11">
        <v>19015.32</v>
      </c>
      <c r="C20" s="19">
        <v>12</v>
      </c>
      <c r="D20" s="19">
        <v>2</v>
      </c>
      <c r="E20" s="19">
        <f>C20-D20</f>
        <v>10</v>
      </c>
      <c r="F20" s="11">
        <v>1584.61</v>
      </c>
      <c r="G20" s="11">
        <f>F20*E20</f>
        <v>15846.099999999999</v>
      </c>
    </row>
    <row r="21" spans="1:7" x14ac:dyDescent="0.3">
      <c r="A21" s="19" t="s">
        <v>173</v>
      </c>
      <c r="B21" s="11">
        <v>163253.51</v>
      </c>
      <c r="C21" s="19">
        <v>133</v>
      </c>
      <c r="D21" s="19"/>
      <c r="E21" s="19"/>
      <c r="F21" s="11">
        <v>1227.47</v>
      </c>
      <c r="G21" s="11">
        <f>B21</f>
        <v>163253.51</v>
      </c>
    </row>
    <row r="22" spans="1:7" x14ac:dyDescent="0.3">
      <c r="A22" s="19" t="s">
        <v>171</v>
      </c>
      <c r="B22" s="11">
        <v>555.5</v>
      </c>
      <c r="C22" s="19"/>
      <c r="D22" s="19"/>
      <c r="E22" s="19"/>
      <c r="F22" s="11"/>
      <c r="G22" s="11">
        <f>B22</f>
        <v>555.5</v>
      </c>
    </row>
    <row r="23" spans="1:7" x14ac:dyDescent="0.3">
      <c r="A23" s="19" t="s">
        <v>172</v>
      </c>
      <c r="B23" s="11">
        <v>5145.24</v>
      </c>
      <c r="C23" s="19"/>
      <c r="D23" s="19"/>
      <c r="E23" s="19"/>
      <c r="F23" s="19"/>
      <c r="G23" s="11">
        <f>B23</f>
        <v>5145.24</v>
      </c>
    </row>
    <row r="24" spans="1:7" x14ac:dyDescent="0.3">
      <c r="A24" s="19" t="s">
        <v>178</v>
      </c>
      <c r="B24" s="11">
        <v>8011.38</v>
      </c>
      <c r="C24" s="19"/>
      <c r="D24" s="19"/>
      <c r="E24" s="19"/>
      <c r="F24" s="19"/>
      <c r="G24" s="11">
        <f>B24</f>
        <v>8011.38</v>
      </c>
    </row>
    <row r="25" spans="1:7" x14ac:dyDescent="0.3">
      <c r="A25" s="19" t="s">
        <v>179</v>
      </c>
      <c r="B25" s="11">
        <v>4636.07</v>
      </c>
      <c r="C25" s="19"/>
      <c r="D25" s="19"/>
      <c r="E25" s="19"/>
      <c r="F25" s="19"/>
      <c r="G25" s="11">
        <f>B25</f>
        <v>4636.07</v>
      </c>
    </row>
    <row r="26" spans="1:7" x14ac:dyDescent="0.3">
      <c r="A26" s="19" t="s">
        <v>181</v>
      </c>
      <c r="B26" s="11">
        <v>1385.63</v>
      </c>
      <c r="C26" s="19">
        <v>13</v>
      </c>
      <c r="D26" s="19">
        <v>1</v>
      </c>
      <c r="E26" s="19">
        <v>12</v>
      </c>
      <c r="F26" s="19">
        <v>106.58</v>
      </c>
      <c r="G26" s="11">
        <f>F26*E26</f>
        <v>1278.96</v>
      </c>
    </row>
    <row r="27" spans="1:7" x14ac:dyDescent="0.3">
      <c r="A27" s="95" t="s">
        <v>185</v>
      </c>
      <c r="B27" s="96" t="s">
        <v>186</v>
      </c>
      <c r="C27" s="19"/>
      <c r="D27" s="19"/>
      <c r="E27" s="19"/>
      <c r="F27" s="19"/>
      <c r="G27" s="94" t="str">
        <f>B27</f>
        <v xml:space="preserve">R$       2.399,87 </v>
      </c>
    </row>
    <row r="28" spans="1:7" x14ac:dyDescent="0.3">
      <c r="G28" s="24">
        <f>SUM(G20:G27)</f>
        <v>198726.76</v>
      </c>
    </row>
    <row r="31" spans="1:7" x14ac:dyDescent="0.3">
      <c r="A31" s="89" t="s">
        <v>216</v>
      </c>
      <c r="B31" s="89"/>
      <c r="C31" s="89"/>
      <c r="D31" s="89"/>
      <c r="E31" s="89"/>
      <c r="F31" s="89"/>
      <c r="G31" s="89"/>
    </row>
    <row r="32" spans="1:7" x14ac:dyDescent="0.3">
      <c r="A32" s="19" t="s">
        <v>133</v>
      </c>
      <c r="B32" s="11">
        <f>C32*F32</f>
        <v>182879.04</v>
      </c>
      <c r="C32" s="27">
        <v>48</v>
      </c>
      <c r="D32" s="27">
        <v>36</v>
      </c>
      <c r="E32" s="19">
        <f>C32-D32</f>
        <v>12</v>
      </c>
      <c r="F32" s="47">
        <v>3809.98</v>
      </c>
      <c r="G32" s="11">
        <f>F32*E32</f>
        <v>45719.76</v>
      </c>
    </row>
    <row r="34" spans="1:6" x14ac:dyDescent="0.3">
      <c r="F34" s="8"/>
    </row>
    <row r="35" spans="1:6" x14ac:dyDescent="0.3">
      <c r="A35" s="89" t="s">
        <v>134</v>
      </c>
      <c r="B35" s="89"/>
    </row>
    <row r="36" spans="1:6" x14ac:dyDescent="0.3">
      <c r="A36" s="27">
        <v>2025</v>
      </c>
      <c r="B36" s="11">
        <f>326799.53+1700000</f>
        <v>2026799.53</v>
      </c>
    </row>
    <row r="37" spans="1:6" x14ac:dyDescent="0.3">
      <c r="A37" s="27">
        <v>2026</v>
      </c>
      <c r="B37" s="11">
        <v>74600</v>
      </c>
    </row>
    <row r="38" spans="1:6" x14ac:dyDescent="0.3">
      <c r="B38" s="24">
        <f>SUM(B36:B37)</f>
        <v>2101399.5300000003</v>
      </c>
    </row>
    <row r="41" spans="1:6" x14ac:dyDescent="0.3">
      <c r="A41" s="19" t="s">
        <v>135</v>
      </c>
      <c r="B41" s="159">
        <f>SUM(G16+G28+G32+B38)</f>
        <v>2950096.97</v>
      </c>
    </row>
  </sheetData>
  <mergeCells count="4">
    <mergeCell ref="A11:G11"/>
    <mergeCell ref="A31:G31"/>
    <mergeCell ref="A35:B35"/>
    <mergeCell ref="A18:G1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529B-834C-4EDA-ABC1-CF51047232DD}">
  <dimension ref="A1:J57"/>
  <sheetViews>
    <sheetView showGridLines="0" topLeftCell="A32" workbookViewId="0">
      <selection activeCell="A16" sqref="A16"/>
    </sheetView>
  </sheetViews>
  <sheetFormatPr defaultRowHeight="14.4" x14ac:dyDescent="0.3"/>
  <cols>
    <col min="1" max="1" width="25.88671875" bestFit="1" customWidth="1"/>
    <col min="2" max="2" width="32.5546875" bestFit="1" customWidth="1"/>
    <col min="3" max="3" width="50.109375" bestFit="1" customWidth="1"/>
    <col min="4" max="4" width="16" bestFit="1" customWidth="1"/>
    <col min="5" max="5" width="16" customWidth="1"/>
    <col min="6" max="6" width="22.5546875" bestFit="1" customWidth="1"/>
    <col min="7" max="7" width="20.5546875" bestFit="1" customWidth="1"/>
    <col min="8" max="8" width="22.5546875" bestFit="1" customWidth="1"/>
  </cols>
  <sheetData>
    <row r="1" spans="1:10" x14ac:dyDescent="0.3">
      <c r="A1" s="14" t="s">
        <v>78</v>
      </c>
      <c r="B1" s="14" t="s">
        <v>87</v>
      </c>
      <c r="C1" s="1" t="s">
        <v>0</v>
      </c>
      <c r="D1" s="36" t="s">
        <v>112</v>
      </c>
      <c r="E1" s="18" t="s">
        <v>113</v>
      </c>
      <c r="F1" s="36" t="s">
        <v>2</v>
      </c>
      <c r="G1" s="18" t="s">
        <v>114</v>
      </c>
    </row>
    <row r="2" spans="1:10" s="4" customFormat="1" ht="13.8" x14ac:dyDescent="0.3">
      <c r="A2" s="2" t="s">
        <v>79</v>
      </c>
      <c r="B2" s="2" t="s">
        <v>93</v>
      </c>
      <c r="C2" s="2" t="s">
        <v>5</v>
      </c>
      <c r="D2" s="37">
        <v>2421.75</v>
      </c>
      <c r="E2" s="84">
        <v>2373.3150000000001</v>
      </c>
      <c r="F2" s="38" t="s">
        <v>6</v>
      </c>
      <c r="G2" s="39" t="s">
        <v>115</v>
      </c>
    </row>
    <row r="3" spans="1:10" s="4" customFormat="1" ht="13.8" x14ac:dyDescent="0.3">
      <c r="A3" s="2" t="s">
        <v>79</v>
      </c>
      <c r="B3" s="2" t="s">
        <v>93</v>
      </c>
      <c r="C3" s="2" t="s">
        <v>5</v>
      </c>
      <c r="D3" s="37">
        <v>26282.28</v>
      </c>
      <c r="E3" s="84">
        <v>25756.634399999999</v>
      </c>
      <c r="F3" s="38" t="s">
        <v>3</v>
      </c>
      <c r="G3" s="39" t="s">
        <v>115</v>
      </c>
    </row>
    <row r="4" spans="1:10" s="4" customFormat="1" ht="13.8" x14ac:dyDescent="0.3">
      <c r="A4" s="2" t="s">
        <v>79</v>
      </c>
      <c r="B4" s="2" t="s">
        <v>93</v>
      </c>
      <c r="C4" s="2" t="s">
        <v>5</v>
      </c>
      <c r="D4" s="37">
        <v>7680.56</v>
      </c>
      <c r="E4" s="84">
        <v>7526.9488000000001</v>
      </c>
      <c r="F4" s="38" t="s">
        <v>7</v>
      </c>
      <c r="G4" s="39" t="s">
        <v>115</v>
      </c>
    </row>
    <row r="5" spans="1:10" s="4" customFormat="1" ht="13.8" x14ac:dyDescent="0.3">
      <c r="A5" s="2" t="s">
        <v>79</v>
      </c>
      <c r="B5" s="2" t="s">
        <v>93</v>
      </c>
      <c r="C5" s="2" t="s">
        <v>5</v>
      </c>
      <c r="D5" s="37">
        <v>5942.67</v>
      </c>
      <c r="E5" s="84">
        <v>5823.8166000000001</v>
      </c>
      <c r="F5" s="38" t="s">
        <v>4</v>
      </c>
      <c r="G5" s="39" t="s">
        <v>115</v>
      </c>
    </row>
    <row r="6" spans="1:10" s="4" customFormat="1" ht="13.8" x14ac:dyDescent="0.3">
      <c r="A6" s="2" t="s">
        <v>79</v>
      </c>
      <c r="B6" s="2" t="s">
        <v>93</v>
      </c>
      <c r="C6" s="2" t="s">
        <v>106</v>
      </c>
      <c r="D6" s="37">
        <v>276.42</v>
      </c>
      <c r="E6" s="84">
        <v>268.12740000000002</v>
      </c>
      <c r="F6" s="38" t="s">
        <v>8</v>
      </c>
      <c r="G6" s="39">
        <v>10</v>
      </c>
    </row>
    <row r="7" spans="1:10" s="4" customFormat="1" ht="13.8" x14ac:dyDescent="0.3">
      <c r="A7" s="2" t="s">
        <v>79</v>
      </c>
      <c r="B7" s="2" t="s">
        <v>93</v>
      </c>
      <c r="C7" s="2" t="s">
        <v>106</v>
      </c>
      <c r="D7" s="37">
        <v>25498.68</v>
      </c>
      <c r="E7" s="84">
        <v>24988.706399999999</v>
      </c>
      <c r="F7" s="38" t="s">
        <v>3</v>
      </c>
      <c r="G7" s="39">
        <v>10</v>
      </c>
      <c r="J7" s="5"/>
    </row>
    <row r="8" spans="1:10" s="4" customFormat="1" ht="13.8" x14ac:dyDescent="0.3">
      <c r="A8" s="2" t="s">
        <v>79</v>
      </c>
      <c r="B8" s="2" t="s">
        <v>93</v>
      </c>
      <c r="C8" s="2" t="s">
        <v>106</v>
      </c>
      <c r="D8" s="37">
        <v>17177.89</v>
      </c>
      <c r="E8" s="84">
        <v>16834.332200000001</v>
      </c>
      <c r="F8" s="38" t="s">
        <v>9</v>
      </c>
      <c r="G8" s="39">
        <v>10</v>
      </c>
    </row>
    <row r="9" spans="1:10" s="4" customFormat="1" ht="13.8" x14ac:dyDescent="0.3">
      <c r="A9" s="2" t="s">
        <v>79</v>
      </c>
      <c r="B9" s="2" t="s">
        <v>93</v>
      </c>
      <c r="C9" s="2" t="s">
        <v>106</v>
      </c>
      <c r="D9" s="37">
        <v>12713.89</v>
      </c>
      <c r="E9" s="84">
        <v>12459.61</v>
      </c>
      <c r="F9" s="38" t="s">
        <v>10</v>
      </c>
      <c r="G9" s="39">
        <v>10</v>
      </c>
      <c r="J9" s="6"/>
    </row>
    <row r="10" spans="1:10" s="4" customFormat="1" ht="13.8" x14ac:dyDescent="0.3">
      <c r="A10" s="2" t="s">
        <v>79</v>
      </c>
      <c r="B10" s="2" t="s">
        <v>93</v>
      </c>
      <c r="C10" s="2" t="s">
        <v>106</v>
      </c>
      <c r="D10" s="37">
        <v>2284.4499999999998</v>
      </c>
      <c r="E10" s="84">
        <v>2284.4499999999998</v>
      </c>
      <c r="F10" s="38" t="s">
        <v>11</v>
      </c>
      <c r="G10" s="39">
        <v>10</v>
      </c>
    </row>
    <row r="11" spans="1:10" x14ac:dyDescent="0.3">
      <c r="D11" s="24">
        <f>SUM(D2:D10)</f>
        <v>100278.58999999998</v>
      </c>
      <c r="E11" s="40">
        <f>SUM(E2:E10)</f>
        <v>98315.940799999997</v>
      </c>
    </row>
    <row r="14" spans="1:10" x14ac:dyDescent="0.3">
      <c r="A14" s="22" t="s">
        <v>110</v>
      </c>
      <c r="B14" s="22">
        <v>24</v>
      </c>
    </row>
    <row r="16" spans="1:10" ht="14.4" customHeight="1" x14ac:dyDescent="0.3"/>
    <row r="17" spans="1:9" x14ac:dyDescent="0.3">
      <c r="A17" s="92" t="s">
        <v>105</v>
      </c>
      <c r="B17" s="92"/>
      <c r="C17" s="92"/>
      <c r="D17" s="92"/>
      <c r="E17" s="92"/>
      <c r="F17" s="92"/>
      <c r="G17" s="92"/>
      <c r="H17" s="92"/>
    </row>
    <row r="18" spans="1:9" s="21" customFormat="1" x14ac:dyDescent="0.3">
      <c r="A18" s="26" t="s">
        <v>94</v>
      </c>
      <c r="B18" s="26" t="s">
        <v>95</v>
      </c>
      <c r="C18" s="26" t="s">
        <v>98</v>
      </c>
      <c r="D18" s="26" t="s">
        <v>96</v>
      </c>
      <c r="E18" s="26"/>
      <c r="F18" s="26" t="s">
        <v>99</v>
      </c>
      <c r="G18" s="26" t="s">
        <v>102</v>
      </c>
      <c r="H18" s="26" t="s">
        <v>97</v>
      </c>
    </row>
    <row r="19" spans="1:9" x14ac:dyDescent="0.3">
      <c r="A19" s="13" t="s">
        <v>132</v>
      </c>
      <c r="B19" s="28">
        <v>171037.01999999993</v>
      </c>
      <c r="C19" s="29">
        <v>42</v>
      </c>
      <c r="D19" s="27">
        <v>29</v>
      </c>
      <c r="E19" s="27"/>
      <c r="F19" s="27">
        <f>C19-D19</f>
        <v>13</v>
      </c>
      <c r="G19" s="30">
        <v>5800.11</v>
      </c>
      <c r="H19" s="30">
        <f>G19*F19</f>
        <v>75401.429999999993</v>
      </c>
      <c r="I19" t="s">
        <v>130</v>
      </c>
    </row>
    <row r="20" spans="1:9" x14ac:dyDescent="0.3">
      <c r="A20" s="13" t="s">
        <v>101</v>
      </c>
      <c r="B20" s="30">
        <v>33497.64</v>
      </c>
      <c r="C20" s="27">
        <v>37</v>
      </c>
      <c r="D20" s="27">
        <v>1</v>
      </c>
      <c r="E20" s="27"/>
      <c r="F20" s="27">
        <f>C20-D20</f>
        <v>36</v>
      </c>
      <c r="G20" s="30">
        <v>930.49</v>
      </c>
      <c r="H20" s="30">
        <f>G20*F20</f>
        <v>33497.64</v>
      </c>
      <c r="I20" t="s">
        <v>136</v>
      </c>
    </row>
    <row r="21" spans="1:9" x14ac:dyDescent="0.3">
      <c r="A21" s="13" t="s">
        <v>109</v>
      </c>
      <c r="B21" s="30">
        <v>39220.32</v>
      </c>
      <c r="C21" s="27">
        <v>24</v>
      </c>
      <c r="D21" s="27">
        <v>12</v>
      </c>
      <c r="E21" s="27"/>
      <c r="F21" s="27">
        <f>C21-D21</f>
        <v>12</v>
      </c>
      <c r="G21" s="30">
        <v>1719.53</v>
      </c>
      <c r="H21" s="30">
        <f>G21*F21</f>
        <v>20634.36</v>
      </c>
      <c r="I21" t="s">
        <v>130</v>
      </c>
    </row>
    <row r="22" spans="1:9" x14ac:dyDescent="0.3">
      <c r="H22" s="180">
        <f>SUM(H19:H21)</f>
        <v>129533.43</v>
      </c>
    </row>
    <row r="24" spans="1:9" x14ac:dyDescent="0.3">
      <c r="A24" s="89" t="s">
        <v>111</v>
      </c>
      <c r="B24" s="89"/>
      <c r="C24" s="89"/>
      <c r="D24" s="89"/>
      <c r="E24" s="89"/>
      <c r="F24" s="89"/>
      <c r="G24" s="89"/>
    </row>
    <row r="25" spans="1:9" s="78" customFormat="1" x14ac:dyDescent="0.3">
      <c r="A25" s="75" t="s">
        <v>94</v>
      </c>
      <c r="B25" s="76" t="s">
        <v>95</v>
      </c>
      <c r="C25" s="76" t="s">
        <v>98</v>
      </c>
      <c r="D25" s="76" t="s">
        <v>96</v>
      </c>
      <c r="E25" s="76" t="s">
        <v>99</v>
      </c>
      <c r="F25" s="76" t="s">
        <v>102</v>
      </c>
      <c r="G25" s="77" t="s">
        <v>97</v>
      </c>
    </row>
    <row r="26" spans="1:9" x14ac:dyDescent="0.3">
      <c r="A26" s="19" t="s">
        <v>172</v>
      </c>
      <c r="B26" s="86">
        <v>7245.29</v>
      </c>
      <c r="C26" s="19"/>
      <c r="D26" s="19"/>
      <c r="E26" s="19"/>
      <c r="F26" s="11"/>
      <c r="G26" s="11">
        <f>B26</f>
        <v>7245.29</v>
      </c>
    </row>
    <row r="27" spans="1:9" x14ac:dyDescent="0.3">
      <c r="A27" s="19" t="s">
        <v>176</v>
      </c>
      <c r="B27" s="11">
        <v>208.6</v>
      </c>
      <c r="C27" s="19"/>
      <c r="D27" s="19"/>
      <c r="E27" s="19"/>
      <c r="F27" s="11"/>
      <c r="G27" s="11">
        <f>B27</f>
        <v>208.6</v>
      </c>
    </row>
    <row r="28" spans="1:9" x14ac:dyDescent="0.3">
      <c r="A28" s="19" t="s">
        <v>184</v>
      </c>
      <c r="B28" s="11">
        <v>559.25</v>
      </c>
      <c r="C28" s="19">
        <v>5</v>
      </c>
      <c r="D28" s="19">
        <v>1</v>
      </c>
      <c r="E28" s="19">
        <f>C28-D28</f>
        <v>4</v>
      </c>
      <c r="F28" s="11">
        <f>B28/C28</f>
        <v>111.85</v>
      </c>
      <c r="G28" s="11">
        <f>F28*E28</f>
        <v>447.4</v>
      </c>
    </row>
    <row r="29" spans="1:9" x14ac:dyDescent="0.3">
      <c r="A29" s="165" t="s">
        <v>213</v>
      </c>
      <c r="B29" s="87">
        <v>974.63</v>
      </c>
      <c r="C29" s="19"/>
      <c r="D29" s="19"/>
      <c r="E29" s="19"/>
      <c r="F29" s="19"/>
      <c r="G29" s="11">
        <f>B29</f>
        <v>974.63</v>
      </c>
    </row>
    <row r="30" spans="1:9" x14ac:dyDescent="0.3">
      <c r="G30" s="24">
        <f>SUM(G26:G29)</f>
        <v>8875.92</v>
      </c>
    </row>
    <row r="35" spans="1:7" ht="24.6" customHeight="1" x14ac:dyDescent="0.3">
      <c r="A35" s="97" t="s">
        <v>187</v>
      </c>
      <c r="B35" s="98"/>
      <c r="C35" s="98"/>
      <c r="D35" s="98"/>
      <c r="E35" s="98"/>
      <c r="F35" s="31"/>
    </row>
    <row r="36" spans="1:7" s="31" customFormat="1" ht="27.6" x14ac:dyDescent="0.3">
      <c r="A36" s="99" t="s">
        <v>138</v>
      </c>
      <c r="B36" s="100" t="s">
        <v>137</v>
      </c>
      <c r="C36" s="101" t="s">
        <v>188</v>
      </c>
      <c r="D36" s="102" t="s">
        <v>139</v>
      </c>
      <c r="E36" s="103" t="s">
        <v>189</v>
      </c>
    </row>
    <row r="37" spans="1:7" x14ac:dyDescent="0.3">
      <c r="A37" s="104">
        <v>45879</v>
      </c>
      <c r="B37" s="105" t="s">
        <v>156</v>
      </c>
      <c r="C37" s="106" t="s">
        <v>190</v>
      </c>
      <c r="D37" s="128">
        <v>383.04</v>
      </c>
      <c r="E37" s="107" t="s">
        <v>191</v>
      </c>
      <c r="F37" s="31"/>
    </row>
    <row r="38" spans="1:7" x14ac:dyDescent="0.3">
      <c r="A38" s="104">
        <v>45879</v>
      </c>
      <c r="B38" s="105" t="s">
        <v>156</v>
      </c>
      <c r="C38" s="106" t="s">
        <v>192</v>
      </c>
      <c r="D38" s="128">
        <v>752.62</v>
      </c>
      <c r="E38" s="107" t="s">
        <v>191</v>
      </c>
      <c r="F38" s="31"/>
    </row>
    <row r="39" spans="1:7" ht="28.8" x14ac:dyDescent="0.3">
      <c r="A39" s="108">
        <v>45889</v>
      </c>
      <c r="B39" s="109" t="s">
        <v>156</v>
      </c>
      <c r="C39" s="110" t="s">
        <v>193</v>
      </c>
      <c r="D39" s="173">
        <v>295.68</v>
      </c>
      <c r="E39" s="111" t="s">
        <v>194</v>
      </c>
      <c r="F39" s="31"/>
    </row>
    <row r="40" spans="1:7" x14ac:dyDescent="0.3">
      <c r="A40" s="104">
        <v>45910</v>
      </c>
      <c r="B40" s="105" t="s">
        <v>156</v>
      </c>
      <c r="C40" s="106" t="s">
        <v>192</v>
      </c>
      <c r="D40" s="128">
        <v>725.62</v>
      </c>
      <c r="E40" s="107" t="s">
        <v>191</v>
      </c>
      <c r="F40" s="31"/>
    </row>
    <row r="41" spans="1:7" x14ac:dyDescent="0.3">
      <c r="A41" s="112">
        <v>45910</v>
      </c>
      <c r="B41" s="113" t="s">
        <v>156</v>
      </c>
      <c r="C41" s="106" t="s">
        <v>190</v>
      </c>
      <c r="D41" s="174">
        <v>383.04</v>
      </c>
      <c r="E41" s="114" t="s">
        <v>191</v>
      </c>
      <c r="F41" s="31"/>
    </row>
    <row r="42" spans="1:7" x14ac:dyDescent="0.3">
      <c r="D42" s="168">
        <f>SUM(D37:D41)</f>
        <v>2540</v>
      </c>
    </row>
    <row r="46" spans="1:7" x14ac:dyDescent="0.3">
      <c r="G46" s="8"/>
    </row>
    <row r="51" spans="1:2" x14ac:dyDescent="0.3">
      <c r="A51" s="90" t="s">
        <v>134</v>
      </c>
      <c r="B51" s="91"/>
    </row>
    <row r="52" spans="1:2" x14ac:dyDescent="0.3">
      <c r="A52" s="27">
        <v>2025</v>
      </c>
      <c r="B52" s="11">
        <v>32106.97</v>
      </c>
    </row>
    <row r="53" spans="1:2" x14ac:dyDescent="0.3">
      <c r="A53" s="27">
        <v>2026</v>
      </c>
      <c r="B53" s="11">
        <v>26937.98</v>
      </c>
    </row>
    <row r="54" spans="1:2" x14ac:dyDescent="0.3">
      <c r="B54" s="65">
        <f>SUM(B52:B53)</f>
        <v>59044.95</v>
      </c>
    </row>
    <row r="57" spans="1:2" x14ac:dyDescent="0.3">
      <c r="A57" s="22" t="s">
        <v>135</v>
      </c>
      <c r="B57" s="65">
        <f>SUM(H22+G30+D42+B54)</f>
        <v>199994.3</v>
      </c>
    </row>
  </sheetData>
  <sortState xmlns:xlrd2="http://schemas.microsoft.com/office/spreadsheetml/2017/richdata2" ref="A2:H67">
    <sortCondition ref="A1:A67"/>
  </sortState>
  <mergeCells count="4">
    <mergeCell ref="A17:H17"/>
    <mergeCell ref="A51:B51"/>
    <mergeCell ref="A24:G24"/>
    <mergeCell ref="A35:E3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6CFE-681A-42B4-B7C0-2AE789A7C9EC}">
  <dimension ref="A1:I54"/>
  <sheetViews>
    <sheetView showGridLines="0" topLeftCell="A33" workbookViewId="0">
      <selection activeCell="D44" sqref="D44"/>
    </sheetView>
  </sheetViews>
  <sheetFormatPr defaultRowHeight="14.4" x14ac:dyDescent="0.3"/>
  <cols>
    <col min="1" max="1" width="25.88671875" bestFit="1" customWidth="1"/>
    <col min="2" max="2" width="20.21875" bestFit="1" customWidth="1"/>
    <col min="3" max="3" width="41.33203125" bestFit="1" customWidth="1"/>
    <col min="4" max="4" width="16" bestFit="1" customWidth="1"/>
    <col min="5" max="5" width="17.88671875" bestFit="1" customWidth="1"/>
    <col min="6" max="6" width="22.5546875" bestFit="1" customWidth="1"/>
    <col min="7" max="7" width="16.33203125" bestFit="1" customWidth="1"/>
    <col min="8" max="8" width="22.5546875" bestFit="1" customWidth="1"/>
  </cols>
  <sheetData>
    <row r="1" spans="1:9" ht="13.8" customHeight="1" x14ac:dyDescent="0.3">
      <c r="A1" s="14" t="s">
        <v>78</v>
      </c>
      <c r="B1" s="14" t="s">
        <v>87</v>
      </c>
      <c r="C1" s="1" t="s">
        <v>0</v>
      </c>
      <c r="D1" s="1" t="s">
        <v>1</v>
      </c>
      <c r="E1" s="1"/>
      <c r="F1" s="1" t="s">
        <v>2</v>
      </c>
    </row>
    <row r="2" spans="1:9" x14ac:dyDescent="0.3">
      <c r="A2" s="2" t="s">
        <v>82</v>
      </c>
      <c r="B2" s="2" t="s">
        <v>93</v>
      </c>
      <c r="C2" s="2" t="s">
        <v>18</v>
      </c>
      <c r="D2" s="3">
        <v>25398.080000000002</v>
      </c>
      <c r="E2" s="3">
        <v>22451.91</v>
      </c>
      <c r="F2" s="2" t="s">
        <v>3</v>
      </c>
      <c r="I2" s="4"/>
    </row>
    <row r="8" spans="1:9" x14ac:dyDescent="0.3">
      <c r="A8" s="22" t="s">
        <v>110</v>
      </c>
      <c r="B8" s="22">
        <v>39</v>
      </c>
    </row>
    <row r="13" spans="1:9" x14ac:dyDescent="0.3">
      <c r="A13" s="92" t="s">
        <v>105</v>
      </c>
      <c r="B13" s="92"/>
      <c r="C13" s="92"/>
      <c r="D13" s="92"/>
      <c r="E13" s="92"/>
      <c r="F13" s="92"/>
      <c r="G13" s="92"/>
    </row>
    <row r="14" spans="1:9" x14ac:dyDescent="0.3">
      <c r="A14" s="26" t="s">
        <v>94</v>
      </c>
      <c r="B14" s="26" t="s">
        <v>95</v>
      </c>
      <c r="C14" s="26" t="s">
        <v>98</v>
      </c>
      <c r="D14" s="26" t="s">
        <v>96</v>
      </c>
      <c r="E14" s="26" t="s">
        <v>99</v>
      </c>
      <c r="F14" s="26" t="s">
        <v>102</v>
      </c>
      <c r="G14" s="26" t="s">
        <v>97</v>
      </c>
      <c r="H14" s="31"/>
    </row>
    <row r="15" spans="1:9" s="70" customFormat="1" x14ac:dyDescent="0.3">
      <c r="A15" s="82" t="s">
        <v>100</v>
      </c>
      <c r="B15" s="81">
        <v>150000</v>
      </c>
      <c r="C15" s="82">
        <v>37</v>
      </c>
      <c r="D15" s="82">
        <v>21</v>
      </c>
      <c r="E15" s="82">
        <f t="shared" ref="E15" si="0">C15-D15</f>
        <v>16</v>
      </c>
      <c r="F15" s="81">
        <v>5725.9</v>
      </c>
      <c r="G15" s="81">
        <f t="shared" ref="G15" si="1">F15*E15</f>
        <v>91614.399999999994</v>
      </c>
      <c r="H15" s="83"/>
    </row>
    <row r="16" spans="1:9" x14ac:dyDescent="0.3">
      <c r="A16" s="44" t="s">
        <v>107</v>
      </c>
      <c r="B16" s="45">
        <v>118907.74999999999</v>
      </c>
      <c r="C16" s="44">
        <v>24</v>
      </c>
      <c r="D16" s="44">
        <v>19</v>
      </c>
      <c r="E16" s="44">
        <f>C16-D16</f>
        <v>5</v>
      </c>
      <c r="F16" s="32">
        <v>5861.93</v>
      </c>
      <c r="G16" s="11">
        <v>24406.79</v>
      </c>
      <c r="H16" s="46"/>
    </row>
    <row r="17" spans="1:9" x14ac:dyDescent="0.3">
      <c r="A17" s="19" t="s">
        <v>131</v>
      </c>
      <c r="B17" s="19"/>
      <c r="C17" s="19"/>
      <c r="D17" s="19"/>
      <c r="E17" s="19"/>
      <c r="F17" s="47">
        <v>1297.19</v>
      </c>
      <c r="G17" s="19"/>
    </row>
    <row r="18" spans="1:9" x14ac:dyDescent="0.3">
      <c r="A18" s="27" t="s">
        <v>108</v>
      </c>
      <c r="B18" s="11">
        <v>42937.56</v>
      </c>
      <c r="C18" s="27">
        <v>36</v>
      </c>
      <c r="D18" s="27">
        <v>24</v>
      </c>
      <c r="E18" s="27">
        <f>C18-D18</f>
        <v>12</v>
      </c>
      <c r="F18" s="11">
        <v>1192.71</v>
      </c>
      <c r="G18" s="30">
        <f t="shared" ref="G18" si="2">F18*E18</f>
        <v>14312.52</v>
      </c>
    </row>
    <row r="19" spans="1:9" x14ac:dyDescent="0.3">
      <c r="A19" s="15"/>
      <c r="B19" s="8"/>
      <c r="C19" s="15"/>
      <c r="D19" s="15"/>
      <c r="E19" s="15"/>
      <c r="F19" s="8"/>
      <c r="G19" s="133">
        <f>SUM(G15:G18)</f>
        <v>130333.71</v>
      </c>
    </row>
    <row r="20" spans="1:9" x14ac:dyDescent="0.3">
      <c r="A20" s="15"/>
      <c r="B20" s="8"/>
      <c r="C20" s="15"/>
      <c r="D20" s="15"/>
      <c r="E20" s="15"/>
      <c r="F20" s="8"/>
      <c r="G20" s="80"/>
    </row>
    <row r="21" spans="1:9" x14ac:dyDescent="0.3">
      <c r="A21" s="89" t="s">
        <v>111</v>
      </c>
      <c r="B21" s="89"/>
      <c r="C21" s="89"/>
      <c r="D21" s="89"/>
      <c r="E21" s="89"/>
      <c r="F21" s="89"/>
      <c r="G21" s="89"/>
    </row>
    <row r="22" spans="1:9" x14ac:dyDescent="0.3">
      <c r="A22" s="26" t="s">
        <v>94</v>
      </c>
      <c r="B22" s="26" t="s">
        <v>95</v>
      </c>
      <c r="C22" s="26" t="s">
        <v>98</v>
      </c>
      <c r="D22" s="26" t="s">
        <v>96</v>
      </c>
      <c r="E22" s="26" t="s">
        <v>99</v>
      </c>
      <c r="F22" s="26" t="s">
        <v>102</v>
      </c>
      <c r="G22" s="26" t="s">
        <v>97</v>
      </c>
    </row>
    <row r="23" spans="1:9" s="83" customFormat="1" x14ac:dyDescent="0.3">
      <c r="A23" s="82" t="s">
        <v>169</v>
      </c>
      <c r="B23" s="81">
        <v>19015.32</v>
      </c>
      <c r="C23" s="82">
        <v>12</v>
      </c>
      <c r="D23" s="82">
        <v>2</v>
      </c>
      <c r="E23" s="82">
        <f t="shared" ref="E23" si="3">C23-D23</f>
        <v>10</v>
      </c>
      <c r="F23" s="11">
        <v>1584.61</v>
      </c>
      <c r="G23" s="81">
        <f>F23*10</f>
        <v>15846.099999999999</v>
      </c>
    </row>
    <row r="24" spans="1:9" s="15" customFormat="1" x14ac:dyDescent="0.3">
      <c r="A24" s="82" t="s">
        <v>170</v>
      </c>
      <c r="B24" s="30">
        <v>163253.51</v>
      </c>
      <c r="C24" s="27">
        <v>133</v>
      </c>
      <c r="D24" s="27"/>
      <c r="E24" s="27"/>
      <c r="F24" s="11">
        <v>1227.47</v>
      </c>
      <c r="G24" s="30">
        <v>163253.51</v>
      </c>
    </row>
    <row r="25" spans="1:9" x14ac:dyDescent="0.3">
      <c r="A25" s="27" t="s">
        <v>172</v>
      </c>
      <c r="B25" s="87">
        <v>3910.83</v>
      </c>
      <c r="C25" s="27"/>
      <c r="D25" s="27"/>
      <c r="E25" s="27"/>
      <c r="F25" s="11"/>
      <c r="G25" s="30">
        <f>B25</f>
        <v>3910.83</v>
      </c>
    </row>
    <row r="26" spans="1:9" x14ac:dyDescent="0.3">
      <c r="A26" s="27" t="s">
        <v>183</v>
      </c>
      <c r="B26" s="11">
        <v>4339.96</v>
      </c>
      <c r="C26" s="27">
        <v>40</v>
      </c>
      <c r="D26" s="27">
        <v>1</v>
      </c>
      <c r="E26" s="27">
        <f>C26-D26</f>
        <v>39</v>
      </c>
      <c r="F26" s="11">
        <f>B26/C26</f>
        <v>108.499</v>
      </c>
      <c r="G26" s="30">
        <f>SUM(G23:G25)</f>
        <v>183010.44</v>
      </c>
    </row>
    <row r="27" spans="1:9" x14ac:dyDescent="0.3">
      <c r="A27" s="27" t="s">
        <v>214</v>
      </c>
      <c r="B27" s="172" t="s">
        <v>215</v>
      </c>
      <c r="C27" s="27"/>
      <c r="D27" s="27"/>
      <c r="E27" s="27"/>
      <c r="F27" s="11"/>
      <c r="G27" s="169" t="str">
        <f>B27</f>
        <v xml:space="preserve">R$    80.502,39 </v>
      </c>
    </row>
    <row r="28" spans="1:9" x14ac:dyDescent="0.3">
      <c r="A28" s="27" t="s">
        <v>213</v>
      </c>
      <c r="B28" s="171">
        <v>2377.1999999999998</v>
      </c>
      <c r="C28" s="27"/>
      <c r="D28" s="27"/>
      <c r="E28" s="27"/>
      <c r="F28" s="11"/>
      <c r="G28" s="30">
        <f>B28</f>
        <v>2377.1999999999998</v>
      </c>
    </row>
    <row r="29" spans="1:9" x14ac:dyDescent="0.3">
      <c r="G29" s="24">
        <f>SUM(G26)</f>
        <v>183010.44</v>
      </c>
    </row>
    <row r="31" spans="1:9" ht="15" thickBot="1" x14ac:dyDescent="0.35"/>
    <row r="32" spans="1:9" ht="15" thickBot="1" x14ac:dyDescent="0.35">
      <c r="I32" s="79"/>
    </row>
    <row r="33" spans="1:5" x14ac:dyDescent="0.3">
      <c r="A33" s="149" t="s">
        <v>187</v>
      </c>
      <c r="B33" s="150"/>
      <c r="C33" s="150"/>
      <c r="D33" s="150"/>
      <c r="E33" s="150"/>
    </row>
    <row r="34" spans="1:5" x14ac:dyDescent="0.3">
      <c r="A34" s="136" t="s">
        <v>137</v>
      </c>
      <c r="B34" s="136" t="s">
        <v>138</v>
      </c>
      <c r="C34" s="136" t="s">
        <v>202</v>
      </c>
      <c r="D34" s="151" t="s">
        <v>139</v>
      </c>
      <c r="E34" s="151" t="s">
        <v>203</v>
      </c>
    </row>
    <row r="35" spans="1:5" x14ac:dyDescent="0.3">
      <c r="A35" s="137" t="s">
        <v>157</v>
      </c>
      <c r="B35" s="145">
        <v>45870</v>
      </c>
      <c r="C35" s="146" t="s">
        <v>140</v>
      </c>
      <c r="D35" s="147">
        <v>2756.38</v>
      </c>
      <c r="E35" s="148" t="s">
        <v>11</v>
      </c>
    </row>
    <row r="36" spans="1:5" x14ac:dyDescent="0.3">
      <c r="A36" s="137" t="s">
        <v>157</v>
      </c>
      <c r="B36" s="145">
        <v>45899</v>
      </c>
      <c r="C36" s="146" t="s">
        <v>140</v>
      </c>
      <c r="D36" s="147">
        <v>4266.79</v>
      </c>
      <c r="E36" s="148" t="s">
        <v>11</v>
      </c>
    </row>
    <row r="37" spans="1:5" ht="27.6" x14ac:dyDescent="0.3">
      <c r="A37" s="137" t="s">
        <v>157</v>
      </c>
      <c r="B37" s="139">
        <v>45879</v>
      </c>
      <c r="C37" s="140" t="s">
        <v>200</v>
      </c>
      <c r="D37" s="147">
        <v>2166.7199999999998</v>
      </c>
      <c r="E37" s="137" t="s">
        <v>191</v>
      </c>
    </row>
    <row r="38" spans="1:5" ht="27.6" x14ac:dyDescent="0.3">
      <c r="A38" s="137" t="s">
        <v>157</v>
      </c>
      <c r="B38" s="139">
        <v>45879</v>
      </c>
      <c r="C38" s="140" t="s">
        <v>200</v>
      </c>
      <c r="D38" s="147">
        <v>30</v>
      </c>
      <c r="E38" s="137" t="s">
        <v>191</v>
      </c>
    </row>
    <row r="39" spans="1:5" ht="27.6" x14ac:dyDescent="0.3">
      <c r="A39" s="137" t="s">
        <v>157</v>
      </c>
      <c r="B39" s="139">
        <v>45880</v>
      </c>
      <c r="C39" s="140" t="s">
        <v>197</v>
      </c>
      <c r="D39" s="147">
        <v>845.88</v>
      </c>
      <c r="E39" s="137" t="s">
        <v>191</v>
      </c>
    </row>
    <row r="40" spans="1:5" ht="27.6" x14ac:dyDescent="0.3">
      <c r="A40" s="137" t="s">
        <v>157</v>
      </c>
      <c r="B40" s="139">
        <v>45889</v>
      </c>
      <c r="C40" s="140" t="s">
        <v>201</v>
      </c>
      <c r="D40" s="147">
        <v>378.01</v>
      </c>
      <c r="E40" s="142" t="s">
        <v>194</v>
      </c>
    </row>
    <row r="41" spans="1:5" ht="27.6" x14ac:dyDescent="0.3">
      <c r="A41" s="137" t="s">
        <v>157</v>
      </c>
      <c r="B41" s="139">
        <v>45910</v>
      </c>
      <c r="C41" s="140" t="s">
        <v>200</v>
      </c>
      <c r="D41" s="147">
        <v>2043.48</v>
      </c>
      <c r="E41" s="137" t="s">
        <v>191</v>
      </c>
    </row>
    <row r="42" spans="1:5" ht="27.6" x14ac:dyDescent="0.3">
      <c r="A42" s="137" t="s">
        <v>157</v>
      </c>
      <c r="B42" s="139">
        <v>45910</v>
      </c>
      <c r="C42" s="140" t="s">
        <v>200</v>
      </c>
      <c r="D42" s="147">
        <v>30</v>
      </c>
      <c r="E42" s="137" t="s">
        <v>191</v>
      </c>
    </row>
    <row r="43" spans="1:5" ht="27.6" x14ac:dyDescent="0.3">
      <c r="A43" s="137" t="s">
        <v>157</v>
      </c>
      <c r="B43" s="143">
        <v>45910</v>
      </c>
      <c r="C43" s="144" t="s">
        <v>197</v>
      </c>
      <c r="D43" s="147">
        <v>798</v>
      </c>
      <c r="E43" s="141" t="s">
        <v>191</v>
      </c>
    </row>
    <row r="44" spans="1:5" x14ac:dyDescent="0.3">
      <c r="C44" s="135"/>
      <c r="D44" s="180">
        <f>SUM(D35:D43)</f>
        <v>13315.259999999998</v>
      </c>
    </row>
    <row r="47" spans="1:5" x14ac:dyDescent="0.3">
      <c r="A47" s="90" t="s">
        <v>134</v>
      </c>
      <c r="B47" s="91"/>
    </row>
    <row r="48" spans="1:5" x14ac:dyDescent="0.3">
      <c r="A48" s="67">
        <v>2025</v>
      </c>
      <c r="B48" s="11">
        <v>11200</v>
      </c>
    </row>
    <row r="49" spans="1:2" x14ac:dyDescent="0.3">
      <c r="A49" s="67">
        <v>2026</v>
      </c>
      <c r="B49" s="27"/>
    </row>
    <row r="50" spans="1:2" x14ac:dyDescent="0.3">
      <c r="B50" s="11">
        <f>SUM(B48:B49)</f>
        <v>11200</v>
      </c>
    </row>
    <row r="54" spans="1:2" x14ac:dyDescent="0.3">
      <c r="A54" s="22" t="s">
        <v>135</v>
      </c>
      <c r="B54" s="65">
        <f>SUM(G19+G29+D44+B50)</f>
        <v>337859.41000000003</v>
      </c>
    </row>
  </sheetData>
  <mergeCells count="4">
    <mergeCell ref="A13:G13"/>
    <mergeCell ref="A47:B47"/>
    <mergeCell ref="A21:G21"/>
    <mergeCell ref="A33:E3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BC8D-DC63-48D5-A5C1-72812B89D22B}">
  <dimension ref="A1:K112"/>
  <sheetViews>
    <sheetView showGridLines="0" topLeftCell="A85" workbookViewId="0">
      <selection activeCell="A74" sqref="A74:H74"/>
    </sheetView>
  </sheetViews>
  <sheetFormatPr defaultRowHeight="14.4" x14ac:dyDescent="0.3"/>
  <cols>
    <col min="1" max="1" width="35.77734375" bestFit="1" customWidth="1"/>
    <col min="2" max="2" width="20.77734375" bestFit="1" customWidth="1"/>
    <col min="3" max="3" width="47.33203125" bestFit="1" customWidth="1"/>
    <col min="4" max="4" width="16" bestFit="1" customWidth="1"/>
    <col min="5" max="5" width="15.6640625" bestFit="1" customWidth="1"/>
    <col min="6" max="6" width="22.5546875" bestFit="1" customWidth="1"/>
    <col min="7" max="7" width="18" bestFit="1" customWidth="1"/>
    <col min="8" max="8" width="15.6640625" bestFit="1" customWidth="1"/>
  </cols>
  <sheetData>
    <row r="1" spans="1:6" x14ac:dyDescent="0.3">
      <c r="A1" s="14" t="s">
        <v>78</v>
      </c>
      <c r="B1" s="14" t="s">
        <v>87</v>
      </c>
      <c r="C1" s="1" t="s">
        <v>0</v>
      </c>
      <c r="D1" s="36" t="s">
        <v>112</v>
      </c>
      <c r="E1" s="18" t="s">
        <v>113</v>
      </c>
      <c r="F1" s="1" t="s">
        <v>2</v>
      </c>
    </row>
    <row r="2" spans="1:6" s="4" customFormat="1" ht="13.8" x14ac:dyDescent="0.3">
      <c r="A2" s="2" t="s">
        <v>86</v>
      </c>
      <c r="B2" s="2" t="s">
        <v>93</v>
      </c>
      <c r="C2" s="2" t="s">
        <v>27</v>
      </c>
      <c r="D2" s="3">
        <v>265.77999999999997</v>
      </c>
      <c r="E2" s="3">
        <v>257.81</v>
      </c>
      <c r="F2" s="2" t="s">
        <v>28</v>
      </c>
    </row>
    <row r="3" spans="1:6" s="4" customFormat="1" ht="13.8" x14ac:dyDescent="0.3">
      <c r="A3" s="2" t="s">
        <v>86</v>
      </c>
      <c r="B3" s="2" t="s">
        <v>93</v>
      </c>
      <c r="C3" s="2" t="s">
        <v>29</v>
      </c>
      <c r="D3" s="3">
        <v>39623.094945000004</v>
      </c>
      <c r="E3" s="3">
        <v>39623.094945000004</v>
      </c>
      <c r="F3" s="2" t="s">
        <v>4</v>
      </c>
    </row>
    <row r="4" spans="1:6" s="4" customFormat="1" ht="13.8" x14ac:dyDescent="0.3">
      <c r="A4" s="2" t="s">
        <v>86</v>
      </c>
      <c r="B4" s="2" t="s">
        <v>93</v>
      </c>
      <c r="C4" s="2" t="s">
        <v>30</v>
      </c>
      <c r="D4" s="3">
        <v>28302.203519999999</v>
      </c>
      <c r="E4" s="3">
        <v>28302.203519999999</v>
      </c>
      <c r="F4" s="2" t="s">
        <v>4</v>
      </c>
    </row>
    <row r="5" spans="1:6" s="4" customFormat="1" ht="13.8" x14ac:dyDescent="0.3">
      <c r="A5" s="2" t="s">
        <v>86</v>
      </c>
      <c r="B5" s="2" t="s">
        <v>93</v>
      </c>
      <c r="C5" s="2" t="s">
        <v>31</v>
      </c>
      <c r="D5" s="3">
        <v>33928.741789714288</v>
      </c>
      <c r="E5" s="3">
        <v>33928.741789714288</v>
      </c>
      <c r="F5" s="2" t="s">
        <v>4</v>
      </c>
    </row>
    <row r="6" spans="1:6" s="4" customFormat="1" ht="13.8" x14ac:dyDescent="0.3">
      <c r="A6" s="2" t="s">
        <v>86</v>
      </c>
      <c r="B6" s="2" t="s">
        <v>93</v>
      </c>
      <c r="C6" s="2" t="s">
        <v>32</v>
      </c>
      <c r="D6" s="3">
        <v>28302.203519999999</v>
      </c>
      <c r="E6" s="3">
        <v>28302.203519999999</v>
      </c>
      <c r="F6" s="2" t="s">
        <v>4</v>
      </c>
    </row>
    <row r="7" spans="1:6" s="4" customFormat="1" ht="13.8" x14ac:dyDescent="0.3">
      <c r="A7" s="2" t="s">
        <v>86</v>
      </c>
      <c r="B7" s="2" t="s">
        <v>93</v>
      </c>
      <c r="C7" s="2" t="s">
        <v>33</v>
      </c>
      <c r="D7" s="3">
        <v>39623.093831999999</v>
      </c>
      <c r="E7" s="3">
        <v>39623.093831999999</v>
      </c>
      <c r="F7" s="2" t="s">
        <v>4</v>
      </c>
    </row>
    <row r="8" spans="1:6" s="4" customFormat="1" ht="13.8" x14ac:dyDescent="0.3">
      <c r="A8" s="2" t="s">
        <v>86</v>
      </c>
      <c r="B8" s="2" t="s">
        <v>93</v>
      </c>
      <c r="C8" s="2" t="s">
        <v>32</v>
      </c>
      <c r="D8" s="3">
        <v>33526.763999999996</v>
      </c>
      <c r="E8" s="3">
        <v>33526.763999999996</v>
      </c>
      <c r="F8" s="2" t="s">
        <v>17</v>
      </c>
    </row>
    <row r="9" spans="1:6" s="4" customFormat="1" ht="13.8" x14ac:dyDescent="0.3">
      <c r="A9" s="2" t="s">
        <v>86</v>
      </c>
      <c r="B9" s="2" t="s">
        <v>93</v>
      </c>
      <c r="C9" s="2" t="s">
        <v>34</v>
      </c>
      <c r="D9" s="3">
        <v>28341.641879999999</v>
      </c>
      <c r="E9" s="3">
        <v>28341.641879999999</v>
      </c>
      <c r="F9" s="2" t="s">
        <v>4</v>
      </c>
    </row>
    <row r="10" spans="1:6" s="4" customFormat="1" ht="13.8" x14ac:dyDescent="0.3">
      <c r="A10" s="2" t="s">
        <v>86</v>
      </c>
      <c r="B10" s="2" t="s">
        <v>93</v>
      </c>
      <c r="C10" s="2" t="s">
        <v>35</v>
      </c>
      <c r="D10" s="3">
        <v>28273.972751999998</v>
      </c>
      <c r="E10" s="3">
        <v>28273.972751999998</v>
      </c>
      <c r="F10" s="2" t="s">
        <v>4</v>
      </c>
    </row>
    <row r="11" spans="1:6" s="4" customFormat="1" ht="13.8" x14ac:dyDescent="0.3">
      <c r="A11" s="2" t="s">
        <v>86</v>
      </c>
      <c r="B11" s="2" t="s">
        <v>93</v>
      </c>
      <c r="C11" s="2" t="s">
        <v>36</v>
      </c>
      <c r="D11" s="3">
        <v>11320.881407999999</v>
      </c>
      <c r="E11" s="3">
        <v>11320.881407999999</v>
      </c>
      <c r="F11" s="2" t="s">
        <v>4</v>
      </c>
    </row>
    <row r="12" spans="1:6" s="4" customFormat="1" ht="13.8" x14ac:dyDescent="0.3">
      <c r="A12" s="2" t="s">
        <v>86</v>
      </c>
      <c r="B12" s="2" t="s">
        <v>93</v>
      </c>
      <c r="C12" s="2" t="s">
        <v>37</v>
      </c>
      <c r="D12" s="3">
        <v>28273.972751999998</v>
      </c>
      <c r="E12" s="3">
        <v>28273.972751999998</v>
      </c>
      <c r="F12" s="2" t="s">
        <v>4</v>
      </c>
    </row>
    <row r="13" spans="1:6" s="4" customFormat="1" ht="13.8" x14ac:dyDescent="0.3">
      <c r="A13" s="2" t="s">
        <v>86</v>
      </c>
      <c r="B13" s="2" t="s">
        <v>93</v>
      </c>
      <c r="C13" s="2" t="s">
        <v>38</v>
      </c>
      <c r="D13" s="3">
        <v>39623.094945000004</v>
      </c>
      <c r="E13" s="3">
        <v>39623.094945000004</v>
      </c>
      <c r="F13" s="2" t="s">
        <v>4</v>
      </c>
    </row>
    <row r="14" spans="1:6" s="4" customFormat="1" ht="13.8" x14ac:dyDescent="0.3">
      <c r="A14" s="2" t="s">
        <v>86</v>
      </c>
      <c r="B14" s="2" t="s">
        <v>93</v>
      </c>
      <c r="C14" s="2" t="s">
        <v>39</v>
      </c>
      <c r="D14" s="3">
        <v>28302.203519999999</v>
      </c>
      <c r="E14" s="3">
        <v>28302.203519999999</v>
      </c>
      <c r="F14" s="2" t="s">
        <v>4</v>
      </c>
    </row>
    <row r="15" spans="1:6" s="4" customFormat="1" ht="13.8" x14ac:dyDescent="0.3">
      <c r="A15" s="2" t="s">
        <v>86</v>
      </c>
      <c r="B15" s="2" t="s">
        <v>93</v>
      </c>
      <c r="C15" s="2" t="s">
        <v>40</v>
      </c>
      <c r="D15" s="3">
        <v>11320.881408000001</v>
      </c>
      <c r="E15" s="3">
        <v>11320.881408000001</v>
      </c>
      <c r="F15" s="2" t="s">
        <v>4</v>
      </c>
    </row>
    <row r="16" spans="1:6" s="4" customFormat="1" ht="13.8" x14ac:dyDescent="0.3">
      <c r="A16" s="2" t="s">
        <v>86</v>
      </c>
      <c r="B16" s="2" t="s">
        <v>93</v>
      </c>
      <c r="C16" s="2" t="s">
        <v>33</v>
      </c>
      <c r="D16" s="3">
        <v>3995.9243999999999</v>
      </c>
      <c r="E16" s="3">
        <v>3995.9243999999999</v>
      </c>
      <c r="F16" s="2" t="s">
        <v>9</v>
      </c>
    </row>
    <row r="17" spans="1:6" s="4" customFormat="1" ht="13.8" x14ac:dyDescent="0.3">
      <c r="A17" s="2" t="s">
        <v>86</v>
      </c>
      <c r="B17" s="2" t="s">
        <v>93</v>
      </c>
      <c r="C17" s="2" t="s">
        <v>41</v>
      </c>
      <c r="D17" s="3">
        <v>39583.537812000002</v>
      </c>
      <c r="E17" s="3">
        <v>39583.537812000002</v>
      </c>
      <c r="F17" s="2" t="s">
        <v>4</v>
      </c>
    </row>
    <row r="18" spans="1:6" s="4" customFormat="1" ht="13.8" x14ac:dyDescent="0.3">
      <c r="A18" s="2" t="s">
        <v>86</v>
      </c>
      <c r="B18" s="2" t="s">
        <v>93</v>
      </c>
      <c r="C18" s="2" t="s">
        <v>42</v>
      </c>
      <c r="D18" s="3">
        <v>39583.537812000002</v>
      </c>
      <c r="E18" s="3">
        <v>39583.537812000002</v>
      </c>
      <c r="F18" s="2" t="s">
        <v>4</v>
      </c>
    </row>
    <row r="19" spans="1:6" s="4" customFormat="1" ht="13.8" x14ac:dyDescent="0.3">
      <c r="A19" s="2" t="s">
        <v>86</v>
      </c>
      <c r="B19" s="2" t="s">
        <v>93</v>
      </c>
      <c r="C19" s="2" t="s">
        <v>43</v>
      </c>
      <c r="D19" s="10">
        <v>28302.203519999999</v>
      </c>
      <c r="E19" s="10">
        <v>28302.203519999999</v>
      </c>
      <c r="F19" s="2" t="s">
        <v>4</v>
      </c>
    </row>
    <row r="20" spans="1:6" s="4" customFormat="1" ht="13.8" x14ac:dyDescent="0.3">
      <c r="A20" s="2" t="s">
        <v>86</v>
      </c>
      <c r="B20" s="2" t="s">
        <v>93</v>
      </c>
      <c r="C20" s="2" t="s">
        <v>43</v>
      </c>
      <c r="D20" s="10">
        <v>33526.763999999996</v>
      </c>
      <c r="E20" s="10">
        <v>33526.763999999996</v>
      </c>
      <c r="F20" s="2" t="s">
        <v>17</v>
      </c>
    </row>
    <row r="21" spans="1:6" s="4" customFormat="1" ht="13.8" x14ac:dyDescent="0.3">
      <c r="A21" s="2" t="s">
        <v>86</v>
      </c>
      <c r="B21" s="2" t="s">
        <v>93</v>
      </c>
      <c r="C21" s="2" t="s">
        <v>121</v>
      </c>
      <c r="D21" s="10">
        <v>39623.093831999999</v>
      </c>
      <c r="E21" s="10">
        <v>39623.093831999999</v>
      </c>
      <c r="F21" s="2" t="s">
        <v>4</v>
      </c>
    </row>
    <row r="22" spans="1:6" s="4" customFormat="1" ht="13.8" x14ac:dyDescent="0.3">
      <c r="A22" s="2" t="s">
        <v>86</v>
      </c>
      <c r="B22" s="2" t="s">
        <v>93</v>
      </c>
      <c r="C22" s="2" t="s">
        <v>44</v>
      </c>
      <c r="D22" s="10">
        <v>11320.884</v>
      </c>
      <c r="E22" s="10">
        <v>11320.884</v>
      </c>
      <c r="F22" s="2" t="s">
        <v>4</v>
      </c>
    </row>
    <row r="23" spans="1:6" s="4" customFormat="1" ht="13.8" x14ac:dyDescent="0.3">
      <c r="A23" s="2" t="s">
        <v>86</v>
      </c>
      <c r="B23" s="2" t="s">
        <v>93</v>
      </c>
      <c r="C23" s="2" t="s">
        <v>118</v>
      </c>
      <c r="D23" s="10">
        <v>28302.203519999999</v>
      </c>
      <c r="E23" s="10">
        <v>28302.203519999999</v>
      </c>
      <c r="F23" s="2" t="s">
        <v>4</v>
      </c>
    </row>
    <row r="24" spans="1:6" s="4" customFormat="1" ht="13.8" x14ac:dyDescent="0.3">
      <c r="A24" s="2" t="s">
        <v>86</v>
      </c>
      <c r="B24" s="2" t="s">
        <v>93</v>
      </c>
      <c r="C24" s="2" t="s">
        <v>116</v>
      </c>
      <c r="D24" s="10">
        <v>28302.203519999999</v>
      </c>
      <c r="E24" s="10">
        <v>28302.203519999999</v>
      </c>
      <c r="F24" s="2" t="s">
        <v>4</v>
      </c>
    </row>
    <row r="25" spans="1:6" s="4" customFormat="1" ht="13.8" x14ac:dyDescent="0.3">
      <c r="A25" s="2" t="s">
        <v>86</v>
      </c>
      <c r="B25" s="2" t="s">
        <v>93</v>
      </c>
      <c r="C25" s="2" t="s">
        <v>119</v>
      </c>
      <c r="D25" s="10">
        <v>31245</v>
      </c>
      <c r="E25" s="10">
        <v>31245</v>
      </c>
      <c r="F25" s="2" t="s">
        <v>4</v>
      </c>
    </row>
    <row r="26" spans="1:6" s="4" customFormat="1" ht="13.8" x14ac:dyDescent="0.3">
      <c r="A26" s="2" t="s">
        <v>86</v>
      </c>
      <c r="B26" s="2" t="s">
        <v>93</v>
      </c>
      <c r="C26" s="2" t="s">
        <v>117</v>
      </c>
      <c r="D26" s="10">
        <v>22098.58</v>
      </c>
      <c r="E26" s="10">
        <v>22098.58</v>
      </c>
      <c r="F26" s="2" t="s">
        <v>4</v>
      </c>
    </row>
    <row r="27" spans="1:6" s="4" customFormat="1" ht="13.8" x14ac:dyDescent="0.3">
      <c r="A27" s="2" t="s">
        <v>86</v>
      </c>
      <c r="B27" s="2" t="s">
        <v>93</v>
      </c>
      <c r="C27" s="2" t="s">
        <v>45</v>
      </c>
      <c r="D27" s="10">
        <v>11320.881407999999</v>
      </c>
      <c r="E27" s="10">
        <v>11320.881407999999</v>
      </c>
      <c r="F27" s="2" t="s">
        <v>4</v>
      </c>
    </row>
    <row r="28" spans="1:6" s="4" customFormat="1" x14ac:dyDescent="0.3">
      <c r="A28" s="2" t="s">
        <v>86</v>
      </c>
      <c r="B28" s="2" t="s">
        <v>93</v>
      </c>
      <c r="C28" s="2" t="s">
        <v>120</v>
      </c>
      <c r="D28" s="11">
        <v>28302.21</v>
      </c>
      <c r="E28" s="11">
        <v>28302.21</v>
      </c>
      <c r="F28" s="2" t="s">
        <v>4</v>
      </c>
    </row>
    <row r="29" spans="1:6" s="4" customFormat="1" x14ac:dyDescent="0.3">
      <c r="A29" s="2" t="s">
        <v>86</v>
      </c>
      <c r="B29" s="2" t="s">
        <v>93</v>
      </c>
      <c r="C29" s="2" t="s">
        <v>120</v>
      </c>
      <c r="D29" s="11">
        <v>33526.763999999996</v>
      </c>
      <c r="E29" s="11">
        <v>33526.763999999996</v>
      </c>
      <c r="F29" s="2" t="s">
        <v>17</v>
      </c>
    </row>
    <row r="30" spans="1:6" s="4" customFormat="1" ht="13.8" x14ac:dyDescent="0.3">
      <c r="A30" s="2" t="s">
        <v>86</v>
      </c>
      <c r="B30" s="2" t="s">
        <v>93</v>
      </c>
      <c r="C30" s="2" t="s">
        <v>46</v>
      </c>
      <c r="D30" s="12">
        <v>12480</v>
      </c>
      <c r="E30" s="12">
        <v>12480</v>
      </c>
      <c r="F30" s="2" t="s">
        <v>4</v>
      </c>
    </row>
    <row r="31" spans="1:6" s="4" customFormat="1" ht="13.8" x14ac:dyDescent="0.3">
      <c r="A31" s="2" t="s">
        <v>86</v>
      </c>
      <c r="B31" s="2" t="s">
        <v>93</v>
      </c>
      <c r="C31" s="2" t="s">
        <v>47</v>
      </c>
      <c r="D31" s="12">
        <v>8320</v>
      </c>
      <c r="E31" s="12">
        <v>8320</v>
      </c>
      <c r="F31" s="2" t="s">
        <v>4</v>
      </c>
    </row>
    <row r="32" spans="1:6" s="4" customFormat="1" ht="13.8" x14ac:dyDescent="0.3">
      <c r="A32" s="2" t="s">
        <v>86</v>
      </c>
      <c r="B32" s="2" t="s">
        <v>93</v>
      </c>
      <c r="C32" s="2" t="s">
        <v>48</v>
      </c>
      <c r="D32" s="12">
        <v>8320</v>
      </c>
      <c r="E32" s="12">
        <v>8320</v>
      </c>
      <c r="F32" s="2" t="s">
        <v>4</v>
      </c>
    </row>
    <row r="33" spans="1:6" s="4" customFormat="1" ht="13.8" x14ac:dyDescent="0.3">
      <c r="A33" s="2" t="s">
        <v>86</v>
      </c>
      <c r="B33" s="2" t="s">
        <v>93</v>
      </c>
      <c r="C33" s="2" t="s">
        <v>49</v>
      </c>
      <c r="D33" s="12">
        <v>8320</v>
      </c>
      <c r="E33" s="12">
        <v>8320</v>
      </c>
      <c r="F33" s="2" t="s">
        <v>4</v>
      </c>
    </row>
    <row r="34" spans="1:6" s="4" customFormat="1" ht="13.8" x14ac:dyDescent="0.3">
      <c r="A34" s="2" t="s">
        <v>86</v>
      </c>
      <c r="B34" s="2" t="s">
        <v>93</v>
      </c>
      <c r="C34" s="2" t="s">
        <v>50</v>
      </c>
      <c r="D34" s="12">
        <v>8320</v>
      </c>
      <c r="E34" s="12">
        <v>8320</v>
      </c>
      <c r="F34" s="2" t="s">
        <v>4</v>
      </c>
    </row>
    <row r="35" spans="1:6" s="4" customFormat="1" ht="13.8" x14ac:dyDescent="0.3">
      <c r="A35" s="2" t="s">
        <v>86</v>
      </c>
      <c r="B35" s="2" t="s">
        <v>93</v>
      </c>
      <c r="C35" s="2" t="s">
        <v>51</v>
      </c>
      <c r="D35" s="12">
        <v>8320</v>
      </c>
      <c r="E35" s="12">
        <v>8320</v>
      </c>
      <c r="F35" s="2" t="s">
        <v>4</v>
      </c>
    </row>
    <row r="36" spans="1:6" s="4" customFormat="1" ht="13.8" x14ac:dyDescent="0.3">
      <c r="A36" s="2" t="s">
        <v>86</v>
      </c>
      <c r="B36" s="2" t="s">
        <v>93</v>
      </c>
      <c r="C36" s="2" t="s">
        <v>52</v>
      </c>
      <c r="D36" s="12">
        <v>8320</v>
      </c>
      <c r="E36" s="12">
        <v>8320</v>
      </c>
      <c r="F36" s="2" t="s">
        <v>4</v>
      </c>
    </row>
    <row r="37" spans="1:6" s="4" customFormat="1" ht="13.8" x14ac:dyDescent="0.3">
      <c r="A37" s="2" t="s">
        <v>86</v>
      </c>
      <c r="B37" s="2" t="s">
        <v>93</v>
      </c>
      <c r="C37" s="2" t="s">
        <v>53</v>
      </c>
      <c r="D37" s="12">
        <v>8320</v>
      </c>
      <c r="E37" s="12">
        <v>8320</v>
      </c>
      <c r="F37" s="2" t="s">
        <v>4</v>
      </c>
    </row>
    <row r="38" spans="1:6" s="4" customFormat="1" ht="13.8" x14ac:dyDescent="0.3">
      <c r="A38" s="2" t="s">
        <v>86</v>
      </c>
      <c r="B38" s="2" t="s">
        <v>93</v>
      </c>
      <c r="C38" s="2" t="s">
        <v>54</v>
      </c>
      <c r="D38" s="12">
        <v>8320</v>
      </c>
      <c r="E38" s="12">
        <v>8320</v>
      </c>
      <c r="F38" s="2" t="s">
        <v>4</v>
      </c>
    </row>
    <row r="39" spans="1:6" s="4" customFormat="1" ht="13.8" x14ac:dyDescent="0.3">
      <c r="A39" s="2" t="s">
        <v>86</v>
      </c>
      <c r="B39" s="2" t="s">
        <v>93</v>
      </c>
      <c r="C39" s="2" t="s">
        <v>55</v>
      </c>
      <c r="D39" s="12">
        <v>12480</v>
      </c>
      <c r="E39" s="12">
        <v>12480</v>
      </c>
      <c r="F39" s="2" t="s">
        <v>4</v>
      </c>
    </row>
    <row r="40" spans="1:6" s="4" customFormat="1" ht="13.8" x14ac:dyDescent="0.3">
      <c r="A40" s="2" t="s">
        <v>86</v>
      </c>
      <c r="B40" s="2" t="s">
        <v>93</v>
      </c>
      <c r="C40" s="2" t="s">
        <v>56</v>
      </c>
      <c r="D40" s="12">
        <v>8320</v>
      </c>
      <c r="E40" s="12">
        <v>8320</v>
      </c>
      <c r="F40" s="2" t="s">
        <v>4</v>
      </c>
    </row>
    <row r="41" spans="1:6" s="4" customFormat="1" ht="13.8" x14ac:dyDescent="0.3">
      <c r="A41" s="2" t="s">
        <v>86</v>
      </c>
      <c r="B41" s="2" t="s">
        <v>93</v>
      </c>
      <c r="C41" s="2" t="s">
        <v>57</v>
      </c>
      <c r="D41" s="12">
        <v>8320</v>
      </c>
      <c r="E41" s="12">
        <v>8320</v>
      </c>
      <c r="F41" s="2" t="s">
        <v>4</v>
      </c>
    </row>
    <row r="42" spans="1:6" s="4" customFormat="1" ht="13.8" x14ac:dyDescent="0.3">
      <c r="A42" s="2" t="s">
        <v>86</v>
      </c>
      <c r="B42" s="2" t="s">
        <v>93</v>
      </c>
      <c r="C42" s="2" t="s">
        <v>58</v>
      </c>
      <c r="D42" s="12">
        <v>8320</v>
      </c>
      <c r="E42" s="12">
        <v>8320</v>
      </c>
      <c r="F42" s="2" t="s">
        <v>4</v>
      </c>
    </row>
    <row r="43" spans="1:6" s="4" customFormat="1" ht="13.8" x14ac:dyDescent="0.3">
      <c r="A43" s="2" t="s">
        <v>86</v>
      </c>
      <c r="B43" s="2" t="s">
        <v>93</v>
      </c>
      <c r="C43" s="2" t="s">
        <v>59</v>
      </c>
      <c r="D43" s="12">
        <v>8320</v>
      </c>
      <c r="E43" s="12">
        <v>8320</v>
      </c>
      <c r="F43" s="2" t="s">
        <v>4</v>
      </c>
    </row>
    <row r="44" spans="1:6" s="4" customFormat="1" ht="13.8" x14ac:dyDescent="0.3">
      <c r="A44" s="2" t="s">
        <v>86</v>
      </c>
      <c r="B44" s="2" t="s">
        <v>93</v>
      </c>
      <c r="C44" s="2" t="s">
        <v>60</v>
      </c>
      <c r="D44" s="12">
        <v>8320</v>
      </c>
      <c r="E44" s="12">
        <v>8320</v>
      </c>
      <c r="F44" s="2" t="s">
        <v>4</v>
      </c>
    </row>
    <row r="45" spans="1:6" s="4" customFormat="1" ht="13.8" x14ac:dyDescent="0.3">
      <c r="A45" s="2" t="s">
        <v>86</v>
      </c>
      <c r="B45" s="2" t="s">
        <v>93</v>
      </c>
      <c r="C45" s="2" t="s">
        <v>61</v>
      </c>
      <c r="D45" s="12">
        <v>8320</v>
      </c>
      <c r="E45" s="12">
        <v>8320</v>
      </c>
      <c r="F45" s="2" t="s">
        <v>4</v>
      </c>
    </row>
    <row r="46" spans="1:6" s="4" customFormat="1" ht="13.8" x14ac:dyDescent="0.3">
      <c r="A46" s="2" t="s">
        <v>86</v>
      </c>
      <c r="B46" s="2" t="s">
        <v>93</v>
      </c>
      <c r="C46" s="2" t="s">
        <v>62</v>
      </c>
      <c r="D46" s="12">
        <v>8320</v>
      </c>
      <c r="E46" s="12">
        <v>8320</v>
      </c>
      <c r="F46" s="2" t="s">
        <v>4</v>
      </c>
    </row>
    <row r="47" spans="1:6" s="4" customFormat="1" ht="13.8" x14ac:dyDescent="0.3">
      <c r="A47" s="2" t="s">
        <v>86</v>
      </c>
      <c r="B47" s="2" t="s">
        <v>93</v>
      </c>
      <c r="C47" s="2" t="s">
        <v>63</v>
      </c>
      <c r="D47" s="12">
        <v>8320</v>
      </c>
      <c r="E47" s="12">
        <v>8320</v>
      </c>
      <c r="F47" s="2" t="s">
        <v>4</v>
      </c>
    </row>
    <row r="48" spans="1:6" s="4" customFormat="1" ht="13.8" x14ac:dyDescent="0.3">
      <c r="A48" s="2" t="s">
        <v>86</v>
      </c>
      <c r="B48" s="2" t="s">
        <v>93</v>
      </c>
      <c r="C48" s="2" t="s">
        <v>64</v>
      </c>
      <c r="D48" s="12">
        <v>8320</v>
      </c>
      <c r="E48" s="12">
        <v>8320</v>
      </c>
      <c r="F48" s="2" t="s">
        <v>4</v>
      </c>
    </row>
    <row r="49" spans="1:11" s="4" customFormat="1" ht="13.8" x14ac:dyDescent="0.3">
      <c r="A49" s="2" t="s">
        <v>86</v>
      </c>
      <c r="B49" s="2" t="s">
        <v>93</v>
      </c>
      <c r="C49" s="2" t="s">
        <v>65</v>
      </c>
      <c r="D49" s="12">
        <v>8320</v>
      </c>
      <c r="E49" s="12">
        <v>8320</v>
      </c>
      <c r="F49" s="2" t="s">
        <v>4</v>
      </c>
    </row>
    <row r="50" spans="1:11" s="4" customFormat="1" ht="13.8" x14ac:dyDescent="0.3">
      <c r="A50" s="2" t="s">
        <v>86</v>
      </c>
      <c r="B50" s="2" t="s">
        <v>93</v>
      </c>
      <c r="C50" s="2" t="s">
        <v>66</v>
      </c>
      <c r="D50" s="12">
        <v>8320</v>
      </c>
      <c r="E50" s="12">
        <v>8320</v>
      </c>
      <c r="F50" s="2" t="s">
        <v>4</v>
      </c>
    </row>
    <row r="51" spans="1:11" s="4" customFormat="1" ht="13.8" x14ac:dyDescent="0.3">
      <c r="A51" s="2" t="s">
        <v>86</v>
      </c>
      <c r="B51" s="2" t="s">
        <v>93</v>
      </c>
      <c r="C51" s="2" t="s">
        <v>67</v>
      </c>
      <c r="D51" s="12">
        <v>8320</v>
      </c>
      <c r="E51" s="12">
        <v>8320</v>
      </c>
      <c r="F51" s="2" t="s">
        <v>4</v>
      </c>
    </row>
    <row r="52" spans="1:11" s="4" customFormat="1" ht="13.8" x14ac:dyDescent="0.3">
      <c r="A52" s="2" t="s">
        <v>86</v>
      </c>
      <c r="B52" s="2" t="s">
        <v>93</v>
      </c>
      <c r="C52" s="2" t="s">
        <v>68</v>
      </c>
      <c r="D52" s="12">
        <v>12480</v>
      </c>
      <c r="E52" s="12">
        <v>12480</v>
      </c>
      <c r="F52" s="2" t="s">
        <v>4</v>
      </c>
    </row>
    <row r="53" spans="1:11" s="4" customFormat="1" ht="13.8" x14ac:dyDescent="0.3">
      <c r="A53" s="2" t="s">
        <v>86</v>
      </c>
      <c r="B53" s="2" t="s">
        <v>93</v>
      </c>
      <c r="C53" s="2" t="s">
        <v>69</v>
      </c>
      <c r="D53" s="12">
        <v>8320</v>
      </c>
      <c r="E53" s="12">
        <v>8320</v>
      </c>
      <c r="F53" s="2" t="s">
        <v>4</v>
      </c>
    </row>
    <row r="54" spans="1:11" s="4" customFormat="1" ht="13.8" x14ac:dyDescent="0.3">
      <c r="A54" s="2" t="s">
        <v>86</v>
      </c>
      <c r="B54" s="2" t="s">
        <v>93</v>
      </c>
      <c r="C54" s="2" t="s">
        <v>70</v>
      </c>
      <c r="D54" s="12">
        <v>12480</v>
      </c>
      <c r="E54" s="12">
        <v>12480</v>
      </c>
      <c r="F54" s="2" t="s">
        <v>4</v>
      </c>
    </row>
    <row r="55" spans="1:11" s="4" customFormat="1" ht="13.8" x14ac:dyDescent="0.3">
      <c r="A55" s="2" t="s">
        <v>86</v>
      </c>
      <c r="B55" s="2" t="s">
        <v>93</v>
      </c>
      <c r="C55" s="2" t="s">
        <v>71</v>
      </c>
      <c r="D55" s="12">
        <v>8320</v>
      </c>
      <c r="E55" s="12">
        <v>8320</v>
      </c>
      <c r="F55" s="2" t="s">
        <v>4</v>
      </c>
    </row>
    <row r="56" spans="1:11" s="4" customFormat="1" ht="13.8" x14ac:dyDescent="0.3">
      <c r="A56" s="2" t="s">
        <v>86</v>
      </c>
      <c r="B56" s="2" t="s">
        <v>93</v>
      </c>
      <c r="C56" s="2" t="s">
        <v>72</v>
      </c>
      <c r="D56" s="12">
        <v>8320</v>
      </c>
      <c r="E56" s="12">
        <v>8320</v>
      </c>
      <c r="F56" s="2" t="s">
        <v>4</v>
      </c>
    </row>
    <row r="57" spans="1:11" s="4" customFormat="1" ht="13.8" x14ac:dyDescent="0.3">
      <c r="A57" s="2" t="s">
        <v>86</v>
      </c>
      <c r="B57" s="2" t="s">
        <v>93</v>
      </c>
      <c r="C57" s="2" t="s">
        <v>73</v>
      </c>
      <c r="D57" s="12">
        <v>8320</v>
      </c>
      <c r="E57" s="12">
        <v>8320</v>
      </c>
      <c r="F57" s="2" t="s">
        <v>4</v>
      </c>
    </row>
    <row r="58" spans="1:11" s="4" customFormat="1" ht="13.8" x14ac:dyDescent="0.3">
      <c r="A58" s="2" t="s">
        <v>86</v>
      </c>
      <c r="B58" s="2" t="s">
        <v>93</v>
      </c>
      <c r="C58" s="2" t="s">
        <v>74</v>
      </c>
      <c r="D58" s="12">
        <v>8320</v>
      </c>
      <c r="E58" s="12">
        <v>8320</v>
      </c>
      <c r="F58" s="2" t="s">
        <v>4</v>
      </c>
    </row>
    <row r="59" spans="1:11" s="4" customFormat="1" ht="13.8" x14ac:dyDescent="0.3">
      <c r="A59" s="2" t="s">
        <v>86</v>
      </c>
      <c r="B59" s="2" t="s">
        <v>93</v>
      </c>
      <c r="C59" s="2" t="s">
        <v>75</v>
      </c>
      <c r="D59" s="12">
        <v>8320</v>
      </c>
      <c r="E59" s="12">
        <v>8320</v>
      </c>
      <c r="F59" s="2" t="s">
        <v>4</v>
      </c>
    </row>
    <row r="60" spans="1:11" s="4" customFormat="1" ht="13.8" x14ac:dyDescent="0.3">
      <c r="A60" s="2" t="s">
        <v>86</v>
      </c>
      <c r="B60" s="2" t="s">
        <v>93</v>
      </c>
      <c r="C60" s="2" t="s">
        <v>76</v>
      </c>
      <c r="D60" s="12">
        <v>8320</v>
      </c>
      <c r="E60" s="12">
        <v>8320</v>
      </c>
      <c r="F60" s="2" t="s">
        <v>4</v>
      </c>
    </row>
    <row r="61" spans="1:11" s="4" customFormat="1" ht="13.8" x14ac:dyDescent="0.3">
      <c r="A61" s="2" t="s">
        <v>86</v>
      </c>
      <c r="B61" s="2" t="s">
        <v>93</v>
      </c>
      <c r="C61" s="2" t="s">
        <v>77</v>
      </c>
      <c r="D61" s="12">
        <v>8320</v>
      </c>
      <c r="E61" s="12">
        <v>8320</v>
      </c>
      <c r="F61" s="2" t="s">
        <v>4</v>
      </c>
    </row>
    <row r="62" spans="1:11" s="4" customFormat="1" ht="13.8" x14ac:dyDescent="0.3">
      <c r="A62" s="2" t="s">
        <v>86</v>
      </c>
      <c r="B62" s="2" t="s">
        <v>93</v>
      </c>
      <c r="C62" s="2" t="s">
        <v>125</v>
      </c>
      <c r="D62" s="12">
        <v>4160</v>
      </c>
      <c r="E62" s="12">
        <v>4160</v>
      </c>
      <c r="F62" s="2" t="s">
        <v>4</v>
      </c>
    </row>
    <row r="63" spans="1:11" x14ac:dyDescent="0.3">
      <c r="A63" s="2" t="s">
        <v>86</v>
      </c>
      <c r="B63" s="2" t="s">
        <v>93</v>
      </c>
      <c r="C63" s="33" t="s">
        <v>122</v>
      </c>
      <c r="D63" s="12">
        <v>12480</v>
      </c>
      <c r="E63" s="12">
        <v>12480</v>
      </c>
      <c r="F63" s="2" t="s">
        <v>4</v>
      </c>
      <c r="G63" s="4"/>
      <c r="H63" s="4"/>
      <c r="K63" s="34"/>
    </row>
    <row r="64" spans="1:11" x14ac:dyDescent="0.3">
      <c r="A64" s="2" t="s">
        <v>86</v>
      </c>
      <c r="B64" s="2" t="s">
        <v>93</v>
      </c>
      <c r="C64" s="33" t="s">
        <v>122</v>
      </c>
      <c r="D64" s="12">
        <v>12480</v>
      </c>
      <c r="E64" s="12">
        <v>12480</v>
      </c>
      <c r="F64" s="2" t="s">
        <v>4</v>
      </c>
      <c r="G64" s="4"/>
      <c r="H64" s="4"/>
    </row>
    <row r="65" spans="1:8" x14ac:dyDescent="0.3">
      <c r="A65" s="2" t="s">
        <v>86</v>
      </c>
      <c r="B65" s="2" t="s">
        <v>93</v>
      </c>
      <c r="C65" s="33" t="s">
        <v>122</v>
      </c>
      <c r="D65" s="12">
        <v>8320</v>
      </c>
      <c r="E65" s="12">
        <v>8320</v>
      </c>
      <c r="F65" s="2" t="s">
        <v>4</v>
      </c>
      <c r="G65" s="4"/>
      <c r="H65" s="4"/>
    </row>
    <row r="66" spans="1:8" x14ac:dyDescent="0.3">
      <c r="A66" s="2" t="s">
        <v>86</v>
      </c>
      <c r="B66" s="2" t="s">
        <v>93</v>
      </c>
      <c r="C66" s="33" t="s">
        <v>122</v>
      </c>
      <c r="D66" s="12">
        <v>8320</v>
      </c>
      <c r="E66" s="12">
        <v>8320</v>
      </c>
      <c r="F66" s="2" t="s">
        <v>4</v>
      </c>
      <c r="G66" s="4"/>
      <c r="H66" s="4"/>
    </row>
    <row r="67" spans="1:8" x14ac:dyDescent="0.3">
      <c r="A67" s="2" t="s">
        <v>86</v>
      </c>
      <c r="B67" s="2" t="s">
        <v>93</v>
      </c>
      <c r="C67" s="33" t="s">
        <v>123</v>
      </c>
      <c r="D67" s="12">
        <v>8320</v>
      </c>
      <c r="E67" s="12">
        <v>8320</v>
      </c>
      <c r="F67" s="2" t="s">
        <v>4</v>
      </c>
      <c r="G67" s="4"/>
      <c r="H67" s="4"/>
    </row>
    <row r="68" spans="1:8" x14ac:dyDescent="0.3">
      <c r="A68" s="2" t="s">
        <v>86</v>
      </c>
      <c r="B68" s="2" t="s">
        <v>93</v>
      </c>
      <c r="C68" s="33" t="s">
        <v>124</v>
      </c>
      <c r="D68" s="12">
        <v>8320</v>
      </c>
      <c r="E68" s="12">
        <v>8320</v>
      </c>
      <c r="F68" s="2" t="s">
        <v>4</v>
      </c>
      <c r="G68" s="4"/>
      <c r="H68" s="4"/>
    </row>
    <row r="69" spans="1:8" ht="13.8" customHeight="1" x14ac:dyDescent="0.3">
      <c r="D69" s="24">
        <f>SUM(D2:D68)</f>
        <v>1103342.3180957143</v>
      </c>
      <c r="E69" s="24">
        <f>SUM(E2:E68)</f>
        <v>1103334.3480957141</v>
      </c>
    </row>
    <row r="70" spans="1:8" ht="13.8" customHeight="1" x14ac:dyDescent="0.3"/>
    <row r="71" spans="1:8" ht="13.8" customHeight="1" x14ac:dyDescent="0.3"/>
    <row r="72" spans="1:8" ht="13.8" customHeight="1" x14ac:dyDescent="0.3">
      <c r="A72" s="22" t="s">
        <v>110</v>
      </c>
      <c r="B72" s="22">
        <v>33</v>
      </c>
    </row>
    <row r="74" spans="1:8" x14ac:dyDescent="0.3">
      <c r="A74" s="92" t="s">
        <v>105</v>
      </c>
      <c r="B74" s="92"/>
      <c r="C74" s="92"/>
      <c r="D74" s="92"/>
      <c r="E74" s="92"/>
      <c r="F74" s="92"/>
      <c r="G74" s="92"/>
      <c r="H74" s="92"/>
    </row>
    <row r="75" spans="1:8" s="21" customFormat="1" x14ac:dyDescent="0.3">
      <c r="A75" s="26" t="s">
        <v>94</v>
      </c>
      <c r="B75" s="26" t="s">
        <v>95</v>
      </c>
      <c r="C75" s="26" t="s">
        <v>98</v>
      </c>
      <c r="D75" s="26" t="s">
        <v>96</v>
      </c>
      <c r="E75" s="26"/>
      <c r="F75" s="26" t="s">
        <v>99</v>
      </c>
      <c r="G75" s="26" t="s">
        <v>102</v>
      </c>
      <c r="H75" s="26" t="s">
        <v>97</v>
      </c>
    </row>
    <row r="76" spans="1:8" x14ac:dyDescent="0.3">
      <c r="A76" s="27" t="s">
        <v>103</v>
      </c>
      <c r="B76" s="20">
        <v>24995.460000000003</v>
      </c>
      <c r="C76" s="27">
        <v>14</v>
      </c>
      <c r="D76" s="27">
        <v>4</v>
      </c>
      <c r="E76" s="27"/>
      <c r="F76" s="27">
        <f>C76-D76</f>
        <v>10</v>
      </c>
      <c r="G76" s="30">
        <v>2114.7600000000002</v>
      </c>
      <c r="H76" s="35">
        <f>G76*F76</f>
        <v>21147.600000000002</v>
      </c>
    </row>
    <row r="77" spans="1:8" x14ac:dyDescent="0.3">
      <c r="D77" s="23"/>
      <c r="H77" s="24"/>
    </row>
    <row r="78" spans="1:8" x14ac:dyDescent="0.3">
      <c r="H78" s="24"/>
    </row>
    <row r="79" spans="1:8" x14ac:dyDescent="0.3">
      <c r="H79" s="24"/>
    </row>
    <row r="80" spans="1:8" x14ac:dyDescent="0.3">
      <c r="A80" s="89" t="s">
        <v>111</v>
      </c>
      <c r="B80" s="89"/>
      <c r="C80" s="89"/>
      <c r="D80" s="89"/>
      <c r="E80" s="89"/>
      <c r="F80" s="89"/>
      <c r="G80" s="89"/>
    </row>
    <row r="81" spans="1:8" s="78" customFormat="1" x14ac:dyDescent="0.3">
      <c r="A81" s="75" t="s">
        <v>94</v>
      </c>
      <c r="B81" s="76" t="s">
        <v>95</v>
      </c>
      <c r="C81" s="76" t="s">
        <v>98</v>
      </c>
      <c r="D81" s="76" t="s">
        <v>96</v>
      </c>
      <c r="E81" s="76" t="s">
        <v>99</v>
      </c>
      <c r="F81" s="76" t="s">
        <v>102</v>
      </c>
      <c r="G81" s="77" t="s">
        <v>97</v>
      </c>
    </row>
    <row r="82" spans="1:8" x14ac:dyDescent="0.3">
      <c r="A82" s="19" t="s">
        <v>177</v>
      </c>
      <c r="B82" s="11">
        <v>359317.08</v>
      </c>
      <c r="C82" s="19">
        <v>60</v>
      </c>
      <c r="D82" s="19">
        <v>10</v>
      </c>
      <c r="E82" s="19">
        <f>C82-D82</f>
        <v>50</v>
      </c>
      <c r="F82" s="11">
        <v>6164.67</v>
      </c>
      <c r="G82" s="11">
        <f>F82*E82</f>
        <v>308233.5</v>
      </c>
    </row>
    <row r="83" spans="1:8" x14ac:dyDescent="0.3">
      <c r="A83" s="138" t="s">
        <v>175</v>
      </c>
      <c r="B83" s="166">
        <v>254522.05</v>
      </c>
      <c r="C83" s="138">
        <v>60</v>
      </c>
      <c r="D83" s="138">
        <v>4</v>
      </c>
      <c r="E83" s="138">
        <f>C83-D83</f>
        <v>56</v>
      </c>
      <c r="F83" s="166">
        <v>4242.03</v>
      </c>
      <c r="G83" s="166">
        <f>F83*E83</f>
        <v>237553.68</v>
      </c>
    </row>
    <row r="84" spans="1:8" x14ac:dyDescent="0.3">
      <c r="A84" s="138" t="s">
        <v>172</v>
      </c>
      <c r="B84" s="87">
        <v>33479.050000000003</v>
      </c>
      <c r="C84" s="138"/>
      <c r="D84" s="138"/>
      <c r="E84" s="138"/>
      <c r="F84" s="138"/>
      <c r="G84" s="166">
        <f>B84</f>
        <v>33479.050000000003</v>
      </c>
      <c r="H84" s="24"/>
    </row>
    <row r="85" spans="1:8" x14ac:dyDescent="0.3">
      <c r="A85" s="167" t="s">
        <v>212</v>
      </c>
      <c r="B85" s="166">
        <v>74699.44</v>
      </c>
      <c r="C85" s="138"/>
      <c r="D85" s="138"/>
      <c r="E85" s="138"/>
      <c r="F85" s="138"/>
      <c r="G85" s="166">
        <f>B85</f>
        <v>74699.44</v>
      </c>
      <c r="H85" s="24"/>
    </row>
    <row r="86" spans="1:8" x14ac:dyDescent="0.3">
      <c r="A86" s="167" t="s">
        <v>213</v>
      </c>
      <c r="B86" s="86">
        <v>4594.62</v>
      </c>
      <c r="C86" s="19"/>
      <c r="D86" s="19"/>
      <c r="E86" s="19"/>
      <c r="F86" s="19"/>
      <c r="G86" s="11">
        <f>B86</f>
        <v>4594.62</v>
      </c>
      <c r="H86" s="24"/>
    </row>
    <row r="87" spans="1:8" x14ac:dyDescent="0.3">
      <c r="G87" s="24">
        <f>SUM(G82:G86)</f>
        <v>658560.28999999992</v>
      </c>
      <c r="H87" s="24"/>
    </row>
    <row r="88" spans="1:8" x14ac:dyDescent="0.3">
      <c r="H88" s="24"/>
    </row>
    <row r="89" spans="1:8" x14ac:dyDescent="0.3">
      <c r="H89" s="24"/>
    </row>
    <row r="90" spans="1:8" x14ac:dyDescent="0.3">
      <c r="H90" s="24"/>
    </row>
    <row r="91" spans="1:8" x14ac:dyDescent="0.3">
      <c r="H91" s="24"/>
    </row>
    <row r="92" spans="1:8" ht="26.4" customHeight="1" x14ac:dyDescent="0.3">
      <c r="A92" s="97" t="s">
        <v>199</v>
      </c>
      <c r="B92" s="98"/>
      <c r="C92" s="98"/>
      <c r="D92" s="98"/>
      <c r="E92" s="98"/>
    </row>
    <row r="93" spans="1:8" x14ac:dyDescent="0.3">
      <c r="A93" s="116">
        <v>45777</v>
      </c>
      <c r="B93" s="117" t="s">
        <v>195</v>
      </c>
      <c r="C93" s="118" t="s">
        <v>196</v>
      </c>
      <c r="D93" s="119">
        <v>2086.39</v>
      </c>
      <c r="E93" s="105" t="s">
        <v>191</v>
      </c>
    </row>
    <row r="94" spans="1:8" x14ac:dyDescent="0.3">
      <c r="A94" s="120">
        <v>45879</v>
      </c>
      <c r="B94" s="107" t="s">
        <v>195</v>
      </c>
      <c r="C94" s="121" t="s">
        <v>197</v>
      </c>
      <c r="D94" s="127">
        <v>510.72</v>
      </c>
      <c r="E94" s="107" t="s">
        <v>191</v>
      </c>
    </row>
    <row r="95" spans="1:8" x14ac:dyDescent="0.3">
      <c r="A95" s="120">
        <v>45879</v>
      </c>
      <c r="B95" s="107" t="s">
        <v>195</v>
      </c>
      <c r="C95" s="106" t="s">
        <v>192</v>
      </c>
      <c r="D95" s="127">
        <v>955.74</v>
      </c>
      <c r="E95" s="107" t="s">
        <v>191</v>
      </c>
    </row>
    <row r="96" spans="1:8" ht="27.6" x14ac:dyDescent="0.3">
      <c r="A96" s="104">
        <v>45889</v>
      </c>
      <c r="B96" s="105" t="s">
        <v>195</v>
      </c>
      <c r="C96" s="106" t="s">
        <v>193</v>
      </c>
      <c r="D96" s="128">
        <v>732.34</v>
      </c>
      <c r="E96" s="123" t="s">
        <v>194</v>
      </c>
    </row>
    <row r="97" spans="1:5" x14ac:dyDescent="0.3">
      <c r="A97" s="120">
        <v>45910</v>
      </c>
      <c r="B97" s="107" t="s">
        <v>195</v>
      </c>
      <c r="C97" s="106" t="s">
        <v>192</v>
      </c>
      <c r="D97" s="127">
        <v>1426.48</v>
      </c>
      <c r="E97" s="107" t="s">
        <v>191</v>
      </c>
    </row>
    <row r="98" spans="1:5" x14ac:dyDescent="0.3">
      <c r="A98" s="124">
        <v>45910</v>
      </c>
      <c r="B98" s="114" t="s">
        <v>195</v>
      </c>
      <c r="C98" s="125" t="s">
        <v>197</v>
      </c>
      <c r="D98" s="129">
        <v>449.48</v>
      </c>
      <c r="E98" s="114" t="s">
        <v>191</v>
      </c>
    </row>
    <row r="99" spans="1:5" x14ac:dyDescent="0.3">
      <c r="A99" s="124">
        <v>45899</v>
      </c>
      <c r="B99" s="66" t="s">
        <v>195</v>
      </c>
      <c r="C99" s="131" t="s">
        <v>198</v>
      </c>
      <c r="D99" s="132">
        <v>6421.09</v>
      </c>
      <c r="E99" s="114" t="s">
        <v>11</v>
      </c>
    </row>
    <row r="100" spans="1:5" x14ac:dyDescent="0.3">
      <c r="D100" s="168">
        <f>SUM(D93:D99)</f>
        <v>12582.24</v>
      </c>
    </row>
    <row r="105" spans="1:5" x14ac:dyDescent="0.3">
      <c r="A105" s="92" t="s">
        <v>134</v>
      </c>
      <c r="B105" s="92"/>
    </row>
    <row r="106" spans="1:5" x14ac:dyDescent="0.3">
      <c r="A106" s="27">
        <v>2025</v>
      </c>
      <c r="B106" s="11">
        <v>47050.64</v>
      </c>
    </row>
    <row r="107" spans="1:5" x14ac:dyDescent="0.3">
      <c r="A107" s="27">
        <v>2026</v>
      </c>
      <c r="B107" s="11">
        <v>29196.52</v>
      </c>
    </row>
    <row r="108" spans="1:5" x14ac:dyDescent="0.3">
      <c r="B108" s="65">
        <f>SUM(B106:B107)</f>
        <v>76247.16</v>
      </c>
    </row>
    <row r="112" spans="1:5" x14ac:dyDescent="0.3">
      <c r="A112" s="22" t="s">
        <v>135</v>
      </c>
      <c r="B112" s="65">
        <f>SUM(H76+G87+D100+B108)</f>
        <v>768537.28999999992</v>
      </c>
    </row>
  </sheetData>
  <autoFilter ref="A1:F69" xr:uid="{19ABBC8D-DC63-48D5-A5C1-72812B89D22B}"/>
  <mergeCells count="4">
    <mergeCell ref="A105:B105"/>
    <mergeCell ref="A74:H74"/>
    <mergeCell ref="A80:G80"/>
    <mergeCell ref="A92:E9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F882-5FA9-4A0C-88A6-5B772A062AB7}">
  <dimension ref="A1:G41"/>
  <sheetViews>
    <sheetView showGridLines="0" topLeftCell="A18" workbookViewId="0">
      <selection activeCell="F26" sqref="F26"/>
    </sheetView>
  </sheetViews>
  <sheetFormatPr defaultRowHeight="14.4" x14ac:dyDescent="0.3"/>
  <cols>
    <col min="1" max="1" width="17.77734375" bestFit="1" customWidth="1"/>
    <col min="2" max="2" width="22" bestFit="1" customWidth="1"/>
    <col min="3" max="3" width="39.33203125" bestFit="1" customWidth="1"/>
    <col min="4" max="4" width="22.5546875" bestFit="1" customWidth="1"/>
    <col min="5" max="5" width="17.88671875" bestFit="1" customWidth="1"/>
    <col min="6" max="6" width="23.6640625" bestFit="1" customWidth="1"/>
    <col min="7" max="7" width="22.5546875" bestFit="1" customWidth="1"/>
  </cols>
  <sheetData>
    <row r="1" spans="1:7" ht="13.8" customHeight="1" x14ac:dyDescent="0.3">
      <c r="A1" s="14" t="s">
        <v>78</v>
      </c>
      <c r="B1" s="14" t="s">
        <v>87</v>
      </c>
      <c r="C1" s="1" t="s">
        <v>0</v>
      </c>
      <c r="D1" s="1" t="s">
        <v>127</v>
      </c>
      <c r="E1" s="1"/>
      <c r="F1" s="1" t="s">
        <v>2</v>
      </c>
    </row>
    <row r="2" spans="1:7" x14ac:dyDescent="0.3">
      <c r="A2" t="s">
        <v>92</v>
      </c>
      <c r="B2" t="s">
        <v>93</v>
      </c>
      <c r="C2" t="s">
        <v>126</v>
      </c>
      <c r="D2" s="8">
        <v>22930</v>
      </c>
      <c r="E2" s="8">
        <v>22930</v>
      </c>
      <c r="F2" t="s">
        <v>128</v>
      </c>
    </row>
    <row r="6" spans="1:7" x14ac:dyDescent="0.3">
      <c r="A6" s="22" t="s">
        <v>110</v>
      </c>
      <c r="B6" s="19">
        <v>83</v>
      </c>
    </row>
    <row r="9" spans="1:7" x14ac:dyDescent="0.3">
      <c r="A9" s="92" t="s">
        <v>105</v>
      </c>
      <c r="B9" s="92"/>
      <c r="C9" s="92"/>
      <c r="D9" s="92"/>
      <c r="E9" s="92"/>
      <c r="F9" s="92"/>
      <c r="G9" s="92"/>
    </row>
    <row r="10" spans="1:7" s="31" customFormat="1" x14ac:dyDescent="0.3">
      <c r="A10" s="26" t="s">
        <v>94</v>
      </c>
      <c r="B10" s="26" t="s">
        <v>95</v>
      </c>
      <c r="C10" s="26" t="s">
        <v>98</v>
      </c>
      <c r="D10" s="26" t="s">
        <v>96</v>
      </c>
      <c r="E10" s="26" t="s">
        <v>99</v>
      </c>
      <c r="F10" s="26" t="s">
        <v>102</v>
      </c>
      <c r="G10" s="26" t="s">
        <v>97</v>
      </c>
    </row>
    <row r="11" spans="1:7" s="15" customFormat="1" x14ac:dyDescent="0.3">
      <c r="A11" s="27" t="s">
        <v>100</v>
      </c>
      <c r="B11" s="30">
        <v>213687.41999999998</v>
      </c>
      <c r="C11" s="27">
        <v>37</v>
      </c>
      <c r="D11" s="27">
        <v>20</v>
      </c>
      <c r="E11" s="27">
        <f>C11-D11</f>
        <v>17</v>
      </c>
      <c r="F11" s="30">
        <v>5606.72</v>
      </c>
      <c r="G11" s="30">
        <f>F11*E11</f>
        <v>95314.240000000005</v>
      </c>
    </row>
    <row r="12" spans="1:7" x14ac:dyDescent="0.3">
      <c r="A12" s="19" t="s">
        <v>131</v>
      </c>
      <c r="B12" s="27"/>
      <c r="C12" s="27">
        <v>24</v>
      </c>
      <c r="D12" s="27">
        <v>19</v>
      </c>
      <c r="E12" s="27">
        <f>C12-D12</f>
        <v>5</v>
      </c>
      <c r="F12" s="11">
        <v>2324.5500000000002</v>
      </c>
      <c r="G12" s="11">
        <f>E12*F12</f>
        <v>11622.75</v>
      </c>
    </row>
    <row r="13" spans="1:7" x14ac:dyDescent="0.3">
      <c r="G13" s="65">
        <f>SUM(G11:G12)</f>
        <v>106936.99</v>
      </c>
    </row>
    <row r="14" spans="1:7" x14ac:dyDescent="0.3">
      <c r="G14" s="24"/>
    </row>
    <row r="15" spans="1:7" x14ac:dyDescent="0.3">
      <c r="A15" s="89" t="s">
        <v>111</v>
      </c>
      <c r="B15" s="89"/>
      <c r="C15" s="89"/>
      <c r="D15" s="89"/>
      <c r="E15" s="89"/>
      <c r="F15" s="89"/>
      <c r="G15" s="89"/>
    </row>
    <row r="16" spans="1:7" x14ac:dyDescent="0.3">
      <c r="A16" s="26" t="s">
        <v>94</v>
      </c>
      <c r="B16" s="26" t="s">
        <v>95</v>
      </c>
      <c r="C16" s="26" t="s">
        <v>98</v>
      </c>
      <c r="D16" s="26" t="s">
        <v>96</v>
      </c>
      <c r="E16" s="26" t="s">
        <v>99</v>
      </c>
      <c r="F16" s="26" t="s">
        <v>102</v>
      </c>
      <c r="G16" s="26" t="s">
        <v>97</v>
      </c>
    </row>
    <row r="17" spans="1:7" x14ac:dyDescent="0.3">
      <c r="A17" s="19" t="s">
        <v>172</v>
      </c>
      <c r="B17" s="85">
        <v>4850.6000000000004</v>
      </c>
      <c r="C17" s="19"/>
      <c r="D17" s="19"/>
      <c r="E17" s="19"/>
      <c r="F17" s="19"/>
      <c r="G17" s="65"/>
    </row>
    <row r="18" spans="1:7" x14ac:dyDescent="0.3">
      <c r="A18" s="19" t="s">
        <v>180</v>
      </c>
      <c r="B18" s="11">
        <v>4292.9399999999996</v>
      </c>
      <c r="C18" s="19">
        <v>9</v>
      </c>
      <c r="D18" s="19">
        <v>2</v>
      </c>
      <c r="E18" s="19">
        <f>C18-D18</f>
        <v>7</v>
      </c>
      <c r="F18" s="19">
        <v>504.77</v>
      </c>
      <c r="G18" s="11">
        <f>F18*E18</f>
        <v>3533.39</v>
      </c>
    </row>
    <row r="19" spans="1:7" x14ac:dyDescent="0.3">
      <c r="A19" s="19" t="s">
        <v>184</v>
      </c>
      <c r="B19" s="11">
        <v>532.70000000000005</v>
      </c>
      <c r="C19" s="19">
        <v>5</v>
      </c>
      <c r="D19" s="19">
        <v>1</v>
      </c>
      <c r="E19" s="19">
        <f>C19-D19</f>
        <v>4</v>
      </c>
      <c r="F19" s="19">
        <v>504.77</v>
      </c>
      <c r="G19" s="11">
        <f>B19*E19</f>
        <v>2130.8000000000002</v>
      </c>
    </row>
    <row r="20" spans="1:7" x14ac:dyDescent="0.3">
      <c r="A20" s="165" t="s">
        <v>214</v>
      </c>
      <c r="B20" s="166">
        <v>81715.22</v>
      </c>
      <c r="C20" s="19"/>
      <c r="D20" s="19"/>
      <c r="E20" s="19"/>
      <c r="F20" s="19"/>
      <c r="G20" s="166">
        <f>B20</f>
        <v>81715.22</v>
      </c>
    </row>
    <row r="21" spans="1:7" x14ac:dyDescent="0.3">
      <c r="A21" s="165" t="s">
        <v>213</v>
      </c>
      <c r="B21" s="87">
        <v>2858.16</v>
      </c>
      <c r="C21" s="19"/>
      <c r="D21" s="19"/>
      <c r="E21" s="19"/>
      <c r="F21" s="19"/>
      <c r="G21" s="166">
        <f>B21</f>
        <v>2858.16</v>
      </c>
    </row>
    <row r="22" spans="1:7" ht="15" customHeight="1" x14ac:dyDescent="0.3">
      <c r="G22" s="24">
        <f>SUM(G18:G21)</f>
        <v>90237.57</v>
      </c>
    </row>
    <row r="24" spans="1:7" x14ac:dyDescent="0.3">
      <c r="A24" s="97" t="s">
        <v>187</v>
      </c>
      <c r="B24" s="98"/>
      <c r="C24" s="98"/>
      <c r="D24" s="98"/>
      <c r="E24" s="98"/>
    </row>
    <row r="25" spans="1:7" ht="27.6" x14ac:dyDescent="0.3">
      <c r="A25" s="139">
        <v>45879</v>
      </c>
      <c r="B25" s="137" t="s">
        <v>158</v>
      </c>
      <c r="C25" s="183" t="s">
        <v>197</v>
      </c>
      <c r="D25" s="184">
        <v>159.6</v>
      </c>
      <c r="E25" s="137" t="s">
        <v>191</v>
      </c>
    </row>
    <row r="26" spans="1:7" ht="27.6" x14ac:dyDescent="0.3">
      <c r="A26" s="139">
        <v>45879</v>
      </c>
      <c r="B26" s="137" t="s">
        <v>158</v>
      </c>
      <c r="C26" s="183" t="s">
        <v>204</v>
      </c>
      <c r="D26" s="184">
        <v>505.95</v>
      </c>
      <c r="E26" s="137" t="s">
        <v>191</v>
      </c>
    </row>
    <row r="27" spans="1:7" ht="27.6" x14ac:dyDescent="0.3">
      <c r="A27" s="139">
        <v>45889</v>
      </c>
      <c r="B27" s="137" t="s">
        <v>158</v>
      </c>
      <c r="C27" s="183" t="s">
        <v>193</v>
      </c>
      <c r="D27" s="184">
        <v>85.59</v>
      </c>
      <c r="E27" s="142" t="s">
        <v>194</v>
      </c>
    </row>
    <row r="28" spans="1:7" ht="27.6" x14ac:dyDescent="0.3">
      <c r="A28" s="139">
        <v>45910</v>
      </c>
      <c r="B28" s="137" t="s">
        <v>158</v>
      </c>
      <c r="C28" s="183" t="s">
        <v>204</v>
      </c>
      <c r="D28" s="184">
        <v>261.77999999999997</v>
      </c>
      <c r="E28" s="137" t="s">
        <v>191</v>
      </c>
    </row>
    <row r="29" spans="1:7" ht="27.6" x14ac:dyDescent="0.3">
      <c r="A29" s="143">
        <v>45910</v>
      </c>
      <c r="B29" s="141" t="s">
        <v>158</v>
      </c>
      <c r="C29" s="186" t="s">
        <v>197</v>
      </c>
      <c r="D29" s="185">
        <v>159.6</v>
      </c>
      <c r="E29" s="141" t="s">
        <v>191</v>
      </c>
    </row>
    <row r="30" spans="1:7" x14ac:dyDescent="0.3">
      <c r="D30" s="168">
        <f>SUM(D25:D29)</f>
        <v>1172.52</v>
      </c>
    </row>
    <row r="31" spans="1:7" x14ac:dyDescent="0.3">
      <c r="D31" s="70"/>
    </row>
    <row r="32" spans="1:7" x14ac:dyDescent="0.3">
      <c r="D32" s="70"/>
    </row>
    <row r="33" spans="1:2" x14ac:dyDescent="0.3">
      <c r="A33" s="90" t="s">
        <v>134</v>
      </c>
      <c r="B33" s="91"/>
    </row>
    <row r="34" spans="1:2" x14ac:dyDescent="0.3">
      <c r="A34" s="27">
        <v>2025</v>
      </c>
      <c r="B34" s="11">
        <v>19960</v>
      </c>
    </row>
    <row r="35" spans="1:2" x14ac:dyDescent="0.3">
      <c r="A35" s="27">
        <v>2026</v>
      </c>
      <c r="B35" s="11">
        <v>16863.84</v>
      </c>
    </row>
    <row r="36" spans="1:2" x14ac:dyDescent="0.3">
      <c r="B36" s="65">
        <f>SUM(B34:B35)</f>
        <v>36823.839999999997</v>
      </c>
    </row>
    <row r="41" spans="1:2" x14ac:dyDescent="0.3">
      <c r="A41" s="22" t="s">
        <v>135</v>
      </c>
      <c r="B41" s="65">
        <f>SUM(G13+G22+D30+B36)</f>
        <v>235170.91999999998</v>
      </c>
    </row>
  </sheetData>
  <mergeCells count="4">
    <mergeCell ref="A9:G9"/>
    <mergeCell ref="A33:B33"/>
    <mergeCell ref="A15:G15"/>
    <mergeCell ref="A24:E2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D4BA-F4D9-4F11-A9C3-1C8472428D4D}">
  <dimension ref="A1:G29"/>
  <sheetViews>
    <sheetView showGridLines="0" workbookViewId="0">
      <selection activeCell="J21" sqref="J21"/>
    </sheetView>
  </sheetViews>
  <sheetFormatPr defaultColWidth="9" defaultRowHeight="14.4" x14ac:dyDescent="0.3"/>
  <cols>
    <col min="1" max="1" width="17.44140625" bestFit="1" customWidth="1"/>
    <col min="2" max="2" width="37.5546875" bestFit="1" customWidth="1"/>
    <col min="3" max="3" width="31.33203125" bestFit="1" customWidth="1"/>
    <col min="4" max="4" width="16" bestFit="1" customWidth="1"/>
    <col min="5" max="5" width="17.88671875" bestFit="1" customWidth="1"/>
    <col min="6" max="6" width="22.5546875" bestFit="1" customWidth="1"/>
    <col min="7" max="7" width="15.6640625" bestFit="1" customWidth="1"/>
  </cols>
  <sheetData>
    <row r="1" spans="1:7" ht="13.8" customHeight="1" x14ac:dyDescent="0.3">
      <c r="A1" s="14" t="s">
        <v>78</v>
      </c>
      <c r="B1" s="14" t="s">
        <v>87</v>
      </c>
      <c r="C1" s="1" t="s">
        <v>0</v>
      </c>
      <c r="D1" s="1" t="s">
        <v>127</v>
      </c>
      <c r="E1" s="1" t="s">
        <v>113</v>
      </c>
      <c r="F1" s="1" t="s">
        <v>2</v>
      </c>
    </row>
    <row r="2" spans="1:7" s="4" customFormat="1" ht="13.8" x14ac:dyDescent="0.3">
      <c r="A2" s="2" t="s">
        <v>85</v>
      </c>
      <c r="B2" s="2" t="s">
        <v>88</v>
      </c>
      <c r="C2" s="2" t="s">
        <v>26</v>
      </c>
      <c r="D2" s="3">
        <v>23638.67</v>
      </c>
      <c r="E2" s="3">
        <v>23638.67</v>
      </c>
      <c r="F2" s="2" t="s">
        <v>3</v>
      </c>
    </row>
    <row r="8" spans="1:7" x14ac:dyDescent="0.3">
      <c r="A8" s="22" t="s">
        <v>110</v>
      </c>
      <c r="B8" s="22">
        <v>52</v>
      </c>
    </row>
    <row r="11" spans="1:7" x14ac:dyDescent="0.3">
      <c r="A11" s="89" t="s">
        <v>111</v>
      </c>
      <c r="B11" s="89"/>
      <c r="C11" s="89"/>
      <c r="D11" s="89"/>
      <c r="E11" s="89"/>
      <c r="F11" s="89"/>
      <c r="G11" s="89"/>
    </row>
    <row r="12" spans="1:7" x14ac:dyDescent="0.3">
      <c r="A12" s="26" t="s">
        <v>94</v>
      </c>
      <c r="B12" s="26" t="s">
        <v>95</v>
      </c>
      <c r="C12" s="26" t="s">
        <v>98</v>
      </c>
      <c r="D12" s="26" t="s">
        <v>96</v>
      </c>
      <c r="E12" s="26" t="s">
        <v>99</v>
      </c>
      <c r="F12" s="26" t="s">
        <v>102</v>
      </c>
      <c r="G12" s="26" t="s">
        <v>97</v>
      </c>
    </row>
    <row r="13" spans="1:7" x14ac:dyDescent="0.3">
      <c r="A13" s="19" t="s">
        <v>172</v>
      </c>
      <c r="B13" s="85">
        <v>453.28</v>
      </c>
      <c r="C13" s="19"/>
      <c r="D13" s="19"/>
      <c r="E13" s="19"/>
      <c r="F13" s="19"/>
      <c r="G13" s="11">
        <f>B13</f>
        <v>453.28</v>
      </c>
    </row>
    <row r="14" spans="1:7" x14ac:dyDescent="0.3">
      <c r="A14" s="19" t="s">
        <v>184</v>
      </c>
      <c r="B14" s="19">
        <v>532.71</v>
      </c>
      <c r="C14" s="19">
        <v>5</v>
      </c>
      <c r="D14" s="19">
        <v>1</v>
      </c>
      <c r="E14" s="19">
        <f>B14-C14</f>
        <v>527.71</v>
      </c>
      <c r="F14" s="11">
        <f>B14/C14</f>
        <v>106.542</v>
      </c>
      <c r="G14" s="11">
        <f>B14-F14</f>
        <v>426.16800000000001</v>
      </c>
    </row>
    <row r="15" spans="1:7" x14ac:dyDescent="0.3">
      <c r="A15" s="165" t="s">
        <v>213</v>
      </c>
      <c r="B15" s="170">
        <v>262.33999999999997</v>
      </c>
      <c r="C15" s="19"/>
      <c r="D15" s="19"/>
      <c r="E15" s="19"/>
      <c r="F15" s="19"/>
      <c r="G15" s="11">
        <f>B15</f>
        <v>262.33999999999997</v>
      </c>
    </row>
    <row r="16" spans="1:7" x14ac:dyDescent="0.3">
      <c r="G16" s="24">
        <f>SUM(G13:G15)</f>
        <v>1141.788</v>
      </c>
    </row>
    <row r="19" spans="1:5" x14ac:dyDescent="0.3">
      <c r="A19" s="97" t="s">
        <v>187</v>
      </c>
      <c r="B19" s="98"/>
      <c r="C19" s="98"/>
      <c r="D19" s="98"/>
      <c r="E19" s="98"/>
    </row>
    <row r="20" spans="1:5" x14ac:dyDescent="0.3">
      <c r="A20" s="181" t="s">
        <v>205</v>
      </c>
      <c r="B20" s="181" t="s">
        <v>137</v>
      </c>
      <c r="C20" s="181" t="s">
        <v>206</v>
      </c>
      <c r="D20" s="182" t="s">
        <v>139</v>
      </c>
      <c r="E20" s="181" t="s">
        <v>207</v>
      </c>
    </row>
    <row r="21" spans="1:5" ht="27.6" x14ac:dyDescent="0.3">
      <c r="A21" s="139">
        <v>45879</v>
      </c>
      <c r="B21" s="137" t="s">
        <v>162</v>
      </c>
      <c r="C21" s="183" t="s">
        <v>197</v>
      </c>
      <c r="D21" s="184">
        <v>702.24</v>
      </c>
      <c r="E21" s="137" t="s">
        <v>191</v>
      </c>
    </row>
    <row r="22" spans="1:5" ht="27.6" x14ac:dyDescent="0.3">
      <c r="A22" s="139">
        <v>45879</v>
      </c>
      <c r="B22" s="137" t="s">
        <v>162</v>
      </c>
      <c r="C22" s="183" t="s">
        <v>204</v>
      </c>
      <c r="D22" s="184">
        <v>1756.47</v>
      </c>
      <c r="E22" s="137" t="s">
        <v>191</v>
      </c>
    </row>
    <row r="23" spans="1:5" ht="41.4" x14ac:dyDescent="0.3">
      <c r="A23" s="139">
        <v>45889</v>
      </c>
      <c r="B23" s="137" t="s">
        <v>162</v>
      </c>
      <c r="C23" s="183" t="s">
        <v>208</v>
      </c>
      <c r="D23" s="184">
        <v>365</v>
      </c>
      <c r="E23" s="142" t="s">
        <v>194</v>
      </c>
    </row>
    <row r="24" spans="1:5" ht="27.6" x14ac:dyDescent="0.3">
      <c r="A24" s="139">
        <v>45910</v>
      </c>
      <c r="B24" s="137" t="s">
        <v>162</v>
      </c>
      <c r="C24" s="183" t="s">
        <v>204</v>
      </c>
      <c r="D24" s="184">
        <v>1851.13</v>
      </c>
      <c r="E24" s="137" t="s">
        <v>191</v>
      </c>
    </row>
    <row r="25" spans="1:5" ht="27.6" x14ac:dyDescent="0.3">
      <c r="A25" s="143">
        <v>45910</v>
      </c>
      <c r="B25" s="141" t="s">
        <v>162</v>
      </c>
      <c r="C25" s="183" t="s">
        <v>197</v>
      </c>
      <c r="D25" s="185">
        <v>702.24</v>
      </c>
      <c r="E25" s="141" t="s">
        <v>191</v>
      </c>
    </row>
    <row r="26" spans="1:5" x14ac:dyDescent="0.3">
      <c r="D26" s="168">
        <f>SUM(D21:D25)</f>
        <v>5377.08</v>
      </c>
    </row>
    <row r="27" spans="1:5" x14ac:dyDescent="0.3">
      <c r="D27" s="70"/>
    </row>
    <row r="29" spans="1:5" x14ac:dyDescent="0.3">
      <c r="A29" s="22" t="s">
        <v>135</v>
      </c>
      <c r="B29" s="65">
        <f>SUM(G16+D26)</f>
        <v>6518.8680000000004</v>
      </c>
    </row>
  </sheetData>
  <mergeCells count="2">
    <mergeCell ref="A11:G11"/>
    <mergeCell ref="A19:E1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6734-ABDE-4C98-8338-807F6CFB9077}">
  <dimension ref="A1:G41"/>
  <sheetViews>
    <sheetView showGridLines="0" topLeftCell="A20" workbookViewId="0">
      <selection activeCell="E34" sqref="E34"/>
    </sheetView>
  </sheetViews>
  <sheetFormatPr defaultColWidth="9" defaultRowHeight="14.4" x14ac:dyDescent="0.3"/>
  <cols>
    <col min="1" max="1" width="17.88671875" bestFit="1" customWidth="1"/>
    <col min="2" max="2" width="20.44140625" bestFit="1" customWidth="1"/>
    <col min="3" max="3" width="31.6640625" bestFit="1" customWidth="1"/>
    <col min="4" max="4" width="12.88671875" bestFit="1" customWidth="1"/>
    <col min="5" max="5" width="17.88671875" bestFit="1" customWidth="1"/>
    <col min="6" max="6" width="22.5546875" bestFit="1" customWidth="1"/>
    <col min="7" max="7" width="15.6640625" bestFit="1" customWidth="1"/>
  </cols>
  <sheetData>
    <row r="1" spans="1:7" ht="13.8" customHeight="1" x14ac:dyDescent="0.3">
      <c r="A1" s="41" t="s">
        <v>78</v>
      </c>
      <c r="B1" s="41" t="s">
        <v>87</v>
      </c>
      <c r="C1" s="18" t="s">
        <v>0</v>
      </c>
      <c r="D1" s="18" t="s">
        <v>1</v>
      </c>
      <c r="E1" s="18" t="s">
        <v>113</v>
      </c>
      <c r="F1" s="18" t="s">
        <v>2</v>
      </c>
    </row>
    <row r="2" spans="1:7" s="4" customFormat="1" ht="13.8" x14ac:dyDescent="0.3">
      <c r="A2" s="2" t="s">
        <v>84</v>
      </c>
      <c r="B2" s="2" t="s">
        <v>89</v>
      </c>
      <c r="C2" s="2" t="s">
        <v>23</v>
      </c>
      <c r="D2" s="3">
        <v>19184.169999999998</v>
      </c>
      <c r="E2" s="3">
        <v>17956.39</v>
      </c>
      <c r="F2" s="2" t="s">
        <v>24</v>
      </c>
    </row>
    <row r="3" spans="1:7" s="4" customFormat="1" ht="13.8" x14ac:dyDescent="0.3">
      <c r="A3" s="2" t="s">
        <v>84</v>
      </c>
      <c r="B3" s="2" t="s">
        <v>89</v>
      </c>
      <c r="C3" s="2" t="s">
        <v>25</v>
      </c>
      <c r="D3" s="3">
        <v>14466.7</v>
      </c>
      <c r="E3" s="3">
        <v>13540.84</v>
      </c>
      <c r="F3" s="2" t="s">
        <v>4</v>
      </c>
    </row>
    <row r="4" spans="1:7" s="4" customFormat="1" ht="13.8" x14ac:dyDescent="0.3">
      <c r="A4" s="2" t="s">
        <v>84</v>
      </c>
      <c r="B4" s="2" t="s">
        <v>89</v>
      </c>
      <c r="C4" s="2" t="s">
        <v>25</v>
      </c>
      <c r="D4" s="3">
        <v>1462</v>
      </c>
      <c r="E4" s="3">
        <v>1536.91</v>
      </c>
      <c r="F4" s="2" t="s">
        <v>4</v>
      </c>
    </row>
    <row r="5" spans="1:7" s="4" customFormat="1" ht="13.8" x14ac:dyDescent="0.3">
      <c r="A5" s="2" t="s">
        <v>84</v>
      </c>
      <c r="B5" s="2" t="s">
        <v>89</v>
      </c>
      <c r="C5" s="2" t="s">
        <v>129</v>
      </c>
      <c r="D5" s="3">
        <v>4935</v>
      </c>
      <c r="E5" s="3">
        <v>4935</v>
      </c>
      <c r="F5" s="2" t="s">
        <v>4</v>
      </c>
    </row>
    <row r="6" spans="1:7" x14ac:dyDescent="0.3">
      <c r="D6" s="24">
        <f>SUM(D2:D5)</f>
        <v>40047.869999999995</v>
      </c>
      <c r="E6" s="24">
        <f>SUM(E2:E5)</f>
        <v>37969.14</v>
      </c>
    </row>
    <row r="8" spans="1:7" ht="12" customHeight="1" x14ac:dyDescent="0.3"/>
    <row r="9" spans="1:7" x14ac:dyDescent="0.3">
      <c r="A9" s="22" t="s">
        <v>110</v>
      </c>
      <c r="B9" s="22">
        <v>26</v>
      </c>
    </row>
    <row r="14" spans="1:7" x14ac:dyDescent="0.3">
      <c r="A14" s="89" t="s">
        <v>111</v>
      </c>
      <c r="B14" s="89"/>
      <c r="C14" s="89"/>
      <c r="D14" s="89"/>
      <c r="E14" s="89"/>
      <c r="F14" s="89"/>
      <c r="G14" s="89"/>
    </row>
    <row r="15" spans="1:7" x14ac:dyDescent="0.3">
      <c r="A15" s="26" t="s">
        <v>94</v>
      </c>
      <c r="B15" s="26" t="s">
        <v>95</v>
      </c>
      <c r="C15" s="26" t="s">
        <v>98</v>
      </c>
      <c r="D15" s="26" t="s">
        <v>96</v>
      </c>
      <c r="E15" s="26" t="s">
        <v>99</v>
      </c>
      <c r="F15" s="26" t="s">
        <v>102</v>
      </c>
      <c r="G15" s="26" t="s">
        <v>97</v>
      </c>
    </row>
    <row r="16" spans="1:7" x14ac:dyDescent="0.3">
      <c r="A16" s="19" t="s">
        <v>172</v>
      </c>
      <c r="B16" s="170">
        <v>937.37</v>
      </c>
      <c r="C16" s="19"/>
      <c r="D16" s="19"/>
      <c r="E16" s="19"/>
      <c r="F16" s="19"/>
      <c r="G16" s="11">
        <f>B16</f>
        <v>937.37</v>
      </c>
    </row>
    <row r="21" spans="1:5" x14ac:dyDescent="0.3">
      <c r="A21" s="155" t="s">
        <v>154</v>
      </c>
      <c r="B21" s="156"/>
      <c r="C21" s="156"/>
      <c r="D21" s="156"/>
      <c r="E21" s="156"/>
    </row>
    <row r="22" spans="1:5" x14ac:dyDescent="0.3">
      <c r="A22" s="153" t="s">
        <v>205</v>
      </c>
      <c r="B22" s="153" t="s">
        <v>137</v>
      </c>
      <c r="C22" s="153" t="s">
        <v>206</v>
      </c>
      <c r="D22" s="154" t="s">
        <v>139</v>
      </c>
      <c r="E22" s="153" t="s">
        <v>207</v>
      </c>
    </row>
    <row r="23" spans="1:5" ht="27.6" x14ac:dyDescent="0.3">
      <c r="A23" s="120">
        <v>45879</v>
      </c>
      <c r="B23" s="107" t="s">
        <v>161</v>
      </c>
      <c r="C23" s="134" t="s">
        <v>209</v>
      </c>
      <c r="D23" s="122">
        <v>800.42</v>
      </c>
      <c r="E23" s="107" t="s">
        <v>191</v>
      </c>
    </row>
    <row r="24" spans="1:5" ht="27.6" x14ac:dyDescent="0.3">
      <c r="A24" s="120">
        <v>45880</v>
      </c>
      <c r="B24" s="107" t="s">
        <v>161</v>
      </c>
      <c r="C24" s="134" t="s">
        <v>197</v>
      </c>
      <c r="D24" s="122">
        <v>383.04</v>
      </c>
      <c r="E24" s="107" t="s">
        <v>191</v>
      </c>
    </row>
    <row r="25" spans="1:5" s="4" customFormat="1" ht="41.4" x14ac:dyDescent="0.3">
      <c r="A25" s="120">
        <v>45889</v>
      </c>
      <c r="B25" s="107" t="s">
        <v>161</v>
      </c>
      <c r="C25" s="134" t="s">
        <v>193</v>
      </c>
      <c r="D25" s="122">
        <v>395</v>
      </c>
      <c r="E25" s="152" t="s">
        <v>194</v>
      </c>
    </row>
    <row r="26" spans="1:5" ht="27.6" x14ac:dyDescent="0.3">
      <c r="A26" s="120">
        <v>45910</v>
      </c>
      <c r="B26" s="107" t="s">
        <v>161</v>
      </c>
      <c r="C26" s="134" t="s">
        <v>209</v>
      </c>
      <c r="D26" s="122">
        <v>692.1</v>
      </c>
      <c r="E26" s="107" t="s">
        <v>191</v>
      </c>
    </row>
    <row r="27" spans="1:5" ht="27.6" x14ac:dyDescent="0.3">
      <c r="A27" s="124">
        <v>45910</v>
      </c>
      <c r="B27" s="114" t="s">
        <v>161</v>
      </c>
      <c r="C27" s="157" t="s">
        <v>197</v>
      </c>
      <c r="D27" s="126">
        <v>383.04</v>
      </c>
      <c r="E27" s="114" t="s">
        <v>191</v>
      </c>
    </row>
    <row r="28" spans="1:5" x14ac:dyDescent="0.3">
      <c r="A28" s="158">
        <v>45896</v>
      </c>
      <c r="B28" s="19"/>
      <c r="C28" s="134" t="s">
        <v>210</v>
      </c>
      <c r="D28" s="159">
        <v>2599.85</v>
      </c>
      <c r="E28" s="19" t="s">
        <v>11</v>
      </c>
    </row>
    <row r="29" spans="1:5" x14ac:dyDescent="0.3">
      <c r="A29" s="158">
        <v>45883</v>
      </c>
      <c r="B29" s="19"/>
      <c r="C29" s="134" t="s">
        <v>210</v>
      </c>
      <c r="D29" s="159">
        <v>4375.75</v>
      </c>
      <c r="E29" s="19" t="s">
        <v>11</v>
      </c>
    </row>
    <row r="30" spans="1:5" x14ac:dyDescent="0.3">
      <c r="D30" s="130">
        <f>SUM(D23:D29)</f>
        <v>9629.2000000000007</v>
      </c>
    </row>
    <row r="34" spans="1:2" x14ac:dyDescent="0.3">
      <c r="A34" s="90" t="s">
        <v>134</v>
      </c>
      <c r="B34" s="91"/>
    </row>
    <row r="35" spans="1:2" x14ac:dyDescent="0.3">
      <c r="A35" s="27">
        <v>2025</v>
      </c>
      <c r="B35" s="11">
        <v>3000</v>
      </c>
    </row>
    <row r="36" spans="1:2" x14ac:dyDescent="0.3">
      <c r="A36" s="27">
        <v>2026</v>
      </c>
      <c r="B36" s="11">
        <v>2000</v>
      </c>
    </row>
    <row r="37" spans="1:2" x14ac:dyDescent="0.3">
      <c r="B37" s="65">
        <f>SUM(B35:B36)</f>
        <v>5000</v>
      </c>
    </row>
    <row r="41" spans="1:2" x14ac:dyDescent="0.3">
      <c r="A41" s="22" t="s">
        <v>135</v>
      </c>
      <c r="B41" s="65">
        <f>SUM(G16+D30+B37)</f>
        <v>15566.570000000002</v>
      </c>
    </row>
  </sheetData>
  <mergeCells count="3">
    <mergeCell ref="A14:G14"/>
    <mergeCell ref="A21:E21"/>
    <mergeCell ref="A34:B34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745C-2514-4379-97DB-07F14E314857}">
  <dimension ref="A1:G40"/>
  <sheetViews>
    <sheetView showGridLines="0" topLeftCell="A18" workbookViewId="0">
      <selection activeCell="D33" sqref="D33"/>
    </sheetView>
  </sheetViews>
  <sheetFormatPr defaultRowHeight="14.4" x14ac:dyDescent="0.3"/>
  <cols>
    <col min="1" max="1" width="17.44140625" bestFit="1" customWidth="1"/>
    <col min="2" max="2" width="27.88671875" bestFit="1" customWidth="1"/>
    <col min="3" max="3" width="35.21875" bestFit="1" customWidth="1"/>
    <col min="4" max="4" width="16" bestFit="1" customWidth="1"/>
    <col min="5" max="5" width="17.88671875" bestFit="1" customWidth="1"/>
    <col min="6" max="6" width="22.5546875" bestFit="1" customWidth="1"/>
    <col min="7" max="7" width="15.6640625" bestFit="1" customWidth="1"/>
  </cols>
  <sheetData>
    <row r="1" spans="1:7" x14ac:dyDescent="0.3">
      <c r="A1" s="14" t="s">
        <v>78</v>
      </c>
      <c r="B1" s="14" t="s">
        <v>87</v>
      </c>
      <c r="C1" s="1" t="s">
        <v>0</v>
      </c>
      <c r="D1" s="1" t="s">
        <v>1</v>
      </c>
      <c r="E1" s="1"/>
      <c r="F1" s="1" t="s">
        <v>2</v>
      </c>
    </row>
    <row r="2" spans="1:7" x14ac:dyDescent="0.3">
      <c r="A2" s="2" t="s">
        <v>83</v>
      </c>
      <c r="B2" s="2" t="s">
        <v>90</v>
      </c>
      <c r="C2" s="2" t="s">
        <v>19</v>
      </c>
      <c r="D2" s="3">
        <v>18532.8</v>
      </c>
      <c r="E2" s="3">
        <v>18532.8</v>
      </c>
      <c r="F2" s="2" t="s">
        <v>3</v>
      </c>
      <c r="G2" s="4"/>
    </row>
    <row r="3" spans="1:7" x14ac:dyDescent="0.3">
      <c r="A3" s="2" t="s">
        <v>83</v>
      </c>
      <c r="B3" s="2" t="s">
        <v>90</v>
      </c>
      <c r="C3" s="2" t="s">
        <v>19</v>
      </c>
      <c r="D3" s="3">
        <v>799.2</v>
      </c>
      <c r="E3" s="3">
        <v>799.2</v>
      </c>
      <c r="F3" s="2" t="s">
        <v>4</v>
      </c>
      <c r="G3" s="4"/>
    </row>
    <row r="4" spans="1:7" x14ac:dyDescent="0.3">
      <c r="A4" s="2" t="s">
        <v>83</v>
      </c>
      <c r="B4" s="2" t="s">
        <v>90</v>
      </c>
      <c r="C4" s="2" t="s">
        <v>20</v>
      </c>
      <c r="D4" s="3">
        <v>24845.98</v>
      </c>
      <c r="E4" s="3">
        <v>24845.98</v>
      </c>
      <c r="F4" s="2" t="s">
        <v>3</v>
      </c>
      <c r="G4" s="9"/>
    </row>
    <row r="5" spans="1:7" x14ac:dyDescent="0.3">
      <c r="A5" s="2" t="s">
        <v>83</v>
      </c>
      <c r="B5" s="2" t="s">
        <v>90</v>
      </c>
      <c r="C5" s="2" t="s">
        <v>20</v>
      </c>
      <c r="D5" s="3">
        <v>11793.6</v>
      </c>
      <c r="E5" s="3">
        <v>11793.6</v>
      </c>
      <c r="F5" s="2" t="s">
        <v>21</v>
      </c>
      <c r="G5" s="4"/>
    </row>
    <row r="6" spans="1:7" x14ac:dyDescent="0.3">
      <c r="A6" s="2" t="s">
        <v>83</v>
      </c>
      <c r="B6" s="2" t="s">
        <v>90</v>
      </c>
      <c r="C6" s="2" t="s">
        <v>20</v>
      </c>
      <c r="D6" s="3">
        <v>156.22999999999999</v>
      </c>
      <c r="E6" s="3">
        <v>156.22999999999999</v>
      </c>
      <c r="F6" s="2" t="s">
        <v>11</v>
      </c>
      <c r="G6" s="4"/>
    </row>
    <row r="7" spans="1:7" x14ac:dyDescent="0.3">
      <c r="A7" s="2" t="s">
        <v>83</v>
      </c>
      <c r="B7" s="2" t="s">
        <v>90</v>
      </c>
      <c r="C7" s="2" t="s">
        <v>22</v>
      </c>
      <c r="D7" s="3">
        <v>45898.548800000004</v>
      </c>
      <c r="E7" s="3">
        <v>42961.038999999997</v>
      </c>
      <c r="F7" s="2" t="s">
        <v>3</v>
      </c>
      <c r="G7" s="4"/>
    </row>
    <row r="8" spans="1:7" x14ac:dyDescent="0.3">
      <c r="D8" s="24">
        <f>SUM(D2:D7)</f>
        <v>102026.3588</v>
      </c>
      <c r="E8" s="24">
        <f>SUM(E2:E7)</f>
        <v>99088.848999999987</v>
      </c>
    </row>
    <row r="11" spans="1:7" x14ac:dyDescent="0.3">
      <c r="A11" s="22" t="s">
        <v>110</v>
      </c>
      <c r="B11" s="22">
        <v>19</v>
      </c>
    </row>
    <row r="15" spans="1:7" x14ac:dyDescent="0.3">
      <c r="A15" s="89" t="s">
        <v>111</v>
      </c>
      <c r="B15" s="89"/>
      <c r="C15" s="89"/>
      <c r="D15" s="89"/>
      <c r="E15" s="89"/>
      <c r="F15" s="89"/>
      <c r="G15" s="89"/>
    </row>
    <row r="16" spans="1:7" x14ac:dyDescent="0.3">
      <c r="A16" s="26" t="s">
        <v>94</v>
      </c>
      <c r="B16" s="26" t="s">
        <v>95</v>
      </c>
      <c r="C16" s="26" t="s">
        <v>98</v>
      </c>
      <c r="D16" s="26" t="s">
        <v>96</v>
      </c>
      <c r="E16" s="26" t="s">
        <v>99</v>
      </c>
      <c r="F16" s="26" t="s">
        <v>102</v>
      </c>
      <c r="G16" s="26" t="s">
        <v>97</v>
      </c>
    </row>
    <row r="17" spans="1:7" x14ac:dyDescent="0.3">
      <c r="A17" s="175" t="s">
        <v>172</v>
      </c>
      <c r="B17" s="176">
        <v>2339.89</v>
      </c>
      <c r="C17" s="175"/>
      <c r="D17" s="175"/>
      <c r="E17" s="175"/>
      <c r="F17" s="175"/>
      <c r="G17" s="177">
        <f>B17</f>
        <v>2339.89</v>
      </c>
    </row>
    <row r="18" spans="1:7" x14ac:dyDescent="0.3">
      <c r="A18" s="175" t="s">
        <v>184</v>
      </c>
      <c r="B18" s="175">
        <v>532.71</v>
      </c>
      <c r="C18" s="175">
        <v>5</v>
      </c>
      <c r="D18" s="175">
        <v>1</v>
      </c>
      <c r="E18" s="175">
        <f>C18-D18</f>
        <v>4</v>
      </c>
      <c r="F18" s="177">
        <f>B18/C18</f>
        <v>106.542</v>
      </c>
      <c r="G18" s="177">
        <f>F18*E18</f>
        <v>426.16800000000001</v>
      </c>
    </row>
    <row r="19" spans="1:7" x14ac:dyDescent="0.3">
      <c r="A19" s="178" t="s">
        <v>213</v>
      </c>
      <c r="B19" s="179" t="s">
        <v>217</v>
      </c>
      <c r="C19" s="175"/>
      <c r="D19" s="175"/>
      <c r="E19" s="175"/>
      <c r="F19" s="175"/>
      <c r="G19" s="177" t="str">
        <f>B19</f>
        <v xml:space="preserve">R$       1.352,60 </v>
      </c>
    </row>
    <row r="20" spans="1:7" x14ac:dyDescent="0.3">
      <c r="G20" s="24">
        <f>SUM(G17:G19)</f>
        <v>2766.058</v>
      </c>
    </row>
    <row r="23" spans="1:7" x14ac:dyDescent="0.3">
      <c r="A23" s="155" t="s">
        <v>154</v>
      </c>
      <c r="B23" s="156"/>
      <c r="C23" s="156"/>
      <c r="D23" s="156"/>
      <c r="E23" s="156"/>
    </row>
    <row r="24" spans="1:7" x14ac:dyDescent="0.3">
      <c r="A24" s="153" t="s">
        <v>205</v>
      </c>
      <c r="B24" s="153" t="s">
        <v>137</v>
      </c>
      <c r="C24" s="160" t="s">
        <v>206</v>
      </c>
      <c r="D24" s="154" t="s">
        <v>139</v>
      </c>
      <c r="E24" s="153" t="s">
        <v>207</v>
      </c>
    </row>
    <row r="25" spans="1:7" ht="27.6" x14ac:dyDescent="0.3">
      <c r="A25" s="161">
        <v>45879</v>
      </c>
      <c r="B25" s="134" t="s">
        <v>159</v>
      </c>
      <c r="C25" s="134" t="s">
        <v>204</v>
      </c>
      <c r="D25" s="122">
        <v>775.52</v>
      </c>
      <c r="E25" s="107" t="s">
        <v>191</v>
      </c>
    </row>
    <row r="26" spans="1:7" ht="27.6" x14ac:dyDescent="0.3">
      <c r="A26" s="161">
        <v>45880</v>
      </c>
      <c r="B26" s="134" t="s">
        <v>159</v>
      </c>
      <c r="C26" s="134" t="s">
        <v>197</v>
      </c>
      <c r="D26" s="122">
        <v>271.32</v>
      </c>
      <c r="E26" s="107" t="s">
        <v>191</v>
      </c>
    </row>
    <row r="27" spans="1:7" ht="27.6" x14ac:dyDescent="0.3">
      <c r="A27" s="161">
        <v>45889</v>
      </c>
      <c r="B27" s="134" t="s">
        <v>159</v>
      </c>
      <c r="C27" s="134" t="s">
        <v>193</v>
      </c>
      <c r="D27" s="122">
        <v>350</v>
      </c>
      <c r="E27" s="107" t="s">
        <v>194</v>
      </c>
    </row>
    <row r="28" spans="1:7" ht="27.6" x14ac:dyDescent="0.3">
      <c r="A28" s="161">
        <v>45910</v>
      </c>
      <c r="B28" s="134" t="s">
        <v>159</v>
      </c>
      <c r="C28" s="134" t="s">
        <v>204</v>
      </c>
      <c r="D28" s="122">
        <v>749.76</v>
      </c>
      <c r="E28" s="107" t="s">
        <v>191</v>
      </c>
    </row>
    <row r="29" spans="1:7" ht="27.6" x14ac:dyDescent="0.3">
      <c r="A29" s="162">
        <v>45910</v>
      </c>
      <c r="B29" s="157" t="s">
        <v>159</v>
      </c>
      <c r="C29" s="157" t="s">
        <v>197</v>
      </c>
      <c r="D29" s="126">
        <v>239.4</v>
      </c>
      <c r="E29" s="114" t="s">
        <v>191</v>
      </c>
    </row>
    <row r="30" spans="1:7" x14ac:dyDescent="0.3">
      <c r="C30" s="135"/>
      <c r="D30" s="115">
        <f>SUM(D25:D29)</f>
        <v>2386</v>
      </c>
    </row>
    <row r="34" spans="1:2" x14ac:dyDescent="0.3">
      <c r="A34" s="90" t="s">
        <v>134</v>
      </c>
      <c r="B34" s="91"/>
    </row>
    <row r="35" spans="1:2" x14ac:dyDescent="0.3">
      <c r="A35" s="27">
        <v>2025</v>
      </c>
      <c r="B35" s="11">
        <v>4000</v>
      </c>
    </row>
    <row r="36" spans="1:2" x14ac:dyDescent="0.3">
      <c r="A36" s="27">
        <v>2026</v>
      </c>
      <c r="B36" s="11">
        <v>4000</v>
      </c>
    </row>
    <row r="37" spans="1:2" x14ac:dyDescent="0.3">
      <c r="B37" s="65">
        <f>SUM(B35:B36)</f>
        <v>8000</v>
      </c>
    </row>
    <row r="40" spans="1:2" x14ac:dyDescent="0.3">
      <c r="A40" s="22" t="s">
        <v>135</v>
      </c>
      <c r="B40" s="65">
        <f>SUM(G20+D30+B37)</f>
        <v>13152.058000000001</v>
      </c>
    </row>
  </sheetData>
  <mergeCells count="3">
    <mergeCell ref="A15:G15"/>
    <mergeCell ref="A23:E23"/>
    <mergeCell ref="A34:B34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4652-005F-4B8A-81C7-FA6A6966C17E}">
  <dimension ref="A1:G44"/>
  <sheetViews>
    <sheetView showGridLines="0" topLeftCell="A20" workbookViewId="0">
      <selection activeCell="D42" sqref="D42"/>
    </sheetView>
  </sheetViews>
  <sheetFormatPr defaultRowHeight="14.4" x14ac:dyDescent="0.3"/>
  <cols>
    <col min="1" max="1" width="22.6640625" bestFit="1" customWidth="1"/>
    <col min="2" max="2" width="20.77734375" bestFit="1" customWidth="1"/>
    <col min="3" max="3" width="48.88671875" bestFit="1" customWidth="1"/>
    <col min="4" max="4" width="16" bestFit="1" customWidth="1"/>
    <col min="5" max="5" width="17.88671875" bestFit="1" customWidth="1"/>
    <col min="6" max="6" width="25.109375" bestFit="1" customWidth="1"/>
    <col min="7" max="7" width="15.6640625" bestFit="1" customWidth="1"/>
  </cols>
  <sheetData>
    <row r="1" spans="1:7" x14ac:dyDescent="0.3">
      <c r="A1" s="18" t="s">
        <v>78</v>
      </c>
      <c r="B1" s="16" t="s">
        <v>87</v>
      </c>
      <c r="C1" s="1" t="s">
        <v>0</v>
      </c>
      <c r="D1" s="1" t="s">
        <v>1</v>
      </c>
      <c r="E1" s="1"/>
      <c r="F1" s="1" t="s">
        <v>2</v>
      </c>
    </row>
    <row r="2" spans="1:7" x14ac:dyDescent="0.3">
      <c r="A2" s="13" t="s">
        <v>80</v>
      </c>
      <c r="B2" s="17" t="s">
        <v>93</v>
      </c>
      <c r="C2" s="2" t="s">
        <v>12</v>
      </c>
      <c r="D2" s="42">
        <v>615.57000000000005</v>
      </c>
      <c r="E2" s="42">
        <v>603.2586</v>
      </c>
      <c r="F2" s="43" t="s">
        <v>8</v>
      </c>
      <c r="G2" s="4"/>
    </row>
    <row r="3" spans="1:7" x14ac:dyDescent="0.3">
      <c r="A3" s="13" t="s">
        <v>80</v>
      </c>
      <c r="B3" s="17" t="s">
        <v>93</v>
      </c>
      <c r="C3" s="2" t="s">
        <v>12</v>
      </c>
      <c r="D3" s="42">
        <v>1106.1400000000001</v>
      </c>
      <c r="E3" s="42">
        <v>1106.1400000000001</v>
      </c>
      <c r="F3" s="43" t="s">
        <v>13</v>
      </c>
      <c r="G3" s="7"/>
    </row>
    <row r="4" spans="1:7" x14ac:dyDescent="0.3">
      <c r="A4" s="13" t="s">
        <v>80</v>
      </c>
      <c r="B4" s="17" t="s">
        <v>93</v>
      </c>
      <c r="C4" s="2" t="s">
        <v>12</v>
      </c>
      <c r="D4" s="42">
        <v>9631</v>
      </c>
      <c r="E4" s="42">
        <v>9631</v>
      </c>
      <c r="F4" s="43" t="s">
        <v>4</v>
      </c>
      <c r="G4" s="7"/>
    </row>
    <row r="5" spans="1:7" x14ac:dyDescent="0.3">
      <c r="A5" s="13" t="s">
        <v>80</v>
      </c>
      <c r="B5" s="17" t="s">
        <v>93</v>
      </c>
      <c r="C5" s="2" t="s">
        <v>14</v>
      </c>
      <c r="D5" s="42">
        <v>23908.5</v>
      </c>
      <c r="E5" s="42">
        <v>21852.37</v>
      </c>
      <c r="F5" s="43" t="s">
        <v>3</v>
      </c>
      <c r="G5" s="4"/>
    </row>
    <row r="6" spans="1:7" x14ac:dyDescent="0.3">
      <c r="A6" s="13" t="s">
        <v>80</v>
      </c>
      <c r="B6" s="17" t="s">
        <v>93</v>
      </c>
      <c r="C6" s="2" t="s">
        <v>14</v>
      </c>
      <c r="D6" s="42">
        <v>4683.53</v>
      </c>
      <c r="E6" s="42">
        <v>4683.53</v>
      </c>
      <c r="F6" s="43" t="s">
        <v>4</v>
      </c>
      <c r="G6" s="4"/>
    </row>
    <row r="7" spans="1:7" x14ac:dyDescent="0.3">
      <c r="A7" s="13" t="s">
        <v>80</v>
      </c>
      <c r="B7" s="17" t="s">
        <v>93</v>
      </c>
      <c r="C7" s="2" t="s">
        <v>15</v>
      </c>
      <c r="D7" s="42">
        <v>26196.17</v>
      </c>
      <c r="E7" s="42">
        <v>23943.296600000001</v>
      </c>
      <c r="F7" s="43" t="s">
        <v>3</v>
      </c>
      <c r="G7" s="4"/>
    </row>
    <row r="8" spans="1:7" x14ac:dyDescent="0.3">
      <c r="A8" s="13" t="s">
        <v>80</v>
      </c>
      <c r="B8" s="17" t="s">
        <v>93</v>
      </c>
      <c r="C8" s="2" t="s">
        <v>15</v>
      </c>
      <c r="D8" s="42">
        <v>14482.07</v>
      </c>
      <c r="E8" s="42">
        <v>14482.07</v>
      </c>
      <c r="F8" s="43" t="s">
        <v>4</v>
      </c>
      <c r="G8" s="4"/>
    </row>
    <row r="9" spans="1:7" x14ac:dyDescent="0.3">
      <c r="A9" s="13" t="s">
        <v>80</v>
      </c>
      <c r="B9" s="17" t="s">
        <v>93</v>
      </c>
      <c r="C9" s="2" t="s">
        <v>15</v>
      </c>
      <c r="D9" s="12">
        <v>200</v>
      </c>
      <c r="E9" s="12">
        <v>200</v>
      </c>
      <c r="F9" s="43" t="s">
        <v>8</v>
      </c>
      <c r="G9" s="4"/>
    </row>
    <row r="10" spans="1:7" x14ac:dyDescent="0.3">
      <c r="D10" s="24">
        <f>SUM(D2:D9)</f>
        <v>80822.98000000001</v>
      </c>
      <c r="E10" s="40">
        <f>SUM(E2:E9)</f>
        <v>76501.665199999989</v>
      </c>
    </row>
    <row r="13" spans="1:7" x14ac:dyDescent="0.3">
      <c r="A13" s="22" t="s">
        <v>110</v>
      </c>
      <c r="B13" s="22">
        <v>23</v>
      </c>
    </row>
    <row r="18" spans="1:7" x14ac:dyDescent="0.3">
      <c r="A18" s="89" t="s">
        <v>111</v>
      </c>
      <c r="B18" s="89"/>
      <c r="C18" s="89"/>
      <c r="D18" s="89"/>
      <c r="E18" s="89"/>
      <c r="F18" s="89"/>
      <c r="G18" s="89"/>
    </row>
    <row r="19" spans="1:7" x14ac:dyDescent="0.3">
      <c r="A19" s="26" t="s">
        <v>94</v>
      </c>
      <c r="B19" s="26" t="s">
        <v>95</v>
      </c>
      <c r="C19" s="26" t="s">
        <v>98</v>
      </c>
      <c r="D19" s="26" t="s">
        <v>96</v>
      </c>
      <c r="E19" s="26" t="s">
        <v>99</v>
      </c>
      <c r="F19" s="26" t="s">
        <v>102</v>
      </c>
      <c r="G19" s="26" t="s">
        <v>97</v>
      </c>
    </row>
    <row r="20" spans="1:7" x14ac:dyDescent="0.3">
      <c r="A20" s="27" t="s">
        <v>174</v>
      </c>
      <c r="B20" s="88">
        <v>1467.34</v>
      </c>
      <c r="C20" s="27"/>
      <c r="D20" s="27"/>
      <c r="E20" s="27"/>
      <c r="F20" s="30"/>
      <c r="G20" s="30">
        <f>B20</f>
        <v>1467.34</v>
      </c>
    </row>
    <row r="21" spans="1:7" x14ac:dyDescent="0.3">
      <c r="A21" s="27" t="s">
        <v>182</v>
      </c>
      <c r="B21" s="30">
        <v>4978.3999999999996</v>
      </c>
      <c r="C21" s="27">
        <v>40</v>
      </c>
      <c r="D21" s="27">
        <v>1</v>
      </c>
      <c r="E21" s="27">
        <f>C21-D21</f>
        <v>39</v>
      </c>
      <c r="F21" s="30">
        <f>B21/C21</f>
        <v>124.46</v>
      </c>
      <c r="G21" s="30">
        <f>F21*E21</f>
        <v>4853.9399999999996</v>
      </c>
    </row>
    <row r="22" spans="1:7" x14ac:dyDescent="0.3">
      <c r="A22" s="27" t="s">
        <v>213</v>
      </c>
      <c r="B22" s="87">
        <v>836.89</v>
      </c>
      <c r="C22" s="19"/>
      <c r="D22" s="19"/>
      <c r="E22" s="19"/>
      <c r="F22" s="19"/>
      <c r="G22" s="11">
        <f>B22</f>
        <v>836.89</v>
      </c>
    </row>
    <row r="23" spans="1:7" x14ac:dyDescent="0.3">
      <c r="G23" s="24">
        <f>SUM(G20:G22)</f>
        <v>7158.17</v>
      </c>
    </row>
    <row r="24" spans="1:7" x14ac:dyDescent="0.3">
      <c r="B24" s="135"/>
    </row>
    <row r="25" spans="1:7" x14ac:dyDescent="0.3">
      <c r="B25" s="135"/>
    </row>
    <row r="26" spans="1:7" x14ac:dyDescent="0.3">
      <c r="B26" s="135"/>
    </row>
    <row r="27" spans="1:7" x14ac:dyDescent="0.3">
      <c r="A27" s="155" t="s">
        <v>154</v>
      </c>
      <c r="B27" s="156"/>
      <c r="C27" s="156"/>
      <c r="D27" s="164"/>
      <c r="E27" s="156"/>
    </row>
    <row r="28" spans="1:7" x14ac:dyDescent="0.3">
      <c r="A28" s="153" t="s">
        <v>205</v>
      </c>
      <c r="B28" s="160" t="s">
        <v>137</v>
      </c>
      <c r="C28" s="160" t="s">
        <v>206</v>
      </c>
      <c r="D28" s="154" t="s">
        <v>139</v>
      </c>
      <c r="E28" s="153" t="s">
        <v>207</v>
      </c>
    </row>
    <row r="29" spans="1:7" s="4" customFormat="1" ht="13.8" x14ac:dyDescent="0.3">
      <c r="A29" s="120">
        <v>45879</v>
      </c>
      <c r="B29" s="107" t="s">
        <v>211</v>
      </c>
      <c r="C29" s="121" t="s">
        <v>197</v>
      </c>
      <c r="D29" s="127">
        <v>287.77999999999997</v>
      </c>
      <c r="E29" s="107" t="s">
        <v>191</v>
      </c>
    </row>
    <row r="30" spans="1:7" ht="27.6" x14ac:dyDescent="0.3">
      <c r="A30" s="120">
        <v>45879</v>
      </c>
      <c r="B30" s="107" t="s">
        <v>211</v>
      </c>
      <c r="C30" s="121" t="s">
        <v>209</v>
      </c>
      <c r="D30" s="127">
        <v>584.17999999999995</v>
      </c>
      <c r="E30" s="107" t="s">
        <v>191</v>
      </c>
    </row>
    <row r="31" spans="1:7" ht="27.6" x14ac:dyDescent="0.3">
      <c r="A31" s="120">
        <v>45889</v>
      </c>
      <c r="B31" s="107" t="s">
        <v>211</v>
      </c>
      <c r="C31" s="121" t="s">
        <v>193</v>
      </c>
      <c r="D31" s="127">
        <v>549.5</v>
      </c>
      <c r="E31" s="107" t="s">
        <v>194</v>
      </c>
    </row>
    <row r="32" spans="1:7" ht="27.6" x14ac:dyDescent="0.3">
      <c r="A32" s="120">
        <v>45910</v>
      </c>
      <c r="B32" s="107" t="s">
        <v>211</v>
      </c>
      <c r="C32" s="121" t="s">
        <v>209</v>
      </c>
      <c r="D32" s="127">
        <v>699.36</v>
      </c>
      <c r="E32" s="107" t="s">
        <v>191</v>
      </c>
    </row>
    <row r="33" spans="1:5" x14ac:dyDescent="0.3">
      <c r="A33" s="124">
        <v>45910</v>
      </c>
      <c r="B33" s="114" t="s">
        <v>211</v>
      </c>
      <c r="C33" s="125" t="s">
        <v>197</v>
      </c>
      <c r="D33" s="129">
        <v>287.27999999999997</v>
      </c>
      <c r="E33" s="114" t="s">
        <v>191</v>
      </c>
    </row>
    <row r="34" spans="1:5" x14ac:dyDescent="0.3">
      <c r="B34" s="135"/>
      <c r="D34" s="168">
        <f>SUM(D29:D33)</f>
        <v>2408.1000000000004</v>
      </c>
    </row>
    <row r="35" spans="1:5" x14ac:dyDescent="0.3">
      <c r="B35" s="135"/>
    </row>
    <row r="36" spans="1:5" x14ac:dyDescent="0.3">
      <c r="B36" s="135"/>
    </row>
    <row r="37" spans="1:5" x14ac:dyDescent="0.3">
      <c r="A37" s="90" t="s">
        <v>134</v>
      </c>
      <c r="B37" s="93"/>
    </row>
    <row r="38" spans="1:5" x14ac:dyDescent="0.3">
      <c r="A38" s="67">
        <v>2025</v>
      </c>
      <c r="B38" s="163">
        <v>16000</v>
      </c>
    </row>
    <row r="39" spans="1:5" x14ac:dyDescent="0.3">
      <c r="A39" s="67">
        <v>2026</v>
      </c>
      <c r="B39" s="29"/>
    </row>
    <row r="40" spans="1:5" x14ac:dyDescent="0.3">
      <c r="B40" s="163">
        <f>SUM(B38:B39)</f>
        <v>16000</v>
      </c>
    </row>
    <row r="44" spans="1:5" x14ac:dyDescent="0.3">
      <c r="A44" s="22" t="s">
        <v>135</v>
      </c>
      <c r="B44" s="65">
        <f>SUM(G23+D34+B40)</f>
        <v>25566.27</v>
      </c>
    </row>
  </sheetData>
  <mergeCells count="3">
    <mergeCell ref="A18:G18"/>
    <mergeCell ref="A37:B37"/>
    <mergeCell ref="A27:E27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7D8C-661A-4EB8-9950-F8A99A364AAF}">
  <dimension ref="A1:F41"/>
  <sheetViews>
    <sheetView showGridLines="0" tabSelected="1" workbookViewId="0">
      <selection activeCell="J15" sqref="J15"/>
    </sheetView>
  </sheetViews>
  <sheetFormatPr defaultRowHeight="14.4" x14ac:dyDescent="0.3"/>
  <cols>
    <col min="1" max="1" width="17.77734375" bestFit="1" customWidth="1"/>
    <col min="2" max="2" width="22" bestFit="1" customWidth="1"/>
    <col min="3" max="3" width="24" bestFit="1" customWidth="1"/>
    <col min="4" max="4" width="16" bestFit="1" customWidth="1"/>
    <col min="5" max="5" width="29.6640625" bestFit="1" customWidth="1"/>
  </cols>
  <sheetData>
    <row r="1" spans="1:4" x14ac:dyDescent="0.3">
      <c r="A1" s="14" t="s">
        <v>78</v>
      </c>
      <c r="B1" s="14" t="s">
        <v>137</v>
      </c>
      <c r="C1" s="14" t="s">
        <v>166</v>
      </c>
      <c r="D1" s="36" t="s">
        <v>139</v>
      </c>
    </row>
    <row r="2" spans="1:4" x14ac:dyDescent="0.3">
      <c r="A2" s="19" t="s">
        <v>81</v>
      </c>
      <c r="B2" s="19" t="s">
        <v>155</v>
      </c>
      <c r="C2" s="19" t="s">
        <v>151</v>
      </c>
      <c r="D2" s="71">
        <v>5691.74</v>
      </c>
    </row>
    <row r="3" spans="1:4" x14ac:dyDescent="0.3">
      <c r="A3" s="19" t="s">
        <v>81</v>
      </c>
      <c r="B3" s="19" t="s">
        <v>155</v>
      </c>
      <c r="C3" s="19" t="s">
        <v>152</v>
      </c>
      <c r="D3" s="11">
        <v>604250.92000000004</v>
      </c>
    </row>
    <row r="4" spans="1:4" x14ac:dyDescent="0.3">
      <c r="A4" s="19" t="s">
        <v>81</v>
      </c>
      <c r="B4" s="19" t="s">
        <v>155</v>
      </c>
      <c r="C4" s="19" t="s">
        <v>153</v>
      </c>
      <c r="D4" s="11">
        <v>198726.76</v>
      </c>
    </row>
    <row r="5" spans="1:4" x14ac:dyDescent="0.3">
      <c r="A5" s="19" t="s">
        <v>81</v>
      </c>
      <c r="B5" s="19" t="s">
        <v>155</v>
      </c>
      <c r="C5" s="19" t="s">
        <v>168</v>
      </c>
      <c r="D5" s="11">
        <v>45719.76</v>
      </c>
    </row>
    <row r="6" spans="1:4" x14ac:dyDescent="0.3">
      <c r="A6" s="19" t="s">
        <v>81</v>
      </c>
      <c r="B6" s="19" t="s">
        <v>155</v>
      </c>
      <c r="C6" s="19" t="s">
        <v>134</v>
      </c>
      <c r="D6" s="11">
        <v>2101399.5300000003</v>
      </c>
    </row>
    <row r="7" spans="1:4" x14ac:dyDescent="0.3">
      <c r="A7" s="2" t="s">
        <v>79</v>
      </c>
      <c r="B7" s="2" t="s">
        <v>156</v>
      </c>
      <c r="C7" s="19" t="s">
        <v>151</v>
      </c>
      <c r="D7" s="11">
        <v>100278.58999999998</v>
      </c>
    </row>
    <row r="8" spans="1:4" x14ac:dyDescent="0.3">
      <c r="A8" s="2" t="s">
        <v>79</v>
      </c>
      <c r="B8" s="2" t="s">
        <v>156</v>
      </c>
      <c r="C8" s="19" t="s">
        <v>152</v>
      </c>
      <c r="D8" s="11">
        <v>129533.43</v>
      </c>
    </row>
    <row r="9" spans="1:4" x14ac:dyDescent="0.3">
      <c r="A9" s="2" t="s">
        <v>79</v>
      </c>
      <c r="B9" s="2" t="s">
        <v>156</v>
      </c>
      <c r="C9" s="19" t="s">
        <v>134</v>
      </c>
      <c r="D9" s="11">
        <v>59044.95</v>
      </c>
    </row>
    <row r="10" spans="1:4" x14ac:dyDescent="0.3">
      <c r="A10" s="2" t="s">
        <v>79</v>
      </c>
      <c r="B10" s="2" t="s">
        <v>156</v>
      </c>
      <c r="C10" s="19" t="s">
        <v>153</v>
      </c>
      <c r="D10" s="11">
        <v>8875.92</v>
      </c>
    </row>
    <row r="11" spans="1:4" x14ac:dyDescent="0.3">
      <c r="A11" s="2" t="s">
        <v>79</v>
      </c>
      <c r="B11" s="2" t="s">
        <v>156</v>
      </c>
      <c r="C11" s="19" t="s">
        <v>154</v>
      </c>
      <c r="D11" s="132">
        <v>2540</v>
      </c>
    </row>
    <row r="12" spans="1:4" x14ac:dyDescent="0.3">
      <c r="A12" s="2" t="s">
        <v>86</v>
      </c>
      <c r="B12" s="2" t="s">
        <v>142</v>
      </c>
      <c r="C12" s="19" t="s">
        <v>151</v>
      </c>
      <c r="D12" s="11">
        <v>1103342.3180957143</v>
      </c>
    </row>
    <row r="13" spans="1:4" x14ac:dyDescent="0.3">
      <c r="A13" s="2" t="s">
        <v>86</v>
      </c>
      <c r="B13" s="2" t="s">
        <v>142</v>
      </c>
      <c r="C13" s="19" t="s">
        <v>152</v>
      </c>
      <c r="D13" s="11">
        <v>21147.600000000002</v>
      </c>
    </row>
    <row r="14" spans="1:4" x14ac:dyDescent="0.3">
      <c r="A14" s="2" t="s">
        <v>86</v>
      </c>
      <c r="B14" s="2" t="s">
        <v>142</v>
      </c>
      <c r="C14" s="19" t="s">
        <v>154</v>
      </c>
      <c r="D14" s="11">
        <v>12582.24</v>
      </c>
    </row>
    <row r="15" spans="1:4" x14ac:dyDescent="0.3">
      <c r="A15" s="2" t="s">
        <v>86</v>
      </c>
      <c r="B15" s="2" t="s">
        <v>142</v>
      </c>
      <c r="C15" s="19" t="s">
        <v>134</v>
      </c>
      <c r="D15" s="11">
        <v>76247.16</v>
      </c>
    </row>
    <row r="16" spans="1:4" x14ac:dyDescent="0.3">
      <c r="A16" s="2" t="s">
        <v>86</v>
      </c>
      <c r="B16" s="2" t="s">
        <v>142</v>
      </c>
      <c r="C16" s="19" t="s">
        <v>153</v>
      </c>
      <c r="D16" s="11">
        <v>658560.28999999992</v>
      </c>
    </row>
    <row r="17" spans="1:6" x14ac:dyDescent="0.3">
      <c r="A17" s="2" t="s">
        <v>82</v>
      </c>
      <c r="B17" s="2" t="s">
        <v>157</v>
      </c>
      <c r="C17" s="19" t="s">
        <v>151</v>
      </c>
      <c r="D17" s="11">
        <v>25398.080000000002</v>
      </c>
      <c r="F17" s="24"/>
    </row>
    <row r="18" spans="1:6" x14ac:dyDescent="0.3">
      <c r="A18" s="2" t="s">
        <v>82</v>
      </c>
      <c r="B18" s="2" t="s">
        <v>157</v>
      </c>
      <c r="C18" s="19" t="s">
        <v>152</v>
      </c>
      <c r="D18" s="11">
        <v>130333.71</v>
      </c>
    </row>
    <row r="19" spans="1:6" x14ac:dyDescent="0.3">
      <c r="A19" s="2" t="s">
        <v>82</v>
      </c>
      <c r="B19" s="2" t="s">
        <v>157</v>
      </c>
      <c r="C19" s="19" t="s">
        <v>154</v>
      </c>
      <c r="D19" s="11">
        <v>13315.259999999998</v>
      </c>
    </row>
    <row r="20" spans="1:6" x14ac:dyDescent="0.3">
      <c r="A20" s="2" t="s">
        <v>82</v>
      </c>
      <c r="B20" s="2" t="s">
        <v>157</v>
      </c>
      <c r="C20" s="19" t="s">
        <v>153</v>
      </c>
      <c r="D20" s="166">
        <v>183010.44</v>
      </c>
    </row>
    <row r="21" spans="1:6" x14ac:dyDescent="0.3">
      <c r="A21" s="2" t="s">
        <v>82</v>
      </c>
      <c r="B21" s="2" t="s">
        <v>157</v>
      </c>
      <c r="C21" s="19" t="s">
        <v>134</v>
      </c>
      <c r="D21" s="11">
        <v>11200</v>
      </c>
    </row>
    <row r="22" spans="1:6" x14ac:dyDescent="0.3">
      <c r="A22" s="19" t="s">
        <v>92</v>
      </c>
      <c r="B22" s="19" t="s">
        <v>158</v>
      </c>
      <c r="C22" s="19" t="s">
        <v>151</v>
      </c>
      <c r="D22" s="11">
        <v>22930</v>
      </c>
    </row>
    <row r="23" spans="1:6" x14ac:dyDescent="0.3">
      <c r="A23" s="19" t="s">
        <v>92</v>
      </c>
      <c r="B23" s="19" t="s">
        <v>158</v>
      </c>
      <c r="C23" s="19" t="s">
        <v>152</v>
      </c>
      <c r="D23" s="166">
        <v>106936.99</v>
      </c>
    </row>
    <row r="24" spans="1:6" x14ac:dyDescent="0.3">
      <c r="A24" s="19" t="s">
        <v>92</v>
      </c>
      <c r="B24" s="19" t="s">
        <v>158</v>
      </c>
      <c r="C24" s="19" t="s">
        <v>134</v>
      </c>
      <c r="D24" s="11">
        <v>36823.839999999997</v>
      </c>
    </row>
    <row r="25" spans="1:6" x14ac:dyDescent="0.3">
      <c r="A25" s="19" t="s">
        <v>92</v>
      </c>
      <c r="B25" s="19" t="s">
        <v>158</v>
      </c>
      <c r="C25" s="19" t="s">
        <v>154</v>
      </c>
      <c r="D25" s="11">
        <v>1172.52</v>
      </c>
    </row>
    <row r="26" spans="1:6" x14ac:dyDescent="0.3">
      <c r="A26" s="19" t="s">
        <v>92</v>
      </c>
      <c r="B26" s="19" t="s">
        <v>158</v>
      </c>
      <c r="C26" s="19" t="s">
        <v>153</v>
      </c>
      <c r="D26" s="11">
        <v>90237.57</v>
      </c>
    </row>
    <row r="27" spans="1:6" x14ac:dyDescent="0.3">
      <c r="A27" s="2" t="s">
        <v>85</v>
      </c>
      <c r="B27" s="2" t="s">
        <v>162</v>
      </c>
      <c r="C27" s="19" t="s">
        <v>151</v>
      </c>
      <c r="D27" s="3">
        <v>23638.67</v>
      </c>
    </row>
    <row r="28" spans="1:6" x14ac:dyDescent="0.3">
      <c r="A28" s="2" t="s">
        <v>85</v>
      </c>
      <c r="B28" s="2" t="s">
        <v>162</v>
      </c>
      <c r="C28" s="19" t="s">
        <v>153</v>
      </c>
      <c r="D28" s="3">
        <v>1141.788</v>
      </c>
    </row>
    <row r="29" spans="1:6" x14ac:dyDescent="0.3">
      <c r="A29" s="2" t="s">
        <v>85</v>
      </c>
      <c r="B29" s="2" t="s">
        <v>162</v>
      </c>
      <c r="C29" s="19" t="s">
        <v>154</v>
      </c>
      <c r="D29" s="3">
        <v>5377.08</v>
      </c>
    </row>
    <row r="30" spans="1:6" x14ac:dyDescent="0.3">
      <c r="A30" s="2" t="s">
        <v>84</v>
      </c>
      <c r="B30" s="2" t="s">
        <v>161</v>
      </c>
      <c r="C30" s="19" t="s">
        <v>151</v>
      </c>
      <c r="D30" s="11">
        <v>40047.869999999995</v>
      </c>
    </row>
    <row r="31" spans="1:6" x14ac:dyDescent="0.3">
      <c r="A31" s="2" t="s">
        <v>84</v>
      </c>
      <c r="B31" s="2" t="s">
        <v>161</v>
      </c>
      <c r="C31" s="19" t="s">
        <v>153</v>
      </c>
      <c r="D31" s="11">
        <v>937.37</v>
      </c>
    </row>
    <row r="32" spans="1:6" x14ac:dyDescent="0.3">
      <c r="A32" s="2" t="s">
        <v>84</v>
      </c>
      <c r="B32" s="2" t="s">
        <v>161</v>
      </c>
      <c r="C32" s="19" t="s">
        <v>154</v>
      </c>
      <c r="D32" s="11">
        <v>9629.2000000000007</v>
      </c>
    </row>
    <row r="33" spans="1:4" x14ac:dyDescent="0.3">
      <c r="A33" s="2" t="s">
        <v>84</v>
      </c>
      <c r="B33" s="2" t="s">
        <v>161</v>
      </c>
      <c r="C33" s="19" t="s">
        <v>134</v>
      </c>
      <c r="D33" s="11">
        <v>5000</v>
      </c>
    </row>
    <row r="34" spans="1:4" x14ac:dyDescent="0.3">
      <c r="A34" s="2" t="s">
        <v>83</v>
      </c>
      <c r="B34" s="2" t="s">
        <v>159</v>
      </c>
      <c r="C34" s="19" t="s">
        <v>151</v>
      </c>
      <c r="D34" s="11">
        <v>102026.3588</v>
      </c>
    </row>
    <row r="35" spans="1:4" x14ac:dyDescent="0.3">
      <c r="A35" s="2" t="s">
        <v>83</v>
      </c>
      <c r="B35" s="2" t="s">
        <v>159</v>
      </c>
      <c r="C35" s="19" t="s">
        <v>153</v>
      </c>
      <c r="D35" s="11">
        <v>2766.058</v>
      </c>
    </row>
    <row r="36" spans="1:4" x14ac:dyDescent="0.3">
      <c r="A36" s="2" t="s">
        <v>83</v>
      </c>
      <c r="B36" s="2" t="s">
        <v>159</v>
      </c>
      <c r="C36" s="19" t="s">
        <v>154</v>
      </c>
      <c r="D36" s="11">
        <v>2386</v>
      </c>
    </row>
    <row r="37" spans="1:4" x14ac:dyDescent="0.3">
      <c r="A37" s="2" t="s">
        <v>83</v>
      </c>
      <c r="B37" s="2" t="s">
        <v>159</v>
      </c>
      <c r="C37" s="19" t="s">
        <v>134</v>
      </c>
      <c r="D37" s="11">
        <v>8000</v>
      </c>
    </row>
    <row r="38" spans="1:4" x14ac:dyDescent="0.3">
      <c r="A38" s="13" t="s">
        <v>80</v>
      </c>
      <c r="B38" s="13" t="s">
        <v>160</v>
      </c>
      <c r="C38" s="19" t="s">
        <v>151</v>
      </c>
      <c r="D38" s="11">
        <v>80822.98000000001</v>
      </c>
    </row>
    <row r="39" spans="1:4" x14ac:dyDescent="0.3">
      <c r="A39" s="13" t="s">
        <v>80</v>
      </c>
      <c r="B39" s="13" t="s">
        <v>160</v>
      </c>
      <c r="C39" s="19" t="s">
        <v>153</v>
      </c>
      <c r="D39" s="11">
        <v>7158.17</v>
      </c>
    </row>
    <row r="40" spans="1:4" x14ac:dyDescent="0.3">
      <c r="A40" s="13" t="s">
        <v>80</v>
      </c>
      <c r="B40" s="13" t="s">
        <v>160</v>
      </c>
      <c r="C40" s="19" t="s">
        <v>154</v>
      </c>
      <c r="D40" s="11">
        <v>2408.1000000000004</v>
      </c>
    </row>
    <row r="41" spans="1:4" x14ac:dyDescent="0.3">
      <c r="A41" s="13" t="s">
        <v>80</v>
      </c>
      <c r="B41" s="13" t="s">
        <v>160</v>
      </c>
      <c r="C41" s="19" t="s">
        <v>134</v>
      </c>
      <c r="D41" s="11">
        <v>16000</v>
      </c>
    </row>
  </sheetData>
  <autoFilter ref="A1:D38" xr:uid="{4E927D8C-661A-4EB8-9950-F8A99A364AAF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AFA1-58E2-470F-B596-62EE04D8B85F}">
  <dimension ref="A8:K16"/>
  <sheetViews>
    <sheetView showGridLines="0" workbookViewId="0">
      <selection activeCell="A22" sqref="A22"/>
    </sheetView>
  </sheetViews>
  <sheetFormatPr defaultRowHeight="14.4" x14ac:dyDescent="0.3"/>
  <cols>
    <col min="1" max="1" width="22.77734375" bestFit="1" customWidth="1"/>
    <col min="2" max="2" width="18.5546875" bestFit="1" customWidth="1"/>
    <col min="3" max="3" width="16.44140625" bestFit="1" customWidth="1"/>
    <col min="4" max="4" width="14.109375" bestFit="1" customWidth="1"/>
    <col min="5" max="5" width="19.21875" bestFit="1" customWidth="1"/>
    <col min="6" max="6" width="14.6640625" bestFit="1" customWidth="1"/>
    <col min="7" max="7" width="15.6640625" bestFit="1" customWidth="1"/>
    <col min="8" max="8" width="22.6640625" bestFit="1" customWidth="1"/>
    <col min="9" max="9" width="18.21875" bestFit="1" customWidth="1"/>
    <col min="10" max="10" width="20.44140625" bestFit="1" customWidth="1"/>
    <col min="11" max="11" width="15.6640625" bestFit="1" customWidth="1"/>
  </cols>
  <sheetData>
    <row r="8" spans="1:11" x14ac:dyDescent="0.3">
      <c r="A8" s="72" t="s">
        <v>163</v>
      </c>
      <c r="B8" s="72" t="s">
        <v>167</v>
      </c>
    </row>
    <row r="9" spans="1:11" x14ac:dyDescent="0.3">
      <c r="A9" s="72" t="s">
        <v>164</v>
      </c>
      <c r="B9" t="s">
        <v>158</v>
      </c>
      <c r="C9" t="s">
        <v>155</v>
      </c>
      <c r="D9" t="s">
        <v>156</v>
      </c>
      <c r="E9" t="s">
        <v>157</v>
      </c>
      <c r="F9" t="s">
        <v>159</v>
      </c>
      <c r="G9" t="s">
        <v>142</v>
      </c>
      <c r="H9" t="s">
        <v>160</v>
      </c>
      <c r="I9" t="s">
        <v>162</v>
      </c>
      <c r="J9" t="s">
        <v>161</v>
      </c>
      <c r="K9" t="s">
        <v>165</v>
      </c>
    </row>
    <row r="10" spans="1:11" x14ac:dyDescent="0.3">
      <c r="A10" s="73" t="s">
        <v>152</v>
      </c>
      <c r="B10" s="8">
        <v>106936.99</v>
      </c>
      <c r="C10" s="8">
        <v>604250.92000000004</v>
      </c>
      <c r="D10" s="8">
        <v>129533.43</v>
      </c>
      <c r="E10" s="8">
        <v>130333.71</v>
      </c>
      <c r="F10" s="8"/>
      <c r="G10" s="8">
        <v>21147.600000000002</v>
      </c>
      <c r="H10" s="8"/>
      <c r="I10" s="8"/>
      <c r="J10" s="8"/>
      <c r="K10" s="8">
        <v>992202.65</v>
      </c>
    </row>
    <row r="11" spans="1:11" x14ac:dyDescent="0.3">
      <c r="A11" s="73" t="s">
        <v>154</v>
      </c>
      <c r="B11" s="8">
        <v>1172.52</v>
      </c>
      <c r="C11" s="8"/>
      <c r="D11" s="8">
        <v>2540</v>
      </c>
      <c r="E11" s="8">
        <v>13315.259999999998</v>
      </c>
      <c r="F11" s="8">
        <v>2386</v>
      </c>
      <c r="G11" s="8">
        <v>12582.24</v>
      </c>
      <c r="H11" s="8">
        <v>2408.1000000000004</v>
      </c>
      <c r="I11" s="8">
        <v>5377.08</v>
      </c>
      <c r="J11" s="8">
        <v>9629.2000000000007</v>
      </c>
      <c r="K11" s="8">
        <v>49410.399999999994</v>
      </c>
    </row>
    <row r="12" spans="1:11" x14ac:dyDescent="0.3">
      <c r="A12" s="73" t="s">
        <v>168</v>
      </c>
      <c r="B12" s="8"/>
      <c r="C12" s="8">
        <v>45719.76</v>
      </c>
      <c r="D12" s="8"/>
      <c r="E12" s="8"/>
      <c r="F12" s="8"/>
      <c r="G12" s="8"/>
      <c r="H12" s="8"/>
      <c r="I12" s="8"/>
      <c r="J12" s="8"/>
      <c r="K12" s="8">
        <v>45719.76</v>
      </c>
    </row>
    <row r="13" spans="1:11" x14ac:dyDescent="0.3">
      <c r="A13" s="73" t="s">
        <v>134</v>
      </c>
      <c r="B13" s="8">
        <v>36823.839999999997</v>
      </c>
      <c r="C13" s="8">
        <v>2101399.5300000003</v>
      </c>
      <c r="D13" s="8">
        <v>59044.95</v>
      </c>
      <c r="E13" s="8">
        <v>11200</v>
      </c>
      <c r="F13" s="8">
        <v>8000</v>
      </c>
      <c r="G13" s="8">
        <v>76247.16</v>
      </c>
      <c r="H13" s="8">
        <v>16000</v>
      </c>
      <c r="I13" s="8"/>
      <c r="J13" s="8">
        <v>5000</v>
      </c>
      <c r="K13" s="8">
        <v>2313715.4800000004</v>
      </c>
    </row>
    <row r="14" spans="1:11" x14ac:dyDescent="0.3">
      <c r="A14" s="73" t="s">
        <v>153</v>
      </c>
      <c r="B14" s="8">
        <v>90237.57</v>
      </c>
      <c r="C14" s="8">
        <v>198726.76</v>
      </c>
      <c r="D14" s="8">
        <v>8875.92</v>
      </c>
      <c r="E14" s="8">
        <v>183010.44</v>
      </c>
      <c r="F14" s="8">
        <v>2766.058</v>
      </c>
      <c r="G14" s="8">
        <v>658560.28999999992</v>
      </c>
      <c r="H14" s="8">
        <v>7158.17</v>
      </c>
      <c r="I14" s="8">
        <v>1141.788</v>
      </c>
      <c r="J14" s="8">
        <v>937.37</v>
      </c>
      <c r="K14" s="8">
        <v>1151414.3659999999</v>
      </c>
    </row>
    <row r="15" spans="1:11" x14ac:dyDescent="0.3">
      <c r="A15" s="73" t="s">
        <v>151</v>
      </c>
      <c r="B15" s="8">
        <v>22930</v>
      </c>
      <c r="C15" s="8">
        <v>5691.74</v>
      </c>
      <c r="D15" s="8">
        <v>100278.58999999998</v>
      </c>
      <c r="E15" s="8">
        <v>25398.080000000002</v>
      </c>
      <c r="F15" s="8">
        <v>102026.3588</v>
      </c>
      <c r="G15" s="8">
        <v>1103342.3180957143</v>
      </c>
      <c r="H15" s="8">
        <v>80822.98000000001</v>
      </c>
      <c r="I15" s="8">
        <v>23638.67</v>
      </c>
      <c r="J15" s="8">
        <v>40047.869999999995</v>
      </c>
      <c r="K15" s="8">
        <v>1504176.6068957141</v>
      </c>
    </row>
    <row r="16" spans="1:11" x14ac:dyDescent="0.3">
      <c r="A16" s="73" t="s">
        <v>165</v>
      </c>
      <c r="B16" s="8">
        <v>258100.92</v>
      </c>
      <c r="C16" s="8">
        <v>2955788.7100000009</v>
      </c>
      <c r="D16" s="8">
        <v>300272.89</v>
      </c>
      <c r="E16" s="8">
        <v>363257.49000000005</v>
      </c>
      <c r="F16" s="8">
        <v>115178.41680000001</v>
      </c>
      <c r="G16" s="8">
        <v>1871879.6080957144</v>
      </c>
      <c r="H16" s="8">
        <v>106389.25</v>
      </c>
      <c r="I16" s="8">
        <v>30157.538</v>
      </c>
      <c r="J16" s="8">
        <v>55614.439999999995</v>
      </c>
      <c r="K16" s="8">
        <v>6056639.2628957145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47ED-A62F-4BA4-80A9-ED7547C971D2}">
  <dimension ref="A1:B12"/>
  <sheetViews>
    <sheetView workbookViewId="0">
      <selection activeCell="D17" sqref="D17"/>
    </sheetView>
  </sheetViews>
  <sheetFormatPr defaultRowHeight="14.4" x14ac:dyDescent="0.3"/>
  <cols>
    <col min="1" max="1" width="47.77734375" bestFit="1" customWidth="1"/>
    <col min="2" max="2" width="4.33203125" bestFit="1" customWidth="1"/>
  </cols>
  <sheetData>
    <row r="1" spans="1:2" ht="22.2" customHeight="1" x14ac:dyDescent="0.3">
      <c r="A1" s="68" t="s">
        <v>141</v>
      </c>
      <c r="B1" s="69">
        <v>24</v>
      </c>
    </row>
    <row r="2" spans="1:2" ht="22.2" customHeight="1" x14ac:dyDescent="0.3">
      <c r="A2" s="68" t="s">
        <v>142</v>
      </c>
      <c r="B2" s="69">
        <v>33</v>
      </c>
    </row>
    <row r="3" spans="1:2" ht="22.2" customHeight="1" x14ac:dyDescent="0.3">
      <c r="A3" s="68" t="s">
        <v>143</v>
      </c>
      <c r="B3" s="69">
        <v>24</v>
      </c>
    </row>
    <row r="4" spans="1:2" ht="22.2" customHeight="1" x14ac:dyDescent="0.3">
      <c r="A4" s="68" t="s">
        <v>144</v>
      </c>
      <c r="B4" s="69">
        <v>83</v>
      </c>
    </row>
    <row r="5" spans="1:2" ht="22.2" customHeight="1" x14ac:dyDescent="0.3">
      <c r="A5" s="68" t="s">
        <v>145</v>
      </c>
      <c r="B5" s="69">
        <v>55</v>
      </c>
    </row>
    <row r="6" spans="1:2" ht="22.2" customHeight="1" x14ac:dyDescent="0.3">
      <c r="A6" s="68" t="s">
        <v>146</v>
      </c>
      <c r="B6" s="69">
        <v>23</v>
      </c>
    </row>
    <row r="7" spans="1:2" ht="22.2" customHeight="1" x14ac:dyDescent="0.3">
      <c r="A7" s="68" t="s">
        <v>147</v>
      </c>
      <c r="B7" s="69">
        <v>26</v>
      </c>
    </row>
    <row r="8" spans="1:2" ht="22.2" customHeight="1" x14ac:dyDescent="0.3">
      <c r="A8" s="68" t="s">
        <v>148</v>
      </c>
      <c r="B8" s="69">
        <v>19</v>
      </c>
    </row>
    <row r="9" spans="1:2" ht="22.2" customHeight="1" x14ac:dyDescent="0.3">
      <c r="A9" s="68" t="s">
        <v>149</v>
      </c>
      <c r="B9" s="69">
        <v>52</v>
      </c>
    </row>
    <row r="10" spans="1:2" x14ac:dyDescent="0.3">
      <c r="A10" s="70"/>
      <c r="B10" s="74">
        <f>SUM(B1:B9)</f>
        <v>339</v>
      </c>
    </row>
    <row r="12" spans="1:2" x14ac:dyDescent="0.3">
      <c r="A12" s="68" t="s">
        <v>150</v>
      </c>
      <c r="B12" s="1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HSERV CABREUVA SERVICOS DE APOI</vt:lpstr>
      <vt:lpstr>H SERV CLEAN COMERCIO DE PRODUT</vt:lpstr>
      <vt:lpstr>HSERV SERVICOS COMBINADOS DE FA</vt:lpstr>
      <vt:lpstr>HSERV LTDA</vt:lpstr>
      <vt:lpstr>HENRIQUE JEAN DUARTE LTDA</vt:lpstr>
      <vt:lpstr>HSERV TECNOLOGIA E SERVICOS SOC</vt:lpstr>
      <vt:lpstr>HSERV SERVICOS TERCEIRIZADOS SO</vt:lpstr>
      <vt:lpstr>HSERV SERVICOS DE LIMPEZA E SEG</vt:lpstr>
      <vt:lpstr>HSERV CABREUVA REPRESENTACOES C</vt:lpstr>
      <vt:lpstr>RESUMO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Rocha</dc:creator>
  <cp:lastModifiedBy>Pamela Rocha</cp:lastModifiedBy>
  <dcterms:created xsi:type="dcterms:W3CDTF">2024-10-02T14:30:59Z</dcterms:created>
  <dcterms:modified xsi:type="dcterms:W3CDTF">2025-09-16T17:10:30Z</dcterms:modified>
</cp:coreProperties>
</file>