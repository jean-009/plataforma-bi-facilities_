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B5610822-2307-4E1B-BE0D-8A786EE5799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<sst xmlns="http://schemas.openxmlformats.org/spreadsheetml/2006/main" count="38" uniqueCount="37">
  <si>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</si>
  <si>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</si>
  <si>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</si>
  <si>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</si>
  <si>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</si>
  <si>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</si>
  <si>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</si>
  <si>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</si>
  <si>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</si>
  <si>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</si>
  <si>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</si>
  <si>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</si>
  <si>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</si>
  <si>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</si>
  <si>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</si>
  <si>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</si>
  <si>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</si>
  <si>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</si>
  <si>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</si>
  <si>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</si>
  <si>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</si>
  <si>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</si>
  <si>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</si>
  <si>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</si>
  <si>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</si>
  <si>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</si>
  <si>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</si>
  <si>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</si>
  <si>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</si>
  <si>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</si>
  <si>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</si>
  <si>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</si>
  <si>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</si>
  <si>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</si>
  <si>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</si>
  <si>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</si>
  <si>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BOA LOJA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</si>
</sst>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I6" sqref="I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77" customFormat="1" ht="52.5" customHeight="1" thickBot="1" x14ac:dyDescent="0.3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79" t="s">
        <v>1</v>
      </c>
      <c r="K3" s="79"/>
      <c r="L3" s="80" t="s">
        <v>33</v>
      </c>
      <c r="M3" s="80"/>
      <c r="N3" s="80"/>
      <c r="O3" s="80"/>
      <c r="P3" s="80"/>
      <c r="Q3" s="80"/>
      <c r="R3" s="80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10783.1</v>
      </c>
      <c r="E5" s="23">
        <v>8</v>
      </c>
      <c r="F5" s="23">
        <v>830.23</v>
      </c>
      <c r="G5" s="23">
        <v>0</v>
      </c>
      <c r="H5" s="23">
        <v>80</v>
      </c>
      <c r="I5" s="23">
        <v>1075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17945.13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17945.13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10783.1</v>
      </c>
      <c r="E35" s="34">
        <f t="shared" si="1"/>
        <v>8</v>
      </c>
      <c r="F35" s="34">
        <f t="shared" si="1"/>
        <v>830.23</v>
      </c>
      <c r="G35" s="34">
        <f t="shared" si="1"/>
        <v>0</v>
      </c>
      <c r="H35" s="54">
        <v>80</v>
      </c>
      <c r="I35" s="34">
        <f t="shared" si="1"/>
        <v>1075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-17945.13</v>
      </c>
      <c r="P35" s="51"/>
      <c r="Q35" s="34">
        <f t="shared" si="1"/>
        <v>30</v>
      </c>
      <c r="R35" s="22"/>
      <c r="S35" s="52">
        <f>SUBTOTAL(109,S5:S34)</f>
        <v>17945.13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8" t="s">
        <v>7</v>
      </c>
      <c r="C38" s="69"/>
      <c r="D38" s="69"/>
      <c r="E38" s="69"/>
      <c r="F38" s="70" t="s">
        <v>28</v>
      </c>
      <c r="G38" s="70"/>
      <c r="H38" s="70"/>
      <c r="I38" s="70"/>
      <c r="J38" s="70"/>
      <c r="K38" s="70"/>
      <c r="L38" s="70"/>
      <c r="M38" s="13"/>
      <c r="N38" s="81" t="s">
        <v>8</v>
      </c>
      <c r="O38" s="81"/>
      <c r="P38" s="81"/>
      <c r="Q38" s="82">
        <v>0</v>
      </c>
      <c r="R38" s="82"/>
      <c r="S38" s="12"/>
      <c r="T38" s="30"/>
    </row>
    <row r="39" spans="1:20" s="4" customFormat="1" ht="18" customHeight="1" x14ac:dyDescent="0.25">
      <c r="B39" s="65" t="s">
        <v>9</v>
      </c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13"/>
      <c r="N39" s="72" t="s">
        <v>10</v>
      </c>
      <c r="O39" s="72"/>
      <c r="P39" s="72"/>
      <c r="Q39" s="73">
        <v>0</v>
      </c>
      <c r="R39" s="73"/>
      <c r="S39" s="13"/>
      <c r="T39" s="30"/>
    </row>
    <row r="40" spans="1:20" s="4" customFormat="1" ht="18" customHeight="1" x14ac:dyDescent="0.25">
      <c r="B40" s="68" t="s">
        <v>11</v>
      </c>
      <c r="C40" s="69"/>
      <c r="D40" s="69"/>
      <c r="E40" s="69"/>
      <c r="F40" s="74" t="s">
        <v>35</v>
      </c>
      <c r="G40" s="74"/>
      <c r="H40" s="74"/>
      <c r="I40" s="74"/>
      <c r="J40" s="74"/>
      <c r="K40" s="74"/>
      <c r="L40" s="74"/>
      <c r="M40" s="13"/>
      <c r="N40" s="75" t="s">
        <v>12</v>
      </c>
      <c r="O40" s="75"/>
      <c r="P40" s="75"/>
      <c r="Q40" s="76"/>
      <c r="R40" s="76"/>
      <c r="S40" s="13"/>
      <c r="T40" s="30"/>
    </row>
    <row r="41" spans="1:20" s="4" customFormat="1" ht="18" customHeight="1" x14ac:dyDescent="0.25">
      <c r="B41" s="65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8"/>
      <c r="C42" s="69"/>
      <c r="D42" s="69"/>
      <c r="E42" s="69"/>
      <c r="F42" s="70"/>
      <c r="G42" s="70"/>
      <c r="H42" s="70"/>
      <c r="I42" s="70"/>
      <c r="J42" s="70"/>
      <c r="K42" s="70"/>
      <c r="L42" s="70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1" t="s">
        <v>34</v>
      </c>
      <c r="O43" s="71"/>
      <c r="P43" s="71"/>
      <c r="Q43" s="71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77" customFormat="1" ht="52.5" customHeight="1" x14ac:dyDescent="0.25">
      <c r="A1" s="77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2024-09-17T13:53:24Z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