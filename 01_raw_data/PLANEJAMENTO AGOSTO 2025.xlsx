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B3C97778-978E-4CED-AB22-0EBEDF609216}" xr6:coauthVersionLast="47" xr6:coauthVersionMax="47" xr10:uidLastSave="{00000000-0000-0000-0000-000000000000}"/>
  <bookViews>
    <workbookView xWindow="-108" yWindow="-108" windowWidth="23256" windowHeight="12456" activeTab="1" xr2:uid="{B96A1E96-2A5B-421C-9747-DF1273B27EF8}"/>
  </bookViews>
  <sheets>
    <sheet name="Planilha2" sheetId="4" r:id="rId1"/>
    <sheet name="DESPESAS X RECEITA" sheetId="1" r:id="rId2"/>
    <sheet name="Planilha1" sheetId="3" r:id="rId3"/>
    <sheet name="NÃO PROVISIONADO" sheetId="2" r:id="rId4"/>
  </sheets>
  <definedNames>
    <definedName name="_xlnm._FilterDatabase" localSheetId="1" hidden="1">'DESPESAS X RECEITA'!$A$1:$F$266</definedName>
    <definedName name="_xlnm._FilterDatabase" localSheetId="2" hidden="1">Planilha1!$A$1:$F$45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<sst xmlns="http://schemas.openxmlformats.org/spreadsheetml/2006/main" count="1322" uniqueCount="292">
  <si>
    <t>DATA</t>
  </si>
  <si>
    <t>EMPRESA</t>
  </si>
  <si>
    <t>VALOR</t>
  </si>
  <si>
    <t>TIPO</t>
  </si>
  <si>
    <t>CENTRO DE CUSTO</t>
  </si>
  <si>
    <t>HSERV CABREUVA</t>
  </si>
  <si>
    <t>ELEKTRO SALA 16</t>
  </si>
  <si>
    <t>DESPESAS</t>
  </si>
  <si>
    <t>LUZ</t>
  </si>
  <si>
    <t>ELEKTRO SALA 17</t>
  </si>
  <si>
    <t>ELEKTRO SALA 18</t>
  </si>
  <si>
    <t>ELEKTRO LOJA CLEAN</t>
  </si>
  <si>
    <t xml:space="preserve">HSERV COMBINADOS </t>
  </si>
  <si>
    <t>CAIXA FEDERAL -NOVO EMPRESTIMO</t>
  </si>
  <si>
    <t>EMPRESTIMO</t>
  </si>
  <si>
    <t>HENRIQUE JEAN</t>
  </si>
  <si>
    <t>CAIXINHA OPERACIONAL - OSSIRES</t>
  </si>
  <si>
    <t>CAIXINHA</t>
  </si>
  <si>
    <t xml:space="preserve">CAIXINHA OPERACIONAL </t>
  </si>
  <si>
    <t>CAIXINHA RH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</si>
  <si>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</si>
  <si>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</si>
  <si>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</si>
  <si>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</si>
  <si>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</si>
  <si>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</si>
  <si>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>FINANCIAMENTO</t>
  </si>
  <si>
    <t>HSERV CLEAN</t>
  </si>
  <si>
    <t>BRADESCO</t>
  </si>
  <si>
    <t>TAR PLANO ADAPT 3 05/24</t>
  </si>
  <si>
    <t>TARIFA BANCARIA</t>
  </si>
  <si>
    <t>HSERV TERCERIZADOS</t>
  </si>
  <si>
    <t>HSERV COMBINADOS</t>
  </si>
  <si>
    <t>HSERV TECNOLOGIA</t>
  </si>
  <si>
    <t>HSERV LIMPEZA</t>
  </si>
  <si>
    <t>HSERV REPRESENTAÇÃO</t>
  </si>
  <si>
    <t>ALUGUEL DE VEICULOS</t>
  </si>
  <si>
    <t>VALE TRANSPORTE</t>
  </si>
  <si>
    <t>SISTEMA</t>
  </si>
  <si>
    <t>ACORDO TRABALHISTA</t>
  </si>
  <si>
    <t>CONDOMINIO NEX ONE CONSOLAÇÃO BELAS ARTES- ROBOTTON</t>
  </si>
  <si>
    <t>RESERVA</t>
  </si>
  <si>
    <t>SALARIOS</t>
  </si>
  <si>
    <t xml:space="preserve">ESTER CARDOZO DE LIMA </t>
  </si>
  <si>
    <t xml:space="preserve">FT ASSIS E REGIÃO- </t>
  </si>
  <si>
    <t>FT</t>
  </si>
  <si>
    <t xml:space="preserve">BRASIL MEDICINE - PROVISÃO </t>
  </si>
  <si>
    <t>SINDICATO</t>
  </si>
  <si>
    <t>SINDICATO DOS EMPREGADOS - PROVISÃO</t>
  </si>
  <si>
    <t>BENEFICIO SOCIAL´PROVISÃO</t>
  </si>
  <si>
    <t>SERGIO LUIZ BERTOLO</t>
  </si>
  <si>
    <t>ALUGUEL DE IMOVEIS</t>
  </si>
  <si>
    <t>JAIR RÉ</t>
  </si>
  <si>
    <t>COMISSOES</t>
  </si>
  <si>
    <t>MARCASA-SEGURANÇA</t>
  </si>
  <si>
    <t>SEGURANÇAS</t>
  </si>
  <si>
    <t>ALCEU MARTINHO NETO</t>
  </si>
  <si>
    <t>PROLABORE SOCIOS CRISTIANE-MARIA JOSE</t>
  </si>
  <si>
    <t>PROLABORE</t>
  </si>
  <si>
    <t>CARTÃO VITOR</t>
  </si>
  <si>
    <t xml:space="preserve">	BRADESCO SEGUROS - SEGURO AUTO</t>
  </si>
  <si>
    <t>SEGUROS EM GERAL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</si>
  <si>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</si>
  <si>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</si>
  <si>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</si>
  <si>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</si>
  <si>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</si>
  <si>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</si>
  <si>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FIT ADM (VIDA NOVA) 43-02</t>
  </si>
  <si>
    <t>SAFRA</t>
  </si>
  <si>
    <t>THOMSON REUTERS BRASIL CONTEUDO E TECNOLOGIA LTDA</t>
  </si>
  <si>
    <t>VITOR AUGUSTO DUARTE SOCIEDADE</t>
  </si>
  <si>
    <t>RONDAWEB CONEXOES LTDA</t>
  </si>
  <si>
    <t>VALE ALIMENTAÇÃO MENSAL -</t>
  </si>
  <si>
    <t xml:space="preserve"> HSERV CABREUVA</t>
  </si>
  <si>
    <t>VALE TRANSPORTE BASE</t>
  </si>
  <si>
    <t>BOLETO OTAVIO</t>
  </si>
  <si>
    <t xml:space="preserve">SEM PARAR- </t>
  </si>
  <si>
    <t xml:space="preserve">IMPOSTO </t>
  </si>
  <si>
    <t>CARTAO DE CRÉDITO- VITOR</t>
  </si>
  <si>
    <t>CARTÃO DE CREDITO</t>
  </si>
  <si>
    <t>TARIFA MAX EMPRESARIAL</t>
  </si>
  <si>
    <t>HSERV TERCERIZADOS ND</t>
  </si>
  <si>
    <t>HSERV LIMPEZA ND</t>
  </si>
  <si>
    <t>CELIO ROBERTO</t>
  </si>
  <si>
    <t xml:space="preserve"> MEI</t>
  </si>
  <si>
    <t>SABESP SALA 16</t>
  </si>
  <si>
    <t>AGUA</t>
  </si>
  <si>
    <t>SABESP SALA 17</t>
  </si>
  <si>
    <t>SABESP SALA 18</t>
  </si>
  <si>
    <t>HSERV TECNOLOGIA E SERVICOS SO</t>
  </si>
  <si>
    <t>OMIEXPERIENCE LTDA.</t>
  </si>
  <si>
    <t>HSERV CABREUVA REPRESENTACOES</t>
  </si>
  <si>
    <t>HSERV CABREUVA SERVICOS DE APO</t>
  </si>
  <si>
    <t>HSERV SERVICOS COMBINADOS DE F</t>
  </si>
  <si>
    <t>HENRIQUE JEAN DUARTE LTDA</t>
  </si>
  <si>
    <t>HSERV SERVICOS TERCEIRIZADOS S</t>
  </si>
  <si>
    <t>HSERV SERVICOS DE LIMPEZA E SE</t>
  </si>
  <si>
    <t>SABESP CLEAN</t>
  </si>
  <si>
    <t>JONESO EMPREENDIMENTOS</t>
  </si>
  <si>
    <t>SOFISA ACORDO - HONORARIOS ADVICATICIOS</t>
  </si>
  <si>
    <t>SOFISA ACORDO- PROCESSO EXECUÇÃO</t>
  </si>
  <si>
    <t>FGTS MENSAL</t>
  </si>
  <si>
    <t>CONTABILIDADE</t>
  </si>
  <si>
    <t xml:space="preserve">RESOLVE ALIMENTAÇÃO </t>
  </si>
  <si>
    <t>ANJO AZUL ALARMES</t>
  </si>
  <si>
    <t>MAXIWEB INTERNET PROVIDER LTDA</t>
  </si>
  <si>
    <t xml:space="preserve">DARF INSS- GPS VITOR DUARTE </t>
  </si>
  <si>
    <t>IMPOSTO</t>
  </si>
  <si>
    <t>DARF INSS-TODAS EMPRESAS</t>
  </si>
  <si>
    <t>SIMPLES NACIONAL MENSAL</t>
  </si>
  <si>
    <t>ASOMETRA- PROVISÃO</t>
  </si>
  <si>
    <t>EXAMES MEDICOS</t>
  </si>
  <si>
    <t>VALE TRANSPORTE MENSAL VIAÇÕES</t>
  </si>
  <si>
    <t>EMPORIO MEGA 100 COMERCIO DE ALIMENTOS S.A.</t>
  </si>
  <si>
    <t>CESTA BASICA</t>
  </si>
  <si>
    <t>HSERV TERCEIRIZADOS</t>
  </si>
  <si>
    <t>HSERV REPRESENTACOES</t>
  </si>
  <si>
    <t>MAC LUCER - VINEA (MENSAL) 3/36</t>
  </si>
  <si>
    <t>VITOR</t>
  </si>
  <si>
    <t>CLARO S/A</t>
  </si>
  <si>
    <t>TELEFONE</t>
  </si>
  <si>
    <t xml:space="preserve">IMOVEL NEX ONE </t>
  </si>
  <si>
    <t>GADE CORPORATIVA</t>
  </si>
  <si>
    <t>OPEN IT GROUP</t>
  </si>
  <si>
    <t>INTERNET</t>
  </si>
  <si>
    <t>CHEQUES DR DUARTE</t>
  </si>
  <si>
    <t>GABRIEL DOS SANTOS NOVÃESCLOUD-TELEFONIA</t>
  </si>
  <si>
    <t>NEXTI DESENVOLVIMENTO DE SISTEMAS S.A.</t>
  </si>
  <si>
    <t>PROVISÃO FÉRIAS</t>
  </si>
  <si>
    <t>FÉRIAS</t>
  </si>
  <si>
    <t>RESERVA SÓCIOS</t>
  </si>
  <si>
    <t>SIMPLES NACIONAL-PARCELAMENTO</t>
  </si>
  <si>
    <t>VALE COMBUSTIVEL</t>
  </si>
  <si>
    <t>LOCALIZA - CARRO PROVISÃO</t>
  </si>
  <si>
    <t>LOCALIZA - ALUGUEL</t>
  </si>
  <si>
    <t>54.055.078 MATHEUS PEIXOTO DE OLIVEIRA</t>
  </si>
  <si>
    <t>TI</t>
  </si>
  <si>
    <t>ADEMIR- IMPRESSÃO E IMPRESSORA</t>
  </si>
  <si>
    <t>DEVOLUÇÃO VITOR APORTE 1</t>
  </si>
  <si>
    <t>APORTE</t>
  </si>
  <si>
    <t>DEVOLUÇÃO VITOR - SANTANDER</t>
  </si>
  <si>
    <t>REPARO EM UNIFORMES- COSTURA- LEILA APARECIDA PEREIRA REIS- PROVISÃO</t>
  </si>
  <si>
    <t>UNIFORMES</t>
  </si>
  <si>
    <t>REEMBOLSOS</t>
  </si>
  <si>
    <t>REEMBOLSO</t>
  </si>
  <si>
    <t>NEGOCIAÇÃO CARTÃO DE CREDITO HSERV CABREUVA  1/24</t>
  </si>
  <si>
    <t>FORNECEDOR</t>
  </si>
  <si>
    <t>VALE COMBUSTIVEL 1 QUINZENA DE FEVEREIRO</t>
  </si>
  <si>
    <t>VALE COMBUSTIVEL-2 QUINZENA DE JANEIRO</t>
  </si>
  <si>
    <t>FABIOLA FARIAS FELIX</t>
  </si>
  <si>
    <t>MARISA DE SOUSA SILVA</t>
  </si>
  <si>
    <t>ESTER CARDOZO</t>
  </si>
  <si>
    <t>SICOOB HSERV CABREUVA NEGOCIAÇÃO CHEQUE ESPECIAL 5/20</t>
  </si>
  <si>
    <t>BANCO VOTORANTIM S.A.-ANTCIPAÇÃO BELL ART</t>
  </si>
  <si>
    <t>ANTECIPAÇÃO</t>
  </si>
  <si>
    <t>FGTS MENSAL VENCIDO 20/12</t>
  </si>
  <si>
    <t>DARF INS-VENCIDO 20/02</t>
  </si>
  <si>
    <t xml:space="preserve"> PAGAMENTOS NÃO PROVISIONADOS</t>
  </si>
  <si>
    <t>CLEAN</t>
  </si>
  <si>
    <t>PLASTY COMERCIAL DE PLASTICOS LTDA</t>
  </si>
  <si>
    <t>RECEITA</t>
  </si>
  <si>
    <t>VENDAS DE SERVIÇOS</t>
  </si>
  <si>
    <t>LIMPEZA</t>
  </si>
  <si>
    <t>CABREUVA</t>
  </si>
  <si>
    <t>TED 422.0115.KYN C V A L</t>
  </si>
  <si>
    <t>FISCAL DE LOJA</t>
  </si>
  <si>
    <t>CONDOMINIO PALAZZO VENEZA</t>
  </si>
  <si>
    <t>REPRESENTAÇÃO</t>
  </si>
  <si>
    <t>TTB INDUSTRIA E COMERCIO DE PRODUTOS MET</t>
  </si>
  <si>
    <t>DEPOSITO SANTA CATARINA LTDA</t>
  </si>
  <si>
    <t>GIFEL</t>
  </si>
  <si>
    <t>RICARO</t>
  </si>
  <si>
    <t>CONTROLE DE ACESSO</t>
  </si>
  <si>
    <t>SEGURANÇA</t>
  </si>
  <si>
    <t>MONITORAMENTO</t>
  </si>
  <si>
    <t>LOCAÇÃO</t>
  </si>
  <si>
    <t xml:space="preserve">AVENIDA </t>
  </si>
  <si>
    <t>TERCEIRIZADOS</t>
  </si>
  <si>
    <t>BELLART</t>
  </si>
  <si>
    <t>CONTROLADOR DE ACESSO</t>
  </si>
  <si>
    <t>MIPAL INDUSTRIA DE EVAPORADORES LTDA</t>
  </si>
  <si>
    <t>RONDA NOTURNA</t>
  </si>
  <si>
    <t>CONTROLADOR</t>
  </si>
  <si>
    <t>BOA</t>
  </si>
  <si>
    <t>ZAMBONI, SOUSA, CARVALHO &amp; MARIANO ADVOGADOS</t>
  </si>
  <si>
    <t>GUILHERME VINICIUS SILVA DE OLIVEIRA SOCIEDADE INDIVIDUAL DE</t>
  </si>
  <si>
    <t>FABIANO MACHADO MARTINS</t>
  </si>
  <si>
    <t xml:space="preserve">PROCESSO INGRID </t>
  </si>
  <si>
    <t>REGIANE CRISTINA MUSSELLI-ACORDO LUANA</t>
  </si>
  <si>
    <t>Fabiano Sampaio Avila D Aloia Sociedade Individual de Advocacia -PROCESSO CLAUDINEIA PARCELA 3</t>
  </si>
  <si>
    <t xml:space="preserve">HSERV CABREUVA </t>
  </si>
  <si>
    <t>CREDIFIT</t>
  </si>
  <si>
    <t xml:space="preserve">EMPRESTIMO </t>
  </si>
  <si>
    <t>FT 2 QUINZENA DE FEVEREIRO</t>
  </si>
  <si>
    <t>BRADESCO SEGUROS - QUY9F13- DEBITO AUTOMATICO HSERV CABREUVA BRADESCO</t>
  </si>
  <si>
    <t>MOVIDA PARTICIPACOES S.A.-</t>
  </si>
  <si>
    <t xml:space="preserve">BANCO ITAUCARD S.A.- </t>
  </si>
  <si>
    <t xml:space="preserve">HSERV  COMBINADOS </t>
  </si>
  <si>
    <t xml:space="preserve">PAMELA ROCHA MARINHO-BONUS  GERENCIA </t>
  </si>
  <si>
    <t>LOCALIZA - VENCIDA</t>
  </si>
  <si>
    <t>IF EMPRESARIAL</t>
  </si>
  <si>
    <t>FT 1 QUINZENA DE MARÇO E PACOTES, RT</t>
  </si>
  <si>
    <t xml:space="preserve">FÉRIAS- </t>
  </si>
  <si>
    <t>DEVOLÇÃO APORTE VITOR - APORTE 16/12 2º PARCELA</t>
  </si>
  <si>
    <t>BENEFICIO SOCIALVENCIDA 10/05</t>
  </si>
  <si>
    <t>SINDICATO DOS EMPREGADOS - VENCIDA 10/05</t>
  </si>
  <si>
    <t xml:space="preserve">MAC LUCER - VINEA (MENSAL) </t>
  </si>
  <si>
    <t xml:space="preserve">BRADESCO </t>
  </si>
  <si>
    <t>GUIA DE PARCELAMENTO INSS VITOR JULHO A NOV 2024</t>
  </si>
  <si>
    <t>GUIA DE PARELAMENTO DE DIVIDA ATIVA HSERV CLEAN</t>
  </si>
  <si>
    <t>ISS PREFEITURA DE CABREUVA CABREUVA</t>
  </si>
  <si>
    <t>TADIM NEVES SOCIEDADE ACORDO TRABALHISTA ADILIO SANTOS SOUZA- Proc. 0012114-44.2023.5.15.0188 PARCELA 3/8-</t>
  </si>
  <si>
    <t>EGLE SIQUEIRA SOCIEDADE INDIVIDUAL DE ADVOCACIA -ACORDO TRABALHISTA -  SAMUEL DE SOUZA CAMARA - Processo n. 1001012-96.2023.5.02.021</t>
  </si>
  <si>
    <t>LUCAS LEONARDO MARQUES DE OLIVEIRA -ACORDO TRABALHISTA - GILVAN ANTONIO DOS SANTOS SILVA -  1000130-70.2024.5.02.0221</t>
  </si>
  <si>
    <t>LETICIA FERNANDA DO NASCIMENTO-ACORDO TRABALHISTA - JADISON SOUZA FONTES - PROC - 0012166-65.2023.5.15.0018</t>
  </si>
  <si>
    <t>LUAN VIEIRA BARRETO -ACORDO - ANGELO JOSE ARANTES - PROC 0012216-57.2024.5.15.0018</t>
  </si>
  <si>
    <t>MATHEUS PEREIRA SOCIEDADE INDIVIDUAL DE ADVOCACIA-PROCESSO:  IARA PEDROSO FERREIRA  - PROCESSO 0012734-38.2024.5.15.0021</t>
  </si>
  <si>
    <t>SALARIO CLT, PENSÃO ALIMENTICIA, BONUS-</t>
  </si>
  <si>
    <t xml:space="preserve"> MEI  </t>
  </si>
  <si>
    <t>VALERIA GEOVANNA DOS SANTOS -ACORDO TRABALHISTA - ELIENE ALVES LISBOA - PRoc 1001103-06.2024.5.02.0292</t>
  </si>
  <si>
    <t>LOCALIZA FLEET S.A.</t>
  </si>
  <si>
    <t>J.E. COMERCIO E SOLUCOES LTDA</t>
  </si>
  <si>
    <t>MERCADORIAS PARA REVENDA</t>
  </si>
  <si>
    <t>BOM FALCAO LOGISTICA E TRANSPORTE LTDA</t>
  </si>
  <si>
    <t>TRANSPORTE</t>
  </si>
  <si>
    <t>SPARTAN DO BRASIL PRODUTOS QUIMICOS LTDA</t>
  </si>
  <si>
    <t>STAR CLEAN PRO INDUSTRIA E COMERCIO DE EQUIPAMENTOS DE LIMPE</t>
  </si>
  <si>
    <t>QUEILA JESUS BERNARDES DE OLIVEIRA</t>
  </si>
  <si>
    <t>LOTUS CENTRAL DE DISTRIBUICAO DE HIGIENICOS LTDA</t>
  </si>
  <si>
    <t>EMPRESTIMO HSERV CLEAN BRADESCO M-PARCELA MENSAL VENCIMENTO 14/06/2025</t>
  </si>
  <si>
    <t>OKUYAMA &amp; ALVES SOCIEDADE DE ADVOGADOS</t>
  </si>
  <si>
    <t>BELMICRO TECNOLOGIA S/A</t>
  </si>
  <si>
    <t>MATERIAL DE ESCRITÓRIO</t>
  </si>
  <si>
    <t>OKUYAMA &amp; ALVES SOCIEDADE DE ADVOGADOS -ACORDO - JESSICA BARROS DOS SANTOS - 0012457-65.2023.5.15.0018</t>
  </si>
  <si>
    <t>SOFT WORKS EPI CALCADOS LTDA</t>
  </si>
  <si>
    <t>TFN COMERCIO E SERVICOS DE MAQUINAS LTDA</t>
  </si>
  <si>
    <t>VITOR  DUARTE</t>
  </si>
  <si>
    <t>ROGERIO MAZZA TROISE -PROCESSO - 0010836-87.2024.5.15.002 -INGRYD BIANCA OLIVEIRA PARCELA 5</t>
  </si>
  <si>
    <t>MARCIO FERREIRA TOLLER SILVA</t>
  </si>
  <si>
    <t>SANTOS SEPULVEDA SOCIEDADE INDIVIDUAL DE ADVOCACIA</t>
  </si>
  <si>
    <t>RSC COM. MAT.P/ CONSTRUCAO LTDA.</t>
  </si>
  <si>
    <t>EQUIPAMENTOS</t>
  </si>
  <si>
    <t>ISABELLA MARIANA VALARIO SOCIEDADE INDIVIDUAL DE ADVOCACIA</t>
  </si>
  <si>
    <t>MOVIDA PARTICIPACOES S.A.</t>
  </si>
  <si>
    <t>ADAILTON AUGUSTO VITORINO</t>
  </si>
  <si>
    <t>RESCISÕES</t>
  </si>
  <si>
    <t>GRRF ADAILTON AUGUSTO VITORINO</t>
  </si>
  <si>
    <t>NOVITA VEST CONFECCOES LTDA</t>
  </si>
  <si>
    <t>UNIFORME</t>
  </si>
  <si>
    <t>ATN COMERCIO DE ARTIGOS DE BORRACHA LTDA</t>
  </si>
  <si>
    <t>FEMACON CONSTRUCOES LTDA</t>
  </si>
  <si>
    <t>JLW IND. DE APARELHOS ELETRO ELETRONICOS LTDA</t>
  </si>
  <si>
    <t>WIG COMERCIO DE BATERIAS COMPONENTES LTDA</t>
  </si>
  <si>
    <t>MANUTENÇÃO</t>
  </si>
  <si>
    <t>DARF DE COFINS, PIS- LUCRO REAL EMPRESA VITOR</t>
  </si>
  <si>
    <t>DARF DE COFINS, PIS- LUCRO  PRESUMIDO HSERV CABREUVA</t>
  </si>
  <si>
    <t xml:space="preserve">SIMPLES NACIONAL MENSAL </t>
  </si>
  <si>
    <t>MARCIO FERREIRA TOLLER SILVA -ACORDO TRABALHISTA - NORTON DO NASCIMENTO GONÇALVES BUENO  4 X - Proc 1001220-97.2024.5.02.0291</t>
  </si>
  <si>
    <t>TADIM NEVES SOCIEDADE INDIVIDUAL DE ADVOCACIA -ACORDO TRABALHISTA ADILIO SANTOS SOUZA-PROC Proc. 0012114-44.2023.5.15.0188</t>
  </si>
  <si>
    <t>JONESO EMPREENDIMENTOS E ADMINISTRACAO LTDA</t>
  </si>
  <si>
    <t xml:space="preserve">ALINE CAMOLEZ SOARES ISCARO -ATSum 0012233-68.2024.5.15.0188 - GISLAINE CRISTINA FERNANDES PEREIRA </t>
  </si>
  <si>
    <t>CESTA NATALINA</t>
  </si>
  <si>
    <t>RECEITAS</t>
  </si>
  <si>
    <t>TECNOLOGIA</t>
  </si>
  <si>
    <t>INTERBRILHO HIGIENE E LIMPEZA LTDA</t>
  </si>
  <si>
    <t>EDMAR APARECIDO MARTINEZ</t>
  </si>
  <si>
    <t>ASSIDUIDADE</t>
  </si>
  <si>
    <t>COMBINADOS</t>
  </si>
  <si>
    <t>TECNIPLAS EQUIPAMENTOS EM COMPOSITOS EIR</t>
  </si>
  <si>
    <t>VETTOR TORRES DE RESFRIAMENTO LTDA</t>
  </si>
  <si>
    <t>BRENO ANTONIO JACON</t>
  </si>
  <si>
    <t>IMPROVEMENT FIT ACADEMIA LTDA</t>
  </si>
  <si>
    <t>CONDOMINIO NEW PARQUE TENIS</t>
  </si>
  <si>
    <t xml:space="preserve"> BELL ART </t>
  </si>
  <si>
    <t xml:space="preserve">GIFEL </t>
  </si>
  <si>
    <t>ASSUIDADE</t>
  </si>
  <si>
    <t>TECNIPLAS EQUIPAMENTOS</t>
  </si>
  <si>
    <t xml:space="preserve">VENDAS DE PRODUTOS </t>
  </si>
  <si>
    <t>ASSDUIDADE</t>
  </si>
  <si>
    <t xml:space="preserve">LIMPEZA </t>
  </si>
  <si>
    <t>CONTROLADOR NOTURNO E RONDA</t>
  </si>
  <si>
    <t>VENDAS CLEAN ITAU DIA 01 ATE 23</t>
  </si>
  <si>
    <t>IRMÃOS BOAS</t>
  </si>
  <si>
    <t>BOA- VALOR R$ 896.135,36</t>
  </si>
  <si>
    <t>Soma de VALOR</t>
  </si>
  <si>
    <t>Rótulos de Linha</t>
  </si>
  <si>
    <t>Total Geral</t>
  </si>
  <si>
    <t>Rótulos de Coluna</t>
  </si>
  <si>
    <t>PLANEJAMENTO FINANCEIRO DE JUNHO 2025</t>
  </si>
  <si>
    <t>SALDO INICIAL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</si>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</sst>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rgb="FF333333"/>
      <name val="Calibri Light"/>
      <family val="2"/>
    </font>
    <font>
      <sz val="11"/>
      <color rgb="FFFF0000"/>
      <name val="Calibri Light"/>
      <family val="2"/>
    </font>
    <font>
      <sz val="1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ED0000"/>
      <name val="Calibri Light"/>
      <family val="2"/>
      <scheme val="major"/>
    </font>
    <font>
      <sz val="11"/>
      <color rgb="FF111111"/>
      <name val="Calibri Light"/>
      <family val="2"/>
      <scheme val="major"/>
    </font>
    <font>
      <u/>
      <sz val="11"/>
      <color rgb="FFFF0000"/>
      <name val="Calibri Light"/>
      <family val="2"/>
    </font>
    <font>
      <u/>
      <sz val="11"/>
      <color rgb="FFFF0000"/>
      <name val="Calibri Light"/>
      <family val="2"/>
      <scheme val="major"/>
    </font>
    <font>
      <u/>
      <sz val="11"/>
      <name val="Calibri Light"/>
      <family val="2"/>
    </font>
    <font>
      <u/>
      <sz val="11"/>
      <color rgb="FFED0000"/>
      <name val="Calibri Light"/>
      <family val="2"/>
      <scheme val="major"/>
    </font>
    <font>
      <b/>
      <sz val="1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3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4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vertical="center"/>
    </xf>
    <xf numFmtId="44" fontId="2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44" fontId="3" fillId="2" borderId="1" xfId="0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/>
    <xf numFmtId="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4" fontId="2" fillId="2" borderId="2" xfId="0" applyNumberFormat="1" applyFont="1" applyFill="1" applyBorder="1" applyAlignment="1">
      <alignment vertical="center"/>
    </xf>
    <xf numFmtId="14" fontId="2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/>
    <xf numFmtId="44" fontId="3" fillId="0" borderId="1" xfId="0" applyNumberFormat="1" applyFont="1" applyBorder="1"/>
    <xf numFmtId="14" fontId="5" fillId="0" borderId="1" xfId="0" applyNumberFormat="1" applyFont="1" applyBorder="1" applyAlignment="1">
      <alignment horizontal="center"/>
    </xf>
    <xf numFmtId="0" fontId="5" fillId="2" borderId="1" xfId="0" applyFont="1" applyFill="1" applyBorder="1"/>
    <xf numFmtId="0" fontId="5" fillId="0" borderId="1" xfId="0" applyFont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44" fontId="5" fillId="0" borderId="1" xfId="0" applyNumberFormat="1" applyFont="1" applyBorder="1"/>
    <xf numFmtId="44" fontId="5" fillId="2" borderId="1" xfId="0" applyNumberFormat="1" applyFont="1" applyFill="1" applyBorder="1"/>
    <xf numFmtId="0" fontId="5" fillId="3" borderId="3" xfId="0" applyFont="1" applyFill="1" applyBorder="1" applyAlignment="1">
      <alignment horizontal="left" vertical="center" wrapText="1"/>
    </xf>
    <xf numFmtId="4" fontId="5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wrapText="1"/>
    </xf>
    <xf numFmtId="0" fontId="2" fillId="0" borderId="0" xfId="0" applyFont="1"/>
    <xf numFmtId="0" fontId="2" fillId="2" borderId="0" xfId="0" applyFont="1" applyFill="1"/>
    <xf numFmtId="0" fontId="3" fillId="2" borderId="3" xfId="0" applyFont="1" applyFill="1" applyBorder="1" applyAlignment="1">
      <alignment horizontal="left"/>
    </xf>
    <xf numFmtId="44" fontId="6" fillId="0" borderId="1" xfId="0" applyNumberFormat="1" applyFont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/>
    <xf numFmtId="4" fontId="3" fillId="2" borderId="1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44" fontId="9" fillId="3" borderId="1" xfId="0" applyNumberFormat="1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/>
    <xf numFmtId="4" fontId="9" fillId="2" borderId="1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vertical="center"/>
    </xf>
    <xf numFmtId="44" fontId="9" fillId="2" borderId="1" xfId="0" applyNumberFormat="1" applyFont="1" applyFill="1" applyBorder="1"/>
    <xf numFmtId="0" fontId="3" fillId="2" borderId="0" xfId="0" applyFont="1" applyFill="1"/>
    <xf numFmtId="0" fontId="5" fillId="2" borderId="2" xfId="0" applyFont="1" applyFill="1" applyBorder="1" applyAlignment="1">
      <alignment horizontal="center"/>
    </xf>
    <xf numFmtId="14" fontId="11" fillId="4" borderId="1" xfId="0" applyNumberFormat="1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left" vertical="center" wrapText="1"/>
    </xf>
    <xf numFmtId="44" fontId="11" fillId="4" borderId="1" xfId="0" applyNumberFormat="1" applyFont="1" applyFill="1" applyBorder="1" applyAlignment="1">
      <alignment horizontal="right" vertical="center" wrapText="1"/>
    </xf>
    <xf numFmtId="4" fontId="11" fillId="2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wrapText="1"/>
    </xf>
    <xf numFmtId="0" fontId="2" fillId="0" borderId="0" xfId="0" applyFont="1" applyAlignment="1">
      <alignment vertical="center"/>
    </xf>
    <xf numFmtId="0" fontId="11" fillId="4" borderId="1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0" xfId="0" applyFont="1"/>
    <xf numFmtId="14" fontId="11" fillId="3" borderId="8" xfId="0" applyNumberFormat="1" applyFont="1" applyFill="1" applyBorder="1" applyAlignment="1">
      <alignment horizontal="right" vertical="center" wrapText="1"/>
    </xf>
    <xf numFmtId="0" fontId="11" fillId="2" borderId="0" xfId="0" applyFont="1" applyFill="1"/>
    <xf numFmtId="0" fontId="11" fillId="4" borderId="3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44" fontId="11" fillId="3" borderId="1" xfId="0" applyNumberFormat="1" applyFont="1" applyFill="1" applyBorder="1" applyAlignment="1">
      <alignment horizontal="right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left" wrapText="1"/>
    </xf>
    <xf numFmtId="0" fontId="11" fillId="2" borderId="1" xfId="0" applyFont="1" applyFill="1" applyBorder="1"/>
    <xf numFmtId="44" fontId="11" fillId="0" borderId="1" xfId="0" applyNumberFormat="1" applyFont="1" applyBorder="1"/>
    <xf numFmtId="0" fontId="11" fillId="2" borderId="1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/>
    </xf>
    <xf numFmtId="44" fontId="9" fillId="0" borderId="1" xfId="0" applyNumberFormat="1" applyFont="1" applyBorder="1"/>
    <xf numFmtId="44" fontId="3" fillId="0" borderId="0" xfId="0" applyNumberFormat="1" applyFont="1"/>
    <xf numFmtId="44" fontId="9" fillId="4" borderId="8" xfId="0" applyNumberFormat="1" applyFont="1" applyFill="1" applyBorder="1" applyAlignment="1">
      <alignment horizontal="right" vertical="center" wrapText="1"/>
    </xf>
    <xf numFmtId="44" fontId="11" fillId="4" borderId="8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/>
    </xf>
    <xf numFmtId="0" fontId="14" fillId="3" borderId="1" xfId="0" applyFont="1" applyFill="1" applyBorder="1" applyAlignment="1">
      <alignment horizontal="left" vertical="center" wrapText="1"/>
    </xf>
    <xf numFmtId="44" fontId="14" fillId="3" borderId="1" xfId="0" applyNumberFormat="1" applyFont="1" applyFill="1" applyBorder="1" applyAlignment="1">
      <alignment horizontal="right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2" borderId="0" xfId="0" applyFont="1" applyFill="1"/>
    <xf numFmtId="4" fontId="14" fillId="2" borderId="1" xfId="0" applyNumberFormat="1" applyFont="1" applyFill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 vertical="center" wrapText="1"/>
    </xf>
    <xf numFmtId="44" fontId="16" fillId="3" borderId="1" xfId="0" applyNumberFormat="1" applyFont="1" applyFill="1" applyBorder="1" applyAlignment="1">
      <alignment horizontal="right" vertical="center" wrapText="1"/>
    </xf>
    <xf numFmtId="4" fontId="16" fillId="2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14" fillId="3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0" xfId="0" applyFont="1" applyFill="1"/>
    <xf numFmtId="14" fontId="13" fillId="2" borderId="1" xfId="0" applyNumberFormat="1" applyFont="1" applyFill="1" applyBorder="1" applyAlignment="1">
      <alignment horizontal="center"/>
    </xf>
    <xf numFmtId="44" fontId="13" fillId="2" borderId="1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14" fontId="11" fillId="3" borderId="1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/>
    <xf numFmtId="44" fontId="5" fillId="0" borderId="2" xfId="0" applyNumberFormat="1" applyFont="1" applyBorder="1"/>
    <xf numFmtId="4" fontId="5" fillId="2" borderId="2" xfId="0" applyNumberFormat="1" applyFont="1" applyFill="1" applyBorder="1" applyAlignment="1">
      <alignment horizontal="center" vertical="center"/>
    </xf>
    <xf numFmtId="44" fontId="5" fillId="0" borderId="5" xfId="0" applyNumberFormat="1" applyFont="1" applyBorder="1"/>
    <xf numFmtId="0" fontId="2" fillId="0" borderId="0" xfId="0" applyFont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wrapText="1"/>
    </xf>
    <xf numFmtId="44" fontId="11" fillId="2" borderId="1" xfId="0" applyNumberFormat="1" applyFont="1" applyFill="1" applyBorder="1"/>
    <xf numFmtId="0" fontId="8" fillId="2" borderId="1" xfId="0" applyFont="1" applyFill="1" applyBorder="1" applyAlignment="1">
      <alignment horizontal="left" vertical="center"/>
    </xf>
    <xf numFmtId="44" fontId="12" fillId="4" borderId="1" xfId="0" applyNumberFormat="1" applyFont="1" applyFill="1" applyBorder="1" applyAlignment="1">
      <alignment horizontal="right" vertical="center" wrapText="1"/>
    </xf>
    <xf numFmtId="4" fontId="8" fillId="2" borderId="5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8" fillId="8" borderId="1" xfId="0" applyFont="1" applyFill="1" applyBorder="1" applyAlignment="1">
      <alignment vertical="center" wrapText="1"/>
    </xf>
    <xf numFmtId="44" fontId="8" fillId="8" borderId="1" xfId="0" applyNumberFormat="1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44" fontId="8" fillId="0" borderId="1" xfId="0" applyNumberFormat="1" applyFont="1" applyBorder="1"/>
    <xf numFmtId="44" fontId="3" fillId="2" borderId="1" xfId="0" applyNumberFormat="1" applyFont="1" applyFill="1" applyBorder="1" applyAlignment="1">
      <alignment wrapText="1"/>
    </xf>
    <xf numFmtId="44" fontId="3" fillId="2" borderId="1" xfId="0" applyNumberFormat="1" applyFont="1" applyFill="1" applyBorder="1"/>
    <xf numFmtId="4" fontId="3" fillId="2" borderId="1" xfId="0" applyNumberFormat="1" applyFont="1" applyFill="1" applyBorder="1" applyAlignment="1">
      <alignment horizontal="left" wrapText="1"/>
    </xf>
    <xf numFmtId="44" fontId="12" fillId="3" borderId="1" xfId="0" applyNumberFormat="1" applyFont="1" applyFill="1" applyBorder="1" applyAlignment="1">
      <alignment horizontal="right" vertical="center" wrapText="1"/>
    </xf>
    <xf numFmtId="14" fontId="8" fillId="2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left" wrapText="1"/>
    </xf>
    <xf numFmtId="44" fontId="8" fillId="3" borderId="1" xfId="0" applyNumberFormat="1" applyFont="1" applyFill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44" fontId="2" fillId="0" borderId="1" xfId="0" applyNumberFormat="1" applyFont="1" applyBorder="1"/>
    <xf numFmtId="0" fontId="0" fillId="0" borderId="0" xfId="0" applyAlignment="1">
      <alignment vertical="center"/>
    </xf>
    <xf numFmtId="1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/>
    </xf>
    <xf numFmtId="44" fontId="12" fillId="9" borderId="1" xfId="0" applyNumberFormat="1" applyFont="1" applyFill="1" applyBorder="1" applyAlignment="1">
      <alignment horizontal="right" vertical="center" wrapText="1"/>
    </xf>
    <xf numFmtId="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44" fontId="3" fillId="2" borderId="1" xfId="0" applyNumberFormat="1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44" fontId="3" fillId="8" borderId="1" xfId="0" applyNumberFormat="1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4" fontId="0" fillId="10" borderId="0" xfId="0" applyNumberFormat="1" applyFill="1"/>
    <xf numFmtId="44" fontId="0" fillId="11" borderId="0" xfId="0" applyNumberFormat="1" applyFill="1"/>
    <xf numFmtId="44" fontId="0" fillId="0" borderId="0" xfId="0" applyNumberFormat="1"/>
    <xf numFmtId="0" fontId="0" fillId="0" borderId="1" xfId="0" pivotButton="1" applyBorder="1"/>
    <xf numFmtId="0" fontId="0" fillId="0" borderId="1" xfId="0" applyBorder="1"/>
    <xf numFmtId="14" fontId="0" fillId="0" borderId="1" xfId="0" applyNumberFormat="1" applyBorder="1"/>
    <xf numFmtId="44" fontId="0" fillId="10" borderId="1" xfId="0" applyNumberFormat="1" applyFill="1" applyBorder="1" applyAlignment="1">
      <alignment horizontal="left"/>
    </xf>
    <xf numFmtId="44" fontId="0" fillId="10" borderId="1" xfId="0" applyNumberFormat="1" applyFill="1" applyBorder="1"/>
    <xf numFmtId="44" fontId="0" fillId="11" borderId="1" xfId="0" applyNumberFormat="1" applyFill="1" applyBorder="1" applyAlignment="1">
      <alignment horizontal="left"/>
    </xf>
    <xf numFmtId="44" fontId="0" fillId="11" borderId="1" xfId="0" applyNumberFormat="1" applyFill="1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0" fontId="10" fillId="12" borderId="1" xfId="0" applyFont="1" applyFill="1" applyBorder="1"/>
    <xf numFmtId="0" fontId="17" fillId="6" borderId="7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44" fontId="11" fillId="4" borderId="10" xfId="0" applyNumberFormat="1" applyFont="1" applyFill="1" applyBorder="1" applyAlignment="1">
      <alignment horizontal="right" vertical="center" wrapText="1"/>
    </xf>
  </cellXfs>
  <cellStyles count="2">
    <cellStyle name="Moeda 2" xfId="1" xr:uid="{767F9D02-D812-4333-8CB6-AA8C5D989668}"/>
    <cellStyle name="Normal" xfId="0" builtinId="0"/>
  </cellStyles>
  <dxfs count="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137160</xdr:colOff>
      <xdr:row>0</xdr:row>
      <xdr:rowOff>38100</xdr:rowOff>
    </xdr:from>
    <xdr:ext cx="487680" cy="441960"/>
    <xdr:pic>
      <xdr:nvPicPr>
        <xdr:cNvPr id="2" name="image1.png">
          <a:extLst>
            <a:ext uri="{FF2B5EF4-FFF2-40B4-BE49-F238E27FC236}">
              <a16:creationId xmlns:a16="http://schemas.microsoft.com/office/drawing/2014/main" id="{36DC08E2-65DC-4090-AD89-2F16EA8DCEA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160" y="38100"/>
          <a:ext cx="487680" cy="4419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556260</xdr:colOff>
      <xdr:row>2</xdr:row>
      <xdr:rowOff>38100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AC124449-6D5D-43A7-8627-FE6AF6C67DC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56260" cy="457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799.656656018517" createdVersion="8" refreshedVersion="8" minRefreshableVersion="3" recordCount="265" xr:uid="{287D7519-BEE3-40A4-BE67-F9657BDED2ED}">
  <cacheSource type="worksheet">
    <worksheetSource ref="A1:F266" sheet="DESPESAS X RECEITA"/>
  </cacheSource>
  <cacheFields count="6">
    <cacheField name="DATA" numFmtId="14">
      <sharedItems containsSemiMixedTypes="0" containsNonDate="0" containsDate="1" containsString="0" minDate="2025-06-02T00:00:00" maxDate="2025-07-01T00:00:00" count="19">
        <d v="2025-06-02T00:00:00"/>
        <d v="2025-06-06T00:00:00"/>
        <d v="2025-06-03T00:00:00"/>
        <d v="2025-06-04T00:00:00"/>
        <d v="2025-06-05T00:00:00"/>
        <d v="2025-06-16T00:00:00"/>
        <d v="2025-06-13T00:00:00"/>
        <d v="2025-06-09T00:00:00"/>
        <d v="2025-06-10T00:00:00"/>
        <d v="2025-06-12T00:00:00"/>
        <d v="2025-06-17T00:00:00"/>
        <d v="2025-06-20T00:00:00"/>
        <d v="2025-06-26T00:00:00"/>
        <d v="2025-06-18T00:00:00"/>
        <d v="2025-06-23T00:00:00"/>
        <d v="2025-06-27T00:00:00"/>
        <d v="2025-06-25T00:00:00"/>
        <d v="2025-06-30T00:00:00"/>
        <d v="2025-06-11T00:00:00"/>
      </sharedItems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30000" maxValue="896135.36"/>
    </cacheField>
    <cacheField name="TIPO" numFmtId="0">
      <sharedItems count="3">
        <s v="DESPESAS"/>
        <s v="RECEITAS"/>
        <s v="RECEITA" u="1"/>
      </sharedItems>
    </cacheField>
    <cacheField name="CENTRO DE CUS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x v="0"/>
    <s v="HSERV CABREUVA"/>
    <s v="ELEKTRO SALA 16"/>
    <n v="-650"/>
    <x v="0"/>
    <s v="LUZ"/>
  </r>
  <r>
    <x v="0"/>
    <s v="HSERV CABREUVA"/>
    <s v="ELEKTRO SALA 17"/>
    <n v="-320"/>
    <x v="0"/>
    <s v="LUZ"/>
  </r>
  <r>
    <x v="0"/>
    <s v="HSERV CABREUVA"/>
    <s v="ELEKTRO SALA 18"/>
    <n v="-350"/>
    <x v="0"/>
    <s v="LUZ"/>
  </r>
  <r>
    <x v="0"/>
    <s v="HSERV CABREUVA"/>
    <s v="ELEKTRO LOJA CLEAN"/>
    <n v="-201"/>
    <x v="0"/>
    <s v="LUZ"/>
  </r>
  <r>
    <x v="0"/>
    <s v="HSERV COMBINADOS "/>
    <s v="CAIXINHA OPERACIONAL - OSSIRES"/>
    <n v="-1000"/>
    <x v="0"/>
    <s v="CAIXINHA"/>
  </r>
  <r>
    <x v="0"/>
    <s v="HSERV COMBINADOS "/>
    <s v="CAIXINHA OPERACIONAL "/>
    <n v="-1000"/>
    <x v="0"/>
    <s v="CAIXINHA"/>
  </r>
  <r>
    <x v="0"/>
    <s v="HSERV COMBINADOS "/>
    <s v="CAIXINHA RH"/>
    <n v="-1000"/>
    <x v="0"/>
    <s v="CAIXINHA"/>
  </r>
  <r>
    <x v="1"/>
    <s v="VITOR DUARTE"/>
    <s v="VIVA FOOD R E LTDA"/>
    <n v="-15440.25"/>
    <x v="0"/>
    <s v="VALE ALIMENTAÇÃO"/>
  </r>
  <r>
    <x v="0"/>
    <s v="HSERV COMBINADOS"/>
    <s v="LOCALIZA FLEET S.A."/>
    <n v="-129.13"/>
    <x v="0"/>
    <s v="ALUGUEL DE VEICULOS"/>
  </r>
  <r>
    <x v="0"/>
    <s v="HSERV COMBINADOS"/>
    <s v="LOCALIZA FLEET S.A."/>
    <n v="-129.13"/>
    <x v="0"/>
    <s v="ALUGUEL DE VEICULOS"/>
  </r>
  <r>
    <x v="0"/>
    <s v="HSERV COMBINADOS"/>
    <s v="LOCALIZA FLEET S.A."/>
    <n v="-129.13"/>
    <x v="0"/>
    <s v="ALUGUEL DE VEICULOS"/>
  </r>
  <r>
    <x v="0"/>
    <s v="HSERV COMBINADOS"/>
    <s v="LOCALIZA FLEET S.A."/>
    <n v="-129.13"/>
    <x v="0"/>
    <s v="ALUGUEL DE VEICULOS"/>
  </r>
  <r>
    <x v="0"/>
    <s v="HSERV CLEAN"/>
    <s v="J.E. COMERCIO E SOLUCOES LTDA"/>
    <n v="-4394.3599999999997"/>
    <x v="0"/>
    <s v="MERCADORIAS PARA REVENDA"/>
  </r>
  <r>
    <x v="0"/>
    <s v="HSERV CLEAN"/>
    <s v="J.E. COMERCIO E SOLUCOES LTDA"/>
    <n v="-4873.5200000000004"/>
    <x v="0"/>
    <s v="MERCADORIAS PARA REVENDA"/>
  </r>
  <r>
    <x v="0"/>
    <s v="HSERV CLEAN"/>
    <s v="BOM FALCAO LOGISTICA E TRANSPORTE LTDA"/>
    <n v="-135"/>
    <x v="0"/>
    <s v="TRANSPORTE"/>
  </r>
  <r>
    <x v="0"/>
    <s v="HSERV TERCEIRIZADOS ND"/>
    <s v="_x0009_ENCARGOS LIMITE DE CRED- HSERV TERCERIZADOS BRADESCO "/>
    <n v="-3000"/>
    <x v="0"/>
    <s v="ENCARGOS"/>
  </r>
  <r>
    <x v="2"/>
    <s v="HSERV CLEAN"/>
    <s v="J.E. COMERCIO E SOLUCOES LTDA"/>
    <n v="-421.3"/>
    <x v="0"/>
    <s v="MERCADORIAS PARA REVENDA"/>
  </r>
  <r>
    <x v="2"/>
    <s v="HSERV CLEAN"/>
    <s v="SPARTAN DO BRASIL PRODUTOS QUIMICOS LTDA"/>
    <n v="-2796.18"/>
    <x v="0"/>
    <s v="MERCADORIAS PARA REVENDA"/>
  </r>
  <r>
    <x v="2"/>
    <s v="HSERV TERCEIRIZADOS"/>
    <s v="STAR CLEAN PRO INDUSTRIA E COMERCIO DE EQUIPAMENTOS DE LIMPE"/>
    <n v="-1421.64"/>
    <x v="0"/>
    <s v="MERCADORIAS PARA REVENDA"/>
  </r>
  <r>
    <x v="3"/>
    <s v="HSERV CABREUVA"/>
    <s v="BANCO ITAUCARD S.A.- "/>
    <n v="-3809.98"/>
    <x v="0"/>
    <s v="FINANCIAMENTO"/>
  </r>
  <r>
    <x v="3"/>
    <s v="HSERV COMBINADOS"/>
    <s v="QUEILA JESUS BERNARDES DE OLIVEIRA"/>
    <n v="-120"/>
    <x v="0"/>
    <s v="FT"/>
  </r>
  <r>
    <x v="3"/>
    <s v="HSERV TERCEIRIZADOS"/>
    <s v="LOTUS CENTRAL DE DISTRIBUICAO DE HIGIENICOS LTDA"/>
    <n v="-1074.32"/>
    <x v="0"/>
    <s v="MERCADORIAS PARA REVENDA"/>
  </r>
  <r>
    <x v="3"/>
    <s v="HSERV TERCEIRIZADOS"/>
    <s v="LOTUS CENTRAL DE DISTRIBUICAO DE HIGIENICOS LTDA"/>
    <n v="-2300.6999999999998"/>
    <x v="0"/>
    <s v="MERCADORIAS PARA REVENDA"/>
  </r>
  <r>
    <x v="3"/>
    <s v="HSERV CABREUVA"/>
    <s v="TAR PLANO ADAPT 3 05/24"/>
    <n v="-349"/>
    <x v="0"/>
    <s v="TARIFA BANCARIA"/>
  </r>
  <r>
    <x v="3"/>
    <s v="HSERV TERCERIZADOS"/>
    <s v="TAR PLANO ADAPT 3 05/24"/>
    <n v="-349"/>
    <x v="0"/>
    <s v="TARIFA BANCARIA"/>
  </r>
  <r>
    <x v="3"/>
    <s v="VITOR DUARTE"/>
    <s v="TAR PLANO ADAPT 3 05/24"/>
    <n v="-349"/>
    <x v="0"/>
    <s v="TARIFA BANCARIA"/>
  </r>
  <r>
    <x v="3"/>
    <s v="HSERV CLEAN"/>
    <s v="TAR PLANO ADAPT 3 05/24"/>
    <n v="-349"/>
    <x v="0"/>
    <s v="TARIFA BANCARIA"/>
  </r>
  <r>
    <x v="3"/>
    <s v="HSERV COMBINADOS"/>
    <s v="TAR PLANO ADAPT 3 05/24"/>
    <n v="-349"/>
    <x v="0"/>
    <s v="TARIFA BANCARIA"/>
  </r>
  <r>
    <x v="3"/>
    <s v="HENRIQUE JEAN"/>
    <s v="TAR PLANO ADAPT 3 05/24"/>
    <n v="-349"/>
    <x v="0"/>
    <s v="TARIFA BANCARIA"/>
  </r>
  <r>
    <x v="3"/>
    <s v="HSERV TECNOLOGIA"/>
    <s v="TAR PLANO ADAPT 3 05/24"/>
    <n v="-349"/>
    <x v="0"/>
    <s v="TARIFA BANCARIA"/>
  </r>
  <r>
    <x v="3"/>
    <s v="HSERV LIMPEZA"/>
    <s v="TAR PLANO ADAPT 3 05/24"/>
    <n v="-349"/>
    <x v="0"/>
    <s v="TARIFA BANCARIA"/>
  </r>
  <r>
    <x v="3"/>
    <s v="HSERV REPRESENTAÇÃO"/>
    <s v="TAR PLANO ADAPT 3 05/24"/>
    <n v="-349"/>
    <x v="0"/>
    <s v="TARIFA BANCARIA"/>
  </r>
  <r>
    <x v="4"/>
    <s v="HSERV CABREUVA "/>
    <s v="CREDIFIT"/>
    <n v="-11000"/>
    <x v="0"/>
    <s v="EMPRESTIMO"/>
  </r>
  <r>
    <x v="1"/>
    <s v="HENRIQUE JEAN"/>
    <s v="CONDOMINIO NEX ONE CONSOLAÇÃO BELAS ARTES- ROBOTTON"/>
    <n v="-760"/>
    <x v="0"/>
    <s v="RESERVA"/>
  </r>
  <r>
    <x v="1"/>
    <s v="HSERV CABREUVA"/>
    <s v="SALARIO CLT, PENSÃO ALIMENTICIA, BONUS-"/>
    <n v="-430000"/>
    <x v="0"/>
    <s v="SALARIOS"/>
  </r>
  <r>
    <x v="1"/>
    <s v="HSERV CABREUVA"/>
    <s v="ESTER CARDOZO DE LIMA "/>
    <n v="-500"/>
    <x v="0"/>
    <s v="SALARIOS"/>
  </r>
  <r>
    <x v="1"/>
    <s v="HSERV CABREUVA"/>
    <s v=" MEI  "/>
    <n v="-9000"/>
    <x v="0"/>
    <s v="SALARIOS"/>
  </r>
  <r>
    <x v="1"/>
    <s v="HSERV CLEAN"/>
    <s v="J.E. COMERCIO E SOLUCOES LTDA"/>
    <n v="-1459.45"/>
    <x v="0"/>
    <s v="MERCADORIAS PARA REVENDA"/>
  </r>
  <r>
    <x v="5"/>
    <s v="HSERV CLEAN"/>
    <s v="EMPRESTIMO HSERV CLEAN BRADESCO M-PARCELA MENSAL VENCIMENTO 14/06/2025"/>
    <n v="-5523.75"/>
    <x v="0"/>
    <s v="EMPRESTIMO "/>
  </r>
  <r>
    <x v="1"/>
    <s v="HSERV COMBINADOS "/>
    <s v="FT ASSIS E REGIÃO- "/>
    <n v="-5200"/>
    <x v="0"/>
    <s v="FT"/>
  </r>
  <r>
    <x v="6"/>
    <s v="VITOR DUARTE"/>
    <s v="VIVA FOOD R E LTDA"/>
    <n v="-15440.25"/>
    <x v="0"/>
    <s v="VALE ALIMENTAÇÃO"/>
  </r>
  <r>
    <x v="7"/>
    <s v="HSERV REPRESENTACOES"/>
    <s v="OKUYAMA &amp; ALVES SOCIEDADE DE ADVOGADOS -ACORDO - JESSICA BARROS DOS SANTOS - 0012457-65.2023.5.15.0018"/>
    <n v="-2000"/>
    <x v="0"/>
    <s v="ACORDO TRABALHISTA"/>
  </r>
  <r>
    <x v="7"/>
    <s v="HSERV TECNOLOGIA"/>
    <s v="BELMICRO TECNOLOGIA S/A"/>
    <n v="-202.11"/>
    <x v="0"/>
    <s v="MATERIAL DE ESCRITÓRIO"/>
  </r>
  <r>
    <x v="7"/>
    <s v="HSERV TERCEIRIZADOS"/>
    <s v="LOTUS CENTRAL DE DISTRIBUICAO DE HIGIENICOS LTDA"/>
    <n v="-762.57"/>
    <x v="0"/>
    <s v="MERCADORIAS PARA REVENDA"/>
  </r>
  <r>
    <x v="8"/>
    <s v="HSERV COMBINADOS "/>
    <s v="BRASIL MEDICINE - PROVISÃO "/>
    <n v="-9650"/>
    <x v="0"/>
    <s v="SINDICATO"/>
  </r>
  <r>
    <x v="8"/>
    <s v="HSERV CABREUVA"/>
    <s v="SERGIO LUIZ BERTOLO"/>
    <n v="-210"/>
    <x v="0"/>
    <s v="ALUGUEL DE IMOVEIS"/>
  </r>
  <r>
    <x v="8"/>
    <s v="HSERV COMBINADOS "/>
    <s v="JAIR RÉ"/>
    <n v="-500"/>
    <x v="0"/>
    <s v="COMISSOES"/>
  </r>
  <r>
    <x v="8"/>
    <s v="VITOR DUARTE"/>
    <s v="MARCASA-SEGURANÇA"/>
    <n v="-13700"/>
    <x v="0"/>
    <s v="SEGURANÇAS"/>
  </r>
  <r>
    <x v="8"/>
    <s v="HSERV COMBINADOS "/>
    <s v="ALCEU MARTINHO NETO"/>
    <n v="-3315"/>
    <x v="0"/>
    <s v="COMISSOES"/>
  </r>
  <r>
    <x v="8"/>
    <s v="HENRIQUE JEAN"/>
    <s v="PROLABORE SOCIOS CRISTIANE-MARIA JOSE"/>
    <n v="-3000"/>
    <x v="0"/>
    <s v="PROLABORE"/>
  </r>
  <r>
    <x v="8"/>
    <s v="HENRIQUE JEAN"/>
    <s v="CARTÃO VITOR"/>
    <n v="-9000"/>
    <x v="0"/>
    <s v="PROLABORE"/>
  </r>
  <r>
    <x v="8"/>
    <s v="HSERV CABREUVA"/>
    <s v="_x0009_BRADESCO SEGUROS - SEGURO AUTO"/>
    <n v="-469.57"/>
    <x v="0"/>
    <s v="SEGUROS EM GERAL"/>
  </r>
  <r>
    <x v="8"/>
    <s v="HSERV CLEAN"/>
    <s v="INTERMEDICA"/>
    <n v="-7673.5"/>
    <x v="0"/>
    <s v="CONVENIO MEDICO"/>
  </r>
  <r>
    <x v="8"/>
    <s v="HSERV CABREUVA"/>
    <s v="AUTO POSTO JARDIM DAS HORTENCI"/>
    <n v="-9500"/>
    <x v="0"/>
    <s v="COMBUSTIVEL E PEDAGIO"/>
  </r>
  <r>
    <x v="8"/>
    <s v="HENRIQUE JEAN ND"/>
    <s v="FIT ADM (VIDA NOVA) 34-07"/>
    <n v="-432"/>
    <x v="0"/>
    <s v="RESERVA"/>
  </r>
  <r>
    <x v="8"/>
    <s v="HENRIQUE JEAN ND"/>
    <s v="FIT ADM (VIDA NOVA) 43-02"/>
    <n v="-432"/>
    <x v="0"/>
    <s v="RESERVA"/>
  </r>
  <r>
    <x v="8"/>
    <s v="HSERV CABREUVA"/>
    <s v="SAFRA"/>
    <n v="-1122.44"/>
    <x v="0"/>
    <s v="EMPRESTIMO"/>
  </r>
  <r>
    <x v="8"/>
    <s v="HSERV CLEAN"/>
    <s v="SAFRA"/>
    <n v="-1648.37"/>
    <x v="0"/>
    <s v="EMPRESTIMO"/>
  </r>
  <r>
    <x v="8"/>
    <s v="HSERV TECNOLOGIA"/>
    <s v="THOMSON REUTERS BRASIL CONTEUDO E TECNOLOGIA LTDA"/>
    <n v="-2033.4"/>
    <x v="0"/>
    <s v="SISTEMA"/>
  </r>
  <r>
    <x v="8"/>
    <s v="VITOR  DUARTE"/>
    <s v="RONDAWEB CONEXOES LTDA"/>
    <n v="-553.25"/>
    <x v="0"/>
    <s v="SISTEMA"/>
  </r>
  <r>
    <x v="8"/>
    <s v="HSERV CABREUVA"/>
    <s v="ZAMBONI, SOUSA, CARVALHO &amp; MARIANO ADVOGADOS"/>
    <n v="-3285.72"/>
    <x v="0"/>
    <s v="ACORDO TRABALHISTA"/>
  </r>
  <r>
    <x v="8"/>
    <s v="HSERV CLEAN"/>
    <s v="GUILHERME VINICIUS SILVA DE OLIVEIRA SOCIEDADE INDIVIDUAL DE"/>
    <n v="-2400"/>
    <x v="0"/>
    <s v="ACORDO TRABALHISTA"/>
  </r>
  <r>
    <x v="8"/>
    <s v="HENRIQUE JEAN"/>
    <s v="FABIANO MACHADO MARTINS"/>
    <n v="-3000"/>
    <x v="0"/>
    <s v="ACORDO TRABALHISTA"/>
  </r>
  <r>
    <x v="8"/>
    <s v="HSERV REPRESENTACOES"/>
    <s v="ROGERIO MAZZA TROISE -PROCESSO - 0010836-87.2024.5.15.002 -INGRYD BIANCA OLIVEIRA PARCELA 5"/>
    <n v="-2000"/>
    <x v="0"/>
    <s v="ACORDO TRABALHISTA"/>
  </r>
  <r>
    <x v="8"/>
    <s v="HENRIQUE JEAN"/>
    <s v="MARCIO FERREIRA TOLLER SILVA"/>
    <n v="-2333"/>
    <x v="0"/>
    <s v="ACORDO TRABALHISTA"/>
  </r>
  <r>
    <x v="8"/>
    <s v="HENRIQUE JEAN"/>
    <s v="SANTOS SEPULVEDA SOCIEDADE INDIVIDUAL DE ADVOCACIA"/>
    <n v="-1000"/>
    <x v="0"/>
    <s v="ACORDO TRABALHISTA"/>
  </r>
  <r>
    <x v="8"/>
    <s v="HSERV CABREUVA"/>
    <s v="BRADESCO SEGUROS - QUY9F13- DEBITO AUTOMATICO HSERV CABREUVA BRADESCO"/>
    <n v="-545.78"/>
    <x v="0"/>
    <s v="SEGUROS EM GERAL"/>
  </r>
  <r>
    <x v="8"/>
    <s v="HSERV TERCEIRIZADOS"/>
    <s v="MOVIDA PARTICIPACOES S.A.-"/>
    <n v="-4347.01"/>
    <x v="0"/>
    <s v="ALUGUEL DE VEICULOS"/>
  </r>
  <r>
    <x v="8"/>
    <s v="HSERV TERCEIRIZADOS"/>
    <s v="MOVIDA PARTICIPACOES S.A.-"/>
    <n v="-2173.96"/>
    <x v="0"/>
    <s v="ALUGUEL DE VEICULOS"/>
  </r>
  <r>
    <x v="8"/>
    <s v="HSERV CABREUVA"/>
    <s v="PROCESSO INGRID "/>
    <n v="-2000"/>
    <x v="0"/>
    <s v="ACORDO TRABALHISTA"/>
  </r>
  <r>
    <x v="9"/>
    <s v="HSERV CLEAN"/>
    <s v="RSC COM. MAT.P/ CONSTRUCAO LTDA."/>
    <n v="-257.07"/>
    <x v="0"/>
    <s v="EQUIPAMENTOS"/>
  </r>
  <r>
    <x v="9"/>
    <s v="VITOR DUARTE"/>
    <s v="LOCALIZA FLEET S.A."/>
    <n v="-129.13"/>
    <x v="0"/>
    <s v="ALUGUEL DE VEICULOS"/>
  </r>
  <r>
    <x v="9"/>
    <s v="VITOR DUARTE"/>
    <s v="LOCALIZA FLEET S.A."/>
    <n v="-129.13"/>
    <x v="0"/>
    <s v="ALUGUEL DE VEICULOS"/>
  </r>
  <r>
    <x v="9"/>
    <s v="VITOR DUARTE"/>
    <s v="LOCALIZA FLEET S.A."/>
    <n v="-181.18"/>
    <x v="0"/>
    <s v="ALUGUEL DE VEICULOS"/>
  </r>
  <r>
    <x v="9"/>
    <s v="HSERV CLEAN"/>
    <s v="REGIANE CRISTINA MUSSELLI-ACORDO LUANA"/>
    <n v="-1602.31"/>
    <x v="0"/>
    <s v="ACORDO TRABALHISTA"/>
  </r>
  <r>
    <x v="6"/>
    <s v="HSERV CABREUVA"/>
    <s v="ISABELLA MARIANA VALARIO SOCIEDADE INDIVIDUAL DE ADVOCACIA"/>
    <n v="-1000"/>
    <x v="0"/>
    <s v="ACORDO TRABALHISTA"/>
  </r>
  <r>
    <x v="6"/>
    <s v="HSERV REPRESENTACOES"/>
    <s v="OKUYAMA &amp; ALVES SOCIEDADE DE ADVOGADOS"/>
    <n v="-2000"/>
    <x v="0"/>
    <s v="ACORDO TRABALHISTA"/>
  </r>
  <r>
    <x v="6"/>
    <s v="HSERV TERCEIRIZADOS"/>
    <s v="MOVIDA PARTICIPACOES S.A."/>
    <n v="-4375.75"/>
    <x v="0"/>
    <s v="ALUGUEL DE VEICULOS"/>
  </r>
  <r>
    <x v="6"/>
    <s v="HSERV CLEAN"/>
    <s v="J.E. COMERCIO E SOLUCOES LTDA"/>
    <n v="-166.1"/>
    <x v="0"/>
    <s v="MERCADORIAS PARA REVENDA"/>
  </r>
  <r>
    <x v="6"/>
    <s v="HSERV CABREUVA"/>
    <s v="ADAILTON AUGUSTO VITORINO"/>
    <n v="-5890"/>
    <x v="0"/>
    <s v="RESCISÕES"/>
  </r>
  <r>
    <x v="6"/>
    <s v="HSERV CABREUVA"/>
    <s v="GRRF ADAILTON AUGUSTO VITORINO"/>
    <n v="-1890"/>
    <x v="0"/>
    <s v="RESCISÕES"/>
  </r>
  <r>
    <x v="6"/>
    <s v="HSERV CABREUVA"/>
    <s v="NOVITA VEST CONFECCOES LTDA"/>
    <n v="-4334"/>
    <x v="0"/>
    <s v="UNIFORME"/>
  </r>
  <r>
    <x v="6"/>
    <s v="HSERV CABREUVA"/>
    <s v="Fabiano Sampaio Avila D Aloia Sociedade Individual de Advocacia -PROCESSO CLAUDINEIA PARCELA 3"/>
    <n v="-2098.17"/>
    <x v="0"/>
    <s v="ACORDO TRABALHISTA"/>
  </r>
  <r>
    <x v="5"/>
    <s v="HSERV CABREUVA"/>
    <s v=" MEI"/>
    <n v="-100000"/>
    <x v="0"/>
    <s v="SALARIOS"/>
  </r>
  <r>
    <x v="5"/>
    <s v="HSERV CABREUVA"/>
    <s v="VALE ALIMENTAÇÃO MENSAL -"/>
    <n v="-90000"/>
    <x v="0"/>
    <s v="VALE ALIMENTAÇÃO"/>
  </r>
  <r>
    <x v="5"/>
    <s v=" HSERV CABREUVA"/>
    <s v="VALE TRANSPORTE BASE"/>
    <n v="-8000"/>
    <x v="0"/>
    <s v="VALE TRANSPORTE"/>
  </r>
  <r>
    <x v="5"/>
    <s v="VITOR DUARTE"/>
    <s v="BOLETO OTAVIO"/>
    <n v="-20000"/>
    <x v="0"/>
    <s v="PROLABORE"/>
  </r>
  <r>
    <x v="5"/>
    <s v="VITOR DUARTE"/>
    <s v="FABIOLA FARIAS FELIX"/>
    <n v="-145"/>
    <x v="0"/>
    <s v="CESTA BASICA"/>
  </r>
  <r>
    <x v="5"/>
    <s v="VITOR DUARTE"/>
    <s v="MARISA DE SOUSA SILVA"/>
    <n v="-145"/>
    <x v="0"/>
    <s v="CESTA BASICA"/>
  </r>
  <r>
    <x v="5"/>
    <s v="HSERV COMBINADOS "/>
    <s v="ESTER CARDOZO"/>
    <n v="-1375"/>
    <x v="0"/>
    <s v="SALARIOS"/>
  </r>
  <r>
    <x v="5"/>
    <s v="HSERV  COMBINADOS "/>
    <s v="PAMELA ROCHA MARINHO-BONUS  GERENCIA "/>
    <n v="-2281.6999999999998"/>
    <x v="0"/>
    <s v="SALARIOS"/>
  </r>
  <r>
    <x v="5"/>
    <s v="HSERV CABREUVA"/>
    <s v="SEM PARAR- "/>
    <n v="-7500"/>
    <x v="0"/>
    <s v="COMBUSTIVEL E PEDAGIO"/>
  </r>
  <r>
    <x v="5"/>
    <s v="VITOR DUARTE"/>
    <s v="CARTAO DE CRÉDITO- VITOR"/>
    <n v="-12000"/>
    <x v="0"/>
    <s v="CARTÃO DE CREDITO"/>
  </r>
  <r>
    <x v="5"/>
    <s v="HENRIQUE JEAN"/>
    <s v="CARTÃO DE CREDITO"/>
    <n v="-2302.0500000000002"/>
    <x v="0"/>
    <s v="CARTÃO DE CREDITO"/>
  </r>
  <r>
    <x v="5"/>
    <s v="HSERV COMBINADOS"/>
    <s v="CARTÃO DE CREDITO"/>
    <n v="-1248.99"/>
    <x v="0"/>
    <s v="CARTÃO DE CREDITO"/>
  </r>
  <r>
    <x v="6"/>
    <s v="HSERV CABREUVA"/>
    <s v="SICOOB HSERV CABREUVA NEGOCIAÇÃO CHEQUE ESPECIAL 5/20"/>
    <n v="-2012.45"/>
    <x v="0"/>
    <s v="EMPRESTIMO"/>
  </r>
  <r>
    <x v="5"/>
    <s v="HSERV COMBINADOS "/>
    <s v="TARIFA MAX EMPRESARIAL"/>
    <n v="-156.1"/>
    <x v="0"/>
    <s v="TARIFA BANCARIA"/>
  </r>
  <r>
    <x v="5"/>
    <s v="HENRIQUE JEAN"/>
    <s v="TARIFA MAX EMPRESARIAL"/>
    <n v="-156.1"/>
    <x v="0"/>
    <s v="TARIFA BANCARIA"/>
  </r>
  <r>
    <x v="5"/>
    <s v="VITOR DUARTE"/>
    <s v="TARIFA MAX EMPRESARIAL"/>
    <n v="-156.1"/>
    <x v="0"/>
    <s v="TARIFA BANCARIA"/>
  </r>
  <r>
    <x v="5"/>
    <s v="HSERV TERCERIZADOS"/>
    <s v="TARIFA MAX EMPRESARIAL"/>
    <n v="-156.1"/>
    <x v="0"/>
    <s v="TARIFA BANCARIA"/>
  </r>
  <r>
    <x v="5"/>
    <s v="HSERV TERCERIZADOS ND"/>
    <s v="TARIFA MAX EMPRESARIAL"/>
    <n v="-154.52000000000001"/>
    <x v="0"/>
    <s v="TARIFA BANCARIA"/>
  </r>
  <r>
    <x v="5"/>
    <s v="HSERV LIMPEZA"/>
    <s v="TARIFA MAX EMPRESARIAL"/>
    <n v="-153.01"/>
    <x v="0"/>
    <s v="TARIFA BANCARIA"/>
  </r>
  <r>
    <x v="5"/>
    <s v="HSERV LIMPEZA ND"/>
    <s v="TARIFA MAX EMPRESARIAL"/>
    <n v="-153.01"/>
    <x v="0"/>
    <s v="TARIFA BANCARIA"/>
  </r>
  <r>
    <x v="5"/>
    <s v="HSERV TECNOLOGIA"/>
    <s v="TARIFA MAX EMPRESARIAL"/>
    <n v="-156.1"/>
    <x v="0"/>
    <s v="TARIFA BANCARIA"/>
  </r>
  <r>
    <x v="5"/>
    <s v="HSERV REPRESENTAÇÃO"/>
    <s v="TARIFA MAX EMPRESARIAL"/>
    <n v="-156.1"/>
    <x v="0"/>
    <s v="TARIFA BANCARIA"/>
  </r>
  <r>
    <x v="5"/>
    <s v="HENRIQUE JEAN ND"/>
    <s v="CELIO ROBERTO"/>
    <n v="-877.96"/>
    <x v="0"/>
    <s v="RESERVA"/>
  </r>
  <r>
    <x v="5"/>
    <s v="HSERV CABREUVA"/>
    <s v="VALE COMBUSTIVEL-2 QUINZENA DE JANEIRO"/>
    <n v="-8000"/>
    <x v="0"/>
    <s v="VALE COMBUSTIVEL"/>
  </r>
  <r>
    <x v="10"/>
    <s v="HSERV CABREUVA"/>
    <s v="SABESP SALA 16"/>
    <n v="-139.25"/>
    <x v="0"/>
    <s v="AGUA"/>
  </r>
  <r>
    <x v="10"/>
    <s v="HSERV CABREUVA"/>
    <s v="SABESP SALA 17"/>
    <n v="-139.25"/>
    <x v="0"/>
    <s v="AGUA"/>
  </r>
  <r>
    <x v="10"/>
    <s v="HSERV CABREUVA"/>
    <s v="SABESP SALA 18"/>
    <n v="-139.25"/>
    <x v="0"/>
    <s v="AGUA"/>
  </r>
  <r>
    <x v="10"/>
    <s v="HSERV CABREUVA"/>
    <s v="SABESP CLEAN"/>
    <n v="-139.25"/>
    <x v="0"/>
    <s v="AGUA"/>
  </r>
  <r>
    <x v="5"/>
    <s v="HSERV TECNOLOGIA E SERVICOS SO"/>
    <s v="OMIEXPERIENCE LTDA."/>
    <n v="-244.5"/>
    <x v="0"/>
    <s v="SISTEMA"/>
  </r>
  <r>
    <x v="5"/>
    <s v="HSERV CABREUVA REPRESENTACOES"/>
    <s v="OMIEXPERIENCE LTDA."/>
    <n v="-244"/>
    <x v="0"/>
    <s v="SISTEMA"/>
  </r>
  <r>
    <x v="5"/>
    <s v="HSERV CABREUVA SERVICOS DE APO"/>
    <s v="OMIEXPERIENCE LTDA."/>
    <n v="-275"/>
    <x v="0"/>
    <s v="SISTEMA"/>
  </r>
  <r>
    <x v="5"/>
    <s v="HSERV SERVICOS COMBINADOS DE F"/>
    <s v="OMIEXPERIENCE LTDA."/>
    <n v="-275"/>
    <x v="0"/>
    <s v="SISTEMA"/>
  </r>
  <r>
    <x v="5"/>
    <s v="HENRIQUE JEAN DUARTE LTDA"/>
    <s v="OMIEXPERIENCE LTDA."/>
    <n v="-275"/>
    <x v="0"/>
    <s v="SISTEMA"/>
  </r>
  <r>
    <x v="5"/>
    <s v="HSERV SERVICOS TERCEIRIZADOS S"/>
    <s v="OMIEXPERIENCE LTDA."/>
    <n v="-275"/>
    <x v="0"/>
    <s v="SISTEMA"/>
  </r>
  <r>
    <x v="5"/>
    <s v="HSERV SERVICOS DE LIMPEZA E SE"/>
    <s v="OMIEXPERIENCE LTDA."/>
    <n v="-275"/>
    <x v="0"/>
    <s v="SISTEMA"/>
  </r>
  <r>
    <x v="5"/>
    <s v="VITOR AUGUSTO DUARTE SOCIEDADE"/>
    <s v="OMIEXPERIENCE LTDA."/>
    <n v="-275"/>
    <x v="0"/>
    <s v="SISTEMA"/>
  </r>
  <r>
    <x v="5"/>
    <s v="HSERV SERVICOS TERCEIRIZADOS S"/>
    <s v="OMIEXPERIENCE LTDA."/>
    <n v="-344"/>
    <x v="0"/>
    <s v="SISTEMA"/>
  </r>
  <r>
    <x v="5"/>
    <s v="HSERV TERCEIRIZADOS"/>
    <s v="BANCO VOTORANTIM S.A.-ANTCIPAÇÃO BELL ART"/>
    <n v="-18893.490000000002"/>
    <x v="0"/>
    <s v="ANTECIPAÇÃO"/>
  </r>
  <r>
    <x v="5"/>
    <s v="HENRIQUE JEAN"/>
    <s v="EMPORIO MEGA 100 COMERCIO DE ALIMENTOS S.A."/>
    <n v="-3022.31"/>
    <x v="0"/>
    <s v="CESTA BASICA"/>
  </r>
  <r>
    <x v="5"/>
    <s v="HSERV CABREUVA"/>
    <s v="EMPORIO MEGA 100 COMERCIO DE ALIMENTOS S.A."/>
    <n v="-3952.25"/>
    <x v="0"/>
    <s v="CESTA BASICA"/>
  </r>
  <r>
    <x v="5"/>
    <s v="HSERV CLEAN"/>
    <s v="EMPORIO MEGA 100 COMERCIO DE ALIMENTOS S.A."/>
    <n v="-3409.78"/>
    <x v="0"/>
    <s v="CESTA BASICA"/>
  </r>
  <r>
    <x v="5"/>
    <s v="HSERV CLEAN"/>
    <s v="EMPORIO MEGA 100 COMERCIO DE ALIMENTOS S.A."/>
    <n v="-852.45"/>
    <x v="0"/>
    <s v="CESTA BASICA"/>
  </r>
  <r>
    <x v="5"/>
    <s v="HSERV COMBINADOS"/>
    <s v="EMPORIO MEGA 100 COMERCIO DE ALIMENTOS S.A."/>
    <n v="-2944.81"/>
    <x v="0"/>
    <s v="CESTA BASICA"/>
  </r>
  <r>
    <x v="5"/>
    <s v="HSERV LIMPEZA"/>
    <s v="EMPORIO MEGA 100 COMERCIO DE ALIMENTOS S.A."/>
    <n v="-852.45"/>
    <x v="0"/>
    <s v="CESTA BASICA"/>
  </r>
  <r>
    <x v="5"/>
    <s v="HSERV REPRESENTACOES"/>
    <s v="EMPORIO MEGA 100 COMERCIO DE ALIMENTOS S.A."/>
    <n v="-929.94"/>
    <x v="0"/>
    <s v="CESTA BASICA"/>
  </r>
  <r>
    <x v="5"/>
    <s v="HSERV TECNOLOGIA"/>
    <s v="EMPORIO MEGA 100 COMERCIO DE ALIMENTOS S.A."/>
    <n v="-232.49"/>
    <x v="0"/>
    <s v="CESTA BASICA"/>
  </r>
  <r>
    <x v="5"/>
    <s v="HSERV TERCEIRIZADOS"/>
    <s v="EMPORIO MEGA 100 COMERCIO DE ALIMENTOS S.A."/>
    <n v="-464.97"/>
    <x v="0"/>
    <s v="CESTA BASICA"/>
  </r>
  <r>
    <x v="5"/>
    <s v="VITOR DUARTE"/>
    <s v="EMPORIO MEGA 100 COMERCIO DE ALIMENTOS S.A."/>
    <n v="-542.47"/>
    <x v="0"/>
    <s v="CESTA BASICA"/>
  </r>
  <r>
    <x v="5"/>
    <s v="HSERV CABREUVA"/>
    <s v="ATN COMERCIO DE ARTIGOS DE BORRACHA LTDA"/>
    <n v="-300"/>
    <x v="0"/>
    <s v="UNIFORME"/>
  </r>
  <r>
    <x v="10"/>
    <s v="HENRIQUE JEAN"/>
    <s v="FGTS MENSAL VENCIDO 20/12"/>
    <n v="-6860.74"/>
    <x v="0"/>
    <s v="IMPOSTO"/>
  </r>
  <r>
    <x v="10"/>
    <s v="HENRIQUE JEAN"/>
    <s v="DARF INS-VENCIDO 20/02"/>
    <n v="-6298.25"/>
    <x v="0"/>
    <s v="IMPOSTO"/>
  </r>
  <r>
    <x v="10"/>
    <s v="VITOR DUARTE"/>
    <s v="LOCALIZA - VENCIDA"/>
    <n v="-3760"/>
    <x v="0"/>
    <s v="ALUGUEL DE VEICULOS"/>
  </r>
  <r>
    <x v="10"/>
    <s v="VITOR DUARTE"/>
    <s v="LOCALIZA - VENCIDA"/>
    <n v="-5800"/>
    <x v="0"/>
    <s v="ALUGUEL DE VEICULOS"/>
  </r>
  <r>
    <x v="10"/>
    <s v="HSERV COMBINADOS "/>
    <s v="LOCALIZA - VENCIDA"/>
    <n v="-5460"/>
    <x v="0"/>
    <s v="ALUGUEL DE VEICULOS"/>
  </r>
  <r>
    <x v="11"/>
    <s v="VITOR DUARTE"/>
    <s v="VIVA FOOD R E LTDA"/>
    <n v="-15440.25"/>
    <x v="0"/>
    <s v="VALE ALIMENTAÇÃO"/>
  </r>
  <r>
    <x v="10"/>
    <s v="HSERV CABREUVA"/>
    <s v="LOCALIZA - VENCIDA"/>
    <n v="-3600"/>
    <x v="0"/>
    <s v="EXAMES MEDICOS"/>
  </r>
  <r>
    <x v="12"/>
    <s v="HSERV CABREUVA"/>
    <s v="BRADESCO "/>
    <n v="-36000"/>
    <x v="0"/>
    <s v="EMPRESTIMO"/>
  </r>
  <r>
    <x v="10"/>
    <s v="HSERV CABREUVA"/>
    <s v="SINDICATO DOS EMPREGADOS - VENCIDA 10/05"/>
    <n v="-30"/>
    <x v="0"/>
    <s v="SINDICATO"/>
  </r>
  <r>
    <x v="10"/>
    <s v="HSERV CABREUVA"/>
    <s v="SINDICATO DOS EMPREGADOS - VENCIDA 10/05"/>
    <n v="-8000"/>
    <x v="0"/>
    <s v="SINDICATO"/>
  </r>
  <r>
    <x v="10"/>
    <s v="HSERV CABREUVA"/>
    <s v="BENEFICIO SOCIALVENCIDA 10/05"/>
    <n v="-4254.42"/>
    <x v="0"/>
    <s v="SINDICATO"/>
  </r>
  <r>
    <x v="10"/>
    <s v="HSERV CLEAN"/>
    <s v="FEMACON CONSTRUCOES LTDA"/>
    <n v="-1035.76"/>
    <x v="0"/>
    <s v="MANUTENÇÃO"/>
  </r>
  <r>
    <x v="10"/>
    <s v="HSERV TERCEIRIZADOS"/>
    <s v="JLW IND. DE APARELHOS ELETRO ELETRONICOS LTDA"/>
    <n v="-1469.81"/>
    <x v="0"/>
    <s v="MANUTENÇÃO"/>
  </r>
  <r>
    <x v="10"/>
    <s v="HSERV TERCEIRIZADOS"/>
    <s v="WIG COMERCIO DE BATERIAS COMPONENTES LTDA"/>
    <n v="-1330"/>
    <x v="0"/>
    <s v="MANUTENÇÃO"/>
  </r>
  <r>
    <x v="10"/>
    <s v="VITOR DUARTE"/>
    <s v="JONESO EMPREENDIMENTOS"/>
    <n v="-5300"/>
    <x v="0"/>
    <s v="ALUGUEL DE IMOVEIS"/>
  </r>
  <r>
    <x v="13"/>
    <s v="HSERV COMBINADOS "/>
    <s v="SOFISA ACORDO - HONORARIOS ADVICATICIOS"/>
    <n v="-660.75"/>
    <x v="0"/>
    <s v="EMPRESTIMO"/>
  </r>
  <r>
    <x v="13"/>
    <s v="HSERV COMBINADOS "/>
    <s v="SOFISA ACORDO- PROCESSO EXECUÇÃO"/>
    <n v="-5996.67"/>
    <x v="0"/>
    <s v="EMPRESTIMO"/>
  </r>
  <r>
    <x v="11"/>
    <s v="HSERV CABREUVA"/>
    <s v="IF EMPRESARIAL"/>
    <n v="-14400"/>
    <x v="0"/>
    <s v="CONTABILIDADE"/>
  </r>
  <r>
    <x v="11"/>
    <s v="HSERV CABREUVA"/>
    <s v="RESOLVE ALIMENTAÇÃO "/>
    <n v="-600"/>
    <x v="0"/>
    <s v="VALE ALIMENTAÇÃO"/>
  </r>
  <r>
    <x v="11"/>
    <s v="HSERV CABREUVA"/>
    <s v="ANJO AZUL ALARMES"/>
    <n v="-1631.98"/>
    <x v="0"/>
    <s v="SISTEMA"/>
  </r>
  <r>
    <x v="11"/>
    <s v="HSERV CABREUVA"/>
    <s v="MAXIWEB INTERNET PROVIDER LTDA"/>
    <n v="-39.799999999999997"/>
    <x v="0"/>
    <s v="SISTEMA"/>
  </r>
  <r>
    <x v="11"/>
    <s v="HSERV CABREUVA"/>
    <s v="SIMPLES NACIONAL MENSAL "/>
    <n v="-15000"/>
    <x v="0"/>
    <s v="IMPOSTO"/>
  </r>
  <r>
    <x v="11"/>
    <s v="VITOR DUARTE"/>
    <s v="DARF DE COFINS, PIS- LUCRO REAL EMPRESA VITOR"/>
    <n v="-15000"/>
    <x v="0"/>
    <s v="IMPOSTO"/>
  </r>
  <r>
    <x v="11"/>
    <s v="VITOR DUARTE"/>
    <s v="DARF DE COFINS, PIS- LUCRO  PRESUMIDO HSERV CABREUVA"/>
    <n v="-3000"/>
    <x v="0"/>
    <s v="IMPOSTO"/>
  </r>
  <r>
    <x v="11"/>
    <s v="HSERV CABREUVA"/>
    <s v="FGTS MENSAL"/>
    <n v="-40000"/>
    <x v="0"/>
    <s v="IMPOSTO "/>
  </r>
  <r>
    <x v="11"/>
    <s v="VITOR DUARTE"/>
    <s v="DARF INSS- GPS VITOR DUARTE "/>
    <n v="-66000"/>
    <x v="0"/>
    <s v="IMPOSTO"/>
  </r>
  <r>
    <x v="11"/>
    <s v="HSERV CABREUVA"/>
    <s v="DARF INSS-TODAS EMPRESAS"/>
    <n v="-12000"/>
    <x v="0"/>
    <s v="IMPOSTO"/>
  </r>
  <r>
    <x v="11"/>
    <s v="HSERV CABREUVA"/>
    <s v="FT 1 QUINZENA DE MARÇO E PACOTES, RT"/>
    <n v="-150000"/>
    <x v="0"/>
    <s v="FT"/>
  </r>
  <r>
    <x v="11"/>
    <s v="HSERV CABREUVA"/>
    <s v="VALE TRANSPORTE MENSAL VIAÇÕES"/>
    <n v="-34000"/>
    <x v="0"/>
    <s v="VALE TRANSPORTE"/>
  </r>
  <r>
    <x v="11"/>
    <s v="HENRIQUE JEAN"/>
    <s v="EMPORIO MEGA 100 COMERCIO DE ALIMENTOS S.A."/>
    <n v="-2324.85"/>
    <x v="0"/>
    <s v="CESTA BASICA"/>
  </r>
  <r>
    <x v="11"/>
    <s v="HSERV CABREUVA"/>
    <s v="EMPORIO MEGA 100 COMERCIO DE ALIMENTOS S.A."/>
    <n v="-2944.81"/>
    <x v="0"/>
    <s v="CESTA BASICA"/>
  </r>
  <r>
    <x v="11"/>
    <s v="HSERV CLEAN"/>
    <s v="EMPORIO MEGA 100 COMERCIO DE ALIMENTOS S.A."/>
    <n v="-2867.32"/>
    <x v="0"/>
    <s v="CESTA BASICA"/>
  </r>
  <r>
    <x v="11"/>
    <s v="HSERV CLEAN"/>
    <s v="EMPORIO MEGA 100 COMERCIO DE ALIMENTOS S.A."/>
    <n v="-852.45"/>
    <x v="0"/>
    <s v="CESTA BASICA"/>
  </r>
  <r>
    <x v="11"/>
    <s v="HSERV COMBINADOS"/>
    <s v="EMPORIO MEGA 100 COMERCIO DE ALIMENTOS S.A."/>
    <n v="-2789.82"/>
    <x v="0"/>
    <s v="CESTA BASICA"/>
  </r>
  <r>
    <x v="11"/>
    <s v="HSERV LIMPEZA"/>
    <s v="EMPORIO MEGA 100 COMERCIO DE ALIMENTOS S.A."/>
    <n v="-852.45"/>
    <x v="0"/>
    <s v="CESTA BASICA"/>
  </r>
  <r>
    <x v="11"/>
    <s v="HSERV REPRESENTACOES"/>
    <s v="EMPORIO MEGA 100 COMERCIO DE ALIMENTOS S.A."/>
    <n v="-619.96"/>
    <x v="0"/>
    <s v="CESTA BASICA"/>
  </r>
  <r>
    <x v="11"/>
    <s v="HSERV TECNOLOGIA"/>
    <s v="EMPORIO MEGA 100 COMERCIO DE ALIMENTOS S.A."/>
    <n v="-154.99"/>
    <x v="0"/>
    <s v="CESTA BASICA"/>
  </r>
  <r>
    <x v="11"/>
    <s v="HSERV TERCEIRIZADOS"/>
    <s v="EMPORIO MEGA 100 COMERCIO DE ALIMENTOS S.A."/>
    <n v="-852.45"/>
    <x v="0"/>
    <s v="CESTA BASICA"/>
  </r>
  <r>
    <x v="11"/>
    <s v="VITOR DUARTE"/>
    <s v="EMPORIO MEGA 100 COMERCIO DE ALIMENTOS S.A."/>
    <n v="-77.5"/>
    <x v="0"/>
    <s v="CESTA BASICA"/>
  </r>
  <r>
    <x v="11"/>
    <s v="HSERV CABREUVA"/>
    <s v="FT ASSIS E REGIÃO- "/>
    <n v="-5000"/>
    <x v="0"/>
    <s v="FT"/>
  </r>
  <r>
    <x v="11"/>
    <s v="HSERV COMBINADOS"/>
    <s v="MAC LUCER - VINEA (MENSAL) 3/36"/>
    <n v="-2756.99"/>
    <x v="0"/>
    <s v="RESERVA"/>
  </r>
  <r>
    <x v="14"/>
    <s v="VITOR DUARTE"/>
    <s v="CLARO S/A"/>
    <n v="-1600"/>
    <x v="0"/>
    <s v="TELEFONE"/>
  </r>
  <r>
    <x v="11"/>
    <s v="HSERV TERCEIRIZADOS"/>
    <s v="LOTUS CENTRAL DE DISTRIBUICAO DE HIGIENICOS LTDA"/>
    <n v="-701.38"/>
    <x v="0"/>
    <s v="MERCADORIAS PARA REVENDA"/>
  </r>
  <r>
    <x v="11"/>
    <s v="HENRIQUE JEAN ND"/>
    <s v="IMOVEL NEX ONE "/>
    <n v="-8937.32"/>
    <x v="0"/>
    <s v="RESERVA"/>
  </r>
  <r>
    <x v="15"/>
    <s v="VITOR DUARTE"/>
    <s v="VIVA FOOD R E LTDA"/>
    <n v="-15440.25"/>
    <x v="0"/>
    <s v="VALE ALIMENTAÇÃO"/>
  </r>
  <r>
    <x v="16"/>
    <s v="HSERV CABREUVA"/>
    <s v="AUTO POSTO JARDIM DAS HORTENCI"/>
    <n v="-9500"/>
    <x v="0"/>
    <s v="COMBUSTIVEL E PEDAGIO"/>
  </r>
  <r>
    <x v="16"/>
    <s v="HSERV COMBINADOS"/>
    <s v="QUEILA JESUS BERNARDES DE OLIVEIRA"/>
    <n v="-120"/>
    <x v="0"/>
    <s v="FT"/>
  </r>
  <r>
    <x v="16"/>
    <s v="VITOR DUARTE"/>
    <s v="JONESO EMPREENDIMENTOS E ADMINISTRACAO LTDA"/>
    <n v="-440"/>
    <x v="0"/>
    <s v="ALUGUEL DE IMOVEIS"/>
  </r>
  <r>
    <x v="16"/>
    <s v="VITOR DUARTE"/>
    <s v="GADE CORPORATIVA"/>
    <n v="-500"/>
    <x v="0"/>
    <s v="SEGUROS EM GERAL"/>
  </r>
  <r>
    <x v="16"/>
    <s v="HSERV CABREUVA"/>
    <s v="OPEN IT GROUP"/>
    <n v="-294.8"/>
    <x v="0"/>
    <s v="INTERNET"/>
  </r>
  <r>
    <x v="16"/>
    <s v="HSERV COMBINADOS"/>
    <s v="MAC LUCER - VINEA (MENSAL) "/>
    <n v="-1812.64"/>
    <x v="0"/>
    <s v="RESERVA"/>
  </r>
  <r>
    <x v="5"/>
    <s v="HSERV TERCEIRIZADOS"/>
    <s v="TFN COMERCIO E SERVICOS DE MAQUINAS LTDA"/>
    <n v="-1200"/>
    <x v="0"/>
    <s v="MERCADORIAS PARA REVENDA"/>
  </r>
  <r>
    <x v="5"/>
    <s v="HSERV CLEAN"/>
    <s v="SOFT WORKS EPI CALCADOS LTDA"/>
    <n v="-1723"/>
    <x v="0"/>
    <s v="UNIFORMES"/>
  </r>
  <r>
    <x v="5"/>
    <s v="VITOR DUARTE"/>
    <s v="CHEQUES DR DUARTE"/>
    <n v="-9980"/>
    <x v="0"/>
    <s v="PROLABORE"/>
  </r>
  <r>
    <x v="15"/>
    <s v="HSERV CABREUVA"/>
    <s v="ALINE CAMOLEZ SOARES ISCARO -ATSum 0012233-68.2024.5.15.0188 - GISLAINE CRISTINA FERNANDES PEREIRA "/>
    <n v="-2000"/>
    <x v="0"/>
    <s v="ACORDO TRABALHISTA"/>
  </r>
  <r>
    <x v="17"/>
    <s v="VITOR DUARTE"/>
    <s v="TADIM NEVES SOCIEDADE ACORDO TRABALHISTA ADILIO SANTOS SOUZA- Proc. 0012114-44.2023.5.15.0188 PARCELA 3/8-"/>
    <n v="-1848.63"/>
    <x v="0"/>
    <s v="ACORDO TRABALHISTA"/>
  </r>
  <r>
    <x v="17"/>
    <s v="HSERV CABREUVA"/>
    <s v="EGLE SIQUEIRA SOCIEDADE INDIVIDUAL DE ADVOCACIA -ACORDO TRABALHISTA -  SAMUEL DE SOUZA CAMARA - Processo n. 1001012-96.2023.5.02.021"/>
    <n v="-6298.6"/>
    <x v="0"/>
    <s v="ACORDO TRABALHISTA"/>
  </r>
  <r>
    <x v="17"/>
    <s v="HSERV CABREUVA"/>
    <s v="LUCAS LEONARDO MARQUES DE OLIVEIRA -ACORDO TRABALHISTA - GILVAN ANTONIO DOS SANTOS SILVA -  1000130-70.2024.5.02.0221"/>
    <n v="-2000"/>
    <x v="0"/>
    <s v="ACORDO TRABALHISTA"/>
  </r>
  <r>
    <x v="17"/>
    <s v="HSERV CABREUVA"/>
    <s v="LETICIA FERNANDA DO NASCIMENTO-ACORDO TRABALHISTA - JADISON SOUZA FONTES - PROC - 0012166-65.2023.5.15.0018"/>
    <n v="-501.54"/>
    <x v="0"/>
    <s v="ACORDO TRABALHISTA"/>
  </r>
  <r>
    <x v="17"/>
    <s v="VITOR DUARTE"/>
    <s v="LUAN VIEIRA BARRETO -ACORDO - ANGELO JOSE ARANTES - PROC 0012216-57.2024.5.15.0018"/>
    <n v="-1400"/>
    <x v="0"/>
    <s v="ACORDO TRABALHISTA"/>
  </r>
  <r>
    <x v="17"/>
    <s v="HSERV LIMPEZA"/>
    <s v="MATHEUS PEREIRA SOCIEDADE INDIVIDUAL DE ADVOCACIA-PROCESSO:  IARA PEDROSO FERREIRA  - PROCESSO 0012734-38.2024.5.15.0021"/>
    <n v="-2000"/>
    <x v="0"/>
    <s v="ACORDO TRABALHISTA"/>
  </r>
  <r>
    <x v="17"/>
    <s v="VITOR DUARTE"/>
    <s v="VALERIA GEOVANNA DOS SANTOS -ACORDO TRABALHISTA - ELIENE ALVES LISBOA - PRoc 1001103-06.2024.5.02.0292"/>
    <n v="-1916.67"/>
    <x v="0"/>
    <s v="ACORDO TRABALHISTA"/>
  </r>
  <r>
    <x v="17"/>
    <s v="HSERV COMBINADOS "/>
    <s v="GABRIEL DOS SANTOS NOVÃESCLOUD-TELEFONIA"/>
    <n v="-500"/>
    <x v="0"/>
    <s v="SISTEMA"/>
  </r>
  <r>
    <x v="17"/>
    <s v="HENRIQUE JEAN ND"/>
    <s v="CELIO ROBERTO"/>
    <n v="-10000"/>
    <x v="0"/>
    <s v="RESERVA"/>
  </r>
  <r>
    <x v="17"/>
    <s v="VITOR DUARTE"/>
    <s v="NEXTI DESENVOLVIMENTO DE SISTEMAS S.A."/>
    <n v="-2530.4299999999998"/>
    <x v="0"/>
    <s v="SISTEMA"/>
  </r>
  <r>
    <x v="17"/>
    <s v="VITOR DUARTE"/>
    <s v="NEXTI DESENVOLVIMENTO DE SISTEMAS S.A."/>
    <n v="-1339.5"/>
    <x v="0"/>
    <s v="SISTEMA"/>
  </r>
  <r>
    <x v="17"/>
    <s v=" HSERV CABREUVA"/>
    <s v="VALE TRANSPORTE BASE"/>
    <n v="-7000"/>
    <x v="0"/>
    <s v="VALE TRANSPORTE"/>
  </r>
  <r>
    <x v="17"/>
    <s v="VITOR DUARTE"/>
    <s v="CHEQUES DR DUARTE"/>
    <n v="-9980"/>
    <x v="0"/>
    <s v="PROLABORE"/>
  </r>
  <r>
    <x v="11"/>
    <s v="HSERV CABREUVA"/>
    <s v="MARCIO FERREIRA TOLLER SILVA -ACORDO TRABALHISTA - NORTON DO NASCIMENTO GONÇALVES BUENO  4 X - Proc 1001220-97.2024.5.02.0291"/>
    <n v="-960"/>
    <x v="0"/>
    <s v="ACORDO TRABALHISTA"/>
  </r>
  <r>
    <x v="11"/>
    <s v="VITOR DUARTE"/>
    <s v="TADIM NEVES SOCIEDADE INDIVIDUAL DE ADVOCACIA -ACORDO TRABALHISTA ADILIO SANTOS SOUZA-PROC Proc. 0012114-44.2023.5.15.0188"/>
    <n v="-1848.63"/>
    <x v="0"/>
    <s v="ACORDO TRABALHISTA"/>
  </r>
  <r>
    <x v="14"/>
    <s v="VITOR DUARTE"/>
    <s v="CHEQUES DR DUARTE"/>
    <n v="-9980"/>
    <x v="0"/>
    <s v="PROLABORE"/>
  </r>
  <r>
    <x v="17"/>
    <s v="VITOR DUARTE"/>
    <s v="CHEQUES DR DUARTE"/>
    <n v="-13518.18"/>
    <x v="0"/>
    <s v="PROLABORE"/>
  </r>
  <r>
    <x v="17"/>
    <s v="HSERV CABREUVA"/>
    <s v="SIMPLES NACIONAL-PARCELAMENTO"/>
    <n v="-40000"/>
    <x v="0"/>
    <s v="IMPOSTO "/>
  </r>
  <r>
    <x v="17"/>
    <s v="HSERV CABREUVA"/>
    <s v="VALE COMBUSTIVEL 1 QUINZENA DE FEVEREIRO"/>
    <n v="-9000"/>
    <x v="0"/>
    <s v="VALE COMBUSTIVEL"/>
  </r>
  <r>
    <x v="17"/>
    <s v="VITOR DUARTE"/>
    <s v="54.055.078 MATHEUS PEIXOTO DE OLIVEIRA"/>
    <n v="-1500"/>
    <x v="0"/>
    <s v="TI"/>
  </r>
  <r>
    <x v="17"/>
    <s v="VITOR DUARTE"/>
    <s v="ADEMIR- IMPRESSÃO E IMPRESSORA"/>
    <n v="-500"/>
    <x v="0"/>
    <s v="TI"/>
  </r>
  <r>
    <x v="17"/>
    <s v="HSERV COMBINADOS "/>
    <s v="REPARO EM UNIFORMES- COSTURA- LEILA APARECIDA PEREIRA REIS- PROVISÃO"/>
    <n v="-100"/>
    <x v="0"/>
    <s v="UNIFORMES"/>
  </r>
  <r>
    <x v="17"/>
    <s v="HSERV COMBINADOS "/>
    <s v="REEMBOLSOS"/>
    <n v="-800"/>
    <x v="0"/>
    <s v="REEMBOLSO"/>
  </r>
  <r>
    <x v="17"/>
    <s v="HSERV CABREUVA"/>
    <s v="FÉRIAS- "/>
    <n v="-40000"/>
    <x v="0"/>
    <s v="FÉRIAS"/>
  </r>
  <r>
    <x v="17"/>
    <s v="HSERV CLEAN"/>
    <s v="SOFT WORKS EPI CALCADOS LTDA"/>
    <n v="-1590"/>
    <x v="0"/>
    <s v="UNIFORMES"/>
  </r>
  <r>
    <x v="17"/>
    <s v="VITOR DUARTE"/>
    <s v="EMPORIO MEGA 100 COMERCIO DE ALIMENTOS S.A."/>
    <n v="-1408.84"/>
    <x v="0"/>
    <s v="CESTA NATALINA"/>
  </r>
  <r>
    <x v="17"/>
    <s v="VITOR DUARTE"/>
    <s v="EMPORIO MEGA 100 COMERCIO DE ALIMENTOS S.A."/>
    <n v="-3312.86"/>
    <x v="0"/>
    <s v="CESTA NATALINA"/>
  </r>
  <r>
    <x v="17"/>
    <s v="VITOR DUARTE"/>
    <s v="DEVOLÇÃO APORTE VITOR - APORTE 16/12 2º PARCELA"/>
    <n v="-100000"/>
    <x v="0"/>
    <s v="APORTE"/>
  </r>
  <r>
    <x v="17"/>
    <s v="VITOR DUARTE"/>
    <s v="GUIA DE PARCELAMENTO INSS VITOR JULHO A NOV 2024"/>
    <n v="-7000"/>
    <x v="0"/>
    <s v="IMPOSTO"/>
  </r>
  <r>
    <x v="17"/>
    <s v="HSERV CLEAN"/>
    <s v="GUIA DE PARELAMENTO DE DIVIDA ATIVA HSERV CLEAN"/>
    <n v="-2000"/>
    <x v="0"/>
    <s v="IMPOSTO"/>
  </r>
  <r>
    <x v="17"/>
    <s v=" HSERV CABREUVA"/>
    <s v="ISS PREFEITURA DE CABREUVA CABREUVA"/>
    <n v="-9000"/>
    <x v="0"/>
    <s v="IMPOSTO"/>
  </r>
  <r>
    <x v="17"/>
    <s v="HSERV CABREUVA"/>
    <s v="NEGOCIAÇÃO CARTÃO DE CREDITO HSERV CABREUVA  1/24"/>
    <n v="-1232.3599999999999"/>
    <x v="0"/>
    <s v="CARTÃO DE CREDITO"/>
  </r>
  <r>
    <x v="17"/>
    <s v="HSERV CABREUVA"/>
    <s v="NEGOCIAÇÃO CARTÃO DE CREDITO HSERV CABREUVA  1/24"/>
    <n v="-1634.18"/>
    <x v="0"/>
    <s v="CARTÃO DE CREDITO"/>
  </r>
  <r>
    <x v="0"/>
    <s v="TECNOLOGIA"/>
    <s v="INTERBRILHO HIGIENE E LIMPEZA LTDA"/>
    <n v="23638.67"/>
    <x v="1"/>
    <s v="VENDAS DE SERVIÇOS"/>
  </r>
  <r>
    <x v="0"/>
    <s v="LIMPEZA"/>
    <s v="EDMAR APARECIDO MARTINEZ"/>
    <n v="799.2"/>
    <x v="1"/>
    <s v="VENDAS DE SERVIÇOS"/>
  </r>
  <r>
    <x v="0"/>
    <s v="LIMPEZA"/>
    <s v="EDMAR APARECIDO MARTINEZ"/>
    <n v="3600"/>
    <x v="1"/>
    <s v="ASSIDUIDADE"/>
  </r>
  <r>
    <x v="0"/>
    <s v="LIMPEZA"/>
    <s v="EDMAR APARECIDO MARTINEZ"/>
    <n v="18532.8"/>
    <x v="1"/>
    <s v="VENDAS DE SERVIÇOS"/>
  </r>
  <r>
    <x v="0"/>
    <s v="COMBINADOS"/>
    <s v="TECNIPLAS EQUIPAMENTOS EM COMPOSITOS EIR"/>
    <n v="22451.91"/>
    <x v="1"/>
    <s v="VENDAS DE SERVIÇOS"/>
  </r>
  <r>
    <x v="0"/>
    <s v="REPRESENTAÇÃO"/>
    <s v="VETTOR TORRES DE RESFRIAMENTO LTDA"/>
    <n v="14482.07"/>
    <x v="1"/>
    <s v="VENDAS DE SERVIÇOS"/>
  </r>
  <r>
    <x v="0"/>
    <s v="REPRESENTAÇÃO"/>
    <s v="VETTOR TORRES DE RESFRIAMENTO LTDA"/>
    <n v="23943.3"/>
    <x v="1"/>
    <s v="VENDAS DE SERVIÇOS"/>
  </r>
  <r>
    <x v="0"/>
    <s v="REPRESENTAÇÃO"/>
    <s v="VETTOR TORRES DE RESFRIAMENTO LTDA"/>
    <n v="21852.37"/>
    <x v="1"/>
    <s v="VENDAS DE SERVIÇOS"/>
  </r>
  <r>
    <x v="0"/>
    <s v="REPRESENTAÇÃO"/>
    <s v="VETTOR TORRES DE RESFRIAMENTO LTDA"/>
    <n v="5283.53"/>
    <x v="1"/>
    <s v="VENDAS DE SERVIÇOS"/>
  </r>
  <r>
    <x v="0"/>
    <s v="REPRESENTAÇÃO"/>
    <s v="VETTOR TORRES DE RESFRIAMENTO LTDA"/>
    <n v="1500"/>
    <x v="1"/>
    <s v="VENDAS DE SERVIÇOS"/>
  </r>
  <r>
    <x v="0"/>
    <s v="REPRESENTAÇÃO"/>
    <s v="VETTOR TORRES DE RESFRIAMENTO LTDA"/>
    <n v="1200"/>
    <x v="1"/>
    <s v="VENDAS DE SERVIÇOS"/>
  </r>
  <r>
    <x v="0"/>
    <s v="REPRESENTAÇÃO"/>
    <s v="VETTOR TORRES DE RESFRIAMENTO LTDA"/>
    <n v="196"/>
    <x v="1"/>
    <s v="VENDAS DE SERVIÇOS"/>
  </r>
  <r>
    <x v="8"/>
    <s v="HSERV COMBINADOS "/>
    <s v="FT 2 QUINZENA DE FEVEREIRO"/>
    <n v="-50000"/>
    <x v="0"/>
    <s v="FT"/>
  </r>
  <r>
    <x v="8"/>
    <s v="HSERV CLEAN"/>
    <s v="SOFT WORKS EPI CALCADOS LTDA"/>
    <n v="-909"/>
    <x v="0"/>
    <s v="UNIFORMES"/>
  </r>
  <r>
    <x v="8"/>
    <s v="HSERV CLEAN"/>
    <s v="SPARTAN DO BRASIL PRODUTOS QUIMICOS LTDA"/>
    <n v="-2796.19"/>
    <x v="0"/>
    <s v="MERCADORIAS PARA REVENDA"/>
  </r>
  <r>
    <x v="8"/>
    <s v="HSERV TERCEIRIZADOS"/>
    <s v="TFN COMERCIO E SERVICOS DE MAQUINAS LTDA"/>
    <n v="-219"/>
    <x v="0"/>
    <s v="MERCADORIAS PARA REVENDA"/>
  </r>
  <r>
    <x v="8"/>
    <s v="HSERV TERCEIRIZADOS"/>
    <s v="STAR CLEAN PRO INDUSTRIA E COMERCIO DE EQUIPAMENTOS DE LIMPE"/>
    <n v="-1421.65"/>
    <x v="0"/>
    <s v="MERCADORIAS PARA REVENDA"/>
  </r>
  <r>
    <x v="8"/>
    <s v="CABREUVA"/>
    <s v="TED 422.0115.KYN C V A L"/>
    <n v="33748"/>
    <x v="1"/>
    <s v="FISCAL DE LOJA"/>
  </r>
  <r>
    <x v="18"/>
    <s v="HSERV COMBINADOS"/>
    <s v="QUEILA JESUS BERNARDES DE OLIVEIRA"/>
    <n v="-120"/>
    <x v="0"/>
    <s v="FT"/>
  </r>
  <r>
    <x v="18"/>
    <s v="HSERV TERCEIRIZADOS"/>
    <s v="LOTUS CENTRAL DE DISTRIBUICAO DE HIGIENICOS LTDA"/>
    <n v="-1074.31"/>
    <x v="0"/>
    <s v="MERCADORIAS PARA REVENDA"/>
  </r>
  <r>
    <x v="18"/>
    <s v="CABREUVA"/>
    <s v="CONDOMINIO PALAZZO VENEZA"/>
    <n v="300"/>
    <x v="1"/>
    <s v="ASSUIDADE"/>
  </r>
  <r>
    <x v="18"/>
    <s v="CABREUVA"/>
    <s v="CONDOMINIO PALAZZO VENEZA"/>
    <n v="4880.1400000000003"/>
    <x v="1"/>
    <s v="VENDAS DE SERVIÇOS"/>
  </r>
  <r>
    <x v="18"/>
    <s v="REPRESENTAÇÃO"/>
    <s v="TTB INDUSTRIA E COMERCIO DE PRODUTOS MET"/>
    <n v="603.26"/>
    <x v="1"/>
    <s v="MONITORAMENTO"/>
  </r>
  <r>
    <x v="18"/>
    <s v="REPRESENTAÇÃO"/>
    <s v="TTB INDUSTRIA E COMERCIO DE PRODUTOS MET"/>
    <n v="300"/>
    <x v="1"/>
    <s v="ASSDUIDADE"/>
  </r>
  <r>
    <x v="18"/>
    <s v="REPRESENTAÇÃO"/>
    <s v="TTB INDUSTRIA E COMERCIO DE PRODUTOS MET"/>
    <n v="9631"/>
    <x v="1"/>
    <s v="LIMPEZA "/>
  </r>
  <r>
    <x v="18"/>
    <s v="VITOR"/>
    <s v="DEPOSITO SANTA CATARINA LTDA"/>
    <n v="238.72"/>
    <x v="1"/>
    <s v="MONITORAMENTO"/>
  </r>
  <r>
    <x v="18"/>
    <s v="VITOR"/>
    <s v="GIFEL"/>
    <n v="680.03"/>
    <x v="1"/>
    <m/>
  </r>
  <r>
    <x v="18"/>
    <s v="CLEAN"/>
    <s v="RICARO"/>
    <n v="24988.71"/>
    <x v="1"/>
    <s v="CONTROLE DE ACESSO"/>
  </r>
  <r>
    <x v="18"/>
    <s v="CLEAN"/>
    <s v="RICARO"/>
    <n v="16834.330000000002"/>
    <x v="1"/>
    <s v="SEGURANÇA"/>
  </r>
  <r>
    <x v="18"/>
    <s v="CLEAN"/>
    <s v="RICARO"/>
    <n v="268.13"/>
    <x v="1"/>
    <s v="MONITORAMENTO"/>
  </r>
  <r>
    <x v="11"/>
    <s v="CLEAN"/>
    <s v="RICARO"/>
    <n v="2140"/>
    <x v="1"/>
    <s v="LOCAÇÃO"/>
  </r>
  <r>
    <x v="10"/>
    <s v="LIMPEZA"/>
    <s v="IMPROVEMENT FIT ACADEMIA LTDA"/>
    <n v="7850"/>
    <x v="1"/>
    <s v="VENDAS DE SERVIÇOS"/>
  </r>
  <r>
    <x v="5"/>
    <s v="VITOR DUARTE"/>
    <s v="AVENIDA "/>
    <n v="338239.01"/>
    <x v="1"/>
    <s v="LIMPEZA"/>
  </r>
  <r>
    <x v="13"/>
    <s v="HSERV COMBINADOS"/>
    <s v="QUEILA JESUS BERNARDES DE OLIVEIRA"/>
    <n v="-120"/>
    <x v="0"/>
    <s v="FT"/>
  </r>
  <r>
    <x v="13"/>
    <s v="HSERV TERCEIRIZADOS"/>
    <s v="WIG COMERCIO DE BATERIAS COMPONENTES LTDA"/>
    <n v="-1773.34"/>
    <x v="0"/>
    <s v="EQUIPAMENTOS"/>
  </r>
  <r>
    <x v="13"/>
    <s v="TERCEIRIZADOS"/>
    <s v="BELLART"/>
    <n v="18893.490000000002"/>
    <x v="1"/>
    <s v="CONTROLADOR DE ACESSO"/>
  </r>
  <r>
    <x v="11"/>
    <s v="LIMPEZA"/>
    <s v="MIPAL INDUSTRIA DE EVAPORADORES LTDA"/>
    <n v="1500"/>
    <x v="1"/>
    <s v="LOCAÇÃO"/>
  </r>
  <r>
    <x v="11"/>
    <s v="LIMPEZA"/>
    <s v="MIPAL INDUSTRIA DE EVAPORADORES LTDA"/>
    <n v="4717.4399999999996"/>
    <x v="1"/>
    <s v="RONDA NOTURNA"/>
  </r>
  <r>
    <x v="11"/>
    <s v="LIMPEZA"/>
    <s v="MIPAL INDUSTRIA DE EVAPORADORES LTDA"/>
    <n v="9938.39"/>
    <x v="1"/>
    <s v="CONTROLADOR"/>
  </r>
  <r>
    <x v="11"/>
    <s v="LIMPEZA"/>
    <s v="MIPAL INDUSTRIA DE EVAPORADORES LTDA"/>
    <n v="22139.98"/>
    <x v="1"/>
    <s v="CONTROLADOR NOTURNO E RONDA"/>
  </r>
  <r>
    <x v="15"/>
    <s v="CLEAN"/>
    <s v="PLASTY COMERCIAL DE PLASTICOS LTDA"/>
    <n v="1824.16"/>
    <x v="1"/>
    <s v="VENDAS DE SERVIÇOS"/>
  </r>
  <r>
    <x v="15"/>
    <s v="CLEAN"/>
    <s v="PLASTY COMERCIAL DE PLASTICOS LTDA"/>
    <n v="4476.2700000000004"/>
    <x v="1"/>
    <s v="VENDAS DE SERVIÇOS"/>
  </r>
  <r>
    <x v="15"/>
    <s v="CLEAN"/>
    <s v="PLASTY COMERCIAL DE PLASTICOS LTDA"/>
    <n v="5785.3"/>
    <x v="1"/>
    <s v="VENDAS DE SERVIÇOS"/>
  </r>
  <r>
    <x v="15"/>
    <s v="CLEAN"/>
    <s v="PLASTY COMERCIAL DE PLASTICOS LTDA"/>
    <n v="19390.14"/>
    <x v="1"/>
    <s v="VENDAS DE SERVIÇOS"/>
  </r>
  <r>
    <x v="17"/>
    <s v="CABREUVA"/>
    <s v="BOA"/>
    <n v="896135.36"/>
    <x v="1"/>
    <s v="VENDAS DE SERVIÇ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70E86-378B-4138-8D52-B7DA616A7B8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U10" firstHeaderRow="1" firstDataRow="2" firstDataCol="1"/>
  <pivotFields count="6">
    <pivotField axis="axisCol" numFmtId="14" showAll="0">
      <items count="20">
        <item x="0"/>
        <item x="2"/>
        <item x="3"/>
        <item x="4"/>
        <item x="1"/>
        <item x="7"/>
        <item x="8"/>
        <item x="18"/>
        <item x="9"/>
        <item x="6"/>
        <item x="5"/>
        <item x="10"/>
        <item x="13"/>
        <item x="11"/>
        <item x="14"/>
        <item x="16"/>
        <item x="12"/>
        <item x="15"/>
        <item x="17"/>
        <item t="default"/>
      </items>
    </pivotField>
    <pivotField showAll="0"/>
    <pivotField showAll="0"/>
    <pivotField dataField="1" showAll="0"/>
    <pivotField axis="axisRow" showAll="0">
      <items count="4">
        <item m="1" x="2"/>
        <item x="1"/>
        <item x="0"/>
        <item t="default"/>
      </items>
    </pivotField>
    <pivotField showAll="0"/>
  </pivotFields>
  <rowFields count="1">
    <field x="4"/>
  </rowFields>
  <rowItems count="3">
    <i>
      <x v="1"/>
    </i>
    <i>
      <x v="2"/>
    </i>
    <i t="grand">
      <x/>
    </i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oma de VALOR" fld="3" baseField="0" baseItem="0" numFmtId="44"/>
  </dataFields>
  <formats count="17">
    <format dxfId="16">
      <pivotArea collapsedLevelsAreSubtotals="1" fieldPosition="0">
        <references count="1">
          <reference field="4" count="1">
            <x v="1"/>
          </reference>
        </references>
      </pivotArea>
    </format>
    <format dxfId="15">
      <pivotArea dataOnly="0" labelOnly="1" fieldPosition="0">
        <references count="1">
          <reference field="4" count="1">
            <x v="1"/>
          </reference>
        </references>
      </pivotArea>
    </format>
    <format dxfId="14">
      <pivotArea collapsedLevelsAreSubtotals="1" fieldPosition="0">
        <references count="1">
          <reference field="4" count="1">
            <x v="2"/>
          </reference>
        </references>
      </pivotArea>
    </format>
    <format dxfId="13">
      <pivotArea dataOnly="0" labelOnly="1" fieldPosition="0">
        <references count="1">
          <reference field="4" count="1">
            <x v="2"/>
          </reference>
        </references>
      </pivotArea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4" count="0"/>
        </references>
      </pivotArea>
    </format>
    <format dxfId="10">
      <pivotArea dataOnly="0" labelOnly="1" grandRow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DD66-89B5-475D-BFEE-A97D2AA80616}">
  <dimension ref="A1:U13"/>
  <sheetViews>
    <sheetView showGridLines="0" workbookViewId="0">
      <selection activeCell="B13" sqref="B13"/>
    </sheetView>
  </sheetViews>
  <sheetFormatPr defaultRowHeight="14.4" x14ac:dyDescent="0.3"/>
  <cols>
    <col min="1" max="1" width="17.21875" bestFit="1" customWidth="1"/>
    <col min="2" max="2" width="18.6640625" bestFit="1" customWidth="1"/>
    <col min="3" max="3" width="12" bestFit="1" customWidth="1"/>
    <col min="4" max="5" width="13.109375" bestFit="1" customWidth="1"/>
    <col min="6" max="6" width="14.109375" bestFit="1" customWidth="1"/>
    <col min="7" max="7" width="12" bestFit="1" customWidth="1"/>
    <col min="8" max="8" width="14.109375" bestFit="1" customWidth="1"/>
    <col min="9" max="9" width="13.109375" bestFit="1" customWidth="1"/>
    <col min="10" max="10" width="12" bestFit="1" customWidth="1"/>
    <col min="11" max="11" width="13.109375" bestFit="1" customWidth="1"/>
    <col min="12" max="12" width="14" bestFit="1" customWidth="1"/>
    <col min="13" max="14" width="13.109375" bestFit="1" customWidth="1"/>
    <col min="15" max="15" width="14.109375" bestFit="1" customWidth="1"/>
    <col min="16" max="19" width="13.109375" bestFit="1" customWidth="1"/>
    <col min="20" max="20" width="14.109375" bestFit="1" customWidth="1"/>
    <col min="21" max="21" width="15.5546875" bestFit="1" customWidth="1"/>
  </cols>
  <sheetData>
    <row r="1" spans="1:21" x14ac:dyDescent="0.3">
      <c r="A1" s="196" t="s">
        <v>289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</row>
    <row r="2" spans="1:21" ht="30" customHeight="1" x14ac:dyDescent="0.3">
      <c r="A2" s="196"/>
      <c r="B2" s="197"/>
      <c r="C2" s="197"/>
      <c r="D2" s="197"/>
      <c r="E2" s="197"/>
      <c r="F2" s="197"/>
      <c r="G2" s="197"/>
      <c r="H2" s="197"/>
      <c r="I2" s="197"/>
      <c r="J2" s="197"/>
      <c r="K2" s="197"/>
    </row>
    <row r="4" spans="1:21" x14ac:dyDescent="0.3">
      <c r="A4" s="195" t="s">
        <v>290</v>
      </c>
      <c r="B4" s="195"/>
    </row>
    <row r="6" spans="1:21" x14ac:dyDescent="0.3">
      <c r="A6" s="186" t="s">
        <v>285</v>
      </c>
      <c r="B6" s="186" t="s">
        <v>288</v>
      </c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</row>
    <row r="7" spans="1:21" x14ac:dyDescent="0.3">
      <c r="A7" s="186" t="s">
        <v>286</v>
      </c>
      <c r="B7" s="188">
        <v>45810</v>
      </c>
      <c r="C7" s="188">
        <v>45811</v>
      </c>
      <c r="D7" s="188">
        <v>45812</v>
      </c>
      <c r="E7" s="188">
        <v>45813</v>
      </c>
      <c r="F7" s="188">
        <v>45814</v>
      </c>
      <c r="G7" s="188">
        <v>45817</v>
      </c>
      <c r="H7" s="188">
        <v>45818</v>
      </c>
      <c r="I7" s="188">
        <v>45819</v>
      </c>
      <c r="J7" s="188">
        <v>45820</v>
      </c>
      <c r="K7" s="188">
        <v>45821</v>
      </c>
      <c r="L7" s="188">
        <v>45824</v>
      </c>
      <c r="M7" s="188">
        <v>45825</v>
      </c>
      <c r="N7" s="188">
        <v>45826</v>
      </c>
      <c r="O7" s="188">
        <v>45828</v>
      </c>
      <c r="P7" s="188">
        <v>45831</v>
      </c>
      <c r="Q7" s="188">
        <v>45833</v>
      </c>
      <c r="R7" s="188">
        <v>45834</v>
      </c>
      <c r="S7" s="188">
        <v>45835</v>
      </c>
      <c r="T7" s="188">
        <v>45838</v>
      </c>
      <c r="U7" s="188" t="s">
        <v>287</v>
      </c>
    </row>
    <row r="8" spans="1:21" s="183" customFormat="1" x14ac:dyDescent="0.3">
      <c r="A8" s="189" t="s">
        <v>263</v>
      </c>
      <c r="B8" s="190">
        <v>137479.85</v>
      </c>
      <c r="C8" s="190"/>
      <c r="D8" s="190"/>
      <c r="E8" s="190"/>
      <c r="F8" s="190"/>
      <c r="G8" s="190"/>
      <c r="H8" s="190">
        <v>33748</v>
      </c>
      <c r="I8" s="190">
        <v>58724.32</v>
      </c>
      <c r="J8" s="190"/>
      <c r="K8" s="190"/>
      <c r="L8" s="190">
        <v>338239.01</v>
      </c>
      <c r="M8" s="190">
        <v>7850</v>
      </c>
      <c r="N8" s="190">
        <v>18893.490000000002</v>
      </c>
      <c r="O8" s="190">
        <v>40435.81</v>
      </c>
      <c r="P8" s="190"/>
      <c r="Q8" s="190"/>
      <c r="R8" s="190"/>
      <c r="S8" s="190">
        <v>31475.87</v>
      </c>
      <c r="T8" s="190">
        <v>896135.36</v>
      </c>
      <c r="U8" s="190">
        <v>1562981.71</v>
      </c>
    </row>
    <row r="9" spans="1:21" s="184" customFormat="1" x14ac:dyDescent="0.3">
      <c r="A9" s="191" t="s">
        <v>7</v>
      </c>
      <c r="B9" s="192">
        <v>-17440.400000000001</v>
      </c>
      <c r="C9" s="192">
        <v>-4639.12</v>
      </c>
      <c r="D9" s="192">
        <v>-10446</v>
      </c>
      <c r="E9" s="192">
        <v>-11000</v>
      </c>
      <c r="F9" s="192">
        <v>-462359.7</v>
      </c>
      <c r="G9" s="192">
        <v>-2964.6800000000003</v>
      </c>
      <c r="H9" s="192">
        <v>-141670.84</v>
      </c>
      <c r="I9" s="192">
        <v>-1194.31</v>
      </c>
      <c r="J9" s="192">
        <v>-2298.8199999999997</v>
      </c>
      <c r="K9" s="192">
        <v>-39206.719999999994</v>
      </c>
      <c r="L9" s="192">
        <v>-312579.5</v>
      </c>
      <c r="M9" s="192">
        <v>-53755.979999999996</v>
      </c>
      <c r="N9" s="192">
        <v>-8550.76</v>
      </c>
      <c r="O9" s="192">
        <v>-401652.95000000007</v>
      </c>
      <c r="P9" s="192">
        <v>-11580</v>
      </c>
      <c r="Q9" s="192">
        <v>-12667.439999999999</v>
      </c>
      <c r="R9" s="192">
        <v>-36000</v>
      </c>
      <c r="S9" s="192">
        <v>-17440.25</v>
      </c>
      <c r="T9" s="192">
        <v>-279911.78999999998</v>
      </c>
      <c r="U9" s="192">
        <v>-1827359.2600000002</v>
      </c>
    </row>
    <row r="10" spans="1:21" s="185" customFormat="1" x14ac:dyDescent="0.3">
      <c r="A10" s="193" t="s">
        <v>287</v>
      </c>
      <c r="B10" s="194">
        <v>120039.45000000001</v>
      </c>
      <c r="C10" s="194">
        <v>-4639.12</v>
      </c>
      <c r="D10" s="194">
        <v>-10446</v>
      </c>
      <c r="E10" s="194">
        <v>-11000</v>
      </c>
      <c r="F10" s="194">
        <v>-462359.7</v>
      </c>
      <c r="G10" s="194">
        <v>-2964.6800000000003</v>
      </c>
      <c r="H10" s="194">
        <v>-107922.84</v>
      </c>
      <c r="I10" s="194">
        <v>57530.01</v>
      </c>
      <c r="J10" s="194">
        <v>-2298.8199999999997</v>
      </c>
      <c r="K10" s="194">
        <v>-39206.719999999994</v>
      </c>
      <c r="L10" s="194">
        <v>25659.510000000009</v>
      </c>
      <c r="M10" s="194">
        <v>-45905.979999999996</v>
      </c>
      <c r="N10" s="194">
        <v>10342.730000000001</v>
      </c>
      <c r="O10" s="194">
        <v>-361217.14000000007</v>
      </c>
      <c r="P10" s="194">
        <v>-11580</v>
      </c>
      <c r="Q10" s="194">
        <v>-12667.439999999999</v>
      </c>
      <c r="R10" s="194">
        <v>-36000</v>
      </c>
      <c r="S10" s="194">
        <v>14035.619999999999</v>
      </c>
      <c r="T10" s="194">
        <v>616223.57000000007</v>
      </c>
      <c r="U10" s="194">
        <v>-264377.55000000028</v>
      </c>
    </row>
    <row r="13" spans="1:21" s="187" customFormat="1" x14ac:dyDescent="0.3">
      <c r="A13" s="187" t="s">
        <v>291</v>
      </c>
    </row>
  </sheetData>
  <mergeCells count="1">
    <mergeCell ref="A1:K2"/>
  </mergeCell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235B-20F6-4606-9CC9-22A24B726011}">
  <dimension ref="A1:F266"/>
  <sheetViews>
    <sheetView showGridLines="0" tabSelected="1" workbookViewId="0">
      <selection activeCell="D1" sqref="D1:D1048576"/>
    </sheetView>
  </sheetViews>
  <sheetFormatPr defaultRowHeight="14.4" x14ac:dyDescent="0.3"/>
  <cols>
    <col min="1" max="1" width="10.44140625" style="103" customWidth="1"/>
    <col min="2" max="2" width="24.109375" style="90" customWidth="1"/>
    <col min="3" max="3" width="136.6640625" style="90" customWidth="1"/>
    <col min="4" max="4" width="13.77734375" style="112" customWidth="1"/>
    <col min="5" max="5" width="11.88671875" style="145" customWidth="1"/>
    <col min="6" max="6" width="31.33203125" style="103" customWidth="1"/>
    <col min="7" max="16384" width="8.88671875" style="63"/>
  </cols>
  <sheetData>
    <row r="1" spans="1:6" ht="15" customHeight="1" x14ac:dyDescent="0.3">
      <c r="A1" s="1" t="s">
        <v>0</v>
      </c>
      <c r="B1" s="2" t="s">
        <v>1</v>
      </c>
      <c r="C1" s="2" t="s">
        <v>147</v>
      </c>
      <c r="D1" s="110" t="s">
        <v>2</v>
      </c>
      <c r="E1" s="9" t="s">
        <v>3</v>
      </c>
      <c r="F1" s="5" t="s">
        <v>4</v>
      </c>
    </row>
    <row r="2" spans="1:6" x14ac:dyDescent="0.3">
      <c r="A2" s="32">
        <v>45810</v>
      </c>
      <c r="B2" s="40" t="s">
        <v>5</v>
      </c>
      <c r="C2" s="33" t="s">
        <v>6</v>
      </c>
      <c r="D2" s="58">
        <v>-650</v>
      </c>
      <c r="E2" s="35" t="s">
        <v>7</v>
      </c>
      <c r="F2" s="36" t="s">
        <v>8</v>
      </c>
    </row>
    <row r="3" spans="1:6" x14ac:dyDescent="0.3">
      <c r="A3" s="32">
        <v>45810</v>
      </c>
      <c r="B3" s="40" t="s">
        <v>5</v>
      </c>
      <c r="C3" s="33" t="s">
        <v>9</v>
      </c>
      <c r="D3" s="58">
        <v>-320</v>
      </c>
      <c r="E3" s="35" t="s">
        <v>7</v>
      </c>
      <c r="F3" s="36" t="s">
        <v>8</v>
      </c>
    </row>
    <row r="4" spans="1:6" x14ac:dyDescent="0.3">
      <c r="A4" s="32">
        <v>45810</v>
      </c>
      <c r="B4" s="40" t="s">
        <v>5</v>
      </c>
      <c r="C4" s="33" t="s">
        <v>10</v>
      </c>
      <c r="D4" s="58">
        <v>-350</v>
      </c>
      <c r="E4" s="35" t="s">
        <v>7</v>
      </c>
      <c r="F4" s="36" t="s">
        <v>8</v>
      </c>
    </row>
    <row r="5" spans="1:6" x14ac:dyDescent="0.3">
      <c r="A5" s="32">
        <v>45810</v>
      </c>
      <c r="B5" s="42" t="s">
        <v>5</v>
      </c>
      <c r="C5" s="33" t="s">
        <v>11</v>
      </c>
      <c r="D5" s="58">
        <v>-201</v>
      </c>
      <c r="E5" s="35" t="s">
        <v>7</v>
      </c>
      <c r="F5" s="36" t="s">
        <v>8</v>
      </c>
    </row>
    <row r="6" spans="1:6" x14ac:dyDescent="0.3">
      <c r="A6" s="32">
        <v>45810</v>
      </c>
      <c r="B6" s="42" t="s">
        <v>12</v>
      </c>
      <c r="C6" s="33" t="s">
        <v>16</v>
      </c>
      <c r="D6" s="58">
        <v>-1000</v>
      </c>
      <c r="E6" s="35" t="s">
        <v>7</v>
      </c>
      <c r="F6" s="43" t="s">
        <v>17</v>
      </c>
    </row>
    <row r="7" spans="1:6" x14ac:dyDescent="0.3">
      <c r="A7" s="32">
        <v>45810</v>
      </c>
      <c r="B7" s="42" t="s">
        <v>12</v>
      </c>
      <c r="C7" s="33" t="s">
        <v>18</v>
      </c>
      <c r="D7" s="58">
        <v>-1000</v>
      </c>
      <c r="E7" s="35" t="s">
        <v>7</v>
      </c>
      <c r="F7" s="43" t="s">
        <v>17</v>
      </c>
    </row>
    <row r="8" spans="1:6" x14ac:dyDescent="0.3">
      <c r="A8" s="32">
        <v>45810</v>
      </c>
      <c r="B8" s="42" t="s">
        <v>12</v>
      </c>
      <c r="C8" s="33" t="s">
        <v>19</v>
      </c>
      <c r="D8" s="58">
        <v>-1000</v>
      </c>
      <c r="E8" s="35" t="s">
        <v>7</v>
      </c>
      <c r="F8" s="43" t="s">
        <v>17</v>
      </c>
    </row>
    <row r="9" spans="1:6" x14ac:dyDescent="0.3">
      <c r="A9" s="32">
        <v>45814</v>
      </c>
      <c r="B9" s="44" t="s">
        <v>20</v>
      </c>
      <c r="C9" s="45" t="s">
        <v>21</v>
      </c>
      <c r="D9" s="58">
        <v>-15440.25</v>
      </c>
      <c r="E9" s="46" t="s">
        <v>7</v>
      </c>
      <c r="F9" s="34" t="s">
        <v>22</v>
      </c>
    </row>
    <row r="10" spans="1:6" x14ac:dyDescent="0.3">
      <c r="A10" s="84">
        <v>45810</v>
      </c>
      <c r="B10" s="85" t="s">
        <v>32</v>
      </c>
      <c r="C10" s="85" t="s">
        <v>221</v>
      </c>
      <c r="D10" s="86">
        <v>-129.13</v>
      </c>
      <c r="E10" s="35" t="s">
        <v>7</v>
      </c>
      <c r="F10" s="88" t="s">
        <v>36</v>
      </c>
    </row>
    <row r="11" spans="1:6" x14ac:dyDescent="0.3">
      <c r="A11" s="84">
        <v>45810</v>
      </c>
      <c r="B11" s="85" t="s">
        <v>32</v>
      </c>
      <c r="C11" s="85" t="s">
        <v>221</v>
      </c>
      <c r="D11" s="86">
        <v>-129.13</v>
      </c>
      <c r="E11" s="35" t="s">
        <v>7</v>
      </c>
      <c r="F11" s="88" t="s">
        <v>36</v>
      </c>
    </row>
    <row r="12" spans="1:6" x14ac:dyDescent="0.3">
      <c r="A12" s="84">
        <v>45810</v>
      </c>
      <c r="B12" s="85" t="s">
        <v>32</v>
      </c>
      <c r="C12" s="85" t="s">
        <v>221</v>
      </c>
      <c r="D12" s="86">
        <v>-129.13</v>
      </c>
      <c r="E12" s="35" t="s">
        <v>7</v>
      </c>
      <c r="F12" s="88" t="s">
        <v>36</v>
      </c>
    </row>
    <row r="13" spans="1:6" x14ac:dyDescent="0.3">
      <c r="A13" s="84">
        <v>45810</v>
      </c>
      <c r="B13" s="85" t="s">
        <v>32</v>
      </c>
      <c r="C13" s="85" t="s">
        <v>221</v>
      </c>
      <c r="D13" s="86">
        <v>-129.13</v>
      </c>
      <c r="E13" s="35" t="s">
        <v>7</v>
      </c>
      <c r="F13" s="88" t="s">
        <v>36</v>
      </c>
    </row>
    <row r="14" spans="1:6" x14ac:dyDescent="0.3">
      <c r="A14" s="84">
        <v>45810</v>
      </c>
      <c r="B14" s="85" t="s">
        <v>27</v>
      </c>
      <c r="C14" s="85" t="s">
        <v>222</v>
      </c>
      <c r="D14" s="86">
        <v>-4394.3599999999997</v>
      </c>
      <c r="E14" s="35" t="s">
        <v>7</v>
      </c>
      <c r="F14" s="88" t="s">
        <v>223</v>
      </c>
    </row>
    <row r="15" spans="1:6" x14ac:dyDescent="0.3">
      <c r="A15" s="84">
        <v>45810</v>
      </c>
      <c r="B15" s="85" t="s">
        <v>27</v>
      </c>
      <c r="C15" s="85" t="s">
        <v>222</v>
      </c>
      <c r="D15" s="86">
        <v>-4873.5200000000004</v>
      </c>
      <c r="E15" s="35" t="s">
        <v>7</v>
      </c>
      <c r="F15" s="88" t="s">
        <v>223</v>
      </c>
    </row>
    <row r="16" spans="1:6" x14ac:dyDescent="0.3">
      <c r="A16" s="84">
        <v>45810</v>
      </c>
      <c r="B16" s="85" t="s">
        <v>27</v>
      </c>
      <c r="C16" s="85" t="s">
        <v>224</v>
      </c>
      <c r="D16" s="86">
        <v>-135</v>
      </c>
      <c r="E16" s="35" t="s">
        <v>7</v>
      </c>
      <c r="F16" s="88" t="s">
        <v>225</v>
      </c>
    </row>
    <row r="17" spans="1:6" x14ac:dyDescent="0.3">
      <c r="A17" s="32">
        <v>45810</v>
      </c>
      <c r="B17" s="47" t="s">
        <v>23</v>
      </c>
      <c r="C17" s="47" t="s">
        <v>24</v>
      </c>
      <c r="D17" s="58">
        <v>-3000</v>
      </c>
      <c r="E17" s="35" t="s">
        <v>7</v>
      </c>
      <c r="F17" s="36" t="s">
        <v>25</v>
      </c>
    </row>
    <row r="18" spans="1:6" x14ac:dyDescent="0.3">
      <c r="A18" s="84">
        <v>45811</v>
      </c>
      <c r="B18" s="85" t="s">
        <v>27</v>
      </c>
      <c r="C18" s="85" t="s">
        <v>222</v>
      </c>
      <c r="D18" s="86">
        <v>-421.3</v>
      </c>
      <c r="E18" s="87" t="s">
        <v>7</v>
      </c>
      <c r="F18" s="88" t="s">
        <v>223</v>
      </c>
    </row>
    <row r="19" spans="1:6" x14ac:dyDescent="0.3">
      <c r="A19" s="84">
        <v>45811</v>
      </c>
      <c r="B19" s="85" t="s">
        <v>27</v>
      </c>
      <c r="C19" s="85" t="s">
        <v>226</v>
      </c>
      <c r="D19" s="86">
        <v>-2796.18</v>
      </c>
      <c r="E19" s="87" t="s">
        <v>7</v>
      </c>
      <c r="F19" s="88" t="s">
        <v>223</v>
      </c>
    </row>
    <row r="20" spans="1:6" x14ac:dyDescent="0.3">
      <c r="A20" s="84">
        <v>45811</v>
      </c>
      <c r="B20" s="85" t="s">
        <v>116</v>
      </c>
      <c r="C20" s="85" t="s">
        <v>227</v>
      </c>
      <c r="D20" s="86">
        <v>-1421.64</v>
      </c>
      <c r="E20" s="87" t="s">
        <v>7</v>
      </c>
      <c r="F20" s="88" t="s">
        <v>223</v>
      </c>
    </row>
    <row r="21" spans="1:6" x14ac:dyDescent="0.3">
      <c r="A21" s="104">
        <v>45812</v>
      </c>
      <c r="B21" s="105" t="s">
        <v>5</v>
      </c>
      <c r="C21" s="106" t="s">
        <v>197</v>
      </c>
      <c r="D21" s="107">
        <v>-3809.98</v>
      </c>
      <c r="E21" s="87" t="s">
        <v>7</v>
      </c>
      <c r="F21" s="108" t="s">
        <v>26</v>
      </c>
    </row>
    <row r="22" spans="1:6" s="93" customFormat="1" x14ac:dyDescent="0.3">
      <c r="A22" s="84">
        <v>45812</v>
      </c>
      <c r="B22" s="85" t="s">
        <v>32</v>
      </c>
      <c r="C22" s="85" t="s">
        <v>228</v>
      </c>
      <c r="D22" s="86">
        <v>-120</v>
      </c>
      <c r="E22" s="87" t="s">
        <v>7</v>
      </c>
      <c r="F22" s="88" t="s">
        <v>45</v>
      </c>
    </row>
    <row r="23" spans="1:6" s="93" customFormat="1" x14ac:dyDescent="0.3">
      <c r="A23" s="84">
        <v>45812</v>
      </c>
      <c r="B23" s="85" t="s">
        <v>116</v>
      </c>
      <c r="C23" s="85" t="s">
        <v>229</v>
      </c>
      <c r="D23" s="113">
        <v>-1074.32</v>
      </c>
      <c r="E23" s="87" t="s">
        <v>7</v>
      </c>
      <c r="F23" s="88" t="s">
        <v>223</v>
      </c>
    </row>
    <row r="24" spans="1:6" s="93" customFormat="1" x14ac:dyDescent="0.3">
      <c r="A24" s="84">
        <v>45812</v>
      </c>
      <c r="B24" s="85" t="s">
        <v>116</v>
      </c>
      <c r="C24" s="85" t="s">
        <v>229</v>
      </c>
      <c r="D24" s="86">
        <v>-2300.6999999999998</v>
      </c>
      <c r="E24" s="87" t="s">
        <v>7</v>
      </c>
      <c r="F24" s="88" t="s">
        <v>223</v>
      </c>
    </row>
    <row r="25" spans="1:6" x14ac:dyDescent="0.3">
      <c r="A25" s="32">
        <v>45812</v>
      </c>
      <c r="B25" s="42" t="s">
        <v>5</v>
      </c>
      <c r="C25" s="33" t="s">
        <v>29</v>
      </c>
      <c r="D25" s="111">
        <v>-349</v>
      </c>
      <c r="E25" s="35" t="s">
        <v>7</v>
      </c>
      <c r="F25" s="43" t="s">
        <v>30</v>
      </c>
    </row>
    <row r="26" spans="1:6" x14ac:dyDescent="0.3">
      <c r="A26" s="32">
        <v>45812</v>
      </c>
      <c r="B26" s="42" t="s">
        <v>31</v>
      </c>
      <c r="C26" s="33" t="s">
        <v>29</v>
      </c>
      <c r="D26" s="111">
        <v>-349</v>
      </c>
      <c r="E26" s="35" t="s">
        <v>7</v>
      </c>
      <c r="F26" s="43" t="s">
        <v>30</v>
      </c>
    </row>
    <row r="27" spans="1:6" x14ac:dyDescent="0.3">
      <c r="A27" s="32">
        <v>45812</v>
      </c>
      <c r="B27" s="42" t="s">
        <v>20</v>
      </c>
      <c r="C27" s="33" t="s">
        <v>29</v>
      </c>
      <c r="D27" s="111">
        <v>-349</v>
      </c>
      <c r="E27" s="35" t="s">
        <v>7</v>
      </c>
      <c r="F27" s="43" t="s">
        <v>30</v>
      </c>
    </row>
    <row r="28" spans="1:6" x14ac:dyDescent="0.3">
      <c r="A28" s="32">
        <v>45812</v>
      </c>
      <c r="B28" s="40" t="s">
        <v>27</v>
      </c>
      <c r="C28" s="33" t="s">
        <v>29</v>
      </c>
      <c r="D28" s="111">
        <v>-349</v>
      </c>
      <c r="E28" s="35" t="s">
        <v>7</v>
      </c>
      <c r="F28" s="43" t="s">
        <v>30</v>
      </c>
    </row>
    <row r="29" spans="1:6" x14ac:dyDescent="0.3">
      <c r="A29" s="32">
        <v>45812</v>
      </c>
      <c r="B29" s="42" t="s">
        <v>32</v>
      </c>
      <c r="C29" s="33" t="s">
        <v>29</v>
      </c>
      <c r="D29" s="111">
        <v>-349</v>
      </c>
      <c r="E29" s="35" t="s">
        <v>7</v>
      </c>
      <c r="F29" s="43" t="s">
        <v>30</v>
      </c>
    </row>
    <row r="30" spans="1:6" x14ac:dyDescent="0.3">
      <c r="A30" s="32">
        <v>45812</v>
      </c>
      <c r="B30" s="42" t="s">
        <v>15</v>
      </c>
      <c r="C30" s="33" t="s">
        <v>29</v>
      </c>
      <c r="D30" s="111">
        <v>-349</v>
      </c>
      <c r="E30" s="35" t="s">
        <v>7</v>
      </c>
      <c r="F30" s="43" t="s">
        <v>30</v>
      </c>
    </row>
    <row r="31" spans="1:6" x14ac:dyDescent="0.3">
      <c r="A31" s="32">
        <v>45812</v>
      </c>
      <c r="B31" s="42" t="s">
        <v>33</v>
      </c>
      <c r="C31" s="33" t="s">
        <v>29</v>
      </c>
      <c r="D31" s="111">
        <v>-349</v>
      </c>
      <c r="E31" s="35" t="s">
        <v>7</v>
      </c>
      <c r="F31" s="43" t="s">
        <v>30</v>
      </c>
    </row>
    <row r="32" spans="1:6" x14ac:dyDescent="0.3">
      <c r="A32" s="32">
        <v>45812</v>
      </c>
      <c r="B32" s="42" t="s">
        <v>34</v>
      </c>
      <c r="C32" s="33" t="s">
        <v>29</v>
      </c>
      <c r="D32" s="111">
        <v>-349</v>
      </c>
      <c r="E32" s="35" t="s">
        <v>7</v>
      </c>
      <c r="F32" s="43" t="s">
        <v>30</v>
      </c>
    </row>
    <row r="33" spans="1:6" x14ac:dyDescent="0.3">
      <c r="A33" s="32">
        <v>45812</v>
      </c>
      <c r="B33" s="42" t="s">
        <v>35</v>
      </c>
      <c r="C33" s="33" t="s">
        <v>29</v>
      </c>
      <c r="D33" s="111">
        <v>-349</v>
      </c>
      <c r="E33" s="35" t="s">
        <v>7</v>
      </c>
      <c r="F33" s="43" t="s">
        <v>30</v>
      </c>
    </row>
    <row r="34" spans="1:6" x14ac:dyDescent="0.3">
      <c r="A34" s="32">
        <v>45813</v>
      </c>
      <c r="B34" s="40" t="s">
        <v>191</v>
      </c>
      <c r="C34" s="33" t="s">
        <v>192</v>
      </c>
      <c r="D34" s="58">
        <v>-11000</v>
      </c>
      <c r="E34" s="35" t="s">
        <v>7</v>
      </c>
      <c r="F34" s="36" t="s">
        <v>14</v>
      </c>
    </row>
    <row r="35" spans="1:6" x14ac:dyDescent="0.3">
      <c r="A35" s="32">
        <v>45814</v>
      </c>
      <c r="B35" s="47" t="s">
        <v>15</v>
      </c>
      <c r="C35" s="47" t="s">
        <v>40</v>
      </c>
      <c r="D35" s="58">
        <v>-760</v>
      </c>
      <c r="E35" s="35" t="s">
        <v>7</v>
      </c>
      <c r="F35" s="48" t="s">
        <v>41</v>
      </c>
    </row>
    <row r="36" spans="1:6" x14ac:dyDescent="0.3">
      <c r="A36" s="32">
        <v>45814</v>
      </c>
      <c r="B36" s="42" t="s">
        <v>5</v>
      </c>
      <c r="C36" s="33" t="s">
        <v>218</v>
      </c>
      <c r="D36" s="58">
        <v>-430000</v>
      </c>
      <c r="E36" s="35" t="s">
        <v>7</v>
      </c>
      <c r="F36" s="36" t="s">
        <v>42</v>
      </c>
    </row>
    <row r="37" spans="1:6" x14ac:dyDescent="0.3">
      <c r="A37" s="32">
        <v>45814</v>
      </c>
      <c r="B37" s="42" t="s">
        <v>5</v>
      </c>
      <c r="C37" s="33" t="s">
        <v>43</v>
      </c>
      <c r="D37" s="58">
        <v>-500</v>
      </c>
      <c r="E37" s="35" t="s">
        <v>7</v>
      </c>
      <c r="F37" s="36" t="s">
        <v>42</v>
      </c>
    </row>
    <row r="38" spans="1:6" ht="15.6" customHeight="1" x14ac:dyDescent="0.3">
      <c r="A38" s="32">
        <v>45814</v>
      </c>
      <c r="B38" s="42" t="s">
        <v>5</v>
      </c>
      <c r="C38" s="33" t="s">
        <v>219</v>
      </c>
      <c r="D38" s="58">
        <v>-9000</v>
      </c>
      <c r="E38" s="35" t="s">
        <v>7</v>
      </c>
      <c r="F38" s="36" t="s">
        <v>42</v>
      </c>
    </row>
    <row r="39" spans="1:6" s="64" customFormat="1" x14ac:dyDescent="0.3">
      <c r="A39" s="84">
        <v>45814</v>
      </c>
      <c r="B39" s="85" t="s">
        <v>27</v>
      </c>
      <c r="C39" s="85" t="s">
        <v>222</v>
      </c>
      <c r="D39" s="86">
        <v>-1459.45</v>
      </c>
      <c r="E39" s="35" t="s">
        <v>7</v>
      </c>
      <c r="F39" s="88" t="s">
        <v>223</v>
      </c>
    </row>
    <row r="40" spans="1:6" s="76" customFormat="1" x14ac:dyDescent="0.3">
      <c r="A40" s="32">
        <v>45824</v>
      </c>
      <c r="B40" s="72" t="s">
        <v>27</v>
      </c>
      <c r="C40" s="72" t="s">
        <v>230</v>
      </c>
      <c r="D40" s="73">
        <v>-5523.75</v>
      </c>
      <c r="E40" s="35" t="s">
        <v>7</v>
      </c>
      <c r="F40" s="74" t="s">
        <v>193</v>
      </c>
    </row>
    <row r="41" spans="1:6" x14ac:dyDescent="0.3">
      <c r="A41" s="32">
        <v>45814</v>
      </c>
      <c r="B41" s="47" t="s">
        <v>12</v>
      </c>
      <c r="C41" s="33" t="s">
        <v>44</v>
      </c>
      <c r="D41" s="58">
        <v>-5200</v>
      </c>
      <c r="E41" s="35" t="s">
        <v>7</v>
      </c>
      <c r="F41" s="36" t="s">
        <v>45</v>
      </c>
    </row>
    <row r="42" spans="1:6" x14ac:dyDescent="0.3">
      <c r="A42" s="32">
        <v>45821</v>
      </c>
      <c r="B42" s="44" t="s">
        <v>20</v>
      </c>
      <c r="C42" s="50" t="s">
        <v>21</v>
      </c>
      <c r="D42" s="58">
        <v>-15440.25</v>
      </c>
      <c r="E42" s="46" t="s">
        <v>7</v>
      </c>
      <c r="F42" s="34" t="s">
        <v>22</v>
      </c>
    </row>
    <row r="43" spans="1:6" x14ac:dyDescent="0.3">
      <c r="A43" s="84">
        <v>45817</v>
      </c>
      <c r="B43" s="85" t="s">
        <v>117</v>
      </c>
      <c r="C43" s="85" t="s">
        <v>234</v>
      </c>
      <c r="D43" s="86">
        <v>-2000</v>
      </c>
      <c r="E43" s="35" t="s">
        <v>7</v>
      </c>
      <c r="F43" s="88" t="s">
        <v>39</v>
      </c>
    </row>
    <row r="44" spans="1:6" x14ac:dyDescent="0.3">
      <c r="A44" s="84">
        <v>45817</v>
      </c>
      <c r="B44" s="85" t="s">
        <v>33</v>
      </c>
      <c r="C44" s="85" t="s">
        <v>232</v>
      </c>
      <c r="D44" s="86">
        <v>-202.11</v>
      </c>
      <c r="E44" s="35" t="s">
        <v>7</v>
      </c>
      <c r="F44" s="88" t="s">
        <v>233</v>
      </c>
    </row>
    <row r="45" spans="1:6" x14ac:dyDescent="0.3">
      <c r="A45" s="84">
        <v>45817</v>
      </c>
      <c r="B45" s="85" t="s">
        <v>116</v>
      </c>
      <c r="C45" s="85" t="s">
        <v>229</v>
      </c>
      <c r="D45" s="86">
        <v>-762.57</v>
      </c>
      <c r="E45" s="35" t="s">
        <v>7</v>
      </c>
      <c r="F45" s="88" t="s">
        <v>223</v>
      </c>
    </row>
    <row r="46" spans="1:6" x14ac:dyDescent="0.3">
      <c r="A46" s="32">
        <v>45818</v>
      </c>
      <c r="B46" s="41" t="s">
        <v>12</v>
      </c>
      <c r="C46" s="33" t="s">
        <v>46</v>
      </c>
      <c r="D46" s="58">
        <v>-9650</v>
      </c>
      <c r="E46" s="35" t="s">
        <v>7</v>
      </c>
      <c r="F46" s="36" t="s">
        <v>47</v>
      </c>
    </row>
    <row r="47" spans="1:6" x14ac:dyDescent="0.3">
      <c r="A47" s="32">
        <v>45818</v>
      </c>
      <c r="B47" s="41" t="s">
        <v>5</v>
      </c>
      <c r="C47" s="33" t="s">
        <v>50</v>
      </c>
      <c r="D47" s="58">
        <v>-210</v>
      </c>
      <c r="E47" s="35" t="s">
        <v>7</v>
      </c>
      <c r="F47" s="36" t="s">
        <v>51</v>
      </c>
    </row>
    <row r="48" spans="1:6" x14ac:dyDescent="0.3">
      <c r="A48" s="32">
        <v>45818</v>
      </c>
      <c r="B48" s="41" t="s">
        <v>12</v>
      </c>
      <c r="C48" s="33" t="s">
        <v>52</v>
      </c>
      <c r="D48" s="58">
        <v>-500</v>
      </c>
      <c r="E48" s="35" t="s">
        <v>7</v>
      </c>
      <c r="F48" s="36" t="s">
        <v>53</v>
      </c>
    </row>
    <row r="49" spans="1:6" x14ac:dyDescent="0.3">
      <c r="A49" s="32">
        <v>45818</v>
      </c>
      <c r="B49" s="41" t="s">
        <v>20</v>
      </c>
      <c r="C49" s="33" t="s">
        <v>54</v>
      </c>
      <c r="D49" s="58">
        <v>-13700</v>
      </c>
      <c r="E49" s="35" t="s">
        <v>7</v>
      </c>
      <c r="F49" s="36" t="s">
        <v>55</v>
      </c>
    </row>
    <row r="50" spans="1:6" x14ac:dyDescent="0.3">
      <c r="A50" s="32">
        <v>45818</v>
      </c>
      <c r="B50" s="41" t="s">
        <v>12</v>
      </c>
      <c r="C50" s="33" t="s">
        <v>56</v>
      </c>
      <c r="D50" s="58">
        <v>-3315</v>
      </c>
      <c r="E50" s="35" t="s">
        <v>7</v>
      </c>
      <c r="F50" s="36" t="s">
        <v>53</v>
      </c>
    </row>
    <row r="51" spans="1:6" x14ac:dyDescent="0.3">
      <c r="A51" s="32">
        <v>45818</v>
      </c>
      <c r="B51" s="41" t="s">
        <v>15</v>
      </c>
      <c r="C51" s="33" t="s">
        <v>57</v>
      </c>
      <c r="D51" s="58">
        <v>-3000</v>
      </c>
      <c r="E51" s="35" t="s">
        <v>7</v>
      </c>
      <c r="F51" s="36" t="s">
        <v>58</v>
      </c>
    </row>
    <row r="52" spans="1:6" x14ac:dyDescent="0.3">
      <c r="A52" s="32">
        <v>45818</v>
      </c>
      <c r="B52" s="41" t="s">
        <v>15</v>
      </c>
      <c r="C52" s="33" t="s">
        <v>59</v>
      </c>
      <c r="D52" s="58">
        <v>-9000</v>
      </c>
      <c r="E52" s="35" t="s">
        <v>7</v>
      </c>
      <c r="F52" s="36" t="s">
        <v>58</v>
      </c>
    </row>
    <row r="53" spans="1:6" x14ac:dyDescent="0.3">
      <c r="A53" s="32">
        <v>45818</v>
      </c>
      <c r="B53" s="49" t="s">
        <v>5</v>
      </c>
      <c r="C53" s="49" t="s">
        <v>60</v>
      </c>
      <c r="D53" s="58">
        <v>-469.57</v>
      </c>
      <c r="E53" s="35" t="s">
        <v>7</v>
      </c>
      <c r="F53" s="36" t="s">
        <v>61</v>
      </c>
    </row>
    <row r="54" spans="1:6" x14ac:dyDescent="0.3">
      <c r="A54" s="32">
        <v>45818</v>
      </c>
      <c r="B54" s="41" t="s">
        <v>27</v>
      </c>
      <c r="C54" s="33" t="s">
        <v>62</v>
      </c>
      <c r="D54" s="58">
        <v>-7673.5</v>
      </c>
      <c r="E54" s="36" t="s">
        <v>7</v>
      </c>
      <c r="F54" s="36" t="s">
        <v>63</v>
      </c>
    </row>
    <row r="55" spans="1:6" x14ac:dyDescent="0.3">
      <c r="A55" s="32">
        <v>45818</v>
      </c>
      <c r="B55" s="41" t="s">
        <v>5</v>
      </c>
      <c r="C55" s="33" t="s">
        <v>64</v>
      </c>
      <c r="D55" s="58">
        <v>-9500</v>
      </c>
      <c r="E55" s="35" t="s">
        <v>7</v>
      </c>
      <c r="F55" s="36" t="s">
        <v>65</v>
      </c>
    </row>
    <row r="56" spans="1:6" x14ac:dyDescent="0.3">
      <c r="A56" s="32">
        <v>45818</v>
      </c>
      <c r="B56" s="52" t="s">
        <v>66</v>
      </c>
      <c r="C56" s="33" t="s">
        <v>67</v>
      </c>
      <c r="D56" s="58">
        <v>-432</v>
      </c>
      <c r="E56" s="35" t="s">
        <v>7</v>
      </c>
      <c r="F56" s="36" t="s">
        <v>41</v>
      </c>
    </row>
    <row r="57" spans="1:6" x14ac:dyDescent="0.3">
      <c r="A57" s="32">
        <v>45818</v>
      </c>
      <c r="B57" s="52" t="s">
        <v>66</v>
      </c>
      <c r="C57" s="33" t="s">
        <v>68</v>
      </c>
      <c r="D57" s="58">
        <v>-432</v>
      </c>
      <c r="E57" s="35" t="s">
        <v>7</v>
      </c>
      <c r="F57" s="36" t="s">
        <v>41</v>
      </c>
    </row>
    <row r="58" spans="1:6" x14ac:dyDescent="0.3">
      <c r="A58" s="32">
        <v>45818</v>
      </c>
      <c r="B58" s="41" t="s">
        <v>5</v>
      </c>
      <c r="C58" s="33" t="s">
        <v>69</v>
      </c>
      <c r="D58" s="58">
        <v>-1122.44</v>
      </c>
      <c r="E58" s="35" t="s">
        <v>7</v>
      </c>
      <c r="F58" s="36" t="s">
        <v>14</v>
      </c>
    </row>
    <row r="59" spans="1:6" x14ac:dyDescent="0.3">
      <c r="A59" s="32">
        <v>45818</v>
      </c>
      <c r="B59" s="41" t="s">
        <v>27</v>
      </c>
      <c r="C59" s="33" t="s">
        <v>69</v>
      </c>
      <c r="D59" s="58">
        <v>-1648.37</v>
      </c>
      <c r="E59" s="35" t="s">
        <v>7</v>
      </c>
      <c r="F59" s="36" t="s">
        <v>14</v>
      </c>
    </row>
    <row r="60" spans="1:6" x14ac:dyDescent="0.3">
      <c r="A60" s="32">
        <v>45818</v>
      </c>
      <c r="B60" s="49" t="s">
        <v>33</v>
      </c>
      <c r="C60" s="49" t="s">
        <v>70</v>
      </c>
      <c r="D60" s="58">
        <v>-2033.4</v>
      </c>
      <c r="E60" s="35" t="s">
        <v>7</v>
      </c>
      <c r="F60" s="43" t="s">
        <v>38</v>
      </c>
    </row>
    <row r="61" spans="1:6" ht="22.8" customHeight="1" x14ac:dyDescent="0.3">
      <c r="A61" s="32">
        <v>45818</v>
      </c>
      <c r="B61" s="115" t="s">
        <v>237</v>
      </c>
      <c r="C61" s="50" t="s">
        <v>72</v>
      </c>
      <c r="D61" s="58">
        <v>-553.25</v>
      </c>
      <c r="E61" s="35" t="s">
        <v>7</v>
      </c>
      <c r="F61" s="43" t="s">
        <v>38</v>
      </c>
    </row>
    <row r="62" spans="1:6" s="64" customFormat="1" x14ac:dyDescent="0.3">
      <c r="A62" s="32">
        <v>45818</v>
      </c>
      <c r="B62" s="72" t="s">
        <v>5</v>
      </c>
      <c r="C62" s="72" t="s">
        <v>185</v>
      </c>
      <c r="D62" s="73">
        <v>-3285.72</v>
      </c>
      <c r="E62" s="35" t="s">
        <v>7</v>
      </c>
      <c r="F62" s="74" t="s">
        <v>39</v>
      </c>
    </row>
    <row r="63" spans="1:6" s="121" customFormat="1" x14ac:dyDescent="0.3">
      <c r="A63" s="116">
        <v>45818</v>
      </c>
      <c r="B63" s="117" t="s">
        <v>27</v>
      </c>
      <c r="C63" s="117" t="s">
        <v>186</v>
      </c>
      <c r="D63" s="118">
        <v>-2400</v>
      </c>
      <c r="E63" s="119" t="s">
        <v>7</v>
      </c>
      <c r="F63" s="120" t="s">
        <v>39</v>
      </c>
    </row>
    <row r="64" spans="1:6" s="121" customFormat="1" x14ac:dyDescent="0.3">
      <c r="A64" s="123">
        <v>45818</v>
      </c>
      <c r="B64" s="124" t="s">
        <v>15</v>
      </c>
      <c r="C64" s="124" t="s">
        <v>187</v>
      </c>
      <c r="D64" s="125">
        <v>-3000</v>
      </c>
      <c r="E64" s="126" t="s">
        <v>7</v>
      </c>
      <c r="F64" s="127" t="s">
        <v>39</v>
      </c>
    </row>
    <row r="65" spans="1:6" s="64" customFormat="1" x14ac:dyDescent="0.3">
      <c r="A65" s="32">
        <v>45818</v>
      </c>
      <c r="B65" s="100" t="s">
        <v>117</v>
      </c>
      <c r="C65" s="100" t="s">
        <v>238</v>
      </c>
      <c r="D65" s="101">
        <v>-2000</v>
      </c>
      <c r="E65" s="87" t="s">
        <v>7</v>
      </c>
      <c r="F65" s="92" t="s">
        <v>39</v>
      </c>
    </row>
    <row r="66" spans="1:6" s="64" customFormat="1" x14ac:dyDescent="0.3">
      <c r="A66" s="32">
        <v>45818</v>
      </c>
      <c r="B66" s="100" t="s">
        <v>15</v>
      </c>
      <c r="C66" s="100" t="s">
        <v>239</v>
      </c>
      <c r="D66" s="101">
        <v>-2333</v>
      </c>
      <c r="E66" s="87" t="s">
        <v>7</v>
      </c>
      <c r="F66" s="92" t="s">
        <v>39</v>
      </c>
    </row>
    <row r="67" spans="1:6" s="64" customFormat="1" x14ac:dyDescent="0.3">
      <c r="A67" s="32">
        <v>45818</v>
      </c>
      <c r="B67" s="100" t="s">
        <v>15</v>
      </c>
      <c r="C67" s="100" t="s">
        <v>240</v>
      </c>
      <c r="D67" s="101">
        <v>-1000</v>
      </c>
      <c r="E67" s="87" t="s">
        <v>7</v>
      </c>
      <c r="F67" s="92" t="s">
        <v>39</v>
      </c>
    </row>
    <row r="68" spans="1:6" s="64" customFormat="1" x14ac:dyDescent="0.3">
      <c r="A68" s="32">
        <v>45818</v>
      </c>
      <c r="B68" s="72" t="s">
        <v>5</v>
      </c>
      <c r="C68" s="72" t="s">
        <v>195</v>
      </c>
      <c r="D68" s="73">
        <v>-545.78</v>
      </c>
      <c r="E68" s="35" t="s">
        <v>7</v>
      </c>
      <c r="F68" s="74" t="s">
        <v>61</v>
      </c>
    </row>
    <row r="69" spans="1:6" s="76" customFormat="1" x14ac:dyDescent="0.3">
      <c r="A69" s="32">
        <v>45818</v>
      </c>
      <c r="B69" s="72" t="s">
        <v>116</v>
      </c>
      <c r="C69" s="72" t="s">
        <v>196</v>
      </c>
      <c r="D69" s="73">
        <v>-4347.01</v>
      </c>
      <c r="E69" s="35" t="s">
        <v>7</v>
      </c>
      <c r="F69" s="74" t="s">
        <v>36</v>
      </c>
    </row>
    <row r="70" spans="1:6" s="64" customFormat="1" x14ac:dyDescent="0.3">
      <c r="A70" s="32">
        <v>45818</v>
      </c>
      <c r="B70" s="72" t="s">
        <v>116</v>
      </c>
      <c r="C70" s="72" t="s">
        <v>196</v>
      </c>
      <c r="D70" s="73">
        <v>-2173.96</v>
      </c>
      <c r="E70" s="35" t="s">
        <v>7</v>
      </c>
      <c r="F70" s="74" t="s">
        <v>36</v>
      </c>
    </row>
    <row r="71" spans="1:6" s="64" customFormat="1" x14ac:dyDescent="0.3">
      <c r="A71" s="32">
        <v>45818</v>
      </c>
      <c r="B71" s="72" t="s">
        <v>5</v>
      </c>
      <c r="C71" s="72" t="s">
        <v>188</v>
      </c>
      <c r="D71" s="73">
        <v>-2000</v>
      </c>
      <c r="E71" s="35" t="s">
        <v>7</v>
      </c>
      <c r="F71" s="74" t="s">
        <v>39</v>
      </c>
    </row>
    <row r="72" spans="1:6" s="64" customFormat="1" x14ac:dyDescent="0.3">
      <c r="A72" s="84">
        <v>45820</v>
      </c>
      <c r="B72" s="85" t="s">
        <v>27</v>
      </c>
      <c r="C72" s="85" t="s">
        <v>241</v>
      </c>
      <c r="D72" s="86">
        <v>-257.07</v>
      </c>
      <c r="E72" s="75" t="s">
        <v>7</v>
      </c>
      <c r="F72" s="88" t="s">
        <v>242</v>
      </c>
    </row>
    <row r="73" spans="1:6" s="64" customFormat="1" x14ac:dyDescent="0.3">
      <c r="A73" s="84">
        <v>45820</v>
      </c>
      <c r="B73" s="85" t="s">
        <v>20</v>
      </c>
      <c r="C73" s="85" t="s">
        <v>221</v>
      </c>
      <c r="D73" s="86">
        <v>-129.13</v>
      </c>
      <c r="E73" s="75" t="s">
        <v>7</v>
      </c>
      <c r="F73" s="88" t="s">
        <v>36</v>
      </c>
    </row>
    <row r="74" spans="1:6" s="64" customFormat="1" x14ac:dyDescent="0.3">
      <c r="A74" s="84">
        <v>45820</v>
      </c>
      <c r="B74" s="85" t="s">
        <v>20</v>
      </c>
      <c r="C74" s="85" t="s">
        <v>221</v>
      </c>
      <c r="D74" s="86">
        <v>-129.13</v>
      </c>
      <c r="E74" s="75" t="s">
        <v>7</v>
      </c>
      <c r="F74" s="88" t="s">
        <v>36</v>
      </c>
    </row>
    <row r="75" spans="1:6" s="64" customFormat="1" x14ac:dyDescent="0.3">
      <c r="A75" s="84">
        <v>45820</v>
      </c>
      <c r="B75" s="85" t="s">
        <v>20</v>
      </c>
      <c r="C75" s="85" t="s">
        <v>221</v>
      </c>
      <c r="D75" s="86">
        <v>-181.18</v>
      </c>
      <c r="E75" s="75" t="s">
        <v>7</v>
      </c>
      <c r="F75" s="88" t="s">
        <v>36</v>
      </c>
    </row>
    <row r="76" spans="1:6" s="133" customFormat="1" x14ac:dyDescent="0.3">
      <c r="A76" s="130">
        <v>45820</v>
      </c>
      <c r="B76" s="117" t="s">
        <v>27</v>
      </c>
      <c r="C76" s="117" t="s">
        <v>189</v>
      </c>
      <c r="D76" s="118">
        <v>-1602.31</v>
      </c>
      <c r="E76" s="131" t="s">
        <v>7</v>
      </c>
      <c r="F76" s="132" t="s">
        <v>39</v>
      </c>
    </row>
    <row r="77" spans="1:6" s="133" customFormat="1" x14ac:dyDescent="0.3">
      <c r="A77" s="84">
        <v>45821</v>
      </c>
      <c r="B77" s="85" t="s">
        <v>5</v>
      </c>
      <c r="C77" s="85" t="s">
        <v>243</v>
      </c>
      <c r="D77" s="86">
        <v>-1000</v>
      </c>
      <c r="E77" s="137" t="s">
        <v>7</v>
      </c>
      <c r="F77" s="88" t="s">
        <v>39</v>
      </c>
    </row>
    <row r="78" spans="1:6" s="133" customFormat="1" x14ac:dyDescent="0.3">
      <c r="A78" s="84">
        <v>45821</v>
      </c>
      <c r="B78" s="85" t="s">
        <v>117</v>
      </c>
      <c r="C78" s="85" t="s">
        <v>231</v>
      </c>
      <c r="D78" s="86">
        <v>-2000</v>
      </c>
      <c r="E78" s="137" t="s">
        <v>7</v>
      </c>
      <c r="F78" s="88" t="s">
        <v>39</v>
      </c>
    </row>
    <row r="79" spans="1:6" s="133" customFormat="1" x14ac:dyDescent="0.3">
      <c r="A79" s="84">
        <v>45821</v>
      </c>
      <c r="B79" s="85" t="s">
        <v>116</v>
      </c>
      <c r="C79" s="85" t="s">
        <v>244</v>
      </c>
      <c r="D79" s="86">
        <v>-4375.75</v>
      </c>
      <c r="E79" s="137" t="s">
        <v>7</v>
      </c>
      <c r="F79" s="88" t="s">
        <v>36</v>
      </c>
    </row>
    <row r="80" spans="1:6" s="133" customFormat="1" ht="15.6" customHeight="1" x14ac:dyDescent="0.3">
      <c r="A80" s="84">
        <v>45821</v>
      </c>
      <c r="B80" s="85" t="s">
        <v>27</v>
      </c>
      <c r="C80" s="85" t="s">
        <v>222</v>
      </c>
      <c r="D80" s="86">
        <v>-166.1</v>
      </c>
      <c r="E80" s="137" t="s">
        <v>7</v>
      </c>
      <c r="F80" s="88" t="s">
        <v>223</v>
      </c>
    </row>
    <row r="81" spans="1:6" s="133" customFormat="1" x14ac:dyDescent="0.3">
      <c r="A81" s="84">
        <v>45821</v>
      </c>
      <c r="B81" s="85" t="s">
        <v>5</v>
      </c>
      <c r="C81" s="85" t="s">
        <v>245</v>
      </c>
      <c r="D81" s="86">
        <v>-5890</v>
      </c>
      <c r="E81" s="137" t="s">
        <v>7</v>
      </c>
      <c r="F81" s="88" t="s">
        <v>246</v>
      </c>
    </row>
    <row r="82" spans="1:6" s="133" customFormat="1" ht="15.6" customHeight="1" x14ac:dyDescent="0.3">
      <c r="A82" s="84">
        <v>45821</v>
      </c>
      <c r="B82" s="85" t="s">
        <v>5</v>
      </c>
      <c r="C82" s="85" t="s">
        <v>247</v>
      </c>
      <c r="D82" s="86">
        <v>-1890</v>
      </c>
      <c r="E82" s="137" t="s">
        <v>7</v>
      </c>
      <c r="F82" s="88" t="s">
        <v>246</v>
      </c>
    </row>
    <row r="83" spans="1:6" s="133" customFormat="1" x14ac:dyDescent="0.3">
      <c r="A83" s="84">
        <v>45821</v>
      </c>
      <c r="B83" s="85" t="s">
        <v>5</v>
      </c>
      <c r="C83" s="85" t="s">
        <v>248</v>
      </c>
      <c r="D83" s="86">
        <v>-4334</v>
      </c>
      <c r="E83" s="137" t="s">
        <v>7</v>
      </c>
      <c r="F83" s="88" t="s">
        <v>249</v>
      </c>
    </row>
    <row r="84" spans="1:6" s="121" customFormat="1" x14ac:dyDescent="0.3">
      <c r="A84" s="134">
        <v>45821</v>
      </c>
      <c r="B84" s="117" t="s">
        <v>5</v>
      </c>
      <c r="C84" s="138" t="s">
        <v>190</v>
      </c>
      <c r="D84" s="135">
        <v>-2098.17</v>
      </c>
      <c r="E84" s="122" t="s">
        <v>7</v>
      </c>
      <c r="F84" s="136" t="s">
        <v>39</v>
      </c>
    </row>
    <row r="85" spans="1:6" x14ac:dyDescent="0.3">
      <c r="A85" s="32">
        <v>45824</v>
      </c>
      <c r="B85" s="41" t="s">
        <v>5</v>
      </c>
      <c r="C85" s="33" t="s">
        <v>85</v>
      </c>
      <c r="D85" s="58">
        <v>-100000</v>
      </c>
      <c r="E85" s="36" t="s">
        <v>7</v>
      </c>
      <c r="F85" s="36" t="s">
        <v>42</v>
      </c>
    </row>
    <row r="86" spans="1:6" x14ac:dyDescent="0.3">
      <c r="A86" s="32">
        <v>45824</v>
      </c>
      <c r="B86" s="41" t="s">
        <v>5</v>
      </c>
      <c r="C86" s="33" t="s">
        <v>73</v>
      </c>
      <c r="D86" s="58">
        <v>-90000</v>
      </c>
      <c r="E86" s="35" t="s">
        <v>7</v>
      </c>
      <c r="F86" s="36" t="s">
        <v>22</v>
      </c>
    </row>
    <row r="87" spans="1:6" x14ac:dyDescent="0.3">
      <c r="A87" s="32">
        <v>45824</v>
      </c>
      <c r="B87" s="41" t="s">
        <v>74</v>
      </c>
      <c r="C87" s="33" t="s">
        <v>75</v>
      </c>
      <c r="D87" s="58">
        <v>-8000</v>
      </c>
      <c r="E87" s="35" t="s">
        <v>7</v>
      </c>
      <c r="F87" s="36" t="s">
        <v>37</v>
      </c>
    </row>
    <row r="88" spans="1:6" x14ac:dyDescent="0.3">
      <c r="A88" s="32">
        <v>45824</v>
      </c>
      <c r="B88" s="41" t="s">
        <v>20</v>
      </c>
      <c r="C88" s="33" t="s">
        <v>76</v>
      </c>
      <c r="D88" s="58">
        <v>-20000</v>
      </c>
      <c r="E88" s="35" t="s">
        <v>7</v>
      </c>
      <c r="F88" s="36" t="s">
        <v>58</v>
      </c>
    </row>
    <row r="89" spans="1:6" x14ac:dyDescent="0.3">
      <c r="A89" s="32">
        <v>45824</v>
      </c>
      <c r="B89" s="49" t="s">
        <v>20</v>
      </c>
      <c r="C89" s="49" t="s">
        <v>150</v>
      </c>
      <c r="D89" s="58">
        <v>-145</v>
      </c>
      <c r="E89" s="36" t="s">
        <v>7</v>
      </c>
      <c r="F89" s="36" t="s">
        <v>115</v>
      </c>
    </row>
    <row r="90" spans="1:6" x14ac:dyDescent="0.3">
      <c r="A90" s="32">
        <v>45824</v>
      </c>
      <c r="B90" s="49" t="s">
        <v>20</v>
      </c>
      <c r="C90" s="49" t="s">
        <v>151</v>
      </c>
      <c r="D90" s="58">
        <v>-145</v>
      </c>
      <c r="E90" s="36" t="s">
        <v>7</v>
      </c>
      <c r="F90" s="36" t="s">
        <v>115</v>
      </c>
    </row>
    <row r="91" spans="1:6" x14ac:dyDescent="0.3">
      <c r="A91" s="32">
        <v>45824</v>
      </c>
      <c r="B91" s="42" t="s">
        <v>12</v>
      </c>
      <c r="C91" s="33" t="s">
        <v>152</v>
      </c>
      <c r="D91" s="58">
        <v>-1375</v>
      </c>
      <c r="E91" s="36" t="s">
        <v>7</v>
      </c>
      <c r="F91" s="36" t="s">
        <v>42</v>
      </c>
    </row>
    <row r="92" spans="1:6" s="82" customFormat="1" x14ac:dyDescent="0.3">
      <c r="A92" s="32">
        <v>45824</v>
      </c>
      <c r="B92" s="79" t="s">
        <v>198</v>
      </c>
      <c r="C92" s="80" t="s">
        <v>199</v>
      </c>
      <c r="D92" s="81">
        <v>-2281.6999999999998</v>
      </c>
      <c r="E92" s="75" t="s">
        <v>7</v>
      </c>
      <c r="F92" s="75" t="s">
        <v>42</v>
      </c>
    </row>
    <row r="93" spans="1:6" x14ac:dyDescent="0.3">
      <c r="A93" s="32">
        <v>45824</v>
      </c>
      <c r="B93" s="41" t="s">
        <v>5</v>
      </c>
      <c r="C93" s="33" t="s">
        <v>77</v>
      </c>
      <c r="D93" s="58">
        <v>-7500</v>
      </c>
      <c r="E93" s="36" t="s">
        <v>7</v>
      </c>
      <c r="F93" s="36" t="s">
        <v>65</v>
      </c>
    </row>
    <row r="94" spans="1:6" x14ac:dyDescent="0.3">
      <c r="A94" s="32">
        <v>45824</v>
      </c>
      <c r="B94" s="41" t="s">
        <v>20</v>
      </c>
      <c r="C94" s="33" t="s">
        <v>79</v>
      </c>
      <c r="D94" s="58">
        <v>-12000</v>
      </c>
      <c r="E94" s="35" t="s">
        <v>7</v>
      </c>
      <c r="F94" s="36" t="s">
        <v>80</v>
      </c>
    </row>
    <row r="95" spans="1:6" s="64" customFormat="1" x14ac:dyDescent="0.3">
      <c r="A95" s="32">
        <v>45824</v>
      </c>
      <c r="B95" s="49" t="s">
        <v>15</v>
      </c>
      <c r="C95" s="42" t="s">
        <v>80</v>
      </c>
      <c r="D95" s="58">
        <v>-2302.0500000000002</v>
      </c>
      <c r="E95" s="35" t="s">
        <v>7</v>
      </c>
      <c r="F95" s="43" t="s">
        <v>80</v>
      </c>
    </row>
    <row r="96" spans="1:6" s="64" customFormat="1" x14ac:dyDescent="0.3">
      <c r="A96" s="32">
        <v>45824</v>
      </c>
      <c r="B96" s="52" t="s">
        <v>32</v>
      </c>
      <c r="C96" s="42" t="s">
        <v>80</v>
      </c>
      <c r="D96" s="58">
        <v>-1248.99</v>
      </c>
      <c r="E96" s="35" t="s">
        <v>7</v>
      </c>
      <c r="F96" s="43" t="s">
        <v>80</v>
      </c>
    </row>
    <row r="97" spans="1:6" s="64" customFormat="1" x14ac:dyDescent="0.3">
      <c r="A97" s="32">
        <v>45821</v>
      </c>
      <c r="B97" s="41" t="s">
        <v>5</v>
      </c>
      <c r="C97" s="51" t="s">
        <v>153</v>
      </c>
      <c r="D97" s="58">
        <v>-2012.45</v>
      </c>
      <c r="E97" s="35" t="s">
        <v>7</v>
      </c>
      <c r="F97" s="43" t="s">
        <v>14</v>
      </c>
    </row>
    <row r="98" spans="1:6" x14ac:dyDescent="0.3">
      <c r="A98" s="32">
        <v>45824</v>
      </c>
      <c r="B98" s="42" t="s">
        <v>12</v>
      </c>
      <c r="C98" s="33" t="s">
        <v>81</v>
      </c>
      <c r="D98" s="58">
        <v>-156.1</v>
      </c>
      <c r="E98" s="35" t="s">
        <v>7</v>
      </c>
      <c r="F98" s="43" t="s">
        <v>30</v>
      </c>
    </row>
    <row r="99" spans="1:6" x14ac:dyDescent="0.3">
      <c r="A99" s="32">
        <v>45824</v>
      </c>
      <c r="B99" s="42" t="s">
        <v>15</v>
      </c>
      <c r="C99" s="33" t="s">
        <v>81</v>
      </c>
      <c r="D99" s="58">
        <v>-156.1</v>
      </c>
      <c r="E99" s="35" t="s">
        <v>7</v>
      </c>
      <c r="F99" s="43" t="s">
        <v>30</v>
      </c>
    </row>
    <row r="100" spans="1:6" x14ac:dyDescent="0.3">
      <c r="A100" s="32">
        <v>45824</v>
      </c>
      <c r="B100" s="49" t="s">
        <v>20</v>
      </c>
      <c r="C100" s="33" t="s">
        <v>81</v>
      </c>
      <c r="D100" s="58">
        <v>-156.1</v>
      </c>
      <c r="E100" s="35" t="s">
        <v>7</v>
      </c>
      <c r="F100" s="43" t="s">
        <v>30</v>
      </c>
    </row>
    <row r="101" spans="1:6" x14ac:dyDescent="0.3">
      <c r="A101" s="32">
        <v>45824</v>
      </c>
      <c r="B101" s="49" t="s">
        <v>31</v>
      </c>
      <c r="C101" s="33" t="s">
        <v>81</v>
      </c>
      <c r="D101" s="58">
        <v>-156.1</v>
      </c>
      <c r="E101" s="35" t="s">
        <v>7</v>
      </c>
      <c r="F101" s="43" t="s">
        <v>30</v>
      </c>
    </row>
    <row r="102" spans="1:6" x14ac:dyDescent="0.3">
      <c r="A102" s="32">
        <v>45824</v>
      </c>
      <c r="B102" s="49" t="s">
        <v>82</v>
      </c>
      <c r="C102" s="33" t="s">
        <v>81</v>
      </c>
      <c r="D102" s="58">
        <v>-154.52000000000001</v>
      </c>
      <c r="E102" s="35" t="s">
        <v>7</v>
      </c>
      <c r="F102" s="43" t="s">
        <v>30</v>
      </c>
    </row>
    <row r="103" spans="1:6" x14ac:dyDescent="0.3">
      <c r="A103" s="32">
        <v>45824</v>
      </c>
      <c r="B103" s="49" t="s">
        <v>34</v>
      </c>
      <c r="C103" s="33" t="s">
        <v>81</v>
      </c>
      <c r="D103" s="58">
        <v>-153.01</v>
      </c>
      <c r="E103" s="35" t="s">
        <v>7</v>
      </c>
      <c r="F103" s="43" t="s">
        <v>30</v>
      </c>
    </row>
    <row r="104" spans="1:6" x14ac:dyDescent="0.3">
      <c r="A104" s="32">
        <v>45824</v>
      </c>
      <c r="B104" s="49" t="s">
        <v>83</v>
      </c>
      <c r="C104" s="33" t="s">
        <v>81</v>
      </c>
      <c r="D104" s="58">
        <v>-153.01</v>
      </c>
      <c r="E104" s="35" t="s">
        <v>7</v>
      </c>
      <c r="F104" s="43" t="s">
        <v>30</v>
      </c>
    </row>
    <row r="105" spans="1:6" x14ac:dyDescent="0.3">
      <c r="A105" s="32">
        <v>45824</v>
      </c>
      <c r="B105" s="49" t="s">
        <v>33</v>
      </c>
      <c r="C105" s="33" t="s">
        <v>81</v>
      </c>
      <c r="D105" s="58">
        <v>-156.1</v>
      </c>
      <c r="E105" s="35" t="s">
        <v>7</v>
      </c>
      <c r="F105" s="43" t="s">
        <v>30</v>
      </c>
    </row>
    <row r="106" spans="1:6" x14ac:dyDescent="0.3">
      <c r="A106" s="32">
        <v>45824</v>
      </c>
      <c r="B106" s="49" t="s">
        <v>35</v>
      </c>
      <c r="C106" s="33" t="s">
        <v>81</v>
      </c>
      <c r="D106" s="58">
        <v>-156.1</v>
      </c>
      <c r="E106" s="35" t="s">
        <v>7</v>
      </c>
      <c r="F106" s="43" t="s">
        <v>30</v>
      </c>
    </row>
    <row r="107" spans="1:6" x14ac:dyDescent="0.3">
      <c r="A107" s="32">
        <v>45824</v>
      </c>
      <c r="B107" s="52" t="s">
        <v>66</v>
      </c>
      <c r="C107" s="33" t="s">
        <v>84</v>
      </c>
      <c r="D107" s="58">
        <v>-877.96</v>
      </c>
      <c r="E107" s="36" t="s">
        <v>7</v>
      </c>
      <c r="F107" s="43" t="s">
        <v>41</v>
      </c>
    </row>
    <row r="108" spans="1:6" x14ac:dyDescent="0.3">
      <c r="A108" s="32">
        <v>45824</v>
      </c>
      <c r="B108" s="41" t="s">
        <v>5</v>
      </c>
      <c r="C108" s="33" t="s">
        <v>149</v>
      </c>
      <c r="D108" s="58">
        <v>-8000</v>
      </c>
      <c r="E108" s="35" t="s">
        <v>7</v>
      </c>
      <c r="F108" s="36" t="s">
        <v>133</v>
      </c>
    </row>
    <row r="109" spans="1:6" x14ac:dyDescent="0.3">
      <c r="A109" s="32">
        <v>45825</v>
      </c>
      <c r="B109" s="41" t="s">
        <v>5</v>
      </c>
      <c r="C109" s="33" t="s">
        <v>86</v>
      </c>
      <c r="D109" s="58">
        <v>-139.25</v>
      </c>
      <c r="E109" s="35" t="s">
        <v>7</v>
      </c>
      <c r="F109" s="36" t="s">
        <v>87</v>
      </c>
    </row>
    <row r="110" spans="1:6" x14ac:dyDescent="0.3">
      <c r="A110" s="32">
        <v>45825</v>
      </c>
      <c r="B110" s="41" t="s">
        <v>5</v>
      </c>
      <c r="C110" s="33" t="s">
        <v>88</v>
      </c>
      <c r="D110" s="58">
        <v>-139.25</v>
      </c>
      <c r="E110" s="35" t="s">
        <v>7</v>
      </c>
      <c r="F110" s="36" t="s">
        <v>87</v>
      </c>
    </row>
    <row r="111" spans="1:6" x14ac:dyDescent="0.3">
      <c r="A111" s="32">
        <v>45825</v>
      </c>
      <c r="B111" s="41" t="s">
        <v>5</v>
      </c>
      <c r="C111" s="33" t="s">
        <v>89</v>
      </c>
      <c r="D111" s="58">
        <v>-139.25</v>
      </c>
      <c r="E111" s="35" t="s">
        <v>7</v>
      </c>
      <c r="F111" s="36" t="s">
        <v>87</v>
      </c>
    </row>
    <row r="112" spans="1:6" x14ac:dyDescent="0.3">
      <c r="A112" s="32">
        <v>45825</v>
      </c>
      <c r="B112" s="41" t="s">
        <v>5</v>
      </c>
      <c r="C112" s="33" t="s">
        <v>98</v>
      </c>
      <c r="D112" s="58">
        <v>-139.25</v>
      </c>
      <c r="E112" s="35" t="s">
        <v>7</v>
      </c>
      <c r="F112" s="36" t="s">
        <v>87</v>
      </c>
    </row>
    <row r="113" spans="1:6" ht="28.8" x14ac:dyDescent="0.3">
      <c r="A113" s="32">
        <v>45824</v>
      </c>
      <c r="B113" s="52" t="s">
        <v>90</v>
      </c>
      <c r="C113" s="51" t="s">
        <v>91</v>
      </c>
      <c r="D113" s="58">
        <v>-244.5</v>
      </c>
      <c r="E113" s="36" t="s">
        <v>7</v>
      </c>
      <c r="F113" s="36" t="s">
        <v>38</v>
      </c>
    </row>
    <row r="114" spans="1:6" ht="28.8" x14ac:dyDescent="0.3">
      <c r="A114" s="32">
        <v>45824</v>
      </c>
      <c r="B114" s="52" t="s">
        <v>92</v>
      </c>
      <c r="C114" s="51" t="s">
        <v>91</v>
      </c>
      <c r="D114" s="58">
        <v>-244</v>
      </c>
      <c r="E114" s="36" t="s">
        <v>7</v>
      </c>
      <c r="F114" s="36" t="s">
        <v>38</v>
      </c>
    </row>
    <row r="115" spans="1:6" ht="28.8" x14ac:dyDescent="0.3">
      <c r="A115" s="32">
        <v>45824</v>
      </c>
      <c r="B115" s="52" t="s">
        <v>93</v>
      </c>
      <c r="C115" s="51" t="s">
        <v>91</v>
      </c>
      <c r="D115" s="58">
        <v>-275</v>
      </c>
      <c r="E115" s="36" t="s">
        <v>7</v>
      </c>
      <c r="F115" s="36" t="s">
        <v>38</v>
      </c>
    </row>
    <row r="116" spans="1:6" ht="28.8" x14ac:dyDescent="0.3">
      <c r="A116" s="32">
        <v>45824</v>
      </c>
      <c r="B116" s="52" t="s">
        <v>94</v>
      </c>
      <c r="C116" s="51" t="s">
        <v>91</v>
      </c>
      <c r="D116" s="58">
        <v>-275</v>
      </c>
      <c r="E116" s="36" t="s">
        <v>7</v>
      </c>
      <c r="F116" s="36" t="s">
        <v>38</v>
      </c>
    </row>
    <row r="117" spans="1:6" ht="28.8" x14ac:dyDescent="0.3">
      <c r="A117" s="32">
        <v>45824</v>
      </c>
      <c r="B117" s="52" t="s">
        <v>95</v>
      </c>
      <c r="C117" s="51" t="s">
        <v>91</v>
      </c>
      <c r="D117" s="58">
        <v>-275</v>
      </c>
      <c r="E117" s="36" t="s">
        <v>7</v>
      </c>
      <c r="F117" s="36" t="s">
        <v>38</v>
      </c>
    </row>
    <row r="118" spans="1:6" ht="28.8" x14ac:dyDescent="0.3">
      <c r="A118" s="32">
        <v>45824</v>
      </c>
      <c r="B118" s="52" t="s">
        <v>96</v>
      </c>
      <c r="C118" s="51" t="s">
        <v>91</v>
      </c>
      <c r="D118" s="58">
        <v>-275</v>
      </c>
      <c r="E118" s="36" t="s">
        <v>7</v>
      </c>
      <c r="F118" s="36" t="s">
        <v>38</v>
      </c>
    </row>
    <row r="119" spans="1:6" ht="28.8" x14ac:dyDescent="0.3">
      <c r="A119" s="32">
        <v>45824</v>
      </c>
      <c r="B119" s="52" t="s">
        <v>97</v>
      </c>
      <c r="C119" s="51" t="s">
        <v>91</v>
      </c>
      <c r="D119" s="58">
        <v>-275</v>
      </c>
      <c r="E119" s="36" t="s">
        <v>7</v>
      </c>
      <c r="F119" s="36" t="s">
        <v>38</v>
      </c>
    </row>
    <row r="120" spans="1:6" ht="28.8" x14ac:dyDescent="0.3">
      <c r="A120" s="32">
        <v>45824</v>
      </c>
      <c r="B120" s="52" t="s">
        <v>71</v>
      </c>
      <c r="C120" s="51" t="s">
        <v>91</v>
      </c>
      <c r="D120" s="58">
        <v>-275</v>
      </c>
      <c r="E120" s="36" t="s">
        <v>7</v>
      </c>
      <c r="F120" s="36" t="s">
        <v>38</v>
      </c>
    </row>
    <row r="121" spans="1:6" ht="28.8" x14ac:dyDescent="0.3">
      <c r="A121" s="32">
        <v>45824</v>
      </c>
      <c r="B121" s="52" t="s">
        <v>96</v>
      </c>
      <c r="C121" s="51" t="s">
        <v>91</v>
      </c>
      <c r="D121" s="58">
        <v>-344</v>
      </c>
      <c r="E121" s="36" t="s">
        <v>7</v>
      </c>
      <c r="F121" s="36" t="s">
        <v>38</v>
      </c>
    </row>
    <row r="122" spans="1:6" ht="15" customHeight="1" x14ac:dyDescent="0.3">
      <c r="A122" s="32">
        <v>45824</v>
      </c>
      <c r="B122" s="49" t="s">
        <v>116</v>
      </c>
      <c r="C122" s="49" t="s">
        <v>154</v>
      </c>
      <c r="D122" s="59">
        <v>-18893.490000000002</v>
      </c>
      <c r="E122" s="35" t="s">
        <v>7</v>
      </c>
      <c r="F122" s="48" t="s">
        <v>155</v>
      </c>
    </row>
    <row r="123" spans="1:6" x14ac:dyDescent="0.3">
      <c r="A123" s="32">
        <v>45824</v>
      </c>
      <c r="B123" s="100" t="s">
        <v>15</v>
      </c>
      <c r="C123" s="100" t="s">
        <v>114</v>
      </c>
      <c r="D123" s="101">
        <v>-3022.31</v>
      </c>
      <c r="E123" s="35" t="s">
        <v>7</v>
      </c>
      <c r="F123" s="48" t="s">
        <v>115</v>
      </c>
    </row>
    <row r="124" spans="1:6" x14ac:dyDescent="0.3">
      <c r="A124" s="32">
        <v>45824</v>
      </c>
      <c r="B124" s="100" t="s">
        <v>5</v>
      </c>
      <c r="C124" s="100" t="s">
        <v>114</v>
      </c>
      <c r="D124" s="101">
        <v>-3952.25</v>
      </c>
      <c r="E124" s="35" t="s">
        <v>7</v>
      </c>
      <c r="F124" s="48" t="s">
        <v>115</v>
      </c>
    </row>
    <row r="125" spans="1:6" x14ac:dyDescent="0.3">
      <c r="A125" s="32">
        <v>45824</v>
      </c>
      <c r="B125" s="100" t="s">
        <v>27</v>
      </c>
      <c r="C125" s="100" t="s">
        <v>114</v>
      </c>
      <c r="D125" s="101">
        <v>-3409.78</v>
      </c>
      <c r="E125" s="35" t="s">
        <v>7</v>
      </c>
      <c r="F125" s="48" t="s">
        <v>115</v>
      </c>
    </row>
    <row r="126" spans="1:6" x14ac:dyDescent="0.3">
      <c r="A126" s="32">
        <v>45824</v>
      </c>
      <c r="B126" s="100" t="s">
        <v>27</v>
      </c>
      <c r="C126" s="100" t="s">
        <v>114</v>
      </c>
      <c r="D126" s="101">
        <v>-852.45</v>
      </c>
      <c r="E126" s="35" t="s">
        <v>7</v>
      </c>
      <c r="F126" s="48" t="s">
        <v>115</v>
      </c>
    </row>
    <row r="127" spans="1:6" x14ac:dyDescent="0.3">
      <c r="A127" s="32">
        <v>45824</v>
      </c>
      <c r="B127" s="100" t="s">
        <v>32</v>
      </c>
      <c r="C127" s="100" t="s">
        <v>114</v>
      </c>
      <c r="D127" s="101">
        <v>-2944.81</v>
      </c>
      <c r="E127" s="35" t="s">
        <v>7</v>
      </c>
      <c r="F127" s="48" t="s">
        <v>115</v>
      </c>
    </row>
    <row r="128" spans="1:6" x14ac:dyDescent="0.3">
      <c r="A128" s="32">
        <v>45824</v>
      </c>
      <c r="B128" s="100" t="s">
        <v>34</v>
      </c>
      <c r="C128" s="100" t="s">
        <v>114</v>
      </c>
      <c r="D128" s="101">
        <v>-852.45</v>
      </c>
      <c r="E128" s="35" t="s">
        <v>7</v>
      </c>
      <c r="F128" s="48" t="s">
        <v>115</v>
      </c>
    </row>
    <row r="129" spans="1:6" x14ac:dyDescent="0.3">
      <c r="A129" s="32">
        <v>45824</v>
      </c>
      <c r="B129" s="100" t="s">
        <v>117</v>
      </c>
      <c r="C129" s="100" t="s">
        <v>114</v>
      </c>
      <c r="D129" s="101">
        <v>-929.94</v>
      </c>
      <c r="E129" s="35" t="s">
        <v>7</v>
      </c>
      <c r="F129" s="48" t="s">
        <v>115</v>
      </c>
    </row>
    <row r="130" spans="1:6" x14ac:dyDescent="0.3">
      <c r="A130" s="32">
        <v>45824</v>
      </c>
      <c r="B130" s="100" t="s">
        <v>33</v>
      </c>
      <c r="C130" s="100" t="s">
        <v>114</v>
      </c>
      <c r="D130" s="101">
        <v>-232.49</v>
      </c>
      <c r="E130" s="35" t="s">
        <v>7</v>
      </c>
      <c r="F130" s="48" t="s">
        <v>115</v>
      </c>
    </row>
    <row r="131" spans="1:6" x14ac:dyDescent="0.3">
      <c r="A131" s="32">
        <v>45824</v>
      </c>
      <c r="B131" s="100" t="s">
        <v>116</v>
      </c>
      <c r="C131" s="100" t="s">
        <v>114</v>
      </c>
      <c r="D131" s="101">
        <v>-464.97</v>
      </c>
      <c r="E131" s="35" t="s">
        <v>7</v>
      </c>
      <c r="F131" s="48" t="s">
        <v>115</v>
      </c>
    </row>
    <row r="132" spans="1:6" x14ac:dyDescent="0.3">
      <c r="A132" s="32">
        <v>45824</v>
      </c>
      <c r="B132" s="100" t="s">
        <v>20</v>
      </c>
      <c r="C132" s="100" t="s">
        <v>114</v>
      </c>
      <c r="D132" s="101">
        <v>-542.47</v>
      </c>
      <c r="E132" s="35" t="s">
        <v>7</v>
      </c>
      <c r="F132" s="48" t="s">
        <v>115</v>
      </c>
    </row>
    <row r="133" spans="1:6" x14ac:dyDescent="0.3">
      <c r="A133" s="139">
        <v>45824</v>
      </c>
      <c r="B133" s="100" t="s">
        <v>5</v>
      </c>
      <c r="C133" s="100" t="s">
        <v>250</v>
      </c>
      <c r="D133" s="101">
        <v>-300</v>
      </c>
      <c r="E133" s="35" t="s">
        <v>7</v>
      </c>
      <c r="F133" s="48" t="s">
        <v>249</v>
      </c>
    </row>
    <row r="134" spans="1:6" x14ac:dyDescent="0.3">
      <c r="A134" s="32">
        <v>45825</v>
      </c>
      <c r="B134" s="49" t="s">
        <v>15</v>
      </c>
      <c r="C134" s="60" t="s">
        <v>156</v>
      </c>
      <c r="D134" s="59">
        <v>-6860.74</v>
      </c>
      <c r="E134" s="61" t="s">
        <v>7</v>
      </c>
      <c r="F134" s="36" t="s">
        <v>108</v>
      </c>
    </row>
    <row r="135" spans="1:6" x14ac:dyDescent="0.3">
      <c r="A135" s="32">
        <v>45825</v>
      </c>
      <c r="B135" s="49" t="s">
        <v>15</v>
      </c>
      <c r="C135" s="60" t="s">
        <v>157</v>
      </c>
      <c r="D135" s="59">
        <v>-6298.25</v>
      </c>
      <c r="E135" s="61" t="s">
        <v>7</v>
      </c>
      <c r="F135" s="36" t="s">
        <v>108</v>
      </c>
    </row>
    <row r="136" spans="1:6" ht="15.6" customHeight="1" x14ac:dyDescent="0.3">
      <c r="A136" s="32">
        <v>45825</v>
      </c>
      <c r="B136" s="41" t="s">
        <v>20</v>
      </c>
      <c r="C136" s="33" t="s">
        <v>200</v>
      </c>
      <c r="D136" s="59">
        <v>-3760</v>
      </c>
      <c r="E136" s="35" t="s">
        <v>7</v>
      </c>
      <c r="F136" s="36" t="s">
        <v>36</v>
      </c>
    </row>
    <row r="137" spans="1:6" x14ac:dyDescent="0.3">
      <c r="A137" s="32">
        <v>45825</v>
      </c>
      <c r="B137" s="41" t="s">
        <v>20</v>
      </c>
      <c r="C137" s="33" t="s">
        <v>200</v>
      </c>
      <c r="D137" s="59">
        <v>-5800</v>
      </c>
      <c r="E137" s="35" t="s">
        <v>7</v>
      </c>
      <c r="F137" s="36" t="s">
        <v>36</v>
      </c>
    </row>
    <row r="138" spans="1:6" x14ac:dyDescent="0.3">
      <c r="A138" s="32">
        <v>45825</v>
      </c>
      <c r="B138" s="41" t="s">
        <v>12</v>
      </c>
      <c r="C138" s="33" t="s">
        <v>200</v>
      </c>
      <c r="D138" s="58">
        <v>-5460</v>
      </c>
      <c r="E138" s="35" t="s">
        <v>7</v>
      </c>
      <c r="F138" s="36" t="s">
        <v>36</v>
      </c>
    </row>
    <row r="139" spans="1:6" x14ac:dyDescent="0.3">
      <c r="A139" s="53">
        <v>45828</v>
      </c>
      <c r="B139" s="54" t="s">
        <v>20</v>
      </c>
      <c r="C139" s="45" t="s">
        <v>21</v>
      </c>
      <c r="D139" s="58">
        <v>-15440.25</v>
      </c>
      <c r="E139" s="46" t="s">
        <v>7</v>
      </c>
      <c r="F139" s="34" t="s">
        <v>22</v>
      </c>
    </row>
    <row r="140" spans="1:6" x14ac:dyDescent="0.3">
      <c r="A140" s="32">
        <v>45825</v>
      </c>
      <c r="B140" s="41" t="s">
        <v>5</v>
      </c>
      <c r="C140" s="33" t="s">
        <v>200</v>
      </c>
      <c r="D140" s="58">
        <v>-3600</v>
      </c>
      <c r="E140" s="35" t="s">
        <v>7</v>
      </c>
      <c r="F140" s="36" t="s">
        <v>112</v>
      </c>
    </row>
    <row r="141" spans="1:6" x14ac:dyDescent="0.3">
      <c r="A141" s="53">
        <v>45834</v>
      </c>
      <c r="B141" s="40" t="s">
        <v>5</v>
      </c>
      <c r="C141" s="33" t="s">
        <v>208</v>
      </c>
      <c r="D141" s="58">
        <v>-36000</v>
      </c>
      <c r="E141" s="34" t="s">
        <v>7</v>
      </c>
      <c r="F141" s="36" t="s">
        <v>14</v>
      </c>
    </row>
    <row r="142" spans="1:6" x14ac:dyDescent="0.3">
      <c r="A142" s="32">
        <v>45825</v>
      </c>
      <c r="B142" s="41" t="s">
        <v>5</v>
      </c>
      <c r="C142" s="33" t="s">
        <v>206</v>
      </c>
      <c r="D142" s="58">
        <v>-30</v>
      </c>
      <c r="E142" s="35" t="s">
        <v>7</v>
      </c>
      <c r="F142" s="36" t="s">
        <v>47</v>
      </c>
    </row>
    <row r="143" spans="1:6" x14ac:dyDescent="0.3">
      <c r="A143" s="32">
        <v>45825</v>
      </c>
      <c r="B143" s="41" t="s">
        <v>5</v>
      </c>
      <c r="C143" s="33" t="s">
        <v>206</v>
      </c>
      <c r="D143" s="58">
        <v>-8000</v>
      </c>
      <c r="E143" s="35" t="s">
        <v>7</v>
      </c>
      <c r="F143" s="36" t="s">
        <v>47</v>
      </c>
    </row>
    <row r="144" spans="1:6" x14ac:dyDescent="0.3">
      <c r="A144" s="32">
        <v>45825</v>
      </c>
      <c r="B144" s="41" t="s">
        <v>5</v>
      </c>
      <c r="C144" s="33" t="s">
        <v>205</v>
      </c>
      <c r="D144" s="58">
        <v>-4254.42</v>
      </c>
      <c r="E144" s="35" t="s">
        <v>7</v>
      </c>
      <c r="F144" s="36" t="s">
        <v>47</v>
      </c>
    </row>
    <row r="145" spans="1:6" x14ac:dyDescent="0.3">
      <c r="A145" s="84">
        <v>45825</v>
      </c>
      <c r="B145" s="85" t="s">
        <v>27</v>
      </c>
      <c r="C145" s="85" t="s">
        <v>251</v>
      </c>
      <c r="D145" s="86">
        <v>-1035.76</v>
      </c>
      <c r="E145" s="35" t="s">
        <v>7</v>
      </c>
      <c r="F145" s="88" t="s">
        <v>254</v>
      </c>
    </row>
    <row r="146" spans="1:6" x14ac:dyDescent="0.3">
      <c r="A146" s="84">
        <v>45825</v>
      </c>
      <c r="B146" s="85" t="s">
        <v>116</v>
      </c>
      <c r="C146" s="85" t="s">
        <v>252</v>
      </c>
      <c r="D146" s="86">
        <v>-1469.81</v>
      </c>
      <c r="E146" s="35" t="s">
        <v>7</v>
      </c>
      <c r="F146" s="88" t="s">
        <v>254</v>
      </c>
    </row>
    <row r="147" spans="1:6" x14ac:dyDescent="0.3">
      <c r="A147" s="84">
        <v>45825</v>
      </c>
      <c r="B147" s="85" t="s">
        <v>116</v>
      </c>
      <c r="C147" s="85" t="s">
        <v>253</v>
      </c>
      <c r="D147" s="86">
        <v>-1330</v>
      </c>
      <c r="E147" s="35" t="s">
        <v>7</v>
      </c>
      <c r="F147" s="88" t="s">
        <v>254</v>
      </c>
    </row>
    <row r="148" spans="1:6" x14ac:dyDescent="0.3">
      <c r="A148" s="32">
        <v>45825</v>
      </c>
      <c r="B148" s="41" t="s">
        <v>20</v>
      </c>
      <c r="C148" s="33" t="s">
        <v>99</v>
      </c>
      <c r="D148" s="58">
        <v>-5300</v>
      </c>
      <c r="E148" s="35" t="s">
        <v>7</v>
      </c>
      <c r="F148" s="36" t="s">
        <v>51</v>
      </c>
    </row>
    <row r="149" spans="1:6" x14ac:dyDescent="0.3">
      <c r="A149" s="32">
        <v>45826</v>
      </c>
      <c r="B149" s="49" t="s">
        <v>12</v>
      </c>
      <c r="C149" s="51" t="s">
        <v>100</v>
      </c>
      <c r="D149" s="58">
        <v>-660.75</v>
      </c>
      <c r="E149" s="35" t="s">
        <v>7</v>
      </c>
      <c r="F149" s="35" t="s">
        <v>14</v>
      </c>
    </row>
    <row r="150" spans="1:6" x14ac:dyDescent="0.3">
      <c r="A150" s="32">
        <v>45826</v>
      </c>
      <c r="B150" s="49" t="s">
        <v>12</v>
      </c>
      <c r="C150" s="51" t="s">
        <v>101</v>
      </c>
      <c r="D150" s="58">
        <v>-5996.67</v>
      </c>
      <c r="E150" s="35" t="s">
        <v>7</v>
      </c>
      <c r="F150" s="35" t="s">
        <v>14</v>
      </c>
    </row>
    <row r="151" spans="1:6" x14ac:dyDescent="0.3">
      <c r="A151" s="53">
        <v>45828</v>
      </c>
      <c r="B151" s="41" t="s">
        <v>5</v>
      </c>
      <c r="C151" s="33" t="s">
        <v>201</v>
      </c>
      <c r="D151" s="58">
        <v>-14400</v>
      </c>
      <c r="E151" s="35" t="s">
        <v>7</v>
      </c>
      <c r="F151" s="36" t="s">
        <v>103</v>
      </c>
    </row>
    <row r="152" spans="1:6" x14ac:dyDescent="0.3">
      <c r="A152" s="53">
        <v>45828</v>
      </c>
      <c r="B152" s="52" t="s">
        <v>5</v>
      </c>
      <c r="C152" s="33" t="s">
        <v>104</v>
      </c>
      <c r="D152" s="58">
        <v>-600</v>
      </c>
      <c r="E152" s="35" t="s">
        <v>7</v>
      </c>
      <c r="F152" s="36" t="s">
        <v>22</v>
      </c>
    </row>
    <row r="153" spans="1:6" x14ac:dyDescent="0.3">
      <c r="A153" s="53">
        <v>45828</v>
      </c>
      <c r="B153" s="41" t="s">
        <v>5</v>
      </c>
      <c r="C153" s="33" t="s">
        <v>105</v>
      </c>
      <c r="D153" s="58">
        <v>-1631.98</v>
      </c>
      <c r="E153" s="35" t="s">
        <v>7</v>
      </c>
      <c r="F153" s="36" t="s">
        <v>38</v>
      </c>
    </row>
    <row r="154" spans="1:6" x14ac:dyDescent="0.3">
      <c r="A154" s="53">
        <v>45828</v>
      </c>
      <c r="B154" s="41" t="s">
        <v>5</v>
      </c>
      <c r="C154" s="33" t="s">
        <v>106</v>
      </c>
      <c r="D154" s="58">
        <v>-39.799999999999997</v>
      </c>
      <c r="E154" s="35" t="s">
        <v>7</v>
      </c>
      <c r="F154" s="36" t="s">
        <v>38</v>
      </c>
    </row>
    <row r="155" spans="1:6" x14ac:dyDescent="0.3">
      <c r="A155" s="53">
        <v>45828</v>
      </c>
      <c r="B155" s="41" t="s">
        <v>5</v>
      </c>
      <c r="C155" s="33" t="s">
        <v>257</v>
      </c>
      <c r="D155" s="58">
        <v>-15000</v>
      </c>
      <c r="E155" s="35" t="s">
        <v>7</v>
      </c>
      <c r="F155" s="56" t="s">
        <v>108</v>
      </c>
    </row>
    <row r="156" spans="1:6" x14ac:dyDescent="0.3">
      <c r="A156" s="53">
        <v>45828</v>
      </c>
      <c r="B156" s="55" t="s">
        <v>20</v>
      </c>
      <c r="C156" s="55" t="s">
        <v>255</v>
      </c>
      <c r="D156" s="58">
        <v>-15000</v>
      </c>
      <c r="E156" s="35" t="s">
        <v>7</v>
      </c>
      <c r="F156" s="56" t="s">
        <v>108</v>
      </c>
    </row>
    <row r="157" spans="1:6" x14ac:dyDescent="0.3">
      <c r="A157" s="53">
        <v>45828</v>
      </c>
      <c r="B157" s="55" t="s">
        <v>20</v>
      </c>
      <c r="C157" s="55" t="s">
        <v>256</v>
      </c>
      <c r="D157" s="58">
        <v>-3000</v>
      </c>
      <c r="E157" s="35" t="s">
        <v>7</v>
      </c>
      <c r="F157" s="56" t="s">
        <v>108</v>
      </c>
    </row>
    <row r="158" spans="1:6" x14ac:dyDescent="0.3">
      <c r="A158" s="53">
        <v>45828</v>
      </c>
      <c r="B158" s="41" t="s">
        <v>5</v>
      </c>
      <c r="C158" s="33" t="s">
        <v>102</v>
      </c>
      <c r="D158" s="58">
        <v>-40000</v>
      </c>
      <c r="E158" s="35" t="s">
        <v>7</v>
      </c>
      <c r="F158" s="36" t="s">
        <v>78</v>
      </c>
    </row>
    <row r="159" spans="1:6" x14ac:dyDescent="0.3">
      <c r="A159" s="53">
        <v>45828</v>
      </c>
      <c r="B159" s="55" t="s">
        <v>20</v>
      </c>
      <c r="C159" s="55" t="s">
        <v>107</v>
      </c>
      <c r="D159" s="58">
        <v>-66000</v>
      </c>
      <c r="E159" s="35" t="s">
        <v>7</v>
      </c>
      <c r="F159" s="56" t="s">
        <v>108</v>
      </c>
    </row>
    <row r="160" spans="1:6" ht="15.6" customHeight="1" x14ac:dyDescent="0.3">
      <c r="A160" s="53">
        <v>45828</v>
      </c>
      <c r="B160" s="41" t="s">
        <v>5</v>
      </c>
      <c r="C160" s="55" t="s">
        <v>109</v>
      </c>
      <c r="D160" s="58">
        <v>-12000</v>
      </c>
      <c r="E160" s="35" t="s">
        <v>7</v>
      </c>
      <c r="F160" s="56" t="s">
        <v>108</v>
      </c>
    </row>
    <row r="161" spans="1:6" x14ac:dyDescent="0.3">
      <c r="A161" s="53">
        <v>45828</v>
      </c>
      <c r="B161" s="41" t="s">
        <v>5</v>
      </c>
      <c r="C161" s="33" t="s">
        <v>202</v>
      </c>
      <c r="D161" s="58">
        <v>-150000</v>
      </c>
      <c r="E161" s="35" t="s">
        <v>7</v>
      </c>
      <c r="F161" s="36" t="s">
        <v>45</v>
      </c>
    </row>
    <row r="162" spans="1:6" x14ac:dyDescent="0.3">
      <c r="A162" s="53">
        <v>45828</v>
      </c>
      <c r="B162" s="41" t="s">
        <v>5</v>
      </c>
      <c r="C162" s="33" t="s">
        <v>113</v>
      </c>
      <c r="D162" s="58">
        <v>-34000</v>
      </c>
      <c r="E162" s="35" t="s">
        <v>7</v>
      </c>
      <c r="F162" s="36" t="s">
        <v>37</v>
      </c>
    </row>
    <row r="163" spans="1:6" x14ac:dyDescent="0.3">
      <c r="A163" s="53">
        <v>45828</v>
      </c>
      <c r="B163" s="100" t="s">
        <v>15</v>
      </c>
      <c r="C163" s="100" t="s">
        <v>114</v>
      </c>
      <c r="D163" s="101">
        <v>-2324.85</v>
      </c>
      <c r="E163" s="35" t="s">
        <v>7</v>
      </c>
      <c r="F163" s="36" t="s">
        <v>115</v>
      </c>
    </row>
    <row r="164" spans="1:6" x14ac:dyDescent="0.3">
      <c r="A164" s="53">
        <v>45828</v>
      </c>
      <c r="B164" s="100" t="s">
        <v>5</v>
      </c>
      <c r="C164" s="100" t="s">
        <v>114</v>
      </c>
      <c r="D164" s="101">
        <v>-2944.81</v>
      </c>
      <c r="E164" s="35" t="s">
        <v>7</v>
      </c>
      <c r="F164" s="36" t="s">
        <v>115</v>
      </c>
    </row>
    <row r="165" spans="1:6" x14ac:dyDescent="0.3">
      <c r="A165" s="53">
        <v>45828</v>
      </c>
      <c r="B165" s="100" t="s">
        <v>27</v>
      </c>
      <c r="C165" s="100" t="s">
        <v>114</v>
      </c>
      <c r="D165" s="101">
        <v>-2867.32</v>
      </c>
      <c r="E165" s="35" t="s">
        <v>7</v>
      </c>
      <c r="F165" s="36" t="s">
        <v>115</v>
      </c>
    </row>
    <row r="166" spans="1:6" x14ac:dyDescent="0.3">
      <c r="A166" s="53">
        <v>45828</v>
      </c>
      <c r="B166" s="100" t="s">
        <v>27</v>
      </c>
      <c r="C166" s="100" t="s">
        <v>114</v>
      </c>
      <c r="D166" s="101">
        <v>-852.45</v>
      </c>
      <c r="E166" s="35" t="s">
        <v>7</v>
      </c>
      <c r="F166" s="36" t="s">
        <v>115</v>
      </c>
    </row>
    <row r="167" spans="1:6" x14ac:dyDescent="0.3">
      <c r="A167" s="53">
        <v>45828</v>
      </c>
      <c r="B167" s="100" t="s">
        <v>32</v>
      </c>
      <c r="C167" s="100" t="s">
        <v>114</v>
      </c>
      <c r="D167" s="101">
        <v>-2789.82</v>
      </c>
      <c r="E167" s="35" t="s">
        <v>7</v>
      </c>
      <c r="F167" s="36" t="s">
        <v>115</v>
      </c>
    </row>
    <row r="168" spans="1:6" x14ac:dyDescent="0.3">
      <c r="A168" s="53">
        <v>45828</v>
      </c>
      <c r="B168" s="100" t="s">
        <v>34</v>
      </c>
      <c r="C168" s="100" t="s">
        <v>114</v>
      </c>
      <c r="D168" s="101">
        <v>-852.45</v>
      </c>
      <c r="E168" s="35" t="s">
        <v>7</v>
      </c>
      <c r="F168" s="36" t="s">
        <v>115</v>
      </c>
    </row>
    <row r="169" spans="1:6" x14ac:dyDescent="0.3">
      <c r="A169" s="53">
        <v>45828</v>
      </c>
      <c r="B169" s="100" t="s">
        <v>117</v>
      </c>
      <c r="C169" s="100" t="s">
        <v>114</v>
      </c>
      <c r="D169" s="101">
        <v>-619.96</v>
      </c>
      <c r="E169" s="35" t="s">
        <v>7</v>
      </c>
      <c r="F169" s="36" t="s">
        <v>115</v>
      </c>
    </row>
    <row r="170" spans="1:6" x14ac:dyDescent="0.3">
      <c r="A170" s="53">
        <v>45828</v>
      </c>
      <c r="B170" s="100" t="s">
        <v>33</v>
      </c>
      <c r="C170" s="100" t="s">
        <v>114</v>
      </c>
      <c r="D170" s="101">
        <v>-154.99</v>
      </c>
      <c r="E170" s="35" t="s">
        <v>7</v>
      </c>
      <c r="F170" s="36" t="s">
        <v>115</v>
      </c>
    </row>
    <row r="171" spans="1:6" x14ac:dyDescent="0.3">
      <c r="A171" s="53">
        <v>45828</v>
      </c>
      <c r="B171" s="100" t="s">
        <v>116</v>
      </c>
      <c r="C171" s="100" t="s">
        <v>114</v>
      </c>
      <c r="D171" s="101">
        <v>-852.45</v>
      </c>
      <c r="E171" s="35" t="s">
        <v>7</v>
      </c>
      <c r="F171" s="36" t="s">
        <v>115</v>
      </c>
    </row>
    <row r="172" spans="1:6" x14ac:dyDescent="0.3">
      <c r="A172" s="53">
        <v>45828</v>
      </c>
      <c r="B172" s="100" t="s">
        <v>20</v>
      </c>
      <c r="C172" s="100" t="s">
        <v>114</v>
      </c>
      <c r="D172" s="101">
        <v>-77.5</v>
      </c>
      <c r="E172" s="35" t="s">
        <v>7</v>
      </c>
      <c r="F172" s="36" t="s">
        <v>115</v>
      </c>
    </row>
    <row r="173" spans="1:6" x14ac:dyDescent="0.3">
      <c r="A173" s="53">
        <v>45828</v>
      </c>
      <c r="B173" s="41" t="s">
        <v>5</v>
      </c>
      <c r="C173" s="33" t="s">
        <v>44</v>
      </c>
      <c r="D173" s="58">
        <v>-5000</v>
      </c>
      <c r="E173" s="35" t="s">
        <v>7</v>
      </c>
      <c r="F173" s="36" t="s">
        <v>45</v>
      </c>
    </row>
    <row r="174" spans="1:6" x14ac:dyDescent="0.3">
      <c r="A174" s="53">
        <v>45828</v>
      </c>
      <c r="B174" s="41" t="s">
        <v>32</v>
      </c>
      <c r="C174" s="51" t="s">
        <v>118</v>
      </c>
      <c r="D174" s="58">
        <v>-2756.99</v>
      </c>
      <c r="E174" s="35" t="s">
        <v>7</v>
      </c>
      <c r="F174" s="43" t="s">
        <v>41</v>
      </c>
    </row>
    <row r="175" spans="1:6" x14ac:dyDescent="0.3">
      <c r="A175" s="57">
        <v>45831</v>
      </c>
      <c r="B175" s="85" t="s">
        <v>20</v>
      </c>
      <c r="C175" s="33" t="s">
        <v>120</v>
      </c>
      <c r="D175" s="144">
        <v>-1600</v>
      </c>
      <c r="E175" s="35" t="s">
        <v>7</v>
      </c>
      <c r="F175" s="36" t="s">
        <v>121</v>
      </c>
    </row>
    <row r="176" spans="1:6" x14ac:dyDescent="0.3">
      <c r="A176" s="84">
        <v>45828</v>
      </c>
      <c r="B176" s="85" t="s">
        <v>116</v>
      </c>
      <c r="C176" s="85" t="s">
        <v>229</v>
      </c>
      <c r="D176" s="86">
        <v>-701.38</v>
      </c>
      <c r="E176" s="35" t="s">
        <v>7</v>
      </c>
      <c r="F176" s="88" t="s">
        <v>223</v>
      </c>
    </row>
    <row r="177" spans="1:6" x14ac:dyDescent="0.3">
      <c r="A177" s="53">
        <v>45828</v>
      </c>
      <c r="B177" s="140" t="s">
        <v>66</v>
      </c>
      <c r="C177" s="141" t="s">
        <v>122</v>
      </c>
      <c r="D177" s="142">
        <v>-8937.32</v>
      </c>
      <c r="E177" s="143" t="s">
        <v>7</v>
      </c>
      <c r="F177" s="36" t="s">
        <v>41</v>
      </c>
    </row>
    <row r="178" spans="1:6" x14ac:dyDescent="0.3">
      <c r="A178" s="53">
        <v>45835</v>
      </c>
      <c r="B178" s="54" t="s">
        <v>20</v>
      </c>
      <c r="C178" s="45" t="s">
        <v>21</v>
      </c>
      <c r="D178" s="58">
        <v>-15440.25</v>
      </c>
      <c r="E178" s="46" t="s">
        <v>7</v>
      </c>
      <c r="F178" s="34" t="s">
        <v>22</v>
      </c>
    </row>
    <row r="179" spans="1:6" x14ac:dyDescent="0.3">
      <c r="A179" s="57">
        <v>45833</v>
      </c>
      <c r="B179" s="41" t="s">
        <v>5</v>
      </c>
      <c r="C179" s="33" t="s">
        <v>64</v>
      </c>
      <c r="D179" s="58">
        <v>-9500</v>
      </c>
      <c r="E179" s="35" t="s">
        <v>7</v>
      </c>
      <c r="F179" s="51" t="s">
        <v>65</v>
      </c>
    </row>
    <row r="180" spans="1:6" x14ac:dyDescent="0.3">
      <c r="A180" s="84">
        <v>45833</v>
      </c>
      <c r="B180" s="85" t="s">
        <v>32</v>
      </c>
      <c r="C180" s="85" t="s">
        <v>228</v>
      </c>
      <c r="D180" s="86">
        <v>-120</v>
      </c>
      <c r="E180" s="35" t="s">
        <v>7</v>
      </c>
      <c r="F180" s="51" t="s">
        <v>45</v>
      </c>
    </row>
    <row r="181" spans="1:6" x14ac:dyDescent="0.3">
      <c r="A181" s="84">
        <v>45833</v>
      </c>
      <c r="B181" s="85" t="s">
        <v>20</v>
      </c>
      <c r="C181" s="85" t="s">
        <v>260</v>
      </c>
      <c r="D181" s="86">
        <v>-440</v>
      </c>
      <c r="E181" s="35" t="s">
        <v>7</v>
      </c>
      <c r="F181" s="51" t="s">
        <v>51</v>
      </c>
    </row>
    <row r="182" spans="1:6" x14ac:dyDescent="0.3">
      <c r="A182" s="57">
        <v>45833</v>
      </c>
      <c r="B182" s="41" t="s">
        <v>20</v>
      </c>
      <c r="C182" s="33" t="s">
        <v>123</v>
      </c>
      <c r="D182" s="58">
        <v>-500</v>
      </c>
      <c r="E182" s="35" t="s">
        <v>7</v>
      </c>
      <c r="F182" s="51" t="s">
        <v>61</v>
      </c>
    </row>
    <row r="183" spans="1:6" x14ac:dyDescent="0.3">
      <c r="A183" s="57">
        <v>45833</v>
      </c>
      <c r="B183" s="41" t="s">
        <v>5</v>
      </c>
      <c r="C183" s="33" t="s">
        <v>124</v>
      </c>
      <c r="D183" s="58">
        <v>-294.8</v>
      </c>
      <c r="E183" s="35" t="s">
        <v>7</v>
      </c>
      <c r="F183" s="51" t="s">
        <v>125</v>
      </c>
    </row>
    <row r="184" spans="1:6" x14ac:dyDescent="0.3">
      <c r="A184" s="57">
        <v>45833</v>
      </c>
      <c r="B184" s="41" t="s">
        <v>32</v>
      </c>
      <c r="C184" s="51" t="s">
        <v>207</v>
      </c>
      <c r="D184" s="58">
        <v>-1812.64</v>
      </c>
      <c r="E184" s="35" t="s">
        <v>7</v>
      </c>
      <c r="F184" s="33" t="s">
        <v>41</v>
      </c>
    </row>
    <row r="185" spans="1:6" x14ac:dyDescent="0.3">
      <c r="A185" s="84">
        <v>45824</v>
      </c>
      <c r="B185" s="85" t="s">
        <v>116</v>
      </c>
      <c r="C185" s="85" t="s">
        <v>236</v>
      </c>
      <c r="D185" s="86">
        <v>-1200</v>
      </c>
      <c r="E185" s="35" t="s">
        <v>7</v>
      </c>
      <c r="F185" s="88" t="s">
        <v>223</v>
      </c>
    </row>
    <row r="186" spans="1:6" x14ac:dyDescent="0.3">
      <c r="A186" s="84">
        <v>45824</v>
      </c>
      <c r="B186" s="85" t="s">
        <v>27</v>
      </c>
      <c r="C186" s="85" t="s">
        <v>235</v>
      </c>
      <c r="D186" s="86">
        <v>-1723</v>
      </c>
      <c r="E186" s="35" t="s">
        <v>7</v>
      </c>
      <c r="F186" s="88" t="s">
        <v>143</v>
      </c>
    </row>
    <row r="187" spans="1:6" x14ac:dyDescent="0.3">
      <c r="A187" s="32">
        <v>45824</v>
      </c>
      <c r="B187" s="41" t="s">
        <v>20</v>
      </c>
      <c r="C187" s="51" t="s">
        <v>126</v>
      </c>
      <c r="D187" s="59">
        <v>-9980</v>
      </c>
      <c r="E187" s="35" t="s">
        <v>7</v>
      </c>
      <c r="F187" s="43" t="s">
        <v>58</v>
      </c>
    </row>
    <row r="188" spans="1:6" s="93" customFormat="1" x14ac:dyDescent="0.3">
      <c r="A188" s="128">
        <v>45835</v>
      </c>
      <c r="B188" s="102" t="s">
        <v>5</v>
      </c>
      <c r="C188" s="102" t="s">
        <v>261</v>
      </c>
      <c r="D188" s="114">
        <v>-2000</v>
      </c>
      <c r="E188" s="137" t="s">
        <v>7</v>
      </c>
      <c r="F188" s="109" t="s">
        <v>39</v>
      </c>
    </row>
    <row r="189" spans="1:6" x14ac:dyDescent="0.3">
      <c r="A189" s="57">
        <v>45838</v>
      </c>
      <c r="B189" s="72" t="s">
        <v>20</v>
      </c>
      <c r="C189" s="89" t="s">
        <v>212</v>
      </c>
      <c r="D189" s="73">
        <v>-1848.63</v>
      </c>
      <c r="E189" s="77" t="s">
        <v>7</v>
      </c>
      <c r="F189" s="74" t="s">
        <v>39</v>
      </c>
    </row>
    <row r="190" spans="1:6" x14ac:dyDescent="0.3">
      <c r="A190" s="57">
        <v>45838</v>
      </c>
      <c r="B190" s="85" t="s">
        <v>5</v>
      </c>
      <c r="C190" s="91" t="s">
        <v>213</v>
      </c>
      <c r="D190" s="86">
        <v>-6298.6</v>
      </c>
      <c r="E190" s="87" t="s">
        <v>7</v>
      </c>
      <c r="F190" s="88" t="s">
        <v>39</v>
      </c>
    </row>
    <row r="191" spans="1:6" x14ac:dyDescent="0.3">
      <c r="A191" s="57">
        <v>45838</v>
      </c>
      <c r="B191" s="85" t="s">
        <v>5</v>
      </c>
      <c r="C191" s="91" t="s">
        <v>214</v>
      </c>
      <c r="D191" s="86">
        <v>-2000</v>
      </c>
      <c r="E191" s="87" t="s">
        <v>7</v>
      </c>
      <c r="F191" s="88" t="s">
        <v>39</v>
      </c>
    </row>
    <row r="192" spans="1:6" x14ac:dyDescent="0.3">
      <c r="A192" s="57">
        <v>45838</v>
      </c>
      <c r="B192" s="96" t="s">
        <v>5</v>
      </c>
      <c r="C192" s="91" t="s">
        <v>215</v>
      </c>
      <c r="D192" s="86">
        <v>-501.54</v>
      </c>
      <c r="E192" s="87" t="s">
        <v>7</v>
      </c>
      <c r="F192" s="88" t="s">
        <v>39</v>
      </c>
    </row>
    <row r="193" spans="1:6" x14ac:dyDescent="0.3">
      <c r="A193" s="57">
        <v>45838</v>
      </c>
      <c r="B193" s="96" t="s">
        <v>20</v>
      </c>
      <c r="C193" s="91" t="s">
        <v>216</v>
      </c>
      <c r="D193" s="86">
        <v>-1400</v>
      </c>
      <c r="E193" s="87" t="s">
        <v>7</v>
      </c>
      <c r="F193" s="88" t="s">
        <v>39</v>
      </c>
    </row>
    <row r="194" spans="1:6" x14ac:dyDescent="0.3">
      <c r="A194" s="57">
        <v>45838</v>
      </c>
      <c r="B194" s="78" t="s">
        <v>34</v>
      </c>
      <c r="C194" s="89" t="s">
        <v>217</v>
      </c>
      <c r="D194" s="73">
        <v>-2000</v>
      </c>
      <c r="E194" s="35" t="s">
        <v>7</v>
      </c>
      <c r="F194" s="74" t="s">
        <v>39</v>
      </c>
    </row>
    <row r="195" spans="1:6" s="95" customFormat="1" x14ac:dyDescent="0.3">
      <c r="A195" s="94">
        <v>45838</v>
      </c>
      <c r="B195" s="97" t="s">
        <v>20</v>
      </c>
      <c r="C195" s="100" t="s">
        <v>220</v>
      </c>
      <c r="D195" s="101">
        <v>-1916.67</v>
      </c>
      <c r="E195" s="35" t="s">
        <v>7</v>
      </c>
      <c r="F195" s="74" t="s">
        <v>39</v>
      </c>
    </row>
    <row r="196" spans="1:6" x14ac:dyDescent="0.3">
      <c r="A196" s="57">
        <v>45838</v>
      </c>
      <c r="B196" s="98" t="s">
        <v>12</v>
      </c>
      <c r="C196" s="33" t="s">
        <v>127</v>
      </c>
      <c r="D196" s="58">
        <v>-500</v>
      </c>
      <c r="E196" s="35" t="s">
        <v>7</v>
      </c>
      <c r="F196" s="36" t="s">
        <v>38</v>
      </c>
    </row>
    <row r="197" spans="1:6" x14ac:dyDescent="0.3">
      <c r="A197" s="57">
        <v>45838</v>
      </c>
      <c r="B197" s="99" t="s">
        <v>66</v>
      </c>
      <c r="C197" s="33" t="s">
        <v>84</v>
      </c>
      <c r="D197" s="58">
        <v>-10000</v>
      </c>
      <c r="E197" s="36" t="s">
        <v>7</v>
      </c>
      <c r="F197" s="43" t="s">
        <v>41</v>
      </c>
    </row>
    <row r="198" spans="1:6" x14ac:dyDescent="0.3">
      <c r="A198" s="57">
        <v>45838</v>
      </c>
      <c r="B198" s="55" t="s">
        <v>20</v>
      </c>
      <c r="C198" s="62" t="s">
        <v>128</v>
      </c>
      <c r="D198" s="58">
        <v>-2530.4299999999998</v>
      </c>
      <c r="E198" s="46" t="s">
        <v>7</v>
      </c>
      <c r="F198" s="34" t="s">
        <v>38</v>
      </c>
    </row>
    <row r="199" spans="1:6" x14ac:dyDescent="0.3">
      <c r="A199" s="57">
        <v>45838</v>
      </c>
      <c r="B199" s="55" t="s">
        <v>20</v>
      </c>
      <c r="C199" s="62" t="s">
        <v>128</v>
      </c>
      <c r="D199" s="58">
        <v>-1339.5</v>
      </c>
      <c r="E199" s="46" t="s">
        <v>7</v>
      </c>
      <c r="F199" s="34" t="s">
        <v>38</v>
      </c>
    </row>
    <row r="200" spans="1:6" x14ac:dyDescent="0.3">
      <c r="A200" s="57">
        <v>45838</v>
      </c>
      <c r="B200" s="54" t="s">
        <v>74</v>
      </c>
      <c r="C200" s="45" t="s">
        <v>75</v>
      </c>
      <c r="D200" s="58">
        <v>-7000</v>
      </c>
      <c r="E200" s="46" t="s">
        <v>7</v>
      </c>
      <c r="F200" s="34" t="s">
        <v>37</v>
      </c>
    </row>
    <row r="201" spans="1:6" x14ac:dyDescent="0.3">
      <c r="A201" s="53">
        <v>45838</v>
      </c>
      <c r="B201" s="41" t="s">
        <v>20</v>
      </c>
      <c r="C201" s="51" t="s">
        <v>126</v>
      </c>
      <c r="D201" s="58">
        <v>-9980</v>
      </c>
      <c r="E201" s="35" t="s">
        <v>7</v>
      </c>
      <c r="F201" s="43" t="s">
        <v>58</v>
      </c>
    </row>
    <row r="202" spans="1:6" x14ac:dyDescent="0.3">
      <c r="A202" s="84">
        <v>45828</v>
      </c>
      <c r="B202" s="85" t="s">
        <v>5</v>
      </c>
      <c r="C202" s="85" t="s">
        <v>258</v>
      </c>
      <c r="D202" s="202">
        <v>-960</v>
      </c>
      <c r="E202" s="35" t="s">
        <v>7</v>
      </c>
      <c r="F202" s="102" t="s">
        <v>39</v>
      </c>
    </row>
    <row r="203" spans="1:6" x14ac:dyDescent="0.3">
      <c r="A203" s="84">
        <v>45828</v>
      </c>
      <c r="B203" s="85" t="s">
        <v>20</v>
      </c>
      <c r="C203" s="85" t="s">
        <v>259</v>
      </c>
      <c r="D203" s="202">
        <v>-1848.63</v>
      </c>
      <c r="E203" s="35" t="s">
        <v>7</v>
      </c>
      <c r="F203" s="102" t="s">
        <v>39</v>
      </c>
    </row>
    <row r="204" spans="1:6" x14ac:dyDescent="0.3">
      <c r="A204" s="32">
        <v>45831</v>
      </c>
      <c r="B204" s="41" t="s">
        <v>20</v>
      </c>
      <c r="C204" s="51" t="s">
        <v>126</v>
      </c>
      <c r="D204" s="144">
        <v>-9980</v>
      </c>
      <c r="E204" s="35" t="s">
        <v>7</v>
      </c>
      <c r="F204" s="43" t="s">
        <v>58</v>
      </c>
    </row>
    <row r="205" spans="1:6" x14ac:dyDescent="0.3">
      <c r="A205" s="57">
        <v>45838</v>
      </c>
      <c r="B205" s="41" t="s">
        <v>20</v>
      </c>
      <c r="C205" s="33" t="s">
        <v>126</v>
      </c>
      <c r="D205" s="58">
        <v>-13518.18</v>
      </c>
      <c r="E205" s="35" t="s">
        <v>7</v>
      </c>
      <c r="F205" s="43" t="s">
        <v>58</v>
      </c>
    </row>
    <row r="206" spans="1:6" ht="15" customHeight="1" x14ac:dyDescent="0.3">
      <c r="A206" s="57">
        <v>45838</v>
      </c>
      <c r="B206" s="41" t="s">
        <v>5</v>
      </c>
      <c r="C206" s="33" t="s">
        <v>132</v>
      </c>
      <c r="D206" s="58">
        <v>-40000</v>
      </c>
      <c r="E206" s="35" t="s">
        <v>7</v>
      </c>
      <c r="F206" s="36" t="s">
        <v>78</v>
      </c>
    </row>
    <row r="207" spans="1:6" x14ac:dyDescent="0.3">
      <c r="A207" s="57">
        <v>45838</v>
      </c>
      <c r="B207" s="41" t="s">
        <v>5</v>
      </c>
      <c r="C207" s="33" t="s">
        <v>148</v>
      </c>
      <c r="D207" s="58">
        <v>-9000</v>
      </c>
      <c r="E207" s="35" t="s">
        <v>7</v>
      </c>
      <c r="F207" s="36" t="s">
        <v>133</v>
      </c>
    </row>
    <row r="208" spans="1:6" x14ac:dyDescent="0.3">
      <c r="A208" s="57">
        <v>45838</v>
      </c>
      <c r="B208" s="41" t="s">
        <v>20</v>
      </c>
      <c r="C208" s="62" t="s">
        <v>136</v>
      </c>
      <c r="D208" s="58">
        <v>-1500</v>
      </c>
      <c r="E208" s="46" t="s">
        <v>7</v>
      </c>
      <c r="F208" s="34" t="s">
        <v>137</v>
      </c>
    </row>
    <row r="209" spans="1:6" x14ac:dyDescent="0.3">
      <c r="A209" s="57">
        <v>45838</v>
      </c>
      <c r="B209" s="41" t="s">
        <v>20</v>
      </c>
      <c r="C209" s="62" t="s">
        <v>138</v>
      </c>
      <c r="D209" s="58">
        <v>-500</v>
      </c>
      <c r="E209" s="46" t="s">
        <v>7</v>
      </c>
      <c r="F209" s="34" t="s">
        <v>137</v>
      </c>
    </row>
    <row r="210" spans="1:6" x14ac:dyDescent="0.3">
      <c r="A210" s="57">
        <v>45838</v>
      </c>
      <c r="B210" s="41" t="s">
        <v>12</v>
      </c>
      <c r="C210" s="33" t="s">
        <v>142</v>
      </c>
      <c r="D210" s="58">
        <v>-100</v>
      </c>
      <c r="E210" s="35" t="s">
        <v>7</v>
      </c>
      <c r="F210" s="36" t="s">
        <v>143</v>
      </c>
    </row>
    <row r="211" spans="1:6" x14ac:dyDescent="0.3">
      <c r="A211" s="57">
        <v>45838</v>
      </c>
      <c r="B211" s="42" t="s">
        <v>12</v>
      </c>
      <c r="C211" s="33" t="s">
        <v>144</v>
      </c>
      <c r="D211" s="58">
        <v>-800</v>
      </c>
      <c r="E211" s="35" t="s">
        <v>7</v>
      </c>
      <c r="F211" s="43" t="s">
        <v>145</v>
      </c>
    </row>
    <row r="212" spans="1:6" x14ac:dyDescent="0.3">
      <c r="A212" s="146">
        <v>45838</v>
      </c>
      <c r="B212" s="147" t="s">
        <v>5</v>
      </c>
      <c r="C212" s="91" t="s">
        <v>203</v>
      </c>
      <c r="D212" s="107">
        <v>-40000</v>
      </c>
      <c r="E212" s="87" t="s">
        <v>7</v>
      </c>
      <c r="F212" s="87" t="s">
        <v>130</v>
      </c>
    </row>
    <row r="213" spans="1:6" s="93" customFormat="1" ht="13.8" customHeight="1" x14ac:dyDescent="0.3">
      <c r="A213" s="146">
        <v>45838</v>
      </c>
      <c r="B213" s="85" t="s">
        <v>27</v>
      </c>
      <c r="C213" s="85" t="s">
        <v>235</v>
      </c>
      <c r="D213" s="86">
        <v>-1590</v>
      </c>
      <c r="E213" s="87" t="s">
        <v>7</v>
      </c>
      <c r="F213" s="88" t="s">
        <v>143</v>
      </c>
    </row>
    <row r="214" spans="1:6" s="93" customFormat="1" ht="13.8" customHeight="1" x14ac:dyDescent="0.3">
      <c r="A214" s="146">
        <v>45838</v>
      </c>
      <c r="B214" s="85" t="s">
        <v>20</v>
      </c>
      <c r="C214" s="85" t="s">
        <v>114</v>
      </c>
      <c r="D214" s="86">
        <v>-1408.84</v>
      </c>
      <c r="E214" s="87" t="s">
        <v>7</v>
      </c>
      <c r="F214" s="88" t="s">
        <v>262</v>
      </c>
    </row>
    <row r="215" spans="1:6" x14ac:dyDescent="0.3">
      <c r="A215" s="146">
        <v>45838</v>
      </c>
      <c r="B215" s="85" t="s">
        <v>20</v>
      </c>
      <c r="C215" s="85" t="s">
        <v>114</v>
      </c>
      <c r="D215" s="86">
        <v>-3312.86</v>
      </c>
      <c r="E215" s="87" t="s">
        <v>7</v>
      </c>
      <c r="F215" s="88" t="s">
        <v>262</v>
      </c>
    </row>
    <row r="216" spans="1:6" s="64" customFormat="1" x14ac:dyDescent="0.3">
      <c r="A216" s="146">
        <v>45838</v>
      </c>
      <c r="B216" s="147" t="s">
        <v>20</v>
      </c>
      <c r="C216" s="148" t="s">
        <v>204</v>
      </c>
      <c r="D216" s="149">
        <v>-100000</v>
      </c>
      <c r="E216" s="87" t="s">
        <v>7</v>
      </c>
      <c r="F216" s="87" t="s">
        <v>140</v>
      </c>
    </row>
    <row r="217" spans="1:6" s="64" customFormat="1" ht="13.8" customHeight="1" x14ac:dyDescent="0.3">
      <c r="A217" s="146">
        <v>45838</v>
      </c>
      <c r="B217" s="147" t="s">
        <v>20</v>
      </c>
      <c r="C217" s="148" t="s">
        <v>209</v>
      </c>
      <c r="D217" s="149">
        <v>-7000</v>
      </c>
      <c r="E217" s="87" t="s">
        <v>7</v>
      </c>
      <c r="F217" s="87" t="s">
        <v>108</v>
      </c>
    </row>
    <row r="218" spans="1:6" s="64" customFormat="1" ht="13.8" customHeight="1" x14ac:dyDescent="0.3">
      <c r="A218" s="146">
        <v>45838</v>
      </c>
      <c r="B218" s="147" t="s">
        <v>27</v>
      </c>
      <c r="C218" s="148" t="s">
        <v>210</v>
      </c>
      <c r="D218" s="149">
        <v>-2000</v>
      </c>
      <c r="E218" s="87" t="s">
        <v>7</v>
      </c>
      <c r="F218" s="87" t="s">
        <v>108</v>
      </c>
    </row>
    <row r="219" spans="1:6" s="64" customFormat="1" x14ac:dyDescent="0.3">
      <c r="A219" s="57">
        <v>45838</v>
      </c>
      <c r="B219" s="41" t="s">
        <v>74</v>
      </c>
      <c r="C219" s="33" t="s">
        <v>211</v>
      </c>
      <c r="D219" s="59">
        <v>-9000</v>
      </c>
      <c r="E219" s="35" t="s">
        <v>7</v>
      </c>
      <c r="F219" s="83" t="s">
        <v>108</v>
      </c>
    </row>
    <row r="220" spans="1:6" x14ac:dyDescent="0.3">
      <c r="A220" s="57">
        <v>45838</v>
      </c>
      <c r="B220" s="41" t="s">
        <v>5</v>
      </c>
      <c r="C220" s="62" t="s">
        <v>146</v>
      </c>
      <c r="D220" s="58">
        <v>-1232.3599999999999</v>
      </c>
      <c r="E220" s="35" t="s">
        <v>7</v>
      </c>
      <c r="F220" s="35" t="s">
        <v>80</v>
      </c>
    </row>
    <row r="221" spans="1:6" x14ac:dyDescent="0.3">
      <c r="A221" s="57">
        <v>45838</v>
      </c>
      <c r="B221" s="41" t="s">
        <v>5</v>
      </c>
      <c r="C221" s="62" t="s">
        <v>146</v>
      </c>
      <c r="D221" s="58">
        <v>-1634.18</v>
      </c>
      <c r="E221" s="35" t="s">
        <v>7</v>
      </c>
      <c r="F221" s="35" t="s">
        <v>80</v>
      </c>
    </row>
    <row r="222" spans="1:6" ht="16.8" customHeight="1" x14ac:dyDescent="0.3">
      <c r="A222" s="71">
        <v>45810</v>
      </c>
      <c r="B222" s="150" t="s">
        <v>264</v>
      </c>
      <c r="C222" s="150" t="s">
        <v>265</v>
      </c>
      <c r="D222" s="151">
        <v>23638.67</v>
      </c>
      <c r="E222" s="39" t="s">
        <v>263</v>
      </c>
      <c r="F222" s="153" t="s">
        <v>162</v>
      </c>
    </row>
    <row r="223" spans="1:6" x14ac:dyDescent="0.3">
      <c r="A223" s="71">
        <v>45810</v>
      </c>
      <c r="B223" s="150" t="s">
        <v>163</v>
      </c>
      <c r="C223" s="150" t="s">
        <v>266</v>
      </c>
      <c r="D223" s="151">
        <v>799.2</v>
      </c>
      <c r="E223" s="39" t="s">
        <v>263</v>
      </c>
      <c r="F223" s="153" t="s">
        <v>162</v>
      </c>
    </row>
    <row r="224" spans="1:6" ht="16.8" customHeight="1" x14ac:dyDescent="0.3">
      <c r="A224" s="71">
        <v>45810</v>
      </c>
      <c r="B224" s="150" t="s">
        <v>163</v>
      </c>
      <c r="C224" s="150" t="s">
        <v>266</v>
      </c>
      <c r="D224" s="151">
        <v>3600</v>
      </c>
      <c r="E224" s="39" t="s">
        <v>263</v>
      </c>
      <c r="F224" s="153" t="s">
        <v>267</v>
      </c>
    </row>
    <row r="225" spans="1:6" x14ac:dyDescent="0.3">
      <c r="A225" s="71">
        <v>45810</v>
      </c>
      <c r="B225" s="150" t="s">
        <v>163</v>
      </c>
      <c r="C225" s="150" t="s">
        <v>266</v>
      </c>
      <c r="D225" s="151">
        <v>18532.8</v>
      </c>
      <c r="E225" s="39" t="s">
        <v>263</v>
      </c>
      <c r="F225" s="153" t="s">
        <v>162</v>
      </c>
    </row>
    <row r="226" spans="1:6" ht="16.8" customHeight="1" x14ac:dyDescent="0.3">
      <c r="A226" s="71">
        <v>45810</v>
      </c>
      <c r="B226" s="150" t="s">
        <v>268</v>
      </c>
      <c r="C226" s="150" t="s">
        <v>269</v>
      </c>
      <c r="D226" s="151">
        <v>22451.91</v>
      </c>
      <c r="E226" s="39" t="s">
        <v>263</v>
      </c>
      <c r="F226" s="153" t="s">
        <v>162</v>
      </c>
    </row>
    <row r="227" spans="1:6" x14ac:dyDescent="0.3">
      <c r="A227" s="71">
        <v>45810</v>
      </c>
      <c r="B227" s="150" t="s">
        <v>168</v>
      </c>
      <c r="C227" s="150" t="s">
        <v>270</v>
      </c>
      <c r="D227" s="151">
        <v>14482.07</v>
      </c>
      <c r="E227" s="39" t="s">
        <v>263</v>
      </c>
      <c r="F227" s="153" t="s">
        <v>162</v>
      </c>
    </row>
    <row r="228" spans="1:6" ht="16.8" customHeight="1" x14ac:dyDescent="0.3">
      <c r="A228" s="71">
        <v>45810</v>
      </c>
      <c r="B228" s="150" t="s">
        <v>168</v>
      </c>
      <c r="C228" s="150" t="s">
        <v>270</v>
      </c>
      <c r="D228" s="151">
        <v>23943.3</v>
      </c>
      <c r="E228" s="39" t="s">
        <v>263</v>
      </c>
      <c r="F228" s="153" t="s">
        <v>162</v>
      </c>
    </row>
    <row r="229" spans="1:6" x14ac:dyDescent="0.3">
      <c r="A229" s="71">
        <v>45810</v>
      </c>
      <c r="B229" s="150" t="s">
        <v>168</v>
      </c>
      <c r="C229" s="150" t="s">
        <v>270</v>
      </c>
      <c r="D229" s="151">
        <v>21852.37</v>
      </c>
      <c r="E229" s="39" t="s">
        <v>263</v>
      </c>
      <c r="F229" s="153" t="s">
        <v>162</v>
      </c>
    </row>
    <row r="230" spans="1:6" ht="16.8" customHeight="1" x14ac:dyDescent="0.3">
      <c r="A230" s="71">
        <v>45810</v>
      </c>
      <c r="B230" s="150" t="s">
        <v>168</v>
      </c>
      <c r="C230" s="150" t="s">
        <v>270</v>
      </c>
      <c r="D230" s="151">
        <v>5283.53</v>
      </c>
      <c r="E230" s="39" t="s">
        <v>263</v>
      </c>
      <c r="F230" s="153" t="s">
        <v>162</v>
      </c>
    </row>
    <row r="231" spans="1:6" x14ac:dyDescent="0.3">
      <c r="A231" s="71">
        <v>45810</v>
      </c>
      <c r="B231" s="150" t="s">
        <v>168</v>
      </c>
      <c r="C231" s="150" t="s">
        <v>270</v>
      </c>
      <c r="D231" s="151">
        <v>1500</v>
      </c>
      <c r="E231" s="39" t="s">
        <v>263</v>
      </c>
      <c r="F231" s="153" t="s">
        <v>162</v>
      </c>
    </row>
    <row r="232" spans="1:6" ht="16.8" customHeight="1" x14ac:dyDescent="0.3">
      <c r="A232" s="71">
        <v>45810</v>
      </c>
      <c r="B232" s="150" t="s">
        <v>168</v>
      </c>
      <c r="C232" s="150" t="s">
        <v>270</v>
      </c>
      <c r="D232" s="151">
        <v>1200</v>
      </c>
      <c r="E232" s="39" t="s">
        <v>263</v>
      </c>
      <c r="F232" s="153" t="s">
        <v>162</v>
      </c>
    </row>
    <row r="233" spans="1:6" x14ac:dyDescent="0.3">
      <c r="A233" s="71">
        <v>45810</v>
      </c>
      <c r="B233" s="150" t="s">
        <v>168</v>
      </c>
      <c r="C233" s="150" t="s">
        <v>270</v>
      </c>
      <c r="D233" s="151">
        <v>196</v>
      </c>
      <c r="E233" s="39" t="s">
        <v>263</v>
      </c>
      <c r="F233" s="153" t="s">
        <v>162</v>
      </c>
    </row>
    <row r="234" spans="1:6" s="64" customFormat="1" x14ac:dyDescent="0.3">
      <c r="A234" s="32">
        <v>45818</v>
      </c>
      <c r="B234" s="41" t="s">
        <v>12</v>
      </c>
      <c r="C234" s="72" t="s">
        <v>194</v>
      </c>
      <c r="D234" s="73">
        <v>-50000</v>
      </c>
      <c r="E234" s="35" t="s">
        <v>7</v>
      </c>
      <c r="F234" s="74" t="s">
        <v>45</v>
      </c>
    </row>
    <row r="235" spans="1:6" s="64" customFormat="1" x14ac:dyDescent="0.3">
      <c r="A235" s="84">
        <v>45818</v>
      </c>
      <c r="B235" s="85" t="s">
        <v>27</v>
      </c>
      <c r="C235" s="85" t="s">
        <v>235</v>
      </c>
      <c r="D235" s="86">
        <v>-909</v>
      </c>
      <c r="E235" s="35" t="s">
        <v>7</v>
      </c>
      <c r="F235" s="88" t="s">
        <v>143</v>
      </c>
    </row>
    <row r="236" spans="1:6" s="64" customFormat="1" x14ac:dyDescent="0.3">
      <c r="A236" s="84">
        <v>45818</v>
      </c>
      <c r="B236" s="85" t="s">
        <v>27</v>
      </c>
      <c r="C236" s="85" t="s">
        <v>226</v>
      </c>
      <c r="D236" s="86">
        <v>-2796.19</v>
      </c>
      <c r="E236" s="35" t="s">
        <v>7</v>
      </c>
      <c r="F236" s="109" t="s">
        <v>223</v>
      </c>
    </row>
    <row r="237" spans="1:6" s="64" customFormat="1" x14ac:dyDescent="0.3">
      <c r="A237" s="84">
        <v>45818</v>
      </c>
      <c r="B237" s="85" t="s">
        <v>116</v>
      </c>
      <c r="C237" s="85" t="s">
        <v>236</v>
      </c>
      <c r="D237" s="86">
        <v>-219</v>
      </c>
      <c r="E237" s="35" t="s">
        <v>7</v>
      </c>
      <c r="F237" s="109" t="s">
        <v>223</v>
      </c>
    </row>
    <row r="238" spans="1:6" s="64" customFormat="1" x14ac:dyDescent="0.3">
      <c r="A238" s="84">
        <v>45818</v>
      </c>
      <c r="B238" s="85" t="s">
        <v>116</v>
      </c>
      <c r="C238" s="85" t="s">
        <v>227</v>
      </c>
      <c r="D238" s="86">
        <v>-1421.65</v>
      </c>
      <c r="E238" s="35" t="s">
        <v>7</v>
      </c>
      <c r="F238" s="109" t="s">
        <v>223</v>
      </c>
    </row>
    <row r="239" spans="1:6" ht="15" customHeight="1" x14ac:dyDescent="0.3">
      <c r="A239" s="6">
        <v>45818</v>
      </c>
      <c r="B239" s="28" t="s">
        <v>164</v>
      </c>
      <c r="C239" s="13" t="s">
        <v>165</v>
      </c>
      <c r="D239" s="66">
        <v>33748</v>
      </c>
      <c r="E239" s="39" t="s">
        <v>263</v>
      </c>
      <c r="F239" s="69" t="s">
        <v>166</v>
      </c>
    </row>
    <row r="240" spans="1:6" ht="15" customHeight="1" x14ac:dyDescent="0.3">
      <c r="A240" s="84">
        <v>45819</v>
      </c>
      <c r="B240" s="85" t="s">
        <v>32</v>
      </c>
      <c r="C240" s="85" t="s">
        <v>228</v>
      </c>
      <c r="D240" s="86">
        <v>-120</v>
      </c>
      <c r="E240" s="85" t="s">
        <v>7</v>
      </c>
      <c r="F240" s="88" t="s">
        <v>45</v>
      </c>
    </row>
    <row r="241" spans="1:6" ht="15" customHeight="1" x14ac:dyDescent="0.3">
      <c r="A241" s="84">
        <v>45819</v>
      </c>
      <c r="B241" s="85" t="s">
        <v>116</v>
      </c>
      <c r="C241" s="85" t="s">
        <v>229</v>
      </c>
      <c r="D241" s="86">
        <v>-1074.31</v>
      </c>
      <c r="E241" s="85" t="s">
        <v>7</v>
      </c>
      <c r="F241" s="88" t="s">
        <v>223</v>
      </c>
    </row>
    <row r="242" spans="1:6" customFormat="1" x14ac:dyDescent="0.3">
      <c r="A242" s="6">
        <v>45819</v>
      </c>
      <c r="B242" s="28" t="s">
        <v>164</v>
      </c>
      <c r="C242" s="12" t="s">
        <v>167</v>
      </c>
      <c r="D242" s="158">
        <v>300</v>
      </c>
      <c r="E242" s="39" t="s">
        <v>263</v>
      </c>
      <c r="F242" s="37" t="s">
        <v>276</v>
      </c>
    </row>
    <row r="243" spans="1:6" x14ac:dyDescent="0.3">
      <c r="A243" s="38">
        <v>45819</v>
      </c>
      <c r="B243" s="28" t="s">
        <v>164</v>
      </c>
      <c r="C243" s="65" t="s">
        <v>167</v>
      </c>
      <c r="D243" s="66">
        <v>4880.1400000000003</v>
      </c>
      <c r="E243" s="39" t="s">
        <v>263</v>
      </c>
      <c r="F243" s="37" t="s">
        <v>162</v>
      </c>
    </row>
    <row r="244" spans="1:6" x14ac:dyDescent="0.3">
      <c r="A244" s="6">
        <v>45819</v>
      </c>
      <c r="B244" s="28" t="s">
        <v>168</v>
      </c>
      <c r="C244" s="12" t="s">
        <v>169</v>
      </c>
      <c r="D244" s="31">
        <v>603.26</v>
      </c>
      <c r="E244" s="39" t="s">
        <v>263</v>
      </c>
      <c r="F244" s="37" t="s">
        <v>175</v>
      </c>
    </row>
    <row r="245" spans="1:6" x14ac:dyDescent="0.3">
      <c r="A245" s="38">
        <v>45819</v>
      </c>
      <c r="B245" s="28" t="s">
        <v>168</v>
      </c>
      <c r="C245" s="12" t="s">
        <v>169</v>
      </c>
      <c r="D245" s="160">
        <v>300</v>
      </c>
      <c r="E245" s="39" t="s">
        <v>263</v>
      </c>
      <c r="F245" s="37" t="s">
        <v>279</v>
      </c>
    </row>
    <row r="246" spans="1:6" x14ac:dyDescent="0.3">
      <c r="A246" s="38">
        <v>45819</v>
      </c>
      <c r="B246" s="28" t="s">
        <v>168</v>
      </c>
      <c r="C246" s="12" t="s">
        <v>169</v>
      </c>
      <c r="D246" s="160">
        <v>9631</v>
      </c>
      <c r="E246" s="39" t="s">
        <v>263</v>
      </c>
      <c r="F246" s="37" t="s">
        <v>280</v>
      </c>
    </row>
    <row r="247" spans="1:6" x14ac:dyDescent="0.3">
      <c r="A247" s="38">
        <v>45819</v>
      </c>
      <c r="B247" s="28" t="s">
        <v>119</v>
      </c>
      <c r="C247" s="65" t="s">
        <v>170</v>
      </c>
      <c r="D247" s="160">
        <v>238.72</v>
      </c>
      <c r="E247" s="39" t="s">
        <v>263</v>
      </c>
      <c r="F247" s="37" t="s">
        <v>175</v>
      </c>
    </row>
    <row r="248" spans="1:6" x14ac:dyDescent="0.3">
      <c r="A248" s="38">
        <v>45819</v>
      </c>
      <c r="B248" s="28" t="s">
        <v>119</v>
      </c>
      <c r="C248" s="65" t="s">
        <v>171</v>
      </c>
      <c r="D248" s="160">
        <v>680.03</v>
      </c>
      <c r="E248" s="39" t="s">
        <v>263</v>
      </c>
      <c r="F248" s="37"/>
    </row>
    <row r="249" spans="1:6" x14ac:dyDescent="0.3">
      <c r="A249" s="38">
        <v>45819</v>
      </c>
      <c r="B249" s="28" t="s">
        <v>159</v>
      </c>
      <c r="C249" s="70" t="s">
        <v>172</v>
      </c>
      <c r="D249" s="29">
        <v>24988.71</v>
      </c>
      <c r="E249" s="39" t="s">
        <v>263</v>
      </c>
      <c r="F249" s="129" t="s">
        <v>173</v>
      </c>
    </row>
    <row r="250" spans="1:6" x14ac:dyDescent="0.3">
      <c r="A250" s="38">
        <v>45819</v>
      </c>
      <c r="B250" s="28" t="s">
        <v>159</v>
      </c>
      <c r="C250" s="70" t="s">
        <v>172</v>
      </c>
      <c r="D250" s="29">
        <v>16834.330000000002</v>
      </c>
      <c r="E250" s="39" t="s">
        <v>263</v>
      </c>
      <c r="F250" s="129" t="s">
        <v>174</v>
      </c>
    </row>
    <row r="251" spans="1:6" x14ac:dyDescent="0.3">
      <c r="A251" s="38">
        <v>45819</v>
      </c>
      <c r="B251" s="28" t="s">
        <v>159</v>
      </c>
      <c r="C251" s="70" t="s">
        <v>172</v>
      </c>
      <c r="D251" s="29">
        <v>268.13</v>
      </c>
      <c r="E251" s="39" t="s">
        <v>263</v>
      </c>
      <c r="F251" s="129" t="s">
        <v>175</v>
      </c>
    </row>
    <row r="252" spans="1:6" x14ac:dyDescent="0.3">
      <c r="A252" s="38">
        <v>45828</v>
      </c>
      <c r="B252" s="28" t="s">
        <v>159</v>
      </c>
      <c r="C252" s="161" t="s">
        <v>172</v>
      </c>
      <c r="D252" s="160">
        <v>2140</v>
      </c>
      <c r="E252" s="69" t="s">
        <v>263</v>
      </c>
      <c r="F252" s="129" t="s">
        <v>176</v>
      </c>
    </row>
    <row r="253" spans="1:6" s="169" customFormat="1" x14ac:dyDescent="0.3">
      <c r="A253" s="178">
        <v>45825</v>
      </c>
      <c r="B253" s="28" t="s">
        <v>163</v>
      </c>
      <c r="C253" s="179" t="s">
        <v>272</v>
      </c>
      <c r="D253" s="180">
        <v>7850</v>
      </c>
      <c r="E253" s="181" t="s">
        <v>263</v>
      </c>
      <c r="F253" s="37" t="s">
        <v>162</v>
      </c>
    </row>
    <row r="254" spans="1:6" x14ac:dyDescent="0.3">
      <c r="A254" s="38">
        <v>45824</v>
      </c>
      <c r="B254" s="28" t="s">
        <v>20</v>
      </c>
      <c r="C254" s="12" t="s">
        <v>177</v>
      </c>
      <c r="D254" s="160">
        <v>338239.01</v>
      </c>
      <c r="E254" s="69" t="s">
        <v>263</v>
      </c>
      <c r="F254" s="129" t="s">
        <v>163</v>
      </c>
    </row>
    <row r="255" spans="1:6" s="95" customFormat="1" x14ac:dyDescent="0.3">
      <c r="A255" s="139">
        <v>45826</v>
      </c>
      <c r="B255" s="100" t="s">
        <v>32</v>
      </c>
      <c r="C255" s="100" t="s">
        <v>228</v>
      </c>
      <c r="D255" s="101">
        <v>-120</v>
      </c>
      <c r="E255" s="100" t="s">
        <v>7</v>
      </c>
      <c r="F255" s="100" t="s">
        <v>45</v>
      </c>
    </row>
    <row r="256" spans="1:6" s="95" customFormat="1" x14ac:dyDescent="0.3">
      <c r="A256" s="139">
        <v>45826</v>
      </c>
      <c r="B256" s="100" t="s">
        <v>116</v>
      </c>
      <c r="C256" s="100" t="s">
        <v>253</v>
      </c>
      <c r="D256" s="101">
        <v>-1773.34</v>
      </c>
      <c r="E256" s="100" t="s">
        <v>7</v>
      </c>
      <c r="F256" s="100" t="s">
        <v>242</v>
      </c>
    </row>
    <row r="257" spans="1:6" x14ac:dyDescent="0.3">
      <c r="A257" s="38">
        <v>45826</v>
      </c>
      <c r="B257" s="28" t="s">
        <v>178</v>
      </c>
      <c r="C257" s="12" t="s">
        <v>179</v>
      </c>
      <c r="D257" s="177">
        <v>18893.490000000002</v>
      </c>
      <c r="E257" s="69" t="s">
        <v>263</v>
      </c>
      <c r="F257" s="13" t="s">
        <v>180</v>
      </c>
    </row>
    <row r="258" spans="1:6" x14ac:dyDescent="0.3">
      <c r="A258" s="38">
        <v>45828</v>
      </c>
      <c r="B258" s="28" t="s">
        <v>163</v>
      </c>
      <c r="C258" s="12" t="s">
        <v>181</v>
      </c>
      <c r="D258" s="29">
        <v>1500</v>
      </c>
      <c r="E258" s="181" t="s">
        <v>263</v>
      </c>
      <c r="F258" s="129" t="s">
        <v>176</v>
      </c>
    </row>
    <row r="259" spans="1:6" x14ac:dyDescent="0.3">
      <c r="A259" s="38">
        <v>45828</v>
      </c>
      <c r="B259" s="28" t="s">
        <v>163</v>
      </c>
      <c r="C259" s="12" t="s">
        <v>181</v>
      </c>
      <c r="D259" s="29">
        <v>4717.4399999999996</v>
      </c>
      <c r="E259" s="181" t="s">
        <v>263</v>
      </c>
      <c r="F259" s="129" t="s">
        <v>182</v>
      </c>
    </row>
    <row r="260" spans="1:6" x14ac:dyDescent="0.3">
      <c r="A260" s="38">
        <v>45828</v>
      </c>
      <c r="B260" s="28" t="s">
        <v>163</v>
      </c>
      <c r="C260" s="12" t="s">
        <v>181</v>
      </c>
      <c r="D260" s="29">
        <v>9938.39</v>
      </c>
      <c r="E260" s="181" t="s">
        <v>263</v>
      </c>
      <c r="F260" s="129" t="s">
        <v>183</v>
      </c>
    </row>
    <row r="261" spans="1:6" x14ac:dyDescent="0.3">
      <c r="A261" s="38">
        <v>45828</v>
      </c>
      <c r="B261" s="28" t="s">
        <v>163</v>
      </c>
      <c r="C261" s="12" t="s">
        <v>181</v>
      </c>
      <c r="D261" s="29">
        <v>22139.98</v>
      </c>
      <c r="E261" s="181" t="s">
        <v>263</v>
      </c>
      <c r="F261" s="129" t="s">
        <v>281</v>
      </c>
    </row>
    <row r="262" spans="1:6" x14ac:dyDescent="0.3">
      <c r="A262" s="182">
        <v>45835</v>
      </c>
      <c r="B262" s="28" t="s">
        <v>159</v>
      </c>
      <c r="C262" s="12" t="s">
        <v>160</v>
      </c>
      <c r="D262" s="160">
        <v>1824.16</v>
      </c>
      <c r="E262" s="39" t="s">
        <v>263</v>
      </c>
      <c r="F262" s="129" t="s">
        <v>162</v>
      </c>
    </row>
    <row r="263" spans="1:6" x14ac:dyDescent="0.3">
      <c r="A263" s="182">
        <v>45835</v>
      </c>
      <c r="B263" s="28" t="s">
        <v>159</v>
      </c>
      <c r="C263" s="12" t="s">
        <v>160</v>
      </c>
      <c r="D263" s="160">
        <v>4476.2700000000004</v>
      </c>
      <c r="E263" s="39" t="s">
        <v>263</v>
      </c>
      <c r="F263" s="129" t="s">
        <v>162</v>
      </c>
    </row>
    <row r="264" spans="1:6" x14ac:dyDescent="0.3">
      <c r="A264" s="182">
        <v>45835</v>
      </c>
      <c r="B264" s="28" t="s">
        <v>159</v>
      </c>
      <c r="C264" s="12" t="s">
        <v>160</v>
      </c>
      <c r="D264" s="160">
        <v>5785.3</v>
      </c>
      <c r="E264" s="39" t="s">
        <v>263</v>
      </c>
      <c r="F264" s="129" t="s">
        <v>162</v>
      </c>
    </row>
    <row r="265" spans="1:6" x14ac:dyDescent="0.3">
      <c r="A265" s="182">
        <v>45835</v>
      </c>
      <c r="B265" s="28" t="s">
        <v>159</v>
      </c>
      <c r="C265" s="12" t="s">
        <v>160</v>
      </c>
      <c r="D265" s="160">
        <v>19390.14</v>
      </c>
      <c r="E265" s="39" t="s">
        <v>263</v>
      </c>
      <c r="F265" s="129" t="s">
        <v>162</v>
      </c>
    </row>
    <row r="266" spans="1:6" x14ac:dyDescent="0.3">
      <c r="A266" s="182">
        <v>45838</v>
      </c>
      <c r="B266" s="28" t="s">
        <v>164</v>
      </c>
      <c r="C266" s="12" t="s">
        <v>184</v>
      </c>
      <c r="D266" s="14">
        <v>896135.36</v>
      </c>
      <c r="E266" s="39" t="s">
        <v>263</v>
      </c>
      <c r="F266" s="37" t="s">
        <v>162</v>
      </c>
    </row>
  </sheetData>
  <autoFilter ref="A1:F266" xr:uid="{507D235B-20F6-4606-9CC9-22A24B726011}"/>
  <conditionalFormatting sqref="E2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{C857EFD3-53A6-4793-B8D0-D9E897D0EA11}</x14:id>
        </ext>
      </extLst>
    </cfRule>
  </conditionalFormatting>
  <conditionalFormatting sqref="E40">
    <cfRule type="colorScale" priority="48">
      <colorScale>
        <cfvo type="min"/>
        <cfvo type="max"/>
        <color rgb="FFF8696B"/>
        <color rgb="FFFCFCFF"/>
      </colorScale>
    </cfRule>
  </conditionalFormatting>
  <conditionalFormatting sqref="E62:E67 E71">
    <cfRule type="colorScale" priority="57">
      <colorScale>
        <cfvo type="min"/>
        <cfvo type="max"/>
        <color rgb="FFF8696B"/>
        <color rgb="FFFCFCFF"/>
      </colorScale>
    </cfRule>
  </conditionalFormatting>
  <conditionalFormatting sqref="E68">
    <cfRule type="colorScale" priority="45">
      <colorScale>
        <cfvo type="min"/>
        <cfvo type="max"/>
        <color rgb="FFF8696B"/>
        <color rgb="FFFCFCFF"/>
      </colorScale>
    </cfRule>
  </conditionalFormatting>
  <conditionalFormatting sqref="E69:E70">
    <cfRule type="colorScale" priority="43">
      <colorScale>
        <cfvo type="min"/>
        <cfvo type="max"/>
        <color rgb="FFF8696B"/>
        <color rgb="FFFCFCFF"/>
      </colorScale>
    </cfRule>
  </conditionalFormatting>
  <conditionalFormatting sqref="E72:E76">
    <cfRule type="colorScale" priority="64">
      <colorScale>
        <cfvo type="min"/>
        <cfvo type="max"/>
        <color rgb="FFF8696B"/>
        <color rgb="FFFCFCFF"/>
      </colorScale>
    </cfRule>
  </conditionalFormatting>
  <conditionalFormatting sqref="E77:E82">
    <cfRule type="colorScale" priority="18">
      <colorScale>
        <cfvo type="min"/>
        <cfvo type="max"/>
        <color rgb="FFF8696B"/>
        <color rgb="FFFCFCFF"/>
      </colorScale>
    </cfRule>
  </conditionalFormatting>
  <conditionalFormatting sqref="E83">
    <cfRule type="colorScale" priority="17">
      <colorScale>
        <cfvo type="min"/>
        <cfvo type="max"/>
        <color rgb="FFF8696B"/>
        <color rgb="FFFCFCFF"/>
      </colorScale>
    </cfRule>
  </conditionalFormatting>
  <conditionalFormatting sqref="E84">
    <cfRule type="colorScale" priority="62">
      <colorScale>
        <cfvo type="min"/>
        <cfvo type="max"/>
        <color rgb="FFF8696B"/>
        <color rgb="FFFCFCFF"/>
      </colorScale>
    </cfRule>
  </conditionalFormatting>
  <conditionalFormatting sqref="E85:E91 E1:E39 E41:E61 E196:E211 E93:E188 E254:E257 E220:E233 E239:E252 E262:E1048576">
    <cfRule type="colorScale" priority="74">
      <colorScale>
        <cfvo type="min"/>
        <cfvo type="max"/>
        <color rgb="FFF8696B"/>
        <color rgb="FFFCFCFF"/>
      </colorScale>
    </cfRule>
  </conditionalFormatting>
  <conditionalFormatting sqref="E92">
    <cfRule type="colorScale" priority="40">
      <colorScale>
        <cfvo type="min"/>
        <cfvo type="max"/>
        <color rgb="FFF8696B"/>
        <color rgb="FFFCFCFF"/>
      </colorScale>
    </cfRule>
  </conditionalFormatting>
  <conditionalFormatting sqref="E189">
    <cfRule type="colorScale" priority="35">
      <colorScale>
        <cfvo type="min"/>
        <cfvo type="max"/>
        <color rgb="FFF8696B"/>
        <color rgb="FFFCFCFF"/>
      </colorScale>
    </cfRule>
  </conditionalFormatting>
  <conditionalFormatting sqref="E190:E193">
    <cfRule type="colorScale" priority="30">
      <colorScale>
        <cfvo type="min"/>
        <cfvo type="max"/>
        <color rgb="FFF8696B"/>
        <color rgb="FFFCFCFF"/>
      </colorScale>
    </cfRule>
  </conditionalFormatting>
  <conditionalFormatting sqref="E194:E195">
    <cfRule type="colorScale" priority="32">
      <colorScale>
        <cfvo type="min"/>
        <cfvo type="max"/>
        <color rgb="FFF8696B"/>
        <color rgb="FFFCFCFF"/>
      </colorScale>
    </cfRule>
  </conditionalFormatting>
  <conditionalFormatting sqref="E212:E213">
    <cfRule type="colorScale" priority="39">
      <colorScale>
        <cfvo type="min"/>
        <cfvo type="max"/>
        <color rgb="FFF8696B"/>
        <color rgb="FFFCFCFF"/>
      </colorScale>
    </cfRule>
  </conditionalFormatting>
  <conditionalFormatting sqref="E214:E215">
    <cfRule type="colorScale" priority="8">
      <colorScale>
        <cfvo type="min"/>
        <cfvo type="max"/>
        <color rgb="FFF8696B"/>
        <color rgb="FFFCFCFF"/>
      </colorScale>
    </cfRule>
  </conditionalFormatting>
  <conditionalFormatting sqref="E216">
    <cfRule type="colorScale" priority="38">
      <colorScale>
        <cfvo type="min"/>
        <cfvo type="max"/>
        <color rgb="FFF8696B"/>
        <color rgb="FFFCFCFF"/>
      </colorScale>
    </cfRule>
  </conditionalFormatting>
  <conditionalFormatting sqref="E217:E218">
    <cfRule type="colorScale" priority="37">
      <colorScale>
        <cfvo type="min"/>
        <cfvo type="max"/>
        <color rgb="FFF8696B"/>
        <color rgb="FFFCFCFF"/>
      </colorScale>
    </cfRule>
  </conditionalFormatting>
  <conditionalFormatting sqref="E219">
    <cfRule type="colorScale" priority="36">
      <colorScale>
        <cfvo type="min"/>
        <cfvo type="max"/>
        <color rgb="FFF8696B"/>
        <color rgb="FFFCFCFF"/>
      </colorScale>
    </cfRule>
  </conditionalFormatting>
  <conditionalFormatting sqref="E234 F238">
    <cfRule type="colorScale" priority="47">
      <colorScale>
        <cfvo type="min"/>
        <cfvo type="max"/>
        <color rgb="FFF8696B"/>
        <color rgb="FFFCFCFF"/>
      </colorScale>
    </cfRule>
  </conditionalFormatting>
  <conditionalFormatting sqref="E235">
    <cfRule type="colorScale" priority="24">
      <colorScale>
        <cfvo type="min"/>
        <cfvo type="max"/>
        <color rgb="FFF8696B"/>
        <color rgb="FFFCFCFF"/>
      </colorScale>
    </cfRule>
  </conditionalFormatting>
  <conditionalFormatting sqref="E236:E238">
    <cfRule type="colorScale" priority="22">
      <colorScale>
        <cfvo type="min"/>
        <cfvo type="max"/>
        <color rgb="FFF8696B"/>
        <color rgb="FFFCFCFF"/>
      </colorScale>
    </cfRule>
  </conditionalFormatting>
  <conditionalFormatting sqref="E253">
    <cfRule type="colorScale" priority="3">
      <colorScale>
        <cfvo type="min"/>
        <cfvo type="max"/>
        <color rgb="FFF8696B"/>
        <color rgb="FFFCFCFF"/>
      </colorScale>
    </cfRule>
  </conditionalFormatting>
  <conditionalFormatting sqref="E258:E261">
    <cfRule type="colorScale" priority="1">
      <colorScale>
        <cfvo type="min"/>
        <cfvo type="max"/>
        <color rgb="FFF8696B"/>
        <color rgb="FFFCFCFF"/>
      </colorScale>
    </cfRule>
  </conditionalFormatting>
  <conditionalFormatting sqref="F10:F16">
    <cfRule type="colorScale" priority="29">
      <colorScale>
        <cfvo type="min"/>
        <cfvo type="max"/>
        <color rgb="FFF8696B"/>
        <color rgb="FFFCFCFF"/>
      </colorScale>
    </cfRule>
  </conditionalFormatting>
  <conditionalFormatting sqref="F18:F20">
    <cfRule type="colorScale" priority="28">
      <colorScale>
        <cfvo type="min"/>
        <cfvo type="max"/>
        <color rgb="FFF8696B"/>
        <color rgb="FFFCFCFF"/>
      </colorScale>
    </cfRule>
  </conditionalFormatting>
  <conditionalFormatting sqref="F22:F24">
    <cfRule type="colorScale" priority="27">
      <colorScale>
        <cfvo type="min"/>
        <cfvo type="max"/>
        <color rgb="FFF8696B"/>
        <color rgb="FFFCFCFF"/>
      </colorScale>
    </cfRule>
  </conditionalFormatting>
  <conditionalFormatting sqref="F39">
    <cfRule type="colorScale" priority="63">
      <colorScale>
        <cfvo type="min"/>
        <cfvo type="max"/>
        <color rgb="FFF8696B"/>
        <color rgb="FFFCFCFF"/>
      </colorScale>
    </cfRule>
  </conditionalFormatting>
  <conditionalFormatting sqref="F40">
    <cfRule type="colorScale" priority="49">
      <colorScale>
        <cfvo type="min"/>
        <cfvo type="max"/>
        <color rgb="FFF8696B"/>
        <color rgb="FFFCFCFF"/>
      </colorScale>
    </cfRule>
  </conditionalFormatting>
  <conditionalFormatting sqref="F43:F45">
    <cfRule type="colorScale" priority="26">
      <colorScale>
        <cfvo type="min"/>
        <cfvo type="max"/>
        <color rgb="FFF8696B"/>
        <color rgb="FFFCFCFF"/>
      </colorScale>
    </cfRule>
  </conditionalFormatting>
  <conditionalFormatting sqref="F62:F67">
    <cfRule type="colorScale" priority="56">
      <colorScale>
        <cfvo type="min"/>
        <cfvo type="max"/>
        <color rgb="FFF8696B"/>
        <color rgb="FFFCFCFF"/>
      </colorScale>
    </cfRule>
  </conditionalFormatting>
  <conditionalFormatting sqref="F68">
    <cfRule type="colorScale" priority="44">
      <colorScale>
        <cfvo type="min"/>
        <cfvo type="max"/>
        <color rgb="FFF8696B"/>
        <color rgb="FFFCFCFF"/>
      </colorScale>
    </cfRule>
  </conditionalFormatting>
  <conditionalFormatting sqref="F69">
    <cfRule type="colorScale" priority="41">
      <colorScale>
        <cfvo type="min"/>
        <cfvo type="max"/>
        <color rgb="FFF8696B"/>
        <color rgb="FFFCFCFF"/>
      </colorScale>
    </cfRule>
  </conditionalFormatting>
  <conditionalFormatting sqref="F70">
    <cfRule type="colorScale" priority="42">
      <colorScale>
        <cfvo type="min"/>
        <cfvo type="max"/>
        <color rgb="FFF8696B"/>
        <color rgb="FFFCFCFF"/>
      </colorScale>
    </cfRule>
  </conditionalFormatting>
  <conditionalFormatting sqref="F71">
    <cfRule type="colorScale" priority="55">
      <colorScale>
        <cfvo type="min"/>
        <cfvo type="max"/>
        <color rgb="FFF8696B"/>
        <color rgb="FFFCFCFF"/>
      </colorScale>
    </cfRule>
  </conditionalFormatting>
  <conditionalFormatting sqref="F72:F75">
    <cfRule type="colorScale" priority="20">
      <colorScale>
        <cfvo type="min"/>
        <cfvo type="max"/>
        <color rgb="FFF8696B"/>
        <color rgb="FFFCFCFF"/>
      </colorScale>
    </cfRule>
  </conditionalFormatting>
  <conditionalFormatting sqref="F77:F83">
    <cfRule type="colorScale" priority="19">
      <colorScale>
        <cfvo type="min"/>
        <cfvo type="max"/>
        <color rgb="FFF8696B"/>
        <color rgb="FFFCFCFF"/>
      </colorScale>
    </cfRule>
  </conditionalFormatting>
  <conditionalFormatting sqref="F145:F147">
    <cfRule type="colorScale" priority="15">
      <colorScale>
        <cfvo type="min"/>
        <cfvo type="max"/>
        <color rgb="FFF8696B"/>
        <color rgb="FFFCFCFF"/>
      </colorScale>
    </cfRule>
  </conditionalFormatting>
  <conditionalFormatting sqref="F176">
    <cfRule type="colorScale" priority="12">
      <colorScale>
        <cfvo type="min"/>
        <cfvo type="max"/>
        <color rgb="FFF8696B"/>
        <color rgb="FFFCFCFF"/>
      </colorScale>
    </cfRule>
  </conditionalFormatting>
  <conditionalFormatting sqref="F185:F186">
    <cfRule type="colorScale" priority="16">
      <colorScale>
        <cfvo type="min"/>
        <cfvo type="max"/>
        <color rgb="FFF8696B"/>
        <color rgb="FFFCFCFF"/>
      </colorScale>
    </cfRule>
  </conditionalFormatting>
  <conditionalFormatting sqref="F188">
    <cfRule type="colorScale" priority="10">
      <colorScale>
        <cfvo type="min"/>
        <cfvo type="max"/>
        <color rgb="FFF8696B"/>
        <color rgb="FFFCFCFF"/>
      </colorScale>
    </cfRule>
  </conditionalFormatting>
  <conditionalFormatting sqref="F189">
    <cfRule type="colorScale" priority="34">
      <colorScale>
        <cfvo type="min"/>
        <cfvo type="max"/>
        <color rgb="FFF8696B"/>
        <color rgb="FFFCFCFF"/>
      </colorScale>
    </cfRule>
  </conditionalFormatting>
  <conditionalFormatting sqref="F190:F193">
    <cfRule type="colorScale" priority="31">
      <colorScale>
        <cfvo type="min"/>
        <cfvo type="max"/>
        <color rgb="FFF8696B"/>
        <color rgb="FFFCFCFF"/>
      </colorScale>
    </cfRule>
  </conditionalFormatting>
  <conditionalFormatting sqref="F194:F195">
    <cfRule type="colorScale" priority="33">
      <colorScale>
        <cfvo type="min"/>
        <cfvo type="max"/>
        <color rgb="FFF8696B"/>
        <color rgb="FFFCFCFF"/>
      </colorScale>
    </cfRule>
  </conditionalFormatting>
  <conditionalFormatting sqref="F202:F203">
    <cfRule type="colorScale" priority="11">
      <colorScale>
        <cfvo type="min"/>
        <cfvo type="max"/>
        <color rgb="FFF8696B"/>
        <color rgb="FFFCFCFF"/>
      </colorScale>
    </cfRule>
  </conditionalFormatting>
  <conditionalFormatting sqref="F213:F215">
    <cfRule type="colorScale" priority="9">
      <colorScale>
        <cfvo type="min"/>
        <cfvo type="max"/>
        <color rgb="FFF8696B"/>
        <color rgb="FFFCFCFF"/>
      </colorScale>
    </cfRule>
  </conditionalFormatting>
  <conditionalFormatting sqref="F234">
    <cfRule type="colorScale" priority="46">
      <colorScale>
        <cfvo type="min"/>
        <cfvo type="max"/>
        <color rgb="FFF8696B"/>
        <color rgb="FFFCFCFF"/>
      </colorScale>
    </cfRule>
  </conditionalFormatting>
  <conditionalFormatting sqref="F235">
    <cfRule type="colorScale" priority="25">
      <colorScale>
        <cfvo type="min"/>
        <cfvo type="max"/>
        <color rgb="FFF8696B"/>
        <color rgb="FFFCFCFF"/>
      </colorScale>
    </cfRule>
  </conditionalFormatting>
  <conditionalFormatting sqref="F236:F237">
    <cfRule type="colorScale" priority="23">
      <colorScale>
        <cfvo type="min"/>
        <cfvo type="max"/>
        <color rgb="FFF8696B"/>
        <color rgb="FFFCFCFF"/>
      </colorScale>
    </cfRule>
  </conditionalFormatting>
  <conditionalFormatting sqref="F240:F241">
    <cfRule type="colorScale" priority="21">
      <colorScale>
        <cfvo type="min"/>
        <cfvo type="max"/>
        <color rgb="FFF8696B"/>
        <color rgb="FFFCFCFF"/>
      </colorScale>
    </cfRule>
  </conditionalFormatting>
  <conditionalFormatting sqref="F255">
    <cfRule type="colorScale" priority="13">
      <colorScale>
        <cfvo type="min"/>
        <cfvo type="max"/>
        <color rgb="FFF8696B"/>
        <color rgb="FFFCFCFF"/>
      </colorScale>
    </cfRule>
  </conditionalFormatting>
  <conditionalFormatting sqref="F256">
    <cfRule type="colorScale" priority="14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57EFD3-53A6-4793-B8D0-D9E897D0EA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FA2E-E3F9-406E-882C-E5C851FE77AB}">
  <dimension ref="A1:F45"/>
  <sheetViews>
    <sheetView workbookViewId="0">
      <selection sqref="A1:XFD1"/>
    </sheetView>
  </sheetViews>
  <sheetFormatPr defaultRowHeight="14.4" x14ac:dyDescent="0.3"/>
  <cols>
    <col min="1" max="1" width="10.5546875" bestFit="1" customWidth="1"/>
    <col min="2" max="2" width="19.21875" bestFit="1" customWidth="1"/>
    <col min="3" max="3" width="41.6640625" bestFit="1" customWidth="1"/>
    <col min="4" max="4" width="14" bestFit="1" customWidth="1"/>
    <col min="5" max="5" width="7.77734375" bestFit="1" customWidth="1"/>
    <col min="6" max="6" width="31.109375" bestFit="1" customWidth="1"/>
  </cols>
  <sheetData>
    <row r="1" spans="1:6" x14ac:dyDescent="0.3">
      <c r="A1" s="1" t="s">
        <v>0</v>
      </c>
      <c r="B1" s="2" t="s">
        <v>1</v>
      </c>
      <c r="C1" s="2" t="s">
        <v>147</v>
      </c>
      <c r="D1" s="4" t="s">
        <v>2</v>
      </c>
      <c r="E1" s="5" t="s">
        <v>3</v>
      </c>
      <c r="F1" s="5" t="s">
        <v>4</v>
      </c>
    </row>
    <row r="2" spans="1:6" x14ac:dyDescent="0.3">
      <c r="A2" s="71">
        <v>45810</v>
      </c>
      <c r="B2" s="150" t="s">
        <v>264</v>
      </c>
      <c r="C2" s="150" t="s">
        <v>265</v>
      </c>
      <c r="D2" s="151">
        <v>23638.67</v>
      </c>
      <c r="E2" s="152" t="s">
        <v>161</v>
      </c>
      <c r="F2" s="153" t="s">
        <v>162</v>
      </c>
    </row>
    <row r="3" spans="1:6" x14ac:dyDescent="0.3">
      <c r="A3" s="71">
        <v>45810</v>
      </c>
      <c r="B3" s="150" t="s">
        <v>163</v>
      </c>
      <c r="C3" s="150" t="s">
        <v>266</v>
      </c>
      <c r="D3" s="151">
        <v>799.2</v>
      </c>
      <c r="E3" s="152" t="s">
        <v>161</v>
      </c>
      <c r="F3" s="153" t="s">
        <v>162</v>
      </c>
    </row>
    <row r="4" spans="1:6" x14ac:dyDescent="0.3">
      <c r="A4" s="71">
        <v>45810</v>
      </c>
      <c r="B4" s="150" t="s">
        <v>163</v>
      </c>
      <c r="C4" s="150" t="s">
        <v>266</v>
      </c>
      <c r="D4" s="151">
        <v>3600</v>
      </c>
      <c r="E4" s="152" t="s">
        <v>161</v>
      </c>
      <c r="F4" s="153" t="s">
        <v>267</v>
      </c>
    </row>
    <row r="5" spans="1:6" x14ac:dyDescent="0.3">
      <c r="A5" s="71">
        <v>45810</v>
      </c>
      <c r="B5" s="150" t="s">
        <v>163</v>
      </c>
      <c r="C5" s="150" t="s">
        <v>266</v>
      </c>
      <c r="D5" s="151">
        <v>18532.8</v>
      </c>
      <c r="E5" s="152" t="s">
        <v>161</v>
      </c>
      <c r="F5" s="153" t="s">
        <v>162</v>
      </c>
    </row>
    <row r="6" spans="1:6" x14ac:dyDescent="0.3">
      <c r="A6" s="71">
        <v>45810</v>
      </c>
      <c r="B6" s="150" t="s">
        <v>268</v>
      </c>
      <c r="C6" s="150" t="s">
        <v>269</v>
      </c>
      <c r="D6" s="151">
        <v>22451.91</v>
      </c>
      <c r="E6" s="152" t="s">
        <v>161</v>
      </c>
      <c r="F6" s="153" t="s">
        <v>162</v>
      </c>
    </row>
    <row r="7" spans="1:6" x14ac:dyDescent="0.3">
      <c r="A7" s="71">
        <v>45810</v>
      </c>
      <c r="B7" s="150" t="s">
        <v>168</v>
      </c>
      <c r="C7" s="150" t="s">
        <v>270</v>
      </c>
      <c r="D7" s="151">
        <v>14482.07</v>
      </c>
      <c r="E7" s="152" t="s">
        <v>161</v>
      </c>
      <c r="F7" s="153" t="s">
        <v>162</v>
      </c>
    </row>
    <row r="8" spans="1:6" x14ac:dyDescent="0.3">
      <c r="A8" s="71">
        <v>45810</v>
      </c>
      <c r="B8" s="150" t="s">
        <v>168</v>
      </c>
      <c r="C8" s="150" t="s">
        <v>270</v>
      </c>
      <c r="D8" s="151">
        <v>23943.3</v>
      </c>
      <c r="E8" s="152" t="s">
        <v>161</v>
      </c>
      <c r="F8" s="153" t="s">
        <v>162</v>
      </c>
    </row>
    <row r="9" spans="1:6" x14ac:dyDescent="0.3">
      <c r="A9" s="71">
        <v>45810</v>
      </c>
      <c r="B9" s="150" t="s">
        <v>168</v>
      </c>
      <c r="C9" s="150" t="s">
        <v>270</v>
      </c>
      <c r="D9" s="151">
        <v>21852.37</v>
      </c>
      <c r="E9" s="152" t="s">
        <v>161</v>
      </c>
      <c r="F9" s="153" t="s">
        <v>162</v>
      </c>
    </row>
    <row r="10" spans="1:6" x14ac:dyDescent="0.3">
      <c r="A10" s="71">
        <v>45810</v>
      </c>
      <c r="B10" s="150" t="s">
        <v>168</v>
      </c>
      <c r="C10" s="150" t="s">
        <v>270</v>
      </c>
      <c r="D10" s="151">
        <v>5283.53</v>
      </c>
      <c r="E10" s="152" t="s">
        <v>161</v>
      </c>
      <c r="F10" s="153" t="s">
        <v>162</v>
      </c>
    </row>
    <row r="11" spans="1:6" x14ac:dyDescent="0.3">
      <c r="A11" s="71">
        <v>45810</v>
      </c>
      <c r="B11" s="150" t="s">
        <v>168</v>
      </c>
      <c r="C11" s="150" t="s">
        <v>270</v>
      </c>
      <c r="D11" s="151">
        <v>1500</v>
      </c>
      <c r="E11" s="152" t="s">
        <v>161</v>
      </c>
      <c r="F11" s="153" t="s">
        <v>162</v>
      </c>
    </row>
    <row r="12" spans="1:6" x14ac:dyDescent="0.3">
      <c r="A12" s="71">
        <v>45810</v>
      </c>
      <c r="B12" s="150" t="s">
        <v>168</v>
      </c>
      <c r="C12" s="150" t="s">
        <v>270</v>
      </c>
      <c r="D12" s="151">
        <v>1200</v>
      </c>
      <c r="E12" s="152" t="s">
        <v>161</v>
      </c>
      <c r="F12" s="153" t="s">
        <v>162</v>
      </c>
    </row>
    <row r="13" spans="1:6" x14ac:dyDescent="0.3">
      <c r="A13" s="71">
        <v>45810</v>
      </c>
      <c r="B13" s="150" t="s">
        <v>168</v>
      </c>
      <c r="C13" s="150" t="s">
        <v>270</v>
      </c>
      <c r="D13" s="151">
        <v>196</v>
      </c>
      <c r="E13" s="152" t="s">
        <v>161</v>
      </c>
      <c r="F13" s="153" t="s">
        <v>162</v>
      </c>
    </row>
    <row r="14" spans="1:6" x14ac:dyDescent="0.3">
      <c r="A14" s="154">
        <v>45796</v>
      </c>
      <c r="B14" s="28" t="s">
        <v>163</v>
      </c>
      <c r="C14" s="155" t="s">
        <v>271</v>
      </c>
      <c r="D14" s="156">
        <v>2500</v>
      </c>
      <c r="E14" s="157" t="s">
        <v>161</v>
      </c>
      <c r="F14" s="37" t="s">
        <v>162</v>
      </c>
    </row>
    <row r="15" spans="1:6" x14ac:dyDescent="0.3">
      <c r="A15" s="154">
        <v>45791</v>
      </c>
      <c r="B15" s="28" t="s">
        <v>163</v>
      </c>
      <c r="C15" s="155" t="s">
        <v>272</v>
      </c>
      <c r="D15" s="156">
        <v>7850</v>
      </c>
      <c r="E15" s="157" t="s">
        <v>161</v>
      </c>
      <c r="F15" s="37" t="s">
        <v>162</v>
      </c>
    </row>
    <row r="16" spans="1:6" s="176" customFormat="1" x14ac:dyDescent="0.3">
      <c r="A16" s="170">
        <v>45793</v>
      </c>
      <c r="B16" s="171" t="s">
        <v>163</v>
      </c>
      <c r="C16" s="172" t="s">
        <v>273</v>
      </c>
      <c r="D16" s="173">
        <v>1800</v>
      </c>
      <c r="E16" s="174" t="s">
        <v>161</v>
      </c>
      <c r="F16" s="175" t="s">
        <v>267</v>
      </c>
    </row>
    <row r="17" spans="1:6" s="176" customFormat="1" x14ac:dyDescent="0.3">
      <c r="A17" s="170">
        <v>45793</v>
      </c>
      <c r="B17" s="171" t="s">
        <v>163</v>
      </c>
      <c r="C17" s="172" t="s">
        <v>273</v>
      </c>
      <c r="D17" s="173">
        <v>42961.04</v>
      </c>
      <c r="E17" s="174" t="s">
        <v>161</v>
      </c>
      <c r="F17" s="175" t="s">
        <v>162</v>
      </c>
    </row>
    <row r="18" spans="1:6" x14ac:dyDescent="0.3">
      <c r="A18" s="154">
        <v>45798</v>
      </c>
      <c r="B18" s="67" t="s">
        <v>31</v>
      </c>
      <c r="C18" s="68" t="s">
        <v>274</v>
      </c>
      <c r="D18" s="158">
        <v>17956.39</v>
      </c>
      <c r="E18" s="69" t="s">
        <v>161</v>
      </c>
      <c r="F18" s="37" t="s">
        <v>162</v>
      </c>
    </row>
    <row r="19" spans="1:6" x14ac:dyDescent="0.3">
      <c r="A19" s="154">
        <v>45798</v>
      </c>
      <c r="B19" s="67" t="s">
        <v>31</v>
      </c>
      <c r="C19" s="68" t="s">
        <v>274</v>
      </c>
      <c r="D19" s="158">
        <v>900</v>
      </c>
      <c r="E19" s="69" t="s">
        <v>161</v>
      </c>
      <c r="F19" s="37" t="s">
        <v>267</v>
      </c>
    </row>
    <row r="20" spans="1:6" x14ac:dyDescent="0.3">
      <c r="A20" s="6">
        <v>45819</v>
      </c>
      <c r="B20" s="28" t="s">
        <v>20</v>
      </c>
      <c r="C20" s="13" t="s">
        <v>275</v>
      </c>
      <c r="D20" s="151">
        <v>680.03</v>
      </c>
      <c r="E20" s="69" t="s">
        <v>161</v>
      </c>
      <c r="F20" s="69" t="s">
        <v>162</v>
      </c>
    </row>
    <row r="21" spans="1:6" x14ac:dyDescent="0.3">
      <c r="A21" s="6">
        <v>45819</v>
      </c>
      <c r="B21" s="28" t="s">
        <v>164</v>
      </c>
      <c r="C21" s="13" t="s">
        <v>165</v>
      </c>
      <c r="D21" s="151">
        <v>44505.03</v>
      </c>
      <c r="E21" s="69" t="s">
        <v>161</v>
      </c>
      <c r="F21" s="69" t="s">
        <v>166</v>
      </c>
    </row>
    <row r="22" spans="1:6" x14ac:dyDescent="0.3">
      <c r="A22" s="6">
        <v>45819</v>
      </c>
      <c r="B22" s="28" t="s">
        <v>32</v>
      </c>
      <c r="C22" s="13" t="s">
        <v>272</v>
      </c>
      <c r="D22" s="31">
        <v>1074.06</v>
      </c>
      <c r="E22" s="69" t="s">
        <v>161</v>
      </c>
      <c r="F22" s="37" t="s">
        <v>276</v>
      </c>
    </row>
    <row r="23" spans="1:6" x14ac:dyDescent="0.3">
      <c r="A23" s="6">
        <v>45819</v>
      </c>
      <c r="B23" s="28" t="s">
        <v>32</v>
      </c>
      <c r="C23" s="13" t="s">
        <v>272</v>
      </c>
      <c r="D23" s="31">
        <v>300</v>
      </c>
      <c r="E23" s="69" t="s">
        <v>161</v>
      </c>
      <c r="F23" s="37" t="s">
        <v>276</v>
      </c>
    </row>
    <row r="24" spans="1:6" ht="72" x14ac:dyDescent="0.3">
      <c r="A24" s="154">
        <v>45791</v>
      </c>
      <c r="B24" s="28" t="s">
        <v>32</v>
      </c>
      <c r="C24" s="159" t="s">
        <v>277</v>
      </c>
      <c r="D24" s="160">
        <v>1500</v>
      </c>
      <c r="E24" s="69" t="s">
        <v>161</v>
      </c>
      <c r="F24" s="37" t="s">
        <v>278</v>
      </c>
    </row>
    <row r="25" spans="1:6" x14ac:dyDescent="0.3">
      <c r="A25" s="6">
        <v>45819</v>
      </c>
      <c r="B25" s="28" t="s">
        <v>164</v>
      </c>
      <c r="C25" s="12" t="s">
        <v>167</v>
      </c>
      <c r="D25" s="158">
        <v>300</v>
      </c>
      <c r="E25" s="69" t="s">
        <v>161</v>
      </c>
      <c r="F25" s="37" t="s">
        <v>276</v>
      </c>
    </row>
    <row r="26" spans="1:6" x14ac:dyDescent="0.3">
      <c r="A26" s="6">
        <v>45819</v>
      </c>
      <c r="B26" s="28" t="s">
        <v>164</v>
      </c>
      <c r="C26" s="12" t="s">
        <v>167</v>
      </c>
      <c r="D26" s="158">
        <v>5062.8</v>
      </c>
      <c r="E26" s="69" t="s">
        <v>161</v>
      </c>
      <c r="F26" s="37" t="s">
        <v>162</v>
      </c>
    </row>
    <row r="27" spans="1:6" x14ac:dyDescent="0.3">
      <c r="A27" s="6">
        <v>45819</v>
      </c>
      <c r="B27" s="28" t="s">
        <v>168</v>
      </c>
      <c r="C27" s="12" t="s">
        <v>169</v>
      </c>
      <c r="D27" s="31">
        <v>603.26</v>
      </c>
      <c r="E27" s="69" t="s">
        <v>161</v>
      </c>
      <c r="F27" s="37" t="s">
        <v>175</v>
      </c>
    </row>
    <row r="28" spans="1:6" x14ac:dyDescent="0.3">
      <c r="A28" s="6">
        <v>45819</v>
      </c>
      <c r="B28" s="28" t="s">
        <v>168</v>
      </c>
      <c r="C28" s="12" t="s">
        <v>169</v>
      </c>
      <c r="D28" s="31">
        <v>300</v>
      </c>
      <c r="E28" s="69" t="s">
        <v>161</v>
      </c>
      <c r="F28" s="37" t="s">
        <v>279</v>
      </c>
    </row>
    <row r="29" spans="1:6" x14ac:dyDescent="0.3">
      <c r="A29" s="6">
        <v>45819</v>
      </c>
      <c r="B29" s="28" t="s">
        <v>168</v>
      </c>
      <c r="C29" s="12" t="s">
        <v>169</v>
      </c>
      <c r="D29" s="31">
        <v>9631</v>
      </c>
      <c r="E29" s="69" t="s">
        <v>161</v>
      </c>
      <c r="F29" s="37" t="s">
        <v>280</v>
      </c>
    </row>
    <row r="30" spans="1:6" x14ac:dyDescent="0.3">
      <c r="A30" s="6">
        <v>45819</v>
      </c>
      <c r="B30" s="28" t="s">
        <v>119</v>
      </c>
      <c r="C30" s="12" t="s">
        <v>170</v>
      </c>
      <c r="D30" s="31">
        <v>257.81</v>
      </c>
      <c r="E30" s="69" t="s">
        <v>161</v>
      </c>
      <c r="F30" s="37" t="s">
        <v>162</v>
      </c>
    </row>
    <row r="31" spans="1:6" x14ac:dyDescent="0.3">
      <c r="A31" s="6">
        <v>45819</v>
      </c>
      <c r="B31" s="28" t="s">
        <v>159</v>
      </c>
      <c r="C31" s="161" t="s">
        <v>172</v>
      </c>
      <c r="D31" s="162">
        <v>16834.330000000002</v>
      </c>
      <c r="E31" s="69" t="s">
        <v>161</v>
      </c>
      <c r="F31" s="129" t="s">
        <v>173</v>
      </c>
    </row>
    <row r="32" spans="1:6" x14ac:dyDescent="0.3">
      <c r="A32" s="6">
        <v>45819</v>
      </c>
      <c r="B32" s="28" t="s">
        <v>159</v>
      </c>
      <c r="C32" s="161" t="s">
        <v>172</v>
      </c>
      <c r="D32" s="162">
        <v>268.13</v>
      </c>
      <c r="E32" s="69" t="s">
        <v>161</v>
      </c>
      <c r="F32" s="129" t="s">
        <v>174</v>
      </c>
    </row>
    <row r="33" spans="1:6" x14ac:dyDescent="0.3">
      <c r="A33" s="6">
        <v>45819</v>
      </c>
      <c r="B33" s="28" t="s">
        <v>159</v>
      </c>
      <c r="C33" s="161" t="s">
        <v>172</v>
      </c>
      <c r="D33" s="162">
        <v>24988.71</v>
      </c>
      <c r="E33" s="69" t="s">
        <v>161</v>
      </c>
      <c r="F33" s="129" t="s">
        <v>175</v>
      </c>
    </row>
    <row r="34" spans="1:6" x14ac:dyDescent="0.3">
      <c r="A34" s="6">
        <v>45793</v>
      </c>
      <c r="B34" s="28" t="s">
        <v>159</v>
      </c>
      <c r="C34" s="161" t="s">
        <v>172</v>
      </c>
      <c r="D34" s="66">
        <v>2284.4499999999998</v>
      </c>
      <c r="E34" s="69" t="s">
        <v>161</v>
      </c>
      <c r="F34" s="129" t="s">
        <v>176</v>
      </c>
    </row>
    <row r="35" spans="1:6" x14ac:dyDescent="0.3">
      <c r="A35" s="38">
        <v>45797</v>
      </c>
      <c r="B35" s="28" t="s">
        <v>163</v>
      </c>
      <c r="C35" s="12" t="s">
        <v>181</v>
      </c>
      <c r="D35" s="151">
        <v>1500</v>
      </c>
      <c r="E35" s="69" t="s">
        <v>161</v>
      </c>
      <c r="F35" s="129" t="s">
        <v>176</v>
      </c>
    </row>
    <row r="36" spans="1:6" x14ac:dyDescent="0.3">
      <c r="A36" s="38">
        <v>45797</v>
      </c>
      <c r="B36" s="28" t="s">
        <v>163</v>
      </c>
      <c r="C36" s="12" t="s">
        <v>181</v>
      </c>
      <c r="D36" s="151">
        <v>4717.4399999999996</v>
      </c>
      <c r="E36" s="69" t="s">
        <v>161</v>
      </c>
      <c r="F36" s="129" t="s">
        <v>182</v>
      </c>
    </row>
    <row r="37" spans="1:6" x14ac:dyDescent="0.3">
      <c r="A37" s="38">
        <v>45797</v>
      </c>
      <c r="B37" s="28" t="s">
        <v>163</v>
      </c>
      <c r="C37" s="12" t="s">
        <v>181</v>
      </c>
      <c r="D37" s="151">
        <v>9938.39</v>
      </c>
      <c r="E37" s="69" t="s">
        <v>161</v>
      </c>
      <c r="F37" s="129" t="s">
        <v>183</v>
      </c>
    </row>
    <row r="38" spans="1:6" x14ac:dyDescent="0.3">
      <c r="A38" s="38">
        <v>45797</v>
      </c>
      <c r="B38" s="28" t="s">
        <v>163</v>
      </c>
      <c r="C38" s="12" t="s">
        <v>181</v>
      </c>
      <c r="D38" s="151">
        <v>22139.98</v>
      </c>
      <c r="E38" s="69" t="s">
        <v>161</v>
      </c>
      <c r="F38" s="129" t="s">
        <v>281</v>
      </c>
    </row>
    <row r="39" spans="1:6" x14ac:dyDescent="0.3">
      <c r="A39" s="163">
        <v>45797</v>
      </c>
      <c r="B39" s="150" t="s">
        <v>159</v>
      </c>
      <c r="C39" s="164" t="s">
        <v>282</v>
      </c>
      <c r="D39" s="165">
        <v>3599.88</v>
      </c>
      <c r="E39" s="166" t="s">
        <v>161</v>
      </c>
      <c r="F39" s="167" t="s">
        <v>162</v>
      </c>
    </row>
    <row r="40" spans="1:6" x14ac:dyDescent="0.3">
      <c r="A40" s="71">
        <v>45807</v>
      </c>
      <c r="B40" s="28" t="s">
        <v>159</v>
      </c>
      <c r="C40" s="12" t="s">
        <v>160</v>
      </c>
      <c r="D40" s="66">
        <v>1824.16</v>
      </c>
      <c r="E40" s="69" t="s">
        <v>161</v>
      </c>
      <c r="F40" s="129" t="s">
        <v>162</v>
      </c>
    </row>
    <row r="41" spans="1:6" x14ac:dyDescent="0.3">
      <c r="A41" s="71">
        <v>45807</v>
      </c>
      <c r="B41" s="28" t="s">
        <v>159</v>
      </c>
      <c r="C41" s="12" t="s">
        <v>160</v>
      </c>
      <c r="D41" s="66">
        <v>4476.2700000000004</v>
      </c>
      <c r="E41" s="69" t="s">
        <v>161</v>
      </c>
      <c r="F41" s="129" t="s">
        <v>162</v>
      </c>
    </row>
    <row r="42" spans="1:6" x14ac:dyDescent="0.3">
      <c r="A42" s="71">
        <v>45807</v>
      </c>
      <c r="B42" s="28" t="s">
        <v>159</v>
      </c>
      <c r="C42" s="12" t="s">
        <v>160</v>
      </c>
      <c r="D42" s="66">
        <v>5785.3</v>
      </c>
      <c r="E42" s="69" t="s">
        <v>161</v>
      </c>
      <c r="F42" s="129" t="s">
        <v>162</v>
      </c>
    </row>
    <row r="43" spans="1:6" x14ac:dyDescent="0.3">
      <c r="A43" s="71">
        <v>45807</v>
      </c>
      <c r="B43" s="28" t="s">
        <v>159</v>
      </c>
      <c r="C43" s="12" t="s">
        <v>160</v>
      </c>
      <c r="D43" s="66">
        <v>19390.14</v>
      </c>
      <c r="E43" s="69" t="s">
        <v>161</v>
      </c>
      <c r="F43" s="129" t="s">
        <v>162</v>
      </c>
    </row>
    <row r="44" spans="1:6" x14ac:dyDescent="0.3">
      <c r="A44" s="71">
        <v>45807</v>
      </c>
      <c r="B44" s="28" t="s">
        <v>20</v>
      </c>
      <c r="C44" s="12" t="s">
        <v>283</v>
      </c>
      <c r="D44" s="66">
        <v>50000</v>
      </c>
      <c r="E44" s="69" t="s">
        <v>161</v>
      </c>
      <c r="F44" s="129" t="s">
        <v>162</v>
      </c>
    </row>
    <row r="45" spans="1:6" x14ac:dyDescent="0.3">
      <c r="A45" s="71">
        <v>45793</v>
      </c>
      <c r="B45" s="28" t="s">
        <v>164</v>
      </c>
      <c r="C45" s="12" t="s">
        <v>284</v>
      </c>
      <c r="D45" s="168">
        <v>832899.79</v>
      </c>
      <c r="E45" s="15" t="s">
        <v>161</v>
      </c>
      <c r="F45" s="37" t="s">
        <v>162</v>
      </c>
    </row>
  </sheetData>
  <autoFilter ref="A1:F45" xr:uid="{573BFA2E-E3F9-406E-882C-E5C851FE77AB}"/>
  <conditionalFormatting sqref="E2:E13">
    <cfRule type="colorScale" priority="59">
      <colorScale>
        <cfvo type="min"/>
        <cfvo type="max"/>
        <color rgb="FFF8696B"/>
        <color rgb="FFFCFCFF"/>
      </colorScale>
    </cfRule>
  </conditionalFormatting>
  <conditionalFormatting sqref="E14:E45 E1">
    <cfRule type="colorScale" priority="61">
      <colorScale>
        <cfvo type="min"/>
        <cfvo type="max"/>
        <color rgb="FFF8696B"/>
        <color rgb="FFFCFCFF"/>
      </colorScale>
    </cfRule>
  </conditionalFormatting>
  <conditionalFormatting sqref="F39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E4C3-2EF0-401E-9CC0-AEB28CB99010}">
  <dimension ref="A1:F18"/>
  <sheetViews>
    <sheetView showGridLines="0" workbookViewId="0">
      <selection activeCell="E6" sqref="E6"/>
    </sheetView>
  </sheetViews>
  <sheetFormatPr defaultRowHeight="14.4" x14ac:dyDescent="0.3"/>
  <cols>
    <col min="1" max="1" width="10.5546875" bestFit="1" customWidth="1"/>
    <col min="2" max="2" width="18.88671875" bestFit="1" customWidth="1"/>
    <col min="3" max="3" width="31.6640625" bestFit="1" customWidth="1"/>
    <col min="4" max="4" width="13.88671875" bestFit="1" customWidth="1"/>
    <col min="5" max="5" width="9" bestFit="1" customWidth="1"/>
    <col min="6" max="6" width="19.88671875" bestFit="1" customWidth="1"/>
  </cols>
  <sheetData>
    <row r="1" spans="1:6" x14ac:dyDescent="0.3">
      <c r="A1" s="198" t="s">
        <v>158</v>
      </c>
      <c r="B1" s="199"/>
      <c r="C1" s="199"/>
      <c r="D1" s="199"/>
      <c r="E1" s="199"/>
      <c r="F1" s="199"/>
    </row>
    <row r="2" spans="1:6" ht="18.600000000000001" customHeight="1" x14ac:dyDescent="0.3">
      <c r="A2" s="200"/>
      <c r="B2" s="201"/>
      <c r="C2" s="201"/>
      <c r="D2" s="201"/>
      <c r="E2" s="201"/>
      <c r="F2" s="201"/>
    </row>
    <row r="3" spans="1:6" x14ac:dyDescent="0.3">
      <c r="A3" s="6">
        <v>45658</v>
      </c>
      <c r="B3" s="3" t="s">
        <v>12</v>
      </c>
      <c r="C3" s="7" t="s">
        <v>13</v>
      </c>
      <c r="D3" s="11">
        <v>5600</v>
      </c>
      <c r="E3" s="8" t="s">
        <v>7</v>
      </c>
      <c r="F3" s="9" t="s">
        <v>14</v>
      </c>
    </row>
    <row r="4" spans="1:6" x14ac:dyDescent="0.3">
      <c r="A4" s="6">
        <v>45658</v>
      </c>
      <c r="B4" s="3" t="s">
        <v>15</v>
      </c>
      <c r="C4" s="7" t="s">
        <v>13</v>
      </c>
      <c r="D4" s="11">
        <v>5600</v>
      </c>
      <c r="E4" s="8" t="s">
        <v>7</v>
      </c>
      <c r="F4" s="9" t="s">
        <v>14</v>
      </c>
    </row>
    <row r="5" spans="1:6" x14ac:dyDescent="0.3">
      <c r="A5" s="6">
        <v>45661</v>
      </c>
      <c r="B5" s="22" t="s">
        <v>27</v>
      </c>
      <c r="C5" s="7" t="s">
        <v>28</v>
      </c>
      <c r="D5" s="11">
        <v>46975.54</v>
      </c>
      <c r="E5" s="20" t="s">
        <v>7</v>
      </c>
      <c r="F5" s="9" t="s">
        <v>14</v>
      </c>
    </row>
    <row r="6" spans="1:6" x14ac:dyDescent="0.3">
      <c r="A6" s="23">
        <v>45667</v>
      </c>
      <c r="B6" s="2" t="s">
        <v>5</v>
      </c>
      <c r="C6" s="7" t="s">
        <v>48</v>
      </c>
      <c r="D6" s="10">
        <v>30</v>
      </c>
      <c r="E6" s="8" t="s">
        <v>7</v>
      </c>
      <c r="F6" s="9" t="s">
        <v>47</v>
      </c>
    </row>
    <row r="7" spans="1:6" x14ac:dyDescent="0.3">
      <c r="A7" s="23">
        <v>45667</v>
      </c>
      <c r="B7" s="2" t="s">
        <v>5</v>
      </c>
      <c r="C7" s="7" t="s">
        <v>48</v>
      </c>
      <c r="D7" s="10">
        <v>8000</v>
      </c>
      <c r="E7" s="8" t="s">
        <v>7</v>
      </c>
      <c r="F7" s="9" t="s">
        <v>47</v>
      </c>
    </row>
    <row r="8" spans="1:6" x14ac:dyDescent="0.3">
      <c r="A8" s="23">
        <v>45667</v>
      </c>
      <c r="B8" s="2" t="s">
        <v>5</v>
      </c>
      <c r="C8" s="7" t="s">
        <v>49</v>
      </c>
      <c r="D8" s="10">
        <v>4254.42</v>
      </c>
      <c r="E8" s="8" t="s">
        <v>7</v>
      </c>
      <c r="F8" s="9" t="s">
        <v>47</v>
      </c>
    </row>
    <row r="9" spans="1:6" x14ac:dyDescent="0.3">
      <c r="A9" s="27">
        <v>45677</v>
      </c>
      <c r="B9" s="16" t="s">
        <v>27</v>
      </c>
      <c r="C9" s="7" t="s">
        <v>110</v>
      </c>
      <c r="D9" s="10">
        <v>90000</v>
      </c>
      <c r="E9" s="8" t="s">
        <v>7</v>
      </c>
      <c r="F9" s="9" t="s">
        <v>78</v>
      </c>
    </row>
    <row r="10" spans="1:6" x14ac:dyDescent="0.3">
      <c r="A10" s="27">
        <v>45677</v>
      </c>
      <c r="B10" s="2" t="s">
        <v>5</v>
      </c>
      <c r="C10" s="7" t="s">
        <v>111</v>
      </c>
      <c r="D10" s="10">
        <v>3600</v>
      </c>
      <c r="E10" s="8" t="s">
        <v>7</v>
      </c>
      <c r="F10" s="9" t="s">
        <v>112</v>
      </c>
    </row>
    <row r="11" spans="1:6" x14ac:dyDescent="0.3">
      <c r="A11" s="21">
        <v>45688</v>
      </c>
      <c r="B11" s="2" t="s">
        <v>20</v>
      </c>
      <c r="C11" s="7" t="s">
        <v>58</v>
      </c>
      <c r="D11" s="10"/>
      <c r="E11" s="8" t="s">
        <v>7</v>
      </c>
      <c r="F11" s="9" t="s">
        <v>58</v>
      </c>
    </row>
    <row r="12" spans="1:6" x14ac:dyDescent="0.3">
      <c r="A12" s="21">
        <v>45688</v>
      </c>
      <c r="B12" s="25" t="s">
        <v>20</v>
      </c>
      <c r="C12" s="17" t="s">
        <v>134</v>
      </c>
      <c r="D12" s="26">
        <v>3760</v>
      </c>
      <c r="E12" s="18" t="s">
        <v>7</v>
      </c>
      <c r="F12" s="19" t="s">
        <v>36</v>
      </c>
    </row>
    <row r="13" spans="1:6" x14ac:dyDescent="0.3">
      <c r="A13" s="21">
        <v>45688</v>
      </c>
      <c r="B13" s="2" t="s">
        <v>20</v>
      </c>
      <c r="C13" s="7" t="s">
        <v>135</v>
      </c>
      <c r="D13" s="10">
        <v>5800</v>
      </c>
      <c r="E13" s="8" t="s">
        <v>7</v>
      </c>
      <c r="F13" s="9" t="s">
        <v>36</v>
      </c>
    </row>
    <row r="14" spans="1:6" x14ac:dyDescent="0.3">
      <c r="A14" s="21">
        <v>45688</v>
      </c>
      <c r="B14" s="2" t="s">
        <v>12</v>
      </c>
      <c r="C14" s="7" t="s">
        <v>135</v>
      </c>
      <c r="D14" s="10">
        <v>5460</v>
      </c>
      <c r="E14" s="8" t="s">
        <v>7</v>
      </c>
      <c r="F14" s="9" t="s">
        <v>36</v>
      </c>
    </row>
    <row r="15" spans="1:6" x14ac:dyDescent="0.3">
      <c r="A15" s="21">
        <v>45688</v>
      </c>
      <c r="B15" s="25" t="s">
        <v>5</v>
      </c>
      <c r="C15" s="17" t="s">
        <v>129</v>
      </c>
      <c r="D15" s="26">
        <v>0</v>
      </c>
      <c r="E15" s="18" t="s">
        <v>7</v>
      </c>
      <c r="F15" s="19" t="s">
        <v>130</v>
      </c>
    </row>
    <row r="16" spans="1:6" x14ac:dyDescent="0.3">
      <c r="A16" s="21">
        <v>45688</v>
      </c>
      <c r="B16" s="24" t="s">
        <v>15</v>
      </c>
      <c r="C16" s="7" t="s">
        <v>131</v>
      </c>
      <c r="D16" s="10"/>
      <c r="E16" s="8" t="s">
        <v>7</v>
      </c>
      <c r="F16" s="9" t="s">
        <v>58</v>
      </c>
    </row>
    <row r="17" spans="1:6" x14ac:dyDescent="0.3">
      <c r="A17" s="21">
        <v>45688</v>
      </c>
      <c r="B17" s="28" t="s">
        <v>12</v>
      </c>
      <c r="C17" s="13" t="s">
        <v>139</v>
      </c>
      <c r="D17" s="29">
        <v>25000</v>
      </c>
      <c r="E17" s="15" t="s">
        <v>7</v>
      </c>
      <c r="F17" s="9" t="s">
        <v>140</v>
      </c>
    </row>
    <row r="18" spans="1:6" ht="13.2" customHeight="1" x14ac:dyDescent="0.3">
      <c r="A18" s="21">
        <v>45688</v>
      </c>
      <c r="B18" s="28" t="s">
        <v>12</v>
      </c>
      <c r="C18" s="30" t="s">
        <v>141</v>
      </c>
      <c r="D18" s="31">
        <v>133698.68</v>
      </c>
      <c r="E18" s="15" t="s">
        <v>7</v>
      </c>
      <c r="F18" s="9" t="s">
        <v>140</v>
      </c>
    </row>
  </sheetData>
  <mergeCells count="1">
    <mergeCell ref="A1:F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DESPESAS X RECEITA</vt:lpstr>
      <vt:lpstr>Planilha1</vt:lpstr>
      <vt:lpstr>NÃO PROVISIONADO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2024-10-29T14:19:21Z</dcterms:created>
  <dcterms:modified xsi:type="dcterms:W3CDTF">2025-06-05T11:58:32Z</dcterms:modified>
</cp:coreProperties>
</file>