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V:\01- DIRETORIA\01 - CONTRATOS\AGOSTO\"/>
    </mc:Choice>
  </mc:AlternateContent>
  <xr:revisionPtr revIDLastSave="0" documentId="13_ncr:1_{653BA70C-6113-40F3-B008-BE3B3D4CD3C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B35" i="1" l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35" i="1" l="1"/>
  <c r="O44" i="1"/>
  <c r="Q44" i="1" s="1"/>
  <c r="Q35" i="1"/>
  <c r="N35" i="1"/>
  <c r="M35" i="1"/>
  <c r="L35" i="1"/>
  <c r="K35" i="1"/>
  <c r="J35" i="1"/>
  <c r="I35" i="1"/>
  <c r="G35" i="1"/>
  <c r="F35" i="1"/>
  <c r="E35" i="1"/>
  <c r="D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Ester Cardozo</author>
  </authors>
  <commentList>
    <comment ref="I5" authorId="0" shapeId="0" xr:uid="{10296B0C-97C4-4C04-9EB0-95DD35D186B3}">
      <text>
        <r>
          <rPr>
            <b/>
            <sz val="9"/>
            <color indexed="81"/>
            <rFont val="Segoe UI"/>
            <family val="2"/>
          </rPr>
          <t>Ester Cardozo:</t>
        </r>
        <r>
          <rPr>
            <sz val="9"/>
            <color indexed="81"/>
            <rFont val="Segoe UI"/>
            <family val="2"/>
          </rPr>
          <t xml:space="preserve">
não tem ft lançada neste posto</t>
        </r>
      </text>
    </comment>
  </commentList>
</comments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<sst xmlns="http://schemas.openxmlformats.org/spreadsheetml/2006/main" count="38" uniqueCount="37">
  <si>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</si>
  <si>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</si>
  <si>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</si>
  <si>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</si>
  <si>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</si>
  <si>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</si>
  <si>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</si>
  <si>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</si>
  <si>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</si>
  <si>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</si>
  <si>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</si>
  <si>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</si>
  <si>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</si>
  <si>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</si>
  <si>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</si>
  <si>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</si>
  <si>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</si>
  <si>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</si>
  <si>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</si>
  <si>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</si>
  <si>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</si>
  <si>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</si>
  <si>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</si>
  <si>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</si>
  <si>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</si>
  <si>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t>Editar3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</si>
  <si>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</si>
  <si>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</si>
  <si>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</si>
  <si>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</si>
  <si>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</si>
  <si>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</si>
  <si>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</si>
  <si>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</si>
  <si>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</si>
  <si>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</si>
  <si>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BOA LOJA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</si>
</sst>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43" fontId="13" fillId="11" borderId="17" xfId="3" applyNumberFormat="1" applyFont="1" applyFill="1" applyBorder="1" applyAlignment="1" applyProtection="1">
      <alignment horizontal="center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164" fontId="5" fillId="9" borderId="5" xfId="1" applyFont="1" applyFill="1" applyBorder="1" applyAlignment="1" applyProtection="1">
      <alignment horizontal="left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Editar3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H12" sqref="H12"/>
    </sheetView>
  </sheetViews>
  <sheetFormatPr defaultRowHeight="13.2" x14ac:dyDescent="0.25"/>
  <cols>
    <col min="1" max="1" width="7" style="1" customWidth="1"/>
    <col min="2" max="2" width="11.44140625" style="1" customWidth="1"/>
    <col min="3" max="3" width="10.6640625" style="2" customWidth="1"/>
    <col min="4" max="4" width="11" style="3" customWidth="1"/>
    <col min="5" max="5" width="14.88671875" style="3" customWidth="1"/>
    <col min="6" max="6" width="11" style="3" customWidth="1"/>
    <col min="7" max="7" width="14.88671875" style="3" customWidth="1"/>
    <col min="8" max="8" width="11" style="3" customWidth="1"/>
    <col min="9" max="9" width="14.88671875" style="3" customWidth="1"/>
    <col min="10" max="10" width="15.88671875" style="3" customWidth="1"/>
    <col min="11" max="14" width="10.109375" style="3" customWidth="1"/>
    <col min="15" max="15" width="14.109375" style="3" customWidth="1"/>
    <col min="16" max="16" width="11.109375" style="3" customWidth="1"/>
    <col min="17" max="17" width="12.109375" style="3" customWidth="1"/>
    <col min="18" max="18" width="9.5546875" style="3" customWidth="1"/>
    <col min="19" max="19" width="10.5546875" style="3" customWidth="1"/>
    <col min="20" max="1025" width="8.88671875" style="1" customWidth="1"/>
  </cols>
  <sheetData>
    <row r="1" spans="1:20" s="65" customFormat="1" ht="52.5" customHeight="1" thickBot="1" x14ac:dyDescent="0.3">
      <c r="A1" s="65" t="s">
        <v>36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</row>
    <row r="2" spans="1:20" s="4" customFormat="1" ht="18" customHeight="1" thickTop="1" x14ac:dyDescent="0.25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5">
      <c r="B3" s="29"/>
      <c r="C3" s="7"/>
      <c r="D3" s="7"/>
      <c r="E3" s="7"/>
      <c r="F3" s="7"/>
      <c r="G3" s="7"/>
      <c r="H3" s="7"/>
      <c r="I3" s="7"/>
      <c r="J3" s="67" t="s">
        <v>1</v>
      </c>
      <c r="K3" s="67"/>
      <c r="L3" s="68" t="s">
        <v>33</v>
      </c>
      <c r="M3" s="68"/>
      <c r="N3" s="68"/>
      <c r="O3" s="68"/>
      <c r="P3" s="68"/>
      <c r="Q3" s="68"/>
      <c r="R3" s="68"/>
      <c r="S3" s="7"/>
      <c r="T3" s="30"/>
    </row>
    <row r="4" spans="1:20" s="4" customFormat="1" ht="47.25" customHeight="1" x14ac:dyDescent="0.25">
      <c r="A4" s="8"/>
      <c r="B4" s="60" t="s">
        <v>2</v>
      </c>
      <c r="C4" s="62" t="s">
        <v>13</v>
      </c>
      <c r="D4" s="61" t="s">
        <v>14</v>
      </c>
      <c r="E4" s="61" t="s">
        <v>15</v>
      </c>
      <c r="F4" s="61" t="s">
        <v>16</v>
      </c>
      <c r="G4" s="61" t="s">
        <v>17</v>
      </c>
      <c r="H4" s="61" t="s">
        <v>18</v>
      </c>
      <c r="I4" s="62" t="s">
        <v>19</v>
      </c>
      <c r="J4" s="63" t="s">
        <v>20</v>
      </c>
      <c r="K4" s="63" t="s">
        <v>21</v>
      </c>
      <c r="L4" s="64" t="s">
        <v>23</v>
      </c>
      <c r="M4" s="53" t="s">
        <v>32</v>
      </c>
      <c r="N4" s="64" t="s">
        <v>22</v>
      </c>
      <c r="O4" s="9" t="s">
        <v>24</v>
      </c>
      <c r="P4" s="63" t="s">
        <v>3</v>
      </c>
      <c r="Q4" s="9" t="s">
        <v>25</v>
      </c>
      <c r="R4" s="63" t="s">
        <v>26</v>
      </c>
      <c r="S4" s="10" t="s">
        <v>27</v>
      </c>
      <c r="T4" s="30" t="s">
        <v>31</v>
      </c>
    </row>
    <row r="5" spans="1:20" s="4" customFormat="1" ht="18" customHeight="1" x14ac:dyDescent="0.25">
      <c r="A5" s="7" t="s">
        <v>4</v>
      </c>
      <c r="B5" s="49"/>
      <c r="C5" s="48"/>
      <c r="D5" s="23">
        <v>1334.58</v>
      </c>
      <c r="E5" s="23">
        <v>8</v>
      </c>
      <c r="F5" s="23">
        <v>0</v>
      </c>
      <c r="G5" s="23"/>
      <c r="H5" s="23">
        <v>80</v>
      </c>
      <c r="I5" s="23">
        <v>0</v>
      </c>
      <c r="J5" s="23">
        <v>56</v>
      </c>
      <c r="K5" s="23">
        <v>59</v>
      </c>
      <c r="L5" s="23">
        <v>0</v>
      </c>
      <c r="M5" s="54">
        <v>1599</v>
      </c>
      <c r="N5" s="23">
        <v>82</v>
      </c>
      <c r="O5" s="23">
        <v>20</v>
      </c>
      <c r="P5" s="23">
        <v>7.8</v>
      </c>
      <c r="Q5" s="23">
        <v>30</v>
      </c>
      <c r="R5" s="55">
        <v>3315</v>
      </c>
      <c r="S5" s="50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6591.38</v>
      </c>
      <c r="T5" s="47"/>
    </row>
    <row r="6" spans="1:20" s="4" customFormat="1" ht="18" customHeight="1" x14ac:dyDescent="0.25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5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5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5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5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5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5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5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5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5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5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5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5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5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5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5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5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5">
      <c r="A23" s="7">
        <v>19</v>
      </c>
      <c r="B23" s="31"/>
      <c r="C23" s="32"/>
      <c r="D23" s="12"/>
      <c r="E23" s="11"/>
      <c r="F23" s="11"/>
      <c r="G23" s="11"/>
      <c r="H23" s="23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6591.38</v>
      </c>
      <c r="Q23" s="11"/>
      <c r="R23" s="11"/>
      <c r="S23" s="11"/>
      <c r="T23" s="46"/>
    </row>
    <row r="24" spans="1:20" s="4" customFormat="1" ht="18" customHeight="1" x14ac:dyDescent="0.25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5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5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5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5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5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5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5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5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5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5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Row],[Editar3]]+Tabela1[[#This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5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1334.58</v>
      </c>
      <c r="E35" s="34">
        <f t="shared" si="1"/>
        <v>8</v>
      </c>
      <c r="F35" s="34">
        <f t="shared" si="1"/>
        <v>0</v>
      </c>
      <c r="G35" s="34">
        <f t="shared" si="1"/>
        <v>0</v>
      </c>
      <c r="H35" s="54">
        <v>80</v>
      </c>
      <c r="I35" s="34">
        <f t="shared" si="1"/>
        <v>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82</v>
      </c>
      <c r="O35" s="34">
        <f>H23-P23</f>
        <v>-6591.38</v>
      </c>
      <c r="P35" s="51"/>
      <c r="Q35" s="34">
        <f t="shared" si="1"/>
        <v>30</v>
      </c>
      <c r="R35" s="22"/>
      <c r="S35" s="52">
        <f>SUBTOTAL(109,S5:S34)</f>
        <v>6591.38</v>
      </c>
      <c r="T35" s="30"/>
    </row>
    <row r="36" spans="1:20" s="4" customFormat="1" ht="18" customHeight="1" x14ac:dyDescent="0.25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5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5">
      <c r="B38" s="69" t="s">
        <v>7</v>
      </c>
      <c r="C38" s="70"/>
      <c r="D38" s="70"/>
      <c r="E38" s="70"/>
      <c r="F38" s="71" t="s">
        <v>28</v>
      </c>
      <c r="G38" s="71"/>
      <c r="H38" s="71"/>
      <c r="I38" s="71"/>
      <c r="J38" s="71"/>
      <c r="K38" s="71"/>
      <c r="L38" s="71"/>
      <c r="M38" s="13"/>
      <c r="N38" s="72" t="s">
        <v>8</v>
      </c>
      <c r="O38" s="72"/>
      <c r="P38" s="72"/>
      <c r="Q38" s="73">
        <v>0</v>
      </c>
      <c r="R38" s="73"/>
      <c r="S38" s="12"/>
      <c r="T38" s="30"/>
    </row>
    <row r="39" spans="1:20" s="4" customFormat="1" ht="18" customHeight="1" x14ac:dyDescent="0.25">
      <c r="B39" s="74" t="s">
        <v>9</v>
      </c>
      <c r="C39" s="75"/>
      <c r="D39" s="75"/>
      <c r="E39" s="75"/>
      <c r="F39" s="76"/>
      <c r="G39" s="76"/>
      <c r="H39" s="76"/>
      <c r="I39" s="76"/>
      <c r="J39" s="76"/>
      <c r="K39" s="76"/>
      <c r="L39" s="76"/>
      <c r="M39" s="13"/>
      <c r="N39" s="77" t="s">
        <v>10</v>
      </c>
      <c r="O39" s="77"/>
      <c r="P39" s="77"/>
      <c r="Q39" s="78">
        <v>0</v>
      </c>
      <c r="R39" s="78"/>
      <c r="S39" s="13"/>
      <c r="T39" s="30"/>
    </row>
    <row r="40" spans="1:20" s="4" customFormat="1" ht="18" customHeight="1" x14ac:dyDescent="0.25">
      <c r="B40" s="69" t="s">
        <v>11</v>
      </c>
      <c r="C40" s="70"/>
      <c r="D40" s="70"/>
      <c r="E40" s="70"/>
      <c r="F40" s="79" t="s">
        <v>35</v>
      </c>
      <c r="G40" s="79"/>
      <c r="H40" s="79"/>
      <c r="I40" s="79"/>
      <c r="J40" s="79"/>
      <c r="K40" s="79"/>
      <c r="L40" s="79"/>
      <c r="M40" s="13"/>
      <c r="N40" s="80" t="s">
        <v>12</v>
      </c>
      <c r="O40" s="80"/>
      <c r="P40" s="80"/>
      <c r="Q40" s="81"/>
      <c r="R40" s="81"/>
      <c r="S40" s="13"/>
      <c r="T40" s="30"/>
    </row>
    <row r="41" spans="1:20" s="4" customFormat="1" ht="18" customHeight="1" x14ac:dyDescent="0.25">
      <c r="B41" s="74"/>
      <c r="C41" s="75"/>
      <c r="D41" s="75"/>
      <c r="E41" s="75"/>
      <c r="F41" s="76"/>
      <c r="G41" s="76"/>
      <c r="H41" s="76"/>
      <c r="I41" s="76"/>
      <c r="J41" s="76"/>
      <c r="K41" s="76"/>
      <c r="L41" s="76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5">
      <c r="B42" s="69"/>
      <c r="C42" s="70"/>
      <c r="D42" s="70"/>
      <c r="E42" s="70"/>
      <c r="F42" s="71"/>
      <c r="G42" s="71"/>
      <c r="H42" s="71"/>
      <c r="I42" s="71"/>
      <c r="J42" s="71"/>
      <c r="K42" s="71"/>
      <c r="L42" s="71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5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82" t="s">
        <v>34</v>
      </c>
      <c r="O43" s="82"/>
      <c r="P43" s="82"/>
      <c r="Q43" s="82"/>
      <c r="R43" s="15"/>
      <c r="T43" s="30"/>
    </row>
    <row r="44" spans="1:20" s="4" customFormat="1" ht="18" customHeight="1" thickBot="1" x14ac:dyDescent="0.3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29</v>
      </c>
      <c r="O44" s="58" t="e">
        <f>P23*100/H23</f>
        <v>#DIV/0!</v>
      </c>
      <c r="P44" s="42" t="s">
        <v>30</v>
      </c>
      <c r="Q44" s="59" t="e">
        <f>100-O44</f>
        <v>#DIV/0!</v>
      </c>
      <c r="R44" s="43"/>
      <c r="S44" s="44"/>
      <c r="T44" s="45"/>
    </row>
    <row r="45" spans="1:20" s="4" customFormat="1" ht="18" customHeight="1" x14ac:dyDescent="0.25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5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5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5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5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5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5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5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5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B41:E41"/>
    <mergeCell ref="F41:L41"/>
    <mergeCell ref="B42:E42"/>
    <mergeCell ref="F42:L42"/>
    <mergeCell ref="N43:Q43"/>
    <mergeCell ref="B39:E39"/>
    <mergeCell ref="F39:L39"/>
    <mergeCell ref="N39:P39"/>
    <mergeCell ref="Q39:R39"/>
    <mergeCell ref="B40:E40"/>
    <mergeCell ref="F40:L40"/>
    <mergeCell ref="N40:P40"/>
    <mergeCell ref="Q40:R40"/>
    <mergeCell ref="A1:XFD1"/>
    <mergeCell ref="J3:K3"/>
    <mergeCell ref="L3:R3"/>
    <mergeCell ref="B38:E38"/>
    <mergeCell ref="F38:L38"/>
    <mergeCell ref="N38:P38"/>
    <mergeCell ref="Q38:R38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3.2" x14ac:dyDescent="0.25"/>
  <cols>
    <col min="1" max="1025" width="8.6640625" customWidth="1"/>
  </cols>
  <sheetData>
    <row r="1" spans="1:1" s="65" customFormat="1" ht="52.5" customHeight="1" x14ac:dyDescent="0.25">
      <c r="A1" s="65" t="s">
        <v>0</v>
      </c>
    </row>
    <row r="42" spans="1:23" s="21" customFormat="1" ht="30" customHeight="1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Ester Cardozo</cp:lastModifiedBy>
  <cp:revision>1</cp:revision>
  <cp:lastPrinted>2010-03-04T20:44:11Z</cp:lastPrinted>
  <dcterms:created xsi:type="dcterms:W3CDTF">2009-04-28T20:24:02Z</dcterms:created>
  <dcterms:modified xsi:type="dcterms:W3CDTF">2024-09-17T14:15:17Z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