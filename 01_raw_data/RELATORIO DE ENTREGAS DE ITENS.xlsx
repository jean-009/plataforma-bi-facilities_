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A7EEFA90-C4AA-4A24-A89F-D36B67197EEC}" xr6:coauthVersionLast="47" xr6:coauthVersionMax="47" xr10:uidLastSave="{00000000-0000-0000-0000-000000000000}"/>
  <bookViews>
    <workbookView xWindow="-120" yWindow="-120" windowWidth="20730" windowHeight="11160" firstSheet="7" activeTab="7" xr2:uid="{00000000-000D-0000-FFFF-FFFF00000000}"/>
  </bookViews>
  <sheets>
    <sheet name="No. de Novos Negócios" sheetId="5" state="hidden" r:id="rId1"/>
    <sheet name="WIN  LOSS" sheetId="6" state="hidden" r:id="rId2"/>
    <sheet name="Prop. em Andamento" sheetId="7" state="hidden" r:id="rId3"/>
    <sheet name="status proposta" sheetId="9" state="hidden" r:id="rId4"/>
    <sheet name="Atividades semanais" sheetId="10" state="hidden" r:id="rId5"/>
    <sheet name="Andamento" sheetId="11" state="hidden" r:id="rId6"/>
    <sheet name="Planilha1" sheetId="3" state="hidden" r:id="rId7"/>
    <sheet name="RD 01.07.21 à 06.08.21" sheetId="56" r:id="rId8"/>
  </sheets>
  <definedNames>
    <definedName name="_xlnm.Print_Area" localSheetId="7">'RD 01.07.21 à 06.08.21'!$A$1:$K$42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<sst xmlns="http://schemas.openxmlformats.org/spreadsheetml/2006/main" count="98" uniqueCount="72">
  <si>
    <t>Segmento</t>
  </si>
  <si>
    <t>E-mail</t>
  </si>
  <si>
    <t>Ultimo Contato</t>
  </si>
  <si>
    <t>Data do Primeiro Contato</t>
  </si>
  <si>
    <t>Canal InBound</t>
  </si>
  <si>
    <t>Etapa do funil</t>
  </si>
  <si>
    <t>Prospecção</t>
  </si>
  <si>
    <t>Levantamento das Necessidades</t>
  </si>
  <si>
    <t>Apresentação de Proposta</t>
  </si>
  <si>
    <t>Negociação</t>
  </si>
  <si>
    <t>Fechamento da Proposta</t>
  </si>
  <si>
    <t>Google</t>
  </si>
  <si>
    <t>Assistente Comercial</t>
  </si>
  <si>
    <t>Indicação</t>
  </si>
  <si>
    <t>Experiência Anterior</t>
  </si>
  <si>
    <t>Prospecção Ativa</t>
  </si>
  <si>
    <t>W&amp;Dio</t>
  </si>
  <si>
    <t>Administradora</t>
  </si>
  <si>
    <t>Construtora</t>
  </si>
  <si>
    <t>Condominios</t>
  </si>
  <si>
    <t>Hospitalar</t>
  </si>
  <si>
    <t>Shopping</t>
  </si>
  <si>
    <t>Empresa</t>
  </si>
  <si>
    <t>Industria</t>
  </si>
  <si>
    <t>Promocional</t>
  </si>
  <si>
    <t>Convencional</t>
  </si>
  <si>
    <t>Nível 01</t>
  </si>
  <si>
    <t>Loss</t>
  </si>
  <si>
    <t>Rótulos de Linha</t>
  </si>
  <si>
    <t>(vazio)</t>
  </si>
  <si>
    <t>Total Geral</t>
  </si>
  <si>
    <t>Contagem de N0. SEQ.</t>
  </si>
  <si>
    <t>Win</t>
  </si>
  <si>
    <t xml:space="preserve">Contagem de Win / Loss </t>
  </si>
  <si>
    <t>Soma de Valor (R$)</t>
  </si>
  <si>
    <t>Andamento</t>
  </si>
  <si>
    <t>Contagem de Status de Evolução</t>
  </si>
  <si>
    <t>Ligação</t>
  </si>
  <si>
    <t>E-mail Marketing</t>
  </si>
  <si>
    <t>Visita</t>
  </si>
  <si>
    <t>Skype</t>
  </si>
  <si>
    <t>Contagem de Canal Ultilizado</t>
  </si>
  <si>
    <t>(Tudo)</t>
  </si>
  <si>
    <t>Contagem de Canal Ultilizado2</t>
  </si>
  <si>
    <t>Contagem de Valor (R$)</t>
  </si>
  <si>
    <t>Soma de Valor (R$)2</t>
  </si>
  <si>
    <t>Status</t>
  </si>
  <si>
    <t>No. De propostas</t>
  </si>
  <si>
    <t>Valor das Propostas</t>
  </si>
  <si>
    <t>Loss (Perda)</t>
  </si>
  <si>
    <t>Win (Ganho)</t>
  </si>
  <si>
    <t>Renato Gabriel</t>
  </si>
  <si>
    <t xml:space="preserve">DATA </t>
  </si>
  <si>
    <t>DESCRIÇÃO</t>
  </si>
  <si>
    <t>RESPONSAVEL PELA ENTREGA AO SOLICITANTE</t>
  </si>
  <si>
    <t>PROTOCOLO DE ENTREGA DE MATERIAIS</t>
  </si>
  <si>
    <t>DATA</t>
  </si>
  <si>
    <t>SUPERVISOR</t>
  </si>
  <si>
    <t>DECLARO QUE RECEBI TODOS OS ITENS DECRITOS ACIMA EM PEREFEITAS CONDIÇÕES DE USO, NA QUAL ME RESPONSABILIZO QUE ENQUANTO ESTIVER</t>
  </si>
  <si>
    <t>A SERVIÇOS DO GRUPO HSERV UTILIZAREI DE FORMA ADEQUADA, E EM CASO DE DEVOLUÇÃO ENTREGAREI EM BOM ESTADO DE CONSERVAÇÃO</t>
  </si>
  <si>
    <t>RADIO COMUNICADOR</t>
  </si>
  <si>
    <t xml:space="preserve">RESPONSAVEL </t>
  </si>
  <si>
    <t xml:space="preserve">1 CARREGADOR PRETO COMPLETO </t>
  </si>
  <si>
    <t>1 APARELHO CELULAR LG K9 TV - IMEI 3552691049923350 PLACA DE IDENTIFICAÇÃO:</t>
  </si>
  <si>
    <t>UPA 24HS</t>
  </si>
  <si>
    <t>GEDSON APARECIDO SOUZA</t>
  </si>
  <si>
    <t>GEDSON</t>
  </si>
  <si>
    <t>1 CHIP CLARO LINHA ()</t>
  </si>
  <si>
    <t>TAIS VITOR DE SOUZA CPF 483.003.428-93</t>
  </si>
  <si>
    <t>KEDLEI PATRICK PEREIRA CPF: 419.967.238-98</t>
  </si>
  <si>
    <t>WAGNER BERITI DE GODOY CPF: 385.713.558-19</t>
  </si>
  <si>
    <t>RAFAEL DA SILVA RIBEIRO CPF: 412.851.148-09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</si>
</sst>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b/>
      <sz val="13"/>
      <name val="Verdana"/>
      <family val="2"/>
    </font>
    <font>
      <sz val="10.5"/>
      <name val="Verdana"/>
      <family val="2"/>
    </font>
    <font>
      <sz val="8.5"/>
      <name val="Verdana"/>
      <family val="2"/>
    </font>
    <font>
      <b/>
      <sz val="8.5"/>
      <name val="Verdana"/>
      <family val="2"/>
    </font>
    <font>
      <sz val="10"/>
      <name val="Arial"/>
      <family val="2"/>
    </font>
    <font>
      <b/>
      <sz val="8"/>
      <name val="Verdana"/>
      <family val="2"/>
    </font>
    <font>
      <b/>
      <sz val="1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49">
    <xf numFmtId="0" fontId="0" fillId="0" borderId="0" xfId="0"/>
    <xf numFmtId="0" fontId="0" fillId="3" borderId="0" xfId="0" applyFill="1"/>
    <xf numFmtId="0" fontId="0" fillId="2" borderId="0" xfId="0" applyFill="1"/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44" fontId="0" fillId="0" borderId="0" xfId="0" applyNumberFormat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17" fontId="4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7" fontId="4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top"/>
    </xf>
    <xf numFmtId="0" fontId="9" fillId="8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</cellXfs>
  <cellStyles count="4">
    <cellStyle name="Hiperlink 2" xfId="2" xr:uid="{00000000-0005-0000-0000-000000000000}"/>
    <cellStyle name="Normal" xfId="0" builtinId="0"/>
    <cellStyle name="Normal 3" xfId="3" xr:uid="{00000000-0005-0000-0000-000002000000}"/>
    <cellStyle name="Porcentagem" xfId="1" builtinId="5"/>
  </cellStyles>
  <dxfs count="0"/>
  <tableStyles count="0" defaultTableStyle="TableStyleMedium2" defaultPivotStyle="PivotStyleLight16"/>
  <colors>
    <mruColors>
      <color rgb="FFCCFF33"/>
      <color rgb="FFFFFF66"/>
      <color rgb="FFFFFF00"/>
      <color rgb="FFFF6600"/>
      <color rgb="FFFF33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Acompanhamento de Propostas Emitidas</a:t>
            </a:r>
          </a:p>
        </c:rich>
      </c:tx>
      <c:layout>
        <c:manualLayout>
          <c:xMode val="edge"/>
          <c:yMode val="edge"/>
          <c:x val="0.1617084426946631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Andamento!$B$10</c:f>
              <c:strCache>
                <c:ptCount val="1"/>
                <c:pt idx="0">
                  <c:v>No. De propostas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Andamento!$A$11:$A$13</c:f>
              <c:strCache>
                <c:ptCount val="3"/>
                <c:pt idx="0">
                  <c:v>Andamento</c:v>
                </c:pt>
                <c:pt idx="1">
                  <c:v>Loss</c:v>
                </c:pt>
                <c:pt idx="2">
                  <c:v>Win</c:v>
                </c:pt>
              </c:strCache>
            </c:strRef>
          </c:cat>
          <c:val>
            <c:numRef>
              <c:f>Andamento!$B$11:$B$13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5-478C-819C-71797BB71A78}"/>
            </c:ext>
          </c:extLst>
        </c:ser>
        <c:ser>
          <c:idx val="1"/>
          <c:order val="1"/>
          <c:tx>
            <c:strRef>
              <c:f>Andamento!$C$10</c:f>
              <c:strCache>
                <c:ptCount val="1"/>
                <c:pt idx="0">
                  <c:v>Valor das Propostas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05-478C-819C-71797BB71A7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05-478C-819C-71797BB71A7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05-478C-819C-71797BB71A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Andamento!$A$11:$A$13</c:f>
              <c:strCache>
                <c:ptCount val="3"/>
                <c:pt idx="0">
                  <c:v>Andamento</c:v>
                </c:pt>
                <c:pt idx="1">
                  <c:v>Loss</c:v>
                </c:pt>
                <c:pt idx="2">
                  <c:v>Win</c:v>
                </c:pt>
              </c:strCache>
            </c:strRef>
          </c:cat>
          <c:val>
            <c:numRef>
              <c:f>Andamento!$C$11:$C$13</c:f>
              <c:numCache>
                <c:formatCode>_("R$"* #,##0.00_);_("R$"* \(#,##0.00\);_("R$"* "-"??_);_(@_)</c:formatCode>
                <c:ptCount val="3"/>
                <c:pt idx="0">
                  <c:v>154600</c:v>
                </c:pt>
                <c:pt idx="1">
                  <c:v>33200</c:v>
                </c:pt>
                <c:pt idx="2">
                  <c:v>71700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5-478C-819C-71797BB71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856145744"/>
        <c:axId val="-1856140304"/>
      </c:barChart>
      <c:catAx>
        <c:axId val="-185614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56140304"/>
        <c:crosses val="autoZero"/>
        <c:auto val="1"/>
        <c:lblAlgn val="ctr"/>
        <c:lblOffset val="100"/>
        <c:noMultiLvlLbl val="0"/>
      </c:catAx>
      <c:valAx>
        <c:axId val="-185614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5614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1</xdr:row>
      <xdr:rowOff>142875</xdr:rowOff>
    </xdr:from>
    <xdr:to>
      <xdr:col>11</xdr:col>
      <xdr:colOff>347662</xdr:colOff>
      <xdr:row>16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32A6C0-DA7D-44BD-B22A-5FE6B4900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895349</xdr:colOff>
      <xdr:row>0</xdr:row>
      <xdr:rowOff>133350</xdr:rowOff>
    </xdr:from>
    <xdr:to>
      <xdr:col>1</xdr:col>
      <xdr:colOff>2047875</xdr:colOff>
      <xdr:row>2</xdr:row>
      <xdr:rowOff>371476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4" y="133350"/>
          <a:ext cx="1152526" cy="75247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ercial-hserv\Documents\02%20-%20Yamam\006%20-%20Relat&#243;rios%20de%20Despesas%20-%20RD\Relat&#243;rio%20Semanal%20-%20M&#225;rcia%20Santana%20-%20set.1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a Santana" refreshedDate="42914.441258101855" createdVersion="6" refreshedVersion="4" minRefreshableVersion="3" recordCount="246" xr:uid="{00000000-000A-0000-FFFF-FFFF00000000}">
  <cacheSource type="worksheet">
    <worksheetSource ref="A2:V72" sheet="PIPELINE" r:id="rId2"/>
  </cacheSource>
  <cacheFields count="35">
    <cacheField name="N0. SEQ." numFmtId="0">
      <sharedItems containsBlank="1" containsMixedTypes="1" containsNumber="1" containsInteger="1" minValue="1" maxValue="53"/>
    </cacheField>
    <cacheField name="Data do Primeiro Contato" numFmtId="0">
      <sharedItems containsDate="1" containsBlank="1" containsMixedTypes="1" minDate="2017-04-04T00:00:00" maxDate="2017-06-29T00:00:00" count="12">
        <m/>
        <s v="Renato Gabriel"/>
        <d v="2017-06-07T00:00:00"/>
        <d v="2017-06-12T00:00:00"/>
        <d v="2017-04-04T00:00:00"/>
        <d v="2017-05-17T00:00:00"/>
        <d v="2017-05-19T00:00:00"/>
        <d v="2017-06-22T00:00:00"/>
        <d v="2017-06-28T00:00:00"/>
        <d v="2017-06-20T00:00:00" u="1"/>
        <d v="2017-06-21T00:00:00" u="1"/>
        <d v="2017-06-19T00:00:00" u="1"/>
      </sharedItems>
    </cacheField>
    <cacheField name="Canal Ultilizado" numFmtId="0">
      <sharedItems containsBlank="1" count="5">
        <m/>
        <s v="E-mail"/>
        <s v="Ligação"/>
        <s v="Visita"/>
        <s v="Skype" u="1"/>
      </sharedItems>
    </cacheField>
    <cacheField name="Etapa do Funil" numFmtId="0">
      <sharedItems containsBlank="1"/>
    </cacheField>
    <cacheField name="Canal InBound" numFmtId="0">
      <sharedItems containsBlank="1"/>
    </cacheField>
    <cacheField name="Data da 1a. Visita" numFmtId="0">
      <sharedItems containsNonDate="0" containsDate="1" containsString="0" containsBlank="1" minDate="2017-01-17T00:00:00" maxDate="2017-06-22T00:00:00"/>
    </cacheField>
    <cacheField name="Horário" numFmtId="0">
      <sharedItems containsBlank="1"/>
    </cacheField>
    <cacheField name="Data da Próxima Visita" numFmtId="0">
      <sharedItems containsNonDate="0" containsDate="1" containsString="0" containsBlank="1" minDate="2017-06-28T00:00:00" maxDate="2017-06-29T00:00:00"/>
    </cacheField>
    <cacheField name="Horário2" numFmtId="0">
      <sharedItems containsBlank="1"/>
    </cacheField>
    <cacheField name="Ultimo Contato" numFmtId="0">
      <sharedItems containsNonDate="0" containsDate="1" containsString="0" containsBlank="1" minDate="2017-04-23T00:00:00" maxDate="2017-06-29T00:00:00" count="8">
        <m/>
        <d v="2017-06-23T00:00:00"/>
        <d v="2017-06-27T00:00:00"/>
        <d v="2017-06-26T00:00:00"/>
        <d v="2017-06-22T00:00:00"/>
        <d v="2017-06-28T00:00:00"/>
        <d v="2017-04-23T00:00:00" u="1"/>
        <d v="2017-06-19T00:00:00" u="1"/>
      </sharedItems>
    </cacheField>
    <cacheField name="Canal Ultilizado2" numFmtId="0">
      <sharedItems containsBlank="1"/>
    </cacheField>
    <cacheField name="Prospect/ Lead" numFmtId="0">
      <sharedItems containsBlank="1"/>
    </cacheField>
    <cacheField name="Segmento" numFmtId="0">
      <sharedItems containsBlank="1"/>
    </cacheField>
    <cacheField name="Endereço" numFmtId="0">
      <sharedItems containsBlank="1"/>
    </cacheField>
    <cacheField name="Cidade" numFmtId="0">
      <sharedItems containsBlank="1"/>
    </cacheField>
    <cacheField name="Contato" numFmtId="0">
      <sharedItems containsBlank="1"/>
    </cacheField>
    <cacheField name="Cargo" numFmtId="0">
      <sharedItems containsBlank="1"/>
    </cacheField>
    <cacheField name="Telefone" numFmtId="0">
      <sharedItems containsBlank="1"/>
    </cacheField>
    <cacheField name="E-mail" numFmtId="0">
      <sharedItems containsBlank="1"/>
    </cacheField>
    <cacheField name="Segurança" numFmtId="0">
      <sharedItems containsBlank="1"/>
    </cacheField>
    <cacheField name="Serviços" numFmtId="0">
      <sharedItems containsBlank="1"/>
    </cacheField>
    <cacheField name="No. da Proposta" numFmtId="0">
      <sharedItems containsBlank="1" containsMixedTypes="1" containsNumber="1" containsInteger="1" minValue="102" maxValue="151"/>
    </cacheField>
    <cacheField name="Valor (R$)" numFmtId="44">
      <sharedItems containsString="0" containsBlank="1" containsNumber="1" containsInteger="1" minValue="3892" maxValue="165030"/>
    </cacheField>
    <cacheField name="Tabela de Preço" numFmtId="0">
      <sharedItems containsBlank="1"/>
    </cacheField>
    <cacheField name="Data de Entrega" numFmtId="0">
      <sharedItems containsNonDate="0" containsDate="1" containsString="0" containsBlank="1" minDate="2017-06-07T00:00:00" maxDate="2017-06-27T00:00:00"/>
    </cacheField>
    <cacheField name="Status de Evolução" numFmtId="0">
      <sharedItems containsString="0" containsBlank="1" containsNumber="1" minValue="0.25" maxValue="1" count="5">
        <m/>
        <n v="0.25"/>
        <n v="0.5"/>
        <n v="0.75" u="1"/>
        <n v="1" u="1"/>
      </sharedItems>
    </cacheField>
    <cacheField name="Observações de Entrega da Proposta" numFmtId="0">
      <sharedItems containsBlank="1"/>
    </cacheField>
    <cacheField name="Win / Loss " numFmtId="0">
      <sharedItems containsBlank="1" count="6">
        <m/>
        <s v="Loss (Perda)"/>
        <s v="Win (Ganho)"/>
        <s v="Win" u="1"/>
        <s v="Andamento" u="1"/>
        <s v="Loss" u="1"/>
      </sharedItems>
    </cacheField>
    <cacheField name="Motivo da Perda" numFmtId="0">
      <sharedItems containsBlank="1"/>
    </cacheField>
    <cacheField name="Buget - Qual o orçamento do seu cliente?" numFmtId="0">
      <sharedItems containsNonDate="0" containsString="0" containsBlank="1"/>
    </cacheField>
    <cacheField name="Autoridade (Este Contato tem o poder de decidir?" numFmtId="0">
      <sharedItems containsNonDate="0" containsString="0" containsBlank="1"/>
    </cacheField>
    <cacheField name="Necessidade (Qual a necessidade do Cliente?)" numFmtId="0">
      <sharedItems containsNonDate="0" containsString="0" containsBlank="1"/>
    </cacheField>
    <cacheField name="Problema (Qual é a dor do seu cliente?)" numFmtId="0">
      <sharedItems containsNonDate="0" containsString="0" containsBlank="1"/>
    </cacheField>
    <cacheField name="Urgência (Quando ele quer resolver?)" numFmtId="0">
      <sharedItems containsNonDate="0" containsString="0" containsBlank="1"/>
    </cacheField>
    <cacheField name="Solução (Qual a solução que a tua empresa tem?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6">
  <r>
    <s v="PROPOSTAS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n v="1"/>
    <x v="1"/>
    <x v="1"/>
    <s v="Apresentação de Proposta"/>
    <s v="Administradora"/>
    <d v="2017-01-17T00:00:00"/>
    <s v="-"/>
    <m/>
    <m/>
    <x v="0"/>
    <s v="E-mail"/>
    <s v="EASY MARACÁ"/>
    <s v="Condominios"/>
    <m/>
    <s v="São Paulo/SP"/>
    <m/>
    <m/>
    <m/>
    <m/>
    <s v="Sim"/>
    <m/>
    <n v="102"/>
    <n v="42825"/>
    <m/>
    <m/>
    <x v="0"/>
    <m/>
    <x v="1"/>
    <s v="Comparação de preço"/>
    <m/>
    <m/>
    <m/>
    <m/>
    <m/>
    <m/>
  </r>
  <r>
    <n v="2"/>
    <x v="0"/>
    <x v="0"/>
    <m/>
    <s v="Administradora"/>
    <d v="2017-01-23T00:00:00"/>
    <m/>
    <m/>
    <m/>
    <x v="0"/>
    <m/>
    <s v="COND. IGNÁCIO T. LEITE"/>
    <s v="Condominios"/>
    <m/>
    <s v="São Paulo/SP"/>
    <m/>
    <m/>
    <m/>
    <m/>
    <s v="Não"/>
    <m/>
    <n v="103"/>
    <n v="26587"/>
    <m/>
    <m/>
    <x v="0"/>
    <m/>
    <x v="1"/>
    <s v="Comparação de preço"/>
    <m/>
    <m/>
    <m/>
    <m/>
    <m/>
    <m/>
  </r>
  <r>
    <n v="3"/>
    <x v="0"/>
    <x v="0"/>
    <m/>
    <s v="Administradora"/>
    <d v="2017-01-19T00:00:00"/>
    <m/>
    <m/>
    <m/>
    <x v="0"/>
    <m/>
    <s v="MANGALOT"/>
    <s v="Empresa"/>
    <m/>
    <s v="São Paulo/SP"/>
    <m/>
    <m/>
    <m/>
    <m/>
    <s v="Sim"/>
    <m/>
    <n v="104"/>
    <n v="24512"/>
    <m/>
    <m/>
    <x v="0"/>
    <m/>
    <x v="1"/>
    <s v="Comparação de preço"/>
    <m/>
    <m/>
    <m/>
    <m/>
    <m/>
    <m/>
  </r>
  <r>
    <n v="4"/>
    <x v="0"/>
    <x v="0"/>
    <m/>
    <s v="Prospecção Ativa"/>
    <d v="2017-02-09T00:00:00"/>
    <m/>
    <m/>
    <m/>
    <x v="0"/>
    <m/>
    <s v="COND. PORTAL DAS PALMEIRAS"/>
    <s v="Condominios"/>
    <m/>
    <s v="Jundiaí/SP"/>
    <m/>
    <m/>
    <m/>
    <m/>
    <s v="Sim"/>
    <m/>
    <n v="105"/>
    <n v="86323"/>
    <m/>
    <m/>
    <x v="0"/>
    <m/>
    <x v="2"/>
    <m/>
    <m/>
    <m/>
    <m/>
    <m/>
    <m/>
    <m/>
  </r>
  <r>
    <n v="5"/>
    <x v="0"/>
    <x v="0"/>
    <m/>
    <s v="Prospecção Ativa"/>
    <d v="2017-02-02T00:00:00"/>
    <m/>
    <m/>
    <m/>
    <x v="0"/>
    <m/>
    <s v="ASSOC. VILAGE MORRO ALTO"/>
    <s v="Condominios"/>
    <m/>
    <s v="Jundiaí/SP"/>
    <m/>
    <m/>
    <m/>
    <m/>
    <s v="Sim"/>
    <m/>
    <n v="106"/>
    <n v="51610"/>
    <m/>
    <m/>
    <x v="0"/>
    <m/>
    <x v="2"/>
    <m/>
    <m/>
    <m/>
    <m/>
    <m/>
    <m/>
    <m/>
  </r>
  <r>
    <n v="6"/>
    <x v="0"/>
    <x v="0"/>
    <m/>
    <s v="W&amp;Dio"/>
    <d v="2017-02-06T00:00:00"/>
    <m/>
    <m/>
    <m/>
    <x v="0"/>
    <m/>
    <s v="SABARÁ"/>
    <s v="Condominios"/>
    <m/>
    <s v="São Paulo/SP"/>
    <m/>
    <m/>
    <m/>
    <m/>
    <s v="Sim"/>
    <m/>
    <n v="107"/>
    <n v="24780"/>
    <m/>
    <m/>
    <x v="0"/>
    <m/>
    <x v="1"/>
    <s v="Empresa atual - ofereceu menor preço"/>
    <m/>
    <m/>
    <m/>
    <m/>
    <m/>
    <m/>
  </r>
  <r>
    <n v="7"/>
    <x v="0"/>
    <x v="0"/>
    <m/>
    <s v="Administradora"/>
    <d v="2017-02-08T00:00:00"/>
    <m/>
    <m/>
    <m/>
    <x v="0"/>
    <m/>
    <s v="RARUS"/>
    <s v="Empresa"/>
    <m/>
    <s v="São Paulo/SP"/>
    <m/>
    <m/>
    <m/>
    <m/>
    <s v="Sim"/>
    <m/>
    <n v="108"/>
    <n v="26650"/>
    <m/>
    <m/>
    <x v="0"/>
    <m/>
    <x v="1"/>
    <s v="Permaneceu com a empresa atual"/>
    <m/>
    <m/>
    <m/>
    <m/>
    <m/>
    <m/>
  </r>
  <r>
    <n v="8"/>
    <x v="0"/>
    <x v="0"/>
    <m/>
    <s v="Administradora"/>
    <d v="2017-02-06T00:00:00"/>
    <m/>
    <m/>
    <m/>
    <x v="0"/>
    <m/>
    <s v="SOLAR MONTERREY"/>
    <s v="Condominios"/>
    <m/>
    <s v="São Paulo/SP"/>
    <m/>
    <m/>
    <m/>
    <m/>
    <s v="Não"/>
    <m/>
    <n v="109"/>
    <n v="4040"/>
    <m/>
    <m/>
    <x v="0"/>
    <m/>
    <x v="1"/>
    <s v="Comparação de preço"/>
    <m/>
    <m/>
    <m/>
    <m/>
    <m/>
    <m/>
  </r>
  <r>
    <n v="9"/>
    <x v="0"/>
    <x v="0"/>
    <m/>
    <s v="Experiência Anterior"/>
    <d v="2017-03-02T00:00:00"/>
    <m/>
    <m/>
    <m/>
    <x v="0"/>
    <m/>
    <s v="MICROSERVICE LIMPEZA"/>
    <s v="Empresa"/>
    <m/>
    <s v="São Paulo/SP"/>
    <m/>
    <m/>
    <m/>
    <m/>
    <s v="Sim"/>
    <m/>
    <n v="110"/>
    <n v="30000"/>
    <m/>
    <m/>
    <x v="0"/>
    <m/>
    <x v="1"/>
    <s v="Preço"/>
    <m/>
    <m/>
    <m/>
    <m/>
    <m/>
    <m/>
  </r>
  <r>
    <n v="10"/>
    <x v="0"/>
    <x v="0"/>
    <m/>
    <s v="Prospecção Ativa"/>
    <d v="2017-02-14T00:00:00"/>
    <m/>
    <m/>
    <m/>
    <x v="0"/>
    <m/>
    <s v="RESIDENCIAL JATOBÁ"/>
    <s v="Condominios"/>
    <m/>
    <s v="São Paulo/SP"/>
    <m/>
    <m/>
    <m/>
    <m/>
    <s v="Sim"/>
    <m/>
    <n v="111"/>
    <n v="77126"/>
    <m/>
    <m/>
    <x v="0"/>
    <m/>
    <x v="1"/>
    <s v="Preço"/>
    <m/>
    <m/>
    <m/>
    <m/>
    <m/>
    <m/>
  </r>
  <r>
    <n v="11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Sim"/>
    <m/>
    <n v="112"/>
    <n v="135242"/>
    <m/>
    <m/>
    <x v="0"/>
    <m/>
    <x v="1"/>
    <s v="Precisa da autorização da diretoria para trocar"/>
    <m/>
    <m/>
    <m/>
    <m/>
    <m/>
    <m/>
  </r>
  <r>
    <n v="12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Não"/>
    <m/>
    <n v="113"/>
    <n v="73009"/>
    <m/>
    <m/>
    <x v="0"/>
    <m/>
    <x v="1"/>
    <s v="Precisa da autorização da diretoria para trocar"/>
    <m/>
    <m/>
    <m/>
    <m/>
    <m/>
    <m/>
  </r>
  <r>
    <n v="13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Não"/>
    <m/>
    <n v="114"/>
    <n v="17900"/>
    <m/>
    <m/>
    <x v="0"/>
    <m/>
    <x v="1"/>
    <s v="Precisa da autorização da diretoria para trocar"/>
    <m/>
    <m/>
    <m/>
    <m/>
    <m/>
    <m/>
  </r>
  <r>
    <n v="14"/>
    <x v="0"/>
    <x v="0"/>
    <m/>
    <s v="Prospecção Ativa"/>
    <d v="2017-03-01T00:00:00"/>
    <m/>
    <m/>
    <m/>
    <x v="0"/>
    <m/>
    <s v="VITOR ZERBIANO"/>
    <s v="Empresa"/>
    <m/>
    <s v="São Paulo/SP"/>
    <m/>
    <m/>
    <m/>
    <m/>
    <s v="Não"/>
    <m/>
    <n v="115"/>
    <n v="3997"/>
    <m/>
    <m/>
    <x v="0"/>
    <m/>
    <x v="1"/>
    <s v="Inviável para eles que querem limpeza meio período apenas"/>
    <m/>
    <m/>
    <m/>
    <m/>
    <m/>
    <m/>
  </r>
  <r>
    <n v="15"/>
    <x v="0"/>
    <x v="0"/>
    <m/>
    <s v="W&amp;Dio"/>
    <d v="2017-03-01T00:00:00"/>
    <m/>
    <m/>
    <m/>
    <x v="0"/>
    <m/>
    <s v="ACECO TI"/>
    <s v="Empresa"/>
    <m/>
    <s v="São Paulo/SP"/>
    <m/>
    <m/>
    <m/>
    <m/>
    <s v="Não"/>
    <m/>
    <n v="116"/>
    <n v="40620"/>
    <m/>
    <m/>
    <x v="0"/>
    <m/>
    <x v="1"/>
    <m/>
    <m/>
    <m/>
    <m/>
    <m/>
    <m/>
    <m/>
  </r>
  <r>
    <n v="16"/>
    <x v="0"/>
    <x v="0"/>
    <m/>
    <s v="W&amp;Dio"/>
    <d v="2017-03-01T00:00:00"/>
    <m/>
    <m/>
    <m/>
    <x v="0"/>
    <m/>
    <s v="CONSTRUTORA CORDOBA"/>
    <s v="Construtora"/>
    <m/>
    <s v="São Paulo/SP"/>
    <m/>
    <m/>
    <m/>
    <m/>
    <s v="Sim"/>
    <m/>
    <n v="117"/>
    <n v="16215"/>
    <m/>
    <m/>
    <x v="0"/>
    <m/>
    <x v="1"/>
    <s v="Preço"/>
    <m/>
    <m/>
    <m/>
    <m/>
    <m/>
    <m/>
  </r>
  <r>
    <n v="17"/>
    <x v="0"/>
    <x v="0"/>
    <m/>
    <s v="W&amp;Dio"/>
    <d v="2017-03-01T00:00:00"/>
    <m/>
    <m/>
    <m/>
    <x v="0"/>
    <m/>
    <s v="COND. CHACARA DAS FLORES"/>
    <s v="Condominios"/>
    <m/>
    <s v="São Paulo/SP"/>
    <m/>
    <m/>
    <m/>
    <m/>
    <s v="Sim"/>
    <m/>
    <n v="118"/>
    <n v="87305"/>
    <m/>
    <m/>
    <x v="0"/>
    <m/>
    <x v="2"/>
    <m/>
    <m/>
    <m/>
    <m/>
    <m/>
    <m/>
    <m/>
  </r>
  <r>
    <n v="18"/>
    <x v="0"/>
    <x v="0"/>
    <m/>
    <s v="W&amp;Dio"/>
    <d v="2017-03-01T00:00:00"/>
    <m/>
    <m/>
    <m/>
    <x v="0"/>
    <m/>
    <s v="COND. EDIF ESPANHA"/>
    <s v="Condominios"/>
    <m/>
    <s v="São Paulo/SP"/>
    <m/>
    <m/>
    <m/>
    <m/>
    <s v="Sim"/>
    <m/>
    <n v="119"/>
    <n v="19130"/>
    <m/>
    <m/>
    <x v="0"/>
    <m/>
    <x v="1"/>
    <s v="Optou pr ficar com a empresa atual"/>
    <m/>
    <m/>
    <m/>
    <m/>
    <m/>
    <m/>
  </r>
  <r>
    <n v="19"/>
    <x v="0"/>
    <x v="0"/>
    <m/>
    <s v="W&amp;Dio"/>
    <d v="2017-03-01T00:00:00"/>
    <m/>
    <m/>
    <m/>
    <x v="0"/>
    <m/>
    <s v="SEE IND. E COMERCIO"/>
    <s v="Empresa"/>
    <m/>
    <s v="São Paulo/SP"/>
    <m/>
    <m/>
    <m/>
    <m/>
    <s v="Não"/>
    <m/>
    <n v="120"/>
    <n v="22830"/>
    <m/>
    <m/>
    <x v="0"/>
    <m/>
    <x v="1"/>
    <s v="Optou pelo fornecedor atual"/>
    <m/>
    <m/>
    <m/>
    <m/>
    <m/>
    <m/>
  </r>
  <r>
    <n v="20"/>
    <x v="0"/>
    <x v="0"/>
    <m/>
    <s v="Administradora"/>
    <d v="2017-03-01T00:00:00"/>
    <m/>
    <m/>
    <m/>
    <x v="0"/>
    <m/>
    <s v="COND. ESPAÇO P2"/>
    <s v="Condominios"/>
    <m/>
    <s v="São Paulo/SP"/>
    <m/>
    <m/>
    <m/>
    <m/>
    <s v="Sim"/>
    <m/>
    <n v="121"/>
    <n v="159890"/>
    <m/>
    <m/>
    <x v="0"/>
    <m/>
    <x v="2"/>
    <m/>
    <m/>
    <m/>
    <m/>
    <m/>
    <m/>
    <m/>
  </r>
  <r>
    <n v="21"/>
    <x v="0"/>
    <x v="0"/>
    <m/>
    <s v="W&amp;Dio"/>
    <d v="2017-04-01T00:00:00"/>
    <m/>
    <m/>
    <m/>
    <x v="0"/>
    <m/>
    <s v="ALAMEDA SANTOS - BRACEL"/>
    <s v="Condominios"/>
    <m/>
    <s v="São Paulo/SP"/>
    <m/>
    <m/>
    <m/>
    <m/>
    <s v="Não"/>
    <m/>
    <n v="122"/>
    <n v="15430"/>
    <m/>
    <m/>
    <x v="0"/>
    <m/>
    <x v="2"/>
    <m/>
    <m/>
    <m/>
    <m/>
    <m/>
    <m/>
    <m/>
  </r>
  <r>
    <n v="22"/>
    <x v="0"/>
    <x v="0"/>
    <m/>
    <s v="Indicação"/>
    <d v="2017-04-01T00:00:00"/>
    <m/>
    <m/>
    <m/>
    <x v="0"/>
    <m/>
    <s v="VITALIS"/>
    <s v="Condominios"/>
    <m/>
    <s v="São Paulo/SP"/>
    <m/>
    <m/>
    <m/>
    <m/>
    <s v="Não"/>
    <m/>
    <n v="123"/>
    <n v="29710"/>
    <m/>
    <m/>
    <x v="0"/>
    <m/>
    <x v="2"/>
    <m/>
    <m/>
    <m/>
    <m/>
    <m/>
    <m/>
    <m/>
  </r>
  <r>
    <n v="23"/>
    <x v="0"/>
    <x v="0"/>
    <m/>
    <s v="W&amp;Dio"/>
    <d v="2017-04-01T00:00:00"/>
    <m/>
    <m/>
    <m/>
    <x v="0"/>
    <m/>
    <s v="CONECTA BROKERS"/>
    <s v="Condominios"/>
    <m/>
    <s v="São Paulo/SP"/>
    <m/>
    <m/>
    <m/>
    <m/>
    <s v="Sim"/>
    <m/>
    <n v="124"/>
    <n v="23637"/>
    <m/>
    <m/>
    <x v="0"/>
    <m/>
    <x v="2"/>
    <m/>
    <m/>
    <m/>
    <m/>
    <m/>
    <m/>
    <m/>
  </r>
  <r>
    <n v="24"/>
    <x v="0"/>
    <x v="0"/>
    <m/>
    <s v="W&amp;Dio"/>
    <d v="2017-04-01T00:00:00"/>
    <m/>
    <m/>
    <m/>
    <x v="0"/>
    <m/>
    <s v="COND. RESIDENCIAL PARQUE DOS PRINCIPES"/>
    <s v="Construtora"/>
    <m/>
    <s v="São Paulo/SP"/>
    <m/>
    <m/>
    <m/>
    <m/>
    <s v="Não"/>
    <m/>
    <n v="125"/>
    <n v="9286"/>
    <m/>
    <m/>
    <x v="0"/>
    <m/>
    <x v="2"/>
    <m/>
    <m/>
    <m/>
    <m/>
    <m/>
    <m/>
    <m/>
  </r>
  <r>
    <n v="25"/>
    <x v="0"/>
    <x v="0"/>
    <m/>
    <s v="W&amp;Dio"/>
    <d v="2017-04-01T00:00:00"/>
    <m/>
    <m/>
    <m/>
    <x v="0"/>
    <m/>
    <s v="EDIFÍCIO COMERCIAL QUASAR"/>
    <s v="Construtora"/>
    <m/>
    <s v="São Paulo/SP"/>
    <m/>
    <m/>
    <m/>
    <m/>
    <m/>
    <m/>
    <n v="126"/>
    <n v="19310"/>
    <m/>
    <m/>
    <x v="0"/>
    <m/>
    <x v="2"/>
    <m/>
    <m/>
    <m/>
    <m/>
    <m/>
    <m/>
    <m/>
  </r>
  <r>
    <n v="26"/>
    <x v="0"/>
    <x v="0"/>
    <m/>
    <s v="Indicação"/>
    <d v="2017-04-01T00:00:00"/>
    <m/>
    <m/>
    <m/>
    <x v="0"/>
    <m/>
    <s v="CONSÓRCIO FERREIRA GUEDES  PAULITEC"/>
    <s v="Empresa"/>
    <m/>
    <s v="São Paulo/SP"/>
    <m/>
    <m/>
    <m/>
    <m/>
    <m/>
    <m/>
    <n v="127"/>
    <n v="42232"/>
    <m/>
    <m/>
    <x v="0"/>
    <m/>
    <x v="2"/>
    <m/>
    <m/>
    <m/>
    <m/>
    <m/>
    <m/>
    <m/>
  </r>
  <r>
    <n v="27"/>
    <x v="0"/>
    <x v="0"/>
    <m/>
    <s v="W&amp;Dio"/>
    <d v="2017-04-01T00:00:00"/>
    <m/>
    <m/>
    <m/>
    <x v="0"/>
    <m/>
    <s v="BRICO BREAD ALIMENTOS LTDA"/>
    <s v="Empresa"/>
    <m/>
    <s v="São Paulo/SP"/>
    <m/>
    <m/>
    <m/>
    <m/>
    <m/>
    <m/>
    <n v="128"/>
    <n v="29452"/>
    <m/>
    <m/>
    <x v="0"/>
    <m/>
    <x v="2"/>
    <m/>
    <m/>
    <m/>
    <m/>
    <m/>
    <m/>
    <m/>
  </r>
  <r>
    <n v="28"/>
    <x v="0"/>
    <x v="0"/>
    <m/>
    <s v="W&amp;Dio"/>
    <d v="2017-04-01T00:00:00"/>
    <m/>
    <m/>
    <m/>
    <x v="0"/>
    <m/>
    <s v="MMM - Engenharia Ind e Com. Pre Moldados Ltda"/>
    <s v="Empresa"/>
    <m/>
    <s v="São Paulo/SP"/>
    <m/>
    <m/>
    <m/>
    <m/>
    <m/>
    <m/>
    <n v="129"/>
    <n v="15430"/>
    <m/>
    <m/>
    <x v="0"/>
    <m/>
    <x v="2"/>
    <m/>
    <m/>
    <m/>
    <m/>
    <m/>
    <m/>
    <m/>
  </r>
  <r>
    <n v="29"/>
    <x v="0"/>
    <x v="0"/>
    <m/>
    <s v="W&amp;Dio"/>
    <d v="2017-04-01T00:00:00"/>
    <m/>
    <m/>
    <m/>
    <x v="0"/>
    <m/>
    <s v="PAL IND E COM DE EQUIPAMENTOS INDL E SERV DE USINA"/>
    <s v="Empresa"/>
    <m/>
    <s v="São Paulo/SP"/>
    <m/>
    <m/>
    <m/>
    <m/>
    <s v="Sim"/>
    <m/>
    <n v="130"/>
    <n v="14923"/>
    <m/>
    <m/>
    <x v="0"/>
    <m/>
    <x v="1"/>
    <s v="Preço"/>
    <m/>
    <m/>
    <m/>
    <m/>
    <m/>
    <m/>
  </r>
  <r>
    <n v="30"/>
    <x v="0"/>
    <x v="0"/>
    <m/>
    <s v="W&amp;Dio"/>
    <d v="2017-05-01T00:00:00"/>
    <m/>
    <m/>
    <m/>
    <x v="0"/>
    <m/>
    <s v="Nitro Química"/>
    <s v="Empresa"/>
    <m/>
    <s v="São Paulo/SP"/>
    <m/>
    <m/>
    <m/>
    <m/>
    <s v="Sim"/>
    <m/>
    <n v="131"/>
    <n v="146400"/>
    <m/>
    <m/>
    <x v="0"/>
    <m/>
    <x v="2"/>
    <m/>
    <m/>
    <m/>
    <m/>
    <m/>
    <m/>
    <m/>
  </r>
  <r>
    <n v="31"/>
    <x v="0"/>
    <x v="0"/>
    <m/>
    <s v="W&amp;Dio"/>
    <d v="2017-05-01T00:00:00"/>
    <m/>
    <m/>
    <m/>
    <x v="0"/>
    <m/>
    <s v=" AMPFY COMUNICAÇÃO DIGITAL LTDA"/>
    <s v="Empresa"/>
    <m/>
    <s v="São Paulo/SP"/>
    <m/>
    <m/>
    <m/>
    <m/>
    <m/>
    <m/>
    <n v="132"/>
    <n v="19310"/>
    <m/>
    <m/>
    <x v="0"/>
    <m/>
    <x v="2"/>
    <m/>
    <m/>
    <m/>
    <m/>
    <m/>
    <m/>
    <m/>
  </r>
  <r>
    <n v="32"/>
    <x v="0"/>
    <x v="0"/>
    <m/>
    <s v="W&amp;Dio"/>
    <d v="2017-05-01T00:00:00"/>
    <m/>
    <m/>
    <m/>
    <x v="0"/>
    <m/>
    <s v="TAMBORE MARMORES E GRANITOS LTDA"/>
    <s v="Empresa"/>
    <m/>
    <s v="São Paulo/SP"/>
    <m/>
    <m/>
    <m/>
    <m/>
    <s v="Sim"/>
    <m/>
    <n v="133"/>
    <n v="3892"/>
    <m/>
    <m/>
    <x v="0"/>
    <m/>
    <x v="2"/>
    <m/>
    <m/>
    <m/>
    <m/>
    <m/>
    <m/>
    <m/>
  </r>
  <r>
    <n v="33"/>
    <x v="0"/>
    <x v="0"/>
    <m/>
    <s v="Administradora"/>
    <d v="2017-05-01T00:00:00"/>
    <m/>
    <m/>
    <m/>
    <x v="0"/>
    <m/>
    <s v="CONDOMÍNIO RESIDENCIAL SAINT ALBERT"/>
    <s v="Empresa"/>
    <m/>
    <s v="São Paulo/SP"/>
    <m/>
    <m/>
    <m/>
    <m/>
    <m/>
    <m/>
    <n v="134"/>
    <n v="19310"/>
    <m/>
    <m/>
    <x v="0"/>
    <m/>
    <x v="2"/>
    <m/>
    <m/>
    <m/>
    <m/>
    <m/>
    <m/>
    <m/>
  </r>
  <r>
    <n v="34"/>
    <x v="0"/>
    <x v="0"/>
    <m/>
    <s v="W&amp;Dio"/>
    <d v="2017-05-01T00:00:00"/>
    <m/>
    <m/>
    <m/>
    <x v="0"/>
    <m/>
    <s v="MANIKRAFT GUAIANAZES IND CELULOSE E PAPEL LTDA"/>
    <s v="Empresa"/>
    <m/>
    <s v="São Paulo/SP"/>
    <m/>
    <m/>
    <m/>
    <m/>
    <m/>
    <m/>
    <n v="135"/>
    <n v="36557"/>
    <m/>
    <m/>
    <x v="0"/>
    <m/>
    <x v="2"/>
    <m/>
    <m/>
    <m/>
    <m/>
    <m/>
    <m/>
    <m/>
  </r>
  <r>
    <n v="35"/>
    <x v="0"/>
    <x v="0"/>
    <m/>
    <s v="W&amp;Dio"/>
    <d v="2017-05-01T00:00:00"/>
    <m/>
    <m/>
    <m/>
    <x v="0"/>
    <m/>
    <s v="ZEPPELIN SISTEM LATIN EQUIP INDUSTRIAIS LTDA"/>
    <s v="Empresa"/>
    <m/>
    <s v="São Paulo/SP"/>
    <m/>
    <m/>
    <m/>
    <m/>
    <s v="Não"/>
    <m/>
    <n v="136"/>
    <n v="82550"/>
    <m/>
    <m/>
    <x v="0"/>
    <m/>
    <x v="1"/>
    <s v="Empresa atual - ofereceu menor preço"/>
    <m/>
    <m/>
    <m/>
    <m/>
    <m/>
    <m/>
  </r>
  <r>
    <n v="36"/>
    <x v="0"/>
    <x v="0"/>
    <m/>
    <s v="W&amp;Dio"/>
    <d v="2017-05-01T00:00:00"/>
    <m/>
    <m/>
    <m/>
    <x v="0"/>
    <m/>
    <s v="Condomínio Residencial Monte Carlos"/>
    <s v="Condominios"/>
    <m/>
    <s v="São Paulo/SP"/>
    <m/>
    <m/>
    <m/>
    <m/>
    <s v="Sim"/>
    <m/>
    <n v="137"/>
    <n v="24430"/>
    <m/>
    <m/>
    <x v="0"/>
    <m/>
    <x v="1"/>
    <s v="Empresa atual - ofereceu menor preço"/>
    <m/>
    <m/>
    <m/>
    <m/>
    <m/>
    <m/>
  </r>
  <r>
    <n v="37"/>
    <x v="0"/>
    <x v="0"/>
    <m/>
    <s v="W&amp;Dio"/>
    <d v="2017-05-01T00:00:00"/>
    <m/>
    <m/>
    <m/>
    <x v="0"/>
    <m/>
    <s v="CONDOMÍNIO EDIFÍCIO RESIDENCIAL NOVA AMÉRICA "/>
    <s v="Condominios"/>
    <m/>
    <s v="São Paulo/SP"/>
    <m/>
    <m/>
    <m/>
    <m/>
    <s v="Sim"/>
    <m/>
    <n v="138"/>
    <n v="24696"/>
    <m/>
    <m/>
    <x v="0"/>
    <m/>
    <x v="1"/>
    <s v="Sem retorno"/>
    <m/>
    <m/>
    <m/>
    <m/>
    <m/>
    <m/>
  </r>
  <r>
    <n v="38"/>
    <x v="0"/>
    <x v="0"/>
    <m/>
    <s v="W&amp;Dio"/>
    <d v="2017-05-01T00:00:00"/>
    <m/>
    <m/>
    <m/>
    <x v="0"/>
    <m/>
    <s v="CONDOMÍNIO SPOT IPIRANGA"/>
    <s v="Condominios"/>
    <m/>
    <s v="São Paulo/SP"/>
    <m/>
    <m/>
    <m/>
    <m/>
    <s v="Não"/>
    <m/>
    <n v="139"/>
    <n v="11210"/>
    <m/>
    <m/>
    <x v="0"/>
    <m/>
    <x v="1"/>
    <s v="Optou pela empresa atual"/>
    <m/>
    <m/>
    <m/>
    <m/>
    <m/>
    <m/>
  </r>
  <r>
    <n v="39"/>
    <x v="0"/>
    <x v="0"/>
    <m/>
    <s v="W&amp;Dio"/>
    <d v="2017-05-01T00:00:00"/>
    <m/>
    <m/>
    <m/>
    <x v="0"/>
    <m/>
    <s v="Residencial Horto Florestal I"/>
    <s v="Construtora"/>
    <m/>
    <s v="Sorocaba"/>
    <m/>
    <m/>
    <m/>
    <m/>
    <s v="Sim"/>
    <m/>
    <n v="140"/>
    <n v="56150"/>
    <m/>
    <m/>
    <x v="0"/>
    <m/>
    <x v="1"/>
    <s v="Optou por empresa da região de Sorocaba"/>
    <m/>
    <m/>
    <m/>
    <m/>
    <m/>
    <m/>
  </r>
  <r>
    <n v="40"/>
    <x v="0"/>
    <x v="0"/>
    <m/>
    <s v="W&amp;Dio"/>
    <d v="2017-05-01T00:00:00"/>
    <m/>
    <m/>
    <m/>
    <x v="0"/>
    <m/>
    <s v="CONDOMÍNIO HELBOR METROPOLITAN"/>
    <s v="Condominios"/>
    <m/>
    <s v="São Paulo/SP"/>
    <m/>
    <m/>
    <m/>
    <m/>
    <s v="Não"/>
    <m/>
    <n v="141"/>
    <n v="27400"/>
    <m/>
    <m/>
    <x v="0"/>
    <m/>
    <x v="1"/>
    <s v="Gestão Própria.Esta analisando a Terceirização"/>
    <m/>
    <m/>
    <m/>
    <m/>
    <m/>
    <m/>
  </r>
  <r>
    <n v="41"/>
    <x v="0"/>
    <x v="0"/>
    <m/>
    <s v="Indicação"/>
    <d v="2017-05-01T00:00:00"/>
    <m/>
    <m/>
    <m/>
    <x v="0"/>
    <m/>
    <s v="PREFEITURA MUNICIPAL DE VASCONCELOS"/>
    <s v="Empresa"/>
    <m/>
    <s v="Ferras de Vaz Concelos"/>
    <m/>
    <m/>
    <m/>
    <m/>
    <s v="Sim"/>
    <m/>
    <n v="142"/>
    <n v="25683"/>
    <m/>
    <m/>
    <x v="0"/>
    <m/>
    <x v="2"/>
    <s v="Analisando outras Propostas"/>
    <m/>
    <m/>
    <m/>
    <m/>
    <m/>
    <m/>
  </r>
  <r>
    <n v="42"/>
    <x v="0"/>
    <x v="0"/>
    <m/>
    <s v="E-mail Marketing"/>
    <d v="2017-05-01T00:00:00"/>
    <m/>
    <m/>
    <m/>
    <x v="0"/>
    <m/>
    <s v="GUIA MAIS"/>
    <s v="Empresa"/>
    <m/>
    <s v="São Paulo/SP"/>
    <m/>
    <m/>
    <m/>
    <m/>
    <s v="Não"/>
    <m/>
    <n v="143"/>
    <n v="7900"/>
    <m/>
    <m/>
    <x v="0"/>
    <m/>
    <x v="1"/>
    <s v="Optou pela empresa atual"/>
    <m/>
    <m/>
    <m/>
    <m/>
    <m/>
    <m/>
  </r>
  <r>
    <n v="43"/>
    <x v="0"/>
    <x v="0"/>
    <m/>
    <s v="Prospecção Ativa"/>
    <d v="2017-05-01T00:00:00"/>
    <m/>
    <m/>
    <m/>
    <x v="0"/>
    <m/>
    <s v="ENGEVIX ENGENHARIA S/A"/>
    <s v="Empresa"/>
    <m/>
    <s v="Barueri/Sp"/>
    <m/>
    <m/>
    <m/>
    <m/>
    <s v="Sim"/>
    <m/>
    <n v="144"/>
    <n v="29669"/>
    <m/>
    <m/>
    <x v="0"/>
    <m/>
    <x v="2"/>
    <s v="Analisando outras Propostas"/>
    <m/>
    <m/>
    <m/>
    <m/>
    <m/>
    <m/>
  </r>
  <r>
    <n v="44"/>
    <x v="0"/>
    <x v="0"/>
    <m/>
    <s v="Google"/>
    <d v="2017-05-01T00:00:00"/>
    <m/>
    <m/>
    <m/>
    <x v="0"/>
    <m/>
    <s v="CONDOMÍNIO VARANDAS JARAGUÁ"/>
    <s v="Empresa"/>
    <m/>
    <s v="São Paulo/SP"/>
    <m/>
    <m/>
    <m/>
    <m/>
    <s v="Sim"/>
    <m/>
    <n v="145"/>
    <n v="38470"/>
    <m/>
    <m/>
    <x v="0"/>
    <m/>
    <x v="2"/>
    <s v="Analisando outras Propostas"/>
    <m/>
    <m/>
    <m/>
    <m/>
    <m/>
    <m/>
  </r>
  <r>
    <n v="45"/>
    <x v="0"/>
    <x v="0"/>
    <m/>
    <s v="Google"/>
    <d v="2017-06-01T00:00:00"/>
    <m/>
    <m/>
    <m/>
    <x v="1"/>
    <m/>
    <s v="ACAM PORTINARI"/>
    <s v="Empresa"/>
    <m/>
    <s v="São Paulo/SP"/>
    <m/>
    <m/>
    <m/>
    <m/>
    <s v="Sim"/>
    <m/>
    <n v="146"/>
    <n v="9400"/>
    <m/>
    <m/>
    <x v="0"/>
    <m/>
    <x v="2"/>
    <s v="Analisando outras Propostas"/>
    <m/>
    <m/>
    <m/>
    <m/>
    <m/>
    <m/>
  </r>
  <r>
    <n v="46"/>
    <x v="2"/>
    <x v="2"/>
    <s v="Apresentação de Proposta"/>
    <s v="Prospecção Ativa"/>
    <d v="2017-06-01T00:00:00"/>
    <m/>
    <m/>
    <m/>
    <x v="1"/>
    <s v="Ligação"/>
    <s v="CONSTRUCAP CCPS Eng. E Com. S/A"/>
    <s v="Construtora"/>
    <s v="Rua Alvares Fagundes, 957 – Americanopolis"/>
    <s v="São Paulo/SP"/>
    <s v="Joelmir Kloster"/>
    <s v="Engenheiro"/>
    <s v="(11) 3017-8000 R. 340/99169 9161"/>
    <s v="jkloster@construcap.com.br"/>
    <s v="Sim"/>
    <m/>
    <n v="147"/>
    <n v="61406"/>
    <s v="Promocional"/>
    <d v="2017-06-08T00:00:00"/>
    <x v="1"/>
    <m/>
    <x v="2"/>
    <s v="Analisando outras Propostas"/>
    <m/>
    <m/>
    <m/>
    <m/>
    <m/>
    <m/>
  </r>
  <r>
    <n v="47"/>
    <x v="2"/>
    <x v="2"/>
    <s v="Apresentação de Proposta"/>
    <s v="Prospecção Ativa"/>
    <d v="2017-06-01T00:00:00"/>
    <m/>
    <m/>
    <m/>
    <x v="1"/>
    <s v="Ligação"/>
    <s v="CONSTRUCAP CCPS Eng. E Com. S/A"/>
    <s v="Construtora"/>
    <s v="Av. João Casarotto, 430 - Laranjeiras "/>
    <s v="Caieiras/SP"/>
    <s v="Joelmir Kloster"/>
    <s v="Engenheiro"/>
    <s v="(11) 3017-8000 R. 340/99169 9161"/>
    <s v="jkloster@construcap.com.br"/>
    <s v="Sim"/>
    <m/>
    <n v="148"/>
    <n v="46924"/>
    <s v="Promocional"/>
    <d v="2017-06-08T00:00:00"/>
    <x v="1"/>
    <m/>
    <x v="2"/>
    <s v="Analisando outras Propostas"/>
    <m/>
    <m/>
    <m/>
    <m/>
    <m/>
    <m/>
  </r>
  <r>
    <n v="48"/>
    <x v="2"/>
    <x v="2"/>
    <s v="Apresentação de Proposta"/>
    <s v="Prospecção Ativa"/>
    <d v="2017-06-01T00:00:00"/>
    <m/>
    <m/>
    <m/>
    <x v="0"/>
    <m/>
    <s v="CONSTRUCAP CCPS Eng. E Com. S/A"/>
    <s v="Construtora"/>
    <s v="Rua Noburo Nonaka, 200 – Guarulhos -SP  "/>
    <s v="Guarulhos/SP"/>
    <s v="Joelmir Kloster"/>
    <s v="Engenheiro"/>
    <s v="(11) 3017-8000 R. 340/99169 9161"/>
    <s v="jkloster@construcap.com.br"/>
    <s v="Sim"/>
    <m/>
    <n v="149"/>
    <n v="74016"/>
    <s v="Promocional"/>
    <d v="2017-06-08T00:00:00"/>
    <x v="1"/>
    <m/>
    <x v="2"/>
    <s v="Analisando outras Propostas"/>
    <m/>
    <m/>
    <m/>
    <m/>
    <m/>
    <m/>
  </r>
  <r>
    <n v="49"/>
    <x v="2"/>
    <x v="2"/>
    <s v="Apresentação de Proposta"/>
    <s v="Prospecção Ativa"/>
    <d v="2017-06-01T00:00:00"/>
    <s v="-"/>
    <d v="2017-06-28T00:00:00"/>
    <s v="14h00"/>
    <x v="2"/>
    <s v="Ligação"/>
    <s v="CONSÓRCIO A3 "/>
    <s v="Construtora"/>
    <s v="Rua dos Martires Armenios, 857 - Tremembé"/>
    <s v="São Paulo/SP"/>
    <s v="Adriano Brito"/>
    <s v="Comprador"/>
    <s v="(11) 3473 7831 R. 7832"/>
    <s v="adriano.brito@consorcioa3.com.br"/>
    <s v="Sim"/>
    <s v="Sim"/>
    <n v="150"/>
    <n v="165030"/>
    <s v="Promocional"/>
    <d v="2017-06-07T00:00:00"/>
    <x v="2"/>
    <m/>
    <x v="2"/>
    <s v="Analisando outras Propostas"/>
    <m/>
    <m/>
    <m/>
    <m/>
    <m/>
    <m/>
  </r>
  <r>
    <n v="50"/>
    <x v="3"/>
    <x v="2"/>
    <s v="Apresentação de Proposta"/>
    <s v="Prospecção Ativa"/>
    <d v="2017-06-01T00:00:00"/>
    <m/>
    <m/>
    <m/>
    <x v="0"/>
    <m/>
    <s v="CONDOMÍNIO RESIDENCIAL RESOURT SANTA ÂNGELA"/>
    <s v="Condominios"/>
    <s v="Av. Caetano Gornati, 1500 - Engordadouro"/>
    <s v="Jundiaí/SP"/>
    <s v="Fabiana Souza"/>
    <s v="Administradora"/>
    <s v="(11) 4836-5428 "/>
    <s v="fabianasouza@hubert.com.br"/>
    <s v="Sim"/>
    <s v="Sim"/>
    <n v="151"/>
    <n v="79865"/>
    <s v="Promocional"/>
    <d v="2017-06-19T00:00:00"/>
    <x v="1"/>
    <m/>
    <x v="2"/>
    <s v="Analisando outras Propostas"/>
    <m/>
    <m/>
    <m/>
    <m/>
    <m/>
    <m/>
  </r>
  <r>
    <n v="51"/>
    <x v="4"/>
    <x v="3"/>
    <s v="Prospecção"/>
    <s v="Experiência Anterior"/>
    <d v="2017-06-15T00:00:00"/>
    <s v="9h00"/>
    <m/>
    <m/>
    <x v="0"/>
    <m/>
    <s v="Condomínio Edifício Blue Note Brooklin "/>
    <s v="Condominios"/>
    <s v="R. Arizona, 694 - Cidade Monções"/>
    <s v="São Paulo/SP"/>
    <s v="Adilson Lira"/>
    <s v="Adm. Predial"/>
    <s v=" 11 99754-4063"/>
    <s v="adilsonglira@hotmail.com"/>
    <s v="Sim"/>
    <s v="Sim"/>
    <s v="MS0153-2017"/>
    <n v="36665"/>
    <s v="Promocional"/>
    <d v="2017-06-23T00:00:00"/>
    <x v="2"/>
    <s v="Esta em análise"/>
    <x v="2"/>
    <m/>
    <m/>
    <m/>
    <m/>
    <m/>
    <m/>
    <m/>
  </r>
  <r>
    <n v="52"/>
    <x v="5"/>
    <x v="2"/>
    <s v="Prospecção"/>
    <s v="W&amp;Dio"/>
    <d v="2017-06-21T00:00:00"/>
    <s v="14h00"/>
    <d v="2017-06-28T00:00:00"/>
    <s v="10h00"/>
    <x v="3"/>
    <s v="E-mail"/>
    <s v="Grupo Alvenius Equip. Tubulares"/>
    <s v="Industria"/>
    <s v="Estrada Fernando Nobre, 487 - Parque Rincao"/>
    <s v="Cotia/SP"/>
    <s v="Lilian Nascimento"/>
    <s v="Coordenadora RH"/>
    <s v=" 11 4613.6266/ 98266.8249"/>
    <s v="lilian.nascimento@alvenius.ind.br"/>
    <s v="Sim"/>
    <s v="Sim"/>
    <s v="MS0152-2017"/>
    <n v="37740"/>
    <s v="Promocional"/>
    <d v="2017-06-22T00:00:00"/>
    <x v="2"/>
    <s v="Solicitou reunião para alinhamento de mudança de empresa"/>
    <x v="2"/>
    <m/>
    <m/>
    <m/>
    <m/>
    <m/>
    <m/>
    <m/>
  </r>
  <r>
    <n v="53"/>
    <x v="6"/>
    <x v="2"/>
    <s v="Prospecção"/>
    <s v="Administradora"/>
    <d v="2017-06-21T00:00:00"/>
    <s v="9h00"/>
    <m/>
    <m/>
    <x v="0"/>
    <s v="E-mail"/>
    <s v="CONDOMÍNIO RESIDENCIAL CASA DE GRIMALDI"/>
    <s v="Condominios"/>
    <s v="Av. Darcy Reis, 2400 - Parque dos Príncipes"/>
    <s v="São Paulo/SP"/>
    <s v="Marco Aurélio - ADM. AZZI"/>
    <s v="Gerente de Contas"/>
    <s v="11 4617-9200"/>
    <s v="marcoaurelio@azzi.com.br"/>
    <m/>
    <s v="Sim"/>
    <s v="MS0156-2017"/>
    <n v="19130"/>
    <s v="Promocional"/>
    <d v="2017-06-26T00:00:00"/>
    <x v="2"/>
    <s v="A Adm. Azzi enviou para o síndico"/>
    <x v="2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ADMINISTRADORAS E SÍNDICOS"/>
    <x v="0"/>
    <x v="0"/>
    <m/>
    <m/>
    <m/>
    <m/>
    <m/>
    <m/>
    <x v="4"/>
    <s v="E-mail"/>
    <s v="Condomínio Torres dos Ourives"/>
    <s v="Condominios"/>
    <s v="Rua Ângelo Bertini, 303 - Jardim Celeste"/>
    <s v="São Paulo/SP"/>
    <s v="José Francisco"/>
    <s v="Síndico"/>
    <s v="11 2334-2777"/>
    <s v="torresdosourives@gmail.com"/>
    <m/>
    <m/>
    <m/>
    <m/>
    <m/>
    <m/>
    <x v="0"/>
    <m/>
    <x v="0"/>
    <m/>
    <m/>
    <m/>
    <m/>
    <m/>
    <m/>
    <m/>
  </r>
  <r>
    <s v="Síndico"/>
    <x v="7"/>
    <x v="2"/>
    <s v="Prospecção"/>
    <s v="Google"/>
    <m/>
    <m/>
    <m/>
    <m/>
    <x v="4"/>
    <s v="E-mail"/>
    <s v="Residencial Ville D France"/>
    <s v="Condominios"/>
    <s v="R. Alba, 150 - Parque Jabaquara, "/>
    <s v="São Paulo/SP"/>
    <s v="Luiz"/>
    <s v="Síndico"/>
    <s v="11 5031-0172"/>
    <s v="condominio.villedfrance@gmail.com"/>
    <m/>
    <m/>
    <m/>
    <m/>
    <m/>
    <m/>
    <x v="0"/>
    <m/>
    <x v="0"/>
    <m/>
    <m/>
    <m/>
    <m/>
    <m/>
    <m/>
    <m/>
  </r>
  <r>
    <s v="Sindico"/>
    <x v="7"/>
    <x v="2"/>
    <s v="Prospecção"/>
    <s v="Google"/>
    <m/>
    <m/>
    <m/>
    <m/>
    <x v="4"/>
    <s v="E-mail"/>
    <s v="Condomínio Edifício Oásis"/>
    <s v="Construtora"/>
    <s v="R. Manuel Cherem, 300 - Vila Paulista"/>
    <s v="São Paulo/SP"/>
    <s v="Antônio"/>
    <s v="Zelador"/>
    <s v="11 5031-2732"/>
    <s v="zelador.oasis@gmail.com"/>
    <m/>
    <m/>
    <m/>
    <m/>
    <m/>
    <m/>
    <x v="0"/>
    <m/>
    <x v="0"/>
    <m/>
    <m/>
    <m/>
    <m/>
    <m/>
    <m/>
    <m/>
  </r>
  <r>
    <s v="Sindico"/>
    <x v="7"/>
    <x v="2"/>
    <s v="Prospecção"/>
    <s v="Google"/>
    <m/>
    <m/>
    <m/>
    <m/>
    <x v="1"/>
    <s v="E-mail"/>
    <s v="Cana Condomínios"/>
    <s v="Administradora"/>
    <s v="Av. Eng. Armando de Arruda Pereira, 2937 - Jabaquara,"/>
    <s v="São Paulo/SP"/>
    <s v="Cláudio Marcondes"/>
    <s v="Gerente"/>
    <s v="11 4106-4351"/>
    <s v="claudio@canalcondominio.com"/>
    <m/>
    <m/>
    <m/>
    <m/>
    <m/>
    <m/>
    <x v="0"/>
    <m/>
    <x v="0"/>
    <m/>
    <m/>
    <m/>
    <m/>
    <m/>
    <m/>
    <m/>
  </r>
  <r>
    <s v="Adm."/>
    <x v="8"/>
    <x v="2"/>
    <s v="Prospecção"/>
    <s v="Google"/>
    <m/>
    <m/>
    <m/>
    <m/>
    <x v="5"/>
    <s v="Ligação"/>
    <s v="Souza &amp; Reis Gestão Recursos Imob., Adm. de Cond. "/>
    <s v="Administradora"/>
    <s v="Estr. das Taipas, 1099 - Parque Nações Unidas,"/>
    <s v="São Paulo/SP"/>
    <s v="Mirson Júnior"/>
    <s v="Gerente Geral"/>
    <s v=" (11) 3946-2608"/>
    <s v="mirson.junior@souzareis.com.br"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PROSPECÇÃO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Prospecção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B13" firstHeaderRow="1" firstDataRow="1" firstDataCol="1"/>
  <pivotFields count="35">
    <pivotField dataField="1" subtotalTop="0" showAll="0"/>
    <pivotField axis="axisRow" subtotalTop="0" showAll="0">
      <items count="13">
        <item m="1" x="11"/>
        <item m="1" x="9"/>
        <item x="0"/>
        <item m="1"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1"/>
  </rowFields>
  <rowItems count="10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N0. SEQ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4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dataField="1" subtotalTop="0" showAll="0">
      <items count="7">
        <item m="1" x="5"/>
        <item h="1" x="0"/>
        <item m="1" x="3"/>
        <item h="1" m="1" x="4"/>
        <item h="1" x="1"/>
        <item h="1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ntagem de Win / Loss " fld="27" subtotal="count" baseField="0" baseItem="0"/>
    <dataField name="Soma de Valor (R$)" fld="22" baseField="2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7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dataField="1" subtotalTop="0" showAll="0">
      <items count="7">
        <item m="1" x="5"/>
        <item m="1" x="3"/>
        <item x="0"/>
        <item m="1" x="4"/>
        <item x="1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4"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Win / Loss " fld="27" subtotal="count" baseField="0" baseItem="0"/>
    <dataField name="Soma de Valor (R$)" fld="22" baseField="2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7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axis="axisRow" dataField="1" subtotalTop="0" showAll="0">
      <items count="6">
        <item x="1"/>
        <item x="2"/>
        <item m="1" x="3"/>
        <item m="1" x="4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5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tatus de Evolução" fld="25" subtotal="count" baseField="0" baseItem="0"/>
    <dataField name="Soma de Valor (R$)" fld="22" baseField="2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4:C9" firstHeaderRow="0" firstDataRow="1" firstDataCol="1" rowPageCount="2" colPageCount="1"/>
  <pivotFields count="35">
    <pivotField subtotalTop="0" showAll="0"/>
    <pivotField axis="axisPage" subtotalTop="0" showAll="0">
      <items count="13">
        <item m="1" x="11"/>
        <item m="1" x="9"/>
        <item m="1" x="1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dataField="1" showAll="0">
      <items count="6">
        <item x="1"/>
        <item x="2"/>
        <item m="1" x="4"/>
        <item x="3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Page" subtotalTop="0" showAll="0">
      <items count="9">
        <item m="1" x="7"/>
        <item x="0"/>
        <item m="1" x="6"/>
        <item x="1"/>
        <item x="2"/>
        <item x="3"/>
        <item x="4"/>
        <item x="5"/>
        <item t="default"/>
      </items>
    </pivotField>
    <pivotField dataField="1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9" hier="-1"/>
  </pageFields>
  <dataFields count="2">
    <dataField name="Contagem de Canal Ultilizado" fld="2" subtotal="count" baseField="0" baseItem="0"/>
    <dataField name="Contagem de Canal Ultilizado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1">
  <location ref="A3:C4" firstHeaderRow="0" firstDataRow="1" firstDataCol="1"/>
  <pivotFields count="35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">
        <item m="1" x="4"/>
        <item m="1" x="5"/>
        <item m="1" x="3"/>
        <item h="1" x="0"/>
        <item h="1" x="1"/>
        <item h="1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ntagem de Valor (R$)" fld="22" subtotal="count" baseField="0" baseItem="0"/>
    <dataField name="Soma de Valor (R$)2" fld="22" baseField="2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3"/>
  <sheetViews>
    <sheetView workbookViewId="0">
      <selection activeCell="B13" sqref="B13"/>
    </sheetView>
  </sheetViews>
  <sheetFormatPr defaultRowHeight="15" x14ac:dyDescent="0.25"/>
  <cols>
    <col min="1" max="1" width="18" customWidth="1"/>
    <col min="2" max="2" width="20.85546875" customWidth="1"/>
    <col min="3" max="3" width="7" customWidth="1"/>
    <col min="4" max="4" width="10.7109375" bestFit="1" customWidth="1"/>
  </cols>
  <sheetData>
    <row r="3" spans="1:2" x14ac:dyDescent="0.25">
      <c r="A3" s="4" t="s">
        <v>28</v>
      </c>
      <c r="B3" t="s">
        <v>31</v>
      </c>
    </row>
    <row r="4" spans="1:2" x14ac:dyDescent="0.25">
      <c r="A4" s="5" t="s">
        <v>29</v>
      </c>
      <c r="B4">
        <v>48</v>
      </c>
    </row>
    <row r="5" spans="1:2" x14ac:dyDescent="0.25">
      <c r="A5" s="5" t="s">
        <v>51</v>
      </c>
      <c r="B5">
        <v>1</v>
      </c>
    </row>
    <row r="6" spans="1:2" x14ac:dyDescent="0.25">
      <c r="A6" s="12">
        <v>42893</v>
      </c>
      <c r="B6">
        <v>4</v>
      </c>
    </row>
    <row r="7" spans="1:2" x14ac:dyDescent="0.25">
      <c r="A7" s="12">
        <v>42898</v>
      </c>
      <c r="B7">
        <v>1</v>
      </c>
    </row>
    <row r="8" spans="1:2" x14ac:dyDescent="0.25">
      <c r="A8" s="12">
        <v>42829</v>
      </c>
      <c r="B8">
        <v>1</v>
      </c>
    </row>
    <row r="9" spans="1:2" x14ac:dyDescent="0.25">
      <c r="A9" s="12">
        <v>42872</v>
      </c>
      <c r="B9">
        <v>1</v>
      </c>
    </row>
    <row r="10" spans="1:2" x14ac:dyDescent="0.25">
      <c r="A10" s="12">
        <v>42874</v>
      </c>
      <c r="B10">
        <v>1</v>
      </c>
    </row>
    <row r="11" spans="1:2" x14ac:dyDescent="0.25">
      <c r="A11" s="12">
        <v>42908</v>
      </c>
      <c r="B11">
        <v>3</v>
      </c>
    </row>
    <row r="12" spans="1:2" x14ac:dyDescent="0.25">
      <c r="A12" s="12">
        <v>42914</v>
      </c>
      <c r="B12">
        <v>1</v>
      </c>
    </row>
    <row r="13" spans="1:2" x14ac:dyDescent="0.25">
      <c r="A13" s="5" t="s">
        <v>30</v>
      </c>
      <c r="B13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4"/>
  <sheetViews>
    <sheetView workbookViewId="0">
      <selection activeCell="A4" sqref="A4:C4"/>
    </sheetView>
  </sheetViews>
  <sheetFormatPr defaultRowHeight="15" x14ac:dyDescent="0.25"/>
  <cols>
    <col min="1" max="1" width="18" customWidth="1"/>
    <col min="2" max="2" width="23.140625" customWidth="1"/>
    <col min="3" max="3" width="18" customWidth="1"/>
    <col min="4" max="4" width="10.7109375" bestFit="1" customWidth="1"/>
  </cols>
  <sheetData>
    <row r="3" spans="1:3" x14ac:dyDescent="0.25">
      <c r="A3" s="4" t="s">
        <v>28</v>
      </c>
      <c r="B3" t="s">
        <v>33</v>
      </c>
      <c r="C3" t="s">
        <v>34</v>
      </c>
    </row>
    <row r="4" spans="1:3" x14ac:dyDescent="0.25">
      <c r="A4" s="5" t="s">
        <v>30</v>
      </c>
      <c r="C4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23.140625" bestFit="1" customWidth="1"/>
    <col min="3" max="3" width="18" customWidth="1"/>
  </cols>
  <sheetData>
    <row r="3" spans="1:3" x14ac:dyDescent="0.25">
      <c r="A3" s="4" t="s">
        <v>28</v>
      </c>
      <c r="B3" t="s">
        <v>33</v>
      </c>
      <c r="C3" t="s">
        <v>34</v>
      </c>
    </row>
    <row r="4" spans="1:3" x14ac:dyDescent="0.25">
      <c r="A4" s="5" t="s">
        <v>29</v>
      </c>
      <c r="C4" s="6"/>
    </row>
    <row r="5" spans="1:3" x14ac:dyDescent="0.25">
      <c r="A5" s="5" t="s">
        <v>49</v>
      </c>
      <c r="B5">
        <v>24</v>
      </c>
      <c r="C5" s="6">
        <v>834722</v>
      </c>
    </row>
    <row r="6" spans="1:3" x14ac:dyDescent="0.25">
      <c r="A6" s="5" t="s">
        <v>50</v>
      </c>
      <c r="B6">
        <v>29</v>
      </c>
      <c r="C6" s="6">
        <v>1419082</v>
      </c>
    </row>
    <row r="7" spans="1:3" x14ac:dyDescent="0.25">
      <c r="A7" s="5" t="s">
        <v>30</v>
      </c>
      <c r="B7">
        <v>53</v>
      </c>
      <c r="C7" s="6">
        <v>2253804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9"/>
  <sheetViews>
    <sheetView workbookViewId="0">
      <selection activeCell="E10" sqref="E10"/>
    </sheetView>
  </sheetViews>
  <sheetFormatPr defaultRowHeight="15" x14ac:dyDescent="0.25"/>
  <cols>
    <col min="1" max="1" width="18" style="7" bestFit="1" customWidth="1"/>
    <col min="2" max="2" width="30.28515625" bestFit="1" customWidth="1"/>
    <col min="3" max="3" width="18" customWidth="1"/>
  </cols>
  <sheetData>
    <row r="3" spans="1:3" x14ac:dyDescent="0.25">
      <c r="A3" s="4" t="s">
        <v>28</v>
      </c>
      <c r="B3" t="s">
        <v>36</v>
      </c>
      <c r="C3" t="s">
        <v>34</v>
      </c>
    </row>
    <row r="4" spans="1:3" x14ac:dyDescent="0.25">
      <c r="A4" s="5">
        <v>0.25</v>
      </c>
      <c r="B4">
        <v>4</v>
      </c>
      <c r="C4" s="6">
        <v>262211</v>
      </c>
    </row>
    <row r="5" spans="1:3" x14ac:dyDescent="0.25">
      <c r="A5" s="5">
        <v>0.5</v>
      </c>
      <c r="B5">
        <v>4</v>
      </c>
      <c r="C5" s="6">
        <v>258565</v>
      </c>
    </row>
    <row r="6" spans="1:3" x14ac:dyDescent="0.25">
      <c r="A6" s="5" t="s">
        <v>29</v>
      </c>
      <c r="C6" s="6">
        <v>1733028</v>
      </c>
    </row>
    <row r="7" spans="1:3" x14ac:dyDescent="0.25">
      <c r="A7" s="5" t="s">
        <v>30</v>
      </c>
      <c r="B7">
        <v>8</v>
      </c>
      <c r="C7" s="6">
        <v>2253804</v>
      </c>
    </row>
    <row r="8" spans="1:3" x14ac:dyDescent="0.25">
      <c r="A8"/>
    </row>
    <row r="9" spans="1:3" x14ac:dyDescent="0.25">
      <c r="A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19" sqref="B19"/>
    </sheetView>
  </sheetViews>
  <sheetFormatPr defaultRowHeight="15" x14ac:dyDescent="0.25"/>
  <cols>
    <col min="1" max="1" width="23.7109375" bestFit="1" customWidth="1"/>
    <col min="2" max="2" width="27.5703125" customWidth="1"/>
    <col min="3" max="3" width="28.5703125" bestFit="1" customWidth="1"/>
  </cols>
  <sheetData>
    <row r="1" spans="1:3" x14ac:dyDescent="0.25">
      <c r="A1" s="4" t="s">
        <v>3</v>
      </c>
      <c r="B1" t="s">
        <v>42</v>
      </c>
    </row>
    <row r="2" spans="1:3" x14ac:dyDescent="0.25">
      <c r="A2" s="4" t="s">
        <v>2</v>
      </c>
      <c r="B2" t="s">
        <v>42</v>
      </c>
    </row>
    <row r="4" spans="1:3" x14ac:dyDescent="0.25">
      <c r="A4" s="4" t="s">
        <v>28</v>
      </c>
      <c r="B4" t="s">
        <v>41</v>
      </c>
      <c r="C4" t="s">
        <v>43</v>
      </c>
    </row>
    <row r="5" spans="1:3" x14ac:dyDescent="0.25">
      <c r="A5" s="5" t="s">
        <v>1</v>
      </c>
      <c r="B5">
        <v>1</v>
      </c>
      <c r="C5">
        <v>1</v>
      </c>
    </row>
    <row r="6" spans="1:3" x14ac:dyDescent="0.25">
      <c r="A6" s="5" t="s">
        <v>37</v>
      </c>
      <c r="B6">
        <v>11</v>
      </c>
      <c r="C6">
        <v>9</v>
      </c>
    </row>
    <row r="7" spans="1:3" x14ac:dyDescent="0.25">
      <c r="A7" s="5" t="s">
        <v>39</v>
      </c>
      <c r="B7">
        <v>1</v>
      </c>
    </row>
    <row r="8" spans="1:3" x14ac:dyDescent="0.25">
      <c r="A8" s="5" t="s">
        <v>29</v>
      </c>
      <c r="C8">
        <v>1</v>
      </c>
    </row>
    <row r="9" spans="1:3" x14ac:dyDescent="0.25">
      <c r="A9" s="5" t="s">
        <v>30</v>
      </c>
      <c r="B9">
        <v>13</v>
      </c>
      <c r="C9">
        <v>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3"/>
  <sheetViews>
    <sheetView topLeftCell="A11" workbookViewId="0">
      <selection activeCell="B20" sqref="B20:B31"/>
    </sheetView>
  </sheetViews>
  <sheetFormatPr defaultRowHeight="15" x14ac:dyDescent="0.25"/>
  <cols>
    <col min="1" max="1" width="18" customWidth="1"/>
    <col min="2" max="2" width="22.28515625" bestFit="1" customWidth="1"/>
    <col min="3" max="3" width="19" customWidth="1"/>
  </cols>
  <sheetData>
    <row r="3" spans="1:3" x14ac:dyDescent="0.25">
      <c r="A3" s="4" t="s">
        <v>28</v>
      </c>
      <c r="B3" t="s">
        <v>44</v>
      </c>
      <c r="C3" t="s">
        <v>45</v>
      </c>
    </row>
    <row r="4" spans="1:3" x14ac:dyDescent="0.25">
      <c r="A4" s="5" t="s">
        <v>30</v>
      </c>
      <c r="C4" s="8"/>
    </row>
    <row r="10" spans="1:3" x14ac:dyDescent="0.25">
      <c r="A10" s="9" t="s">
        <v>46</v>
      </c>
      <c r="B10" s="9" t="s">
        <v>47</v>
      </c>
      <c r="C10" s="9" t="s">
        <v>48</v>
      </c>
    </row>
    <row r="11" spans="1:3" x14ac:dyDescent="0.25">
      <c r="A11" s="5" t="s">
        <v>35</v>
      </c>
      <c r="B11">
        <v>4</v>
      </c>
      <c r="C11" s="8">
        <v>154600</v>
      </c>
    </row>
    <row r="12" spans="1:3" x14ac:dyDescent="0.25">
      <c r="A12" s="5" t="s">
        <v>27</v>
      </c>
      <c r="B12">
        <v>1</v>
      </c>
      <c r="C12" s="8">
        <v>33200</v>
      </c>
    </row>
    <row r="13" spans="1:3" x14ac:dyDescent="0.25">
      <c r="A13" s="5" t="s">
        <v>32</v>
      </c>
      <c r="B13">
        <v>2</v>
      </c>
      <c r="C13" s="8">
        <v>71700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4:E46"/>
  <sheetViews>
    <sheetView topLeftCell="A26" workbookViewId="0">
      <selection activeCell="E47" sqref="E47"/>
    </sheetView>
  </sheetViews>
  <sheetFormatPr defaultRowHeight="15" x14ac:dyDescent="0.25"/>
  <cols>
    <col min="5" max="5" width="38" customWidth="1"/>
  </cols>
  <sheetData>
    <row r="4" spans="5:5" x14ac:dyDescent="0.25">
      <c r="E4" t="s">
        <v>5</v>
      </c>
    </row>
    <row r="6" spans="5:5" x14ac:dyDescent="0.25">
      <c r="E6" s="1" t="s">
        <v>6</v>
      </c>
    </row>
    <row r="7" spans="5:5" x14ac:dyDescent="0.25">
      <c r="E7" t="s">
        <v>7</v>
      </c>
    </row>
    <row r="8" spans="5:5" x14ac:dyDescent="0.25">
      <c r="E8" s="2" t="s">
        <v>8</v>
      </c>
    </row>
    <row r="9" spans="5:5" x14ac:dyDescent="0.25">
      <c r="E9" t="s">
        <v>9</v>
      </c>
    </row>
    <row r="10" spans="5:5" x14ac:dyDescent="0.25">
      <c r="E10" t="s">
        <v>10</v>
      </c>
    </row>
    <row r="13" spans="5:5" x14ac:dyDescent="0.25">
      <c r="E13" t="s">
        <v>4</v>
      </c>
    </row>
    <row r="15" spans="5:5" x14ac:dyDescent="0.25">
      <c r="E15" t="s">
        <v>15</v>
      </c>
    </row>
    <row r="16" spans="5:5" x14ac:dyDescent="0.25">
      <c r="E16" t="s">
        <v>11</v>
      </c>
    </row>
    <row r="17" spans="5:5" x14ac:dyDescent="0.25">
      <c r="E17" t="s">
        <v>38</v>
      </c>
    </row>
    <row r="18" spans="5:5" x14ac:dyDescent="0.25">
      <c r="E18" t="s">
        <v>12</v>
      </c>
    </row>
    <row r="19" spans="5:5" x14ac:dyDescent="0.25">
      <c r="E19" t="s">
        <v>13</v>
      </c>
    </row>
    <row r="20" spans="5:5" x14ac:dyDescent="0.25">
      <c r="E20" t="s">
        <v>14</v>
      </c>
    </row>
    <row r="21" spans="5:5" x14ac:dyDescent="0.25">
      <c r="E21" t="s">
        <v>16</v>
      </c>
    </row>
    <row r="22" spans="5:5" x14ac:dyDescent="0.25">
      <c r="E22" t="s">
        <v>17</v>
      </c>
    </row>
    <row r="24" spans="5:5" x14ac:dyDescent="0.25">
      <c r="E24" t="s">
        <v>0</v>
      </c>
    </row>
    <row r="26" spans="5:5" x14ac:dyDescent="0.25">
      <c r="E26" t="s">
        <v>17</v>
      </c>
    </row>
    <row r="27" spans="5:5" x14ac:dyDescent="0.25">
      <c r="E27" t="s">
        <v>18</v>
      </c>
    </row>
    <row r="28" spans="5:5" x14ac:dyDescent="0.25">
      <c r="E28" t="s">
        <v>19</v>
      </c>
    </row>
    <row r="29" spans="5:5" x14ac:dyDescent="0.25">
      <c r="E29" t="s">
        <v>22</v>
      </c>
    </row>
    <row r="30" spans="5:5" x14ac:dyDescent="0.25">
      <c r="E30" t="s">
        <v>23</v>
      </c>
    </row>
    <row r="31" spans="5:5" x14ac:dyDescent="0.25">
      <c r="E31" t="s">
        <v>20</v>
      </c>
    </row>
    <row r="32" spans="5:5" x14ac:dyDescent="0.25">
      <c r="E32" t="s">
        <v>21</v>
      </c>
    </row>
    <row r="34" spans="5:5" x14ac:dyDescent="0.25">
      <c r="E34" t="s">
        <v>24</v>
      </c>
    </row>
    <row r="35" spans="5:5" x14ac:dyDescent="0.25">
      <c r="E35" t="s">
        <v>25</v>
      </c>
    </row>
    <row r="36" spans="5:5" x14ac:dyDescent="0.25">
      <c r="E36" t="s">
        <v>26</v>
      </c>
    </row>
    <row r="38" spans="5:5" x14ac:dyDescent="0.25">
      <c r="E38" s="3">
        <v>0.25</v>
      </c>
    </row>
    <row r="39" spans="5:5" x14ac:dyDescent="0.25">
      <c r="E39" s="3">
        <v>0.5</v>
      </c>
    </row>
    <row r="40" spans="5:5" x14ac:dyDescent="0.25">
      <c r="E40" s="3">
        <v>0.75</v>
      </c>
    </row>
    <row r="41" spans="5:5" x14ac:dyDescent="0.25">
      <c r="E41" s="3">
        <v>1</v>
      </c>
    </row>
    <row r="43" spans="5:5" x14ac:dyDescent="0.25">
      <c r="E43" t="s">
        <v>37</v>
      </c>
    </row>
    <row r="44" spans="5:5" x14ac:dyDescent="0.25">
      <c r="E44" t="s">
        <v>1</v>
      </c>
    </row>
    <row r="45" spans="5:5" x14ac:dyDescent="0.25">
      <c r="E45" t="s">
        <v>39</v>
      </c>
    </row>
    <row r="46" spans="5:5" x14ac:dyDescent="0.25">
      <c r="E46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2"/>
  <sheetViews>
    <sheetView tabSelected="1" workbookViewId="0">
      <selection activeCell="M42" sqref="M42"/>
    </sheetView>
  </sheetViews>
  <sheetFormatPr defaultColWidth="9.140625" defaultRowHeight="12.75" x14ac:dyDescent="0.25"/>
  <cols>
    <col min="1" max="1" width="0.42578125" style="10" customWidth="1"/>
    <col min="2" max="2" width="41.42578125" style="10" customWidth="1"/>
    <col min="3" max="5" width="5.140625" style="10" customWidth="1"/>
    <col min="6" max="6" width="10.42578125" style="10" hidden="1" customWidth="1"/>
    <col min="7" max="7" width="13" style="10" customWidth="1"/>
    <col min="8" max="10" width="5.140625" style="10" customWidth="1"/>
    <col min="11" max="11" width="41.85546875" style="10" customWidth="1"/>
    <col min="12" max="15" width="9.140625" style="19"/>
    <col min="16" max="16384" width="9.140625" style="10"/>
  </cols>
  <sheetData>
    <row r="1" spans="1:15" ht="15" customHeight="1" x14ac:dyDescent="0.25">
      <c r="A1" s="22"/>
      <c r="B1" s="33"/>
      <c r="C1" s="34" t="s">
        <v>55</v>
      </c>
      <c r="D1" s="34"/>
      <c r="E1" s="34"/>
      <c r="F1" s="34"/>
      <c r="G1" s="34"/>
      <c r="H1" s="34"/>
      <c r="I1" s="34"/>
      <c r="J1" s="34"/>
      <c r="K1" s="34"/>
    </row>
    <row r="2" spans="1:15" s="11" customFormat="1" ht="25.5" customHeight="1" x14ac:dyDescent="0.25">
      <c r="A2" s="23"/>
      <c r="B2" s="33"/>
      <c r="C2" s="34"/>
      <c r="D2" s="34"/>
      <c r="E2" s="34"/>
      <c r="F2" s="34"/>
      <c r="G2" s="34"/>
      <c r="H2" s="34"/>
      <c r="I2" s="34"/>
      <c r="J2" s="34"/>
      <c r="K2" s="34"/>
      <c r="L2" s="20"/>
      <c r="M2" s="20"/>
      <c r="N2" s="20"/>
      <c r="O2" s="20"/>
    </row>
    <row r="3" spans="1:15" ht="37.5" customHeight="1" x14ac:dyDescent="0.25">
      <c r="A3" s="22"/>
      <c r="B3" s="33"/>
      <c r="C3" s="34"/>
      <c r="D3" s="34"/>
      <c r="E3" s="34"/>
      <c r="F3" s="34"/>
      <c r="G3" s="34"/>
      <c r="H3" s="34"/>
      <c r="I3" s="34"/>
      <c r="J3" s="34"/>
      <c r="K3" s="34"/>
    </row>
    <row r="4" spans="1:15" ht="25.5" customHeight="1" x14ac:dyDescent="0.25">
      <c r="A4" s="22"/>
      <c r="B4" s="36" t="s">
        <v>60</v>
      </c>
      <c r="C4" s="36"/>
      <c r="D4" s="36"/>
      <c r="E4" s="36"/>
      <c r="F4" s="36"/>
      <c r="G4" s="36"/>
      <c r="H4" s="36"/>
      <c r="I4" s="36"/>
      <c r="J4" s="36"/>
      <c r="K4" s="36"/>
    </row>
    <row r="5" spans="1:15" ht="28.5" customHeight="1" x14ac:dyDescent="0.25">
      <c r="A5" s="22"/>
      <c r="B5" s="35" t="s">
        <v>64</v>
      </c>
      <c r="C5" s="35"/>
      <c r="D5" s="35"/>
      <c r="E5" s="35"/>
      <c r="F5" s="35"/>
      <c r="G5" s="35"/>
      <c r="H5" s="35"/>
      <c r="I5" s="35"/>
      <c r="J5" s="35"/>
      <c r="K5" s="35"/>
    </row>
    <row r="6" spans="1:15" s="18" customFormat="1" ht="27.75" customHeight="1" x14ac:dyDescent="0.25">
      <c r="A6" s="17"/>
      <c r="B6" s="40" t="s">
        <v>54</v>
      </c>
      <c r="C6" s="40"/>
      <c r="D6" s="40"/>
      <c r="E6" s="40"/>
      <c r="F6" s="40"/>
      <c r="G6" s="40" t="s">
        <v>56</v>
      </c>
      <c r="H6" s="40"/>
      <c r="I6" s="40"/>
      <c r="J6" s="40"/>
      <c r="K6" s="15" t="s">
        <v>57</v>
      </c>
      <c r="L6" s="21"/>
      <c r="M6" s="21"/>
      <c r="N6" s="21"/>
      <c r="O6" s="21"/>
    </row>
    <row r="7" spans="1:15" ht="25.5" customHeight="1" x14ac:dyDescent="0.25">
      <c r="A7" s="22"/>
      <c r="B7" s="37" t="s">
        <v>65</v>
      </c>
      <c r="C7" s="37"/>
      <c r="D7" s="37"/>
      <c r="E7" s="37"/>
      <c r="F7" s="37"/>
      <c r="G7" s="38">
        <v>45946</v>
      </c>
      <c r="H7" s="39"/>
      <c r="I7" s="39"/>
      <c r="J7" s="39"/>
      <c r="K7" s="13" t="s">
        <v>66</v>
      </c>
      <c r="L7" s="25"/>
      <c r="M7" s="25"/>
      <c r="N7" s="25"/>
      <c r="O7" s="25"/>
    </row>
    <row r="8" spans="1:15" ht="26.25" customHeight="1" x14ac:dyDescent="0.25">
      <c r="A8" s="22"/>
      <c r="B8" s="14" t="s">
        <v>52</v>
      </c>
      <c r="C8" s="41" t="s">
        <v>53</v>
      </c>
      <c r="D8" s="41"/>
      <c r="E8" s="41"/>
      <c r="F8" s="41"/>
      <c r="G8" s="41"/>
      <c r="H8" s="41"/>
      <c r="I8" s="41"/>
      <c r="J8" s="41"/>
      <c r="K8" s="41"/>
    </row>
    <row r="9" spans="1:15" ht="18" customHeight="1" x14ac:dyDescent="0.25">
      <c r="A9" s="22"/>
      <c r="B9" s="16">
        <v>45946</v>
      </c>
      <c r="C9" s="26" t="s">
        <v>63</v>
      </c>
      <c r="D9" s="26"/>
      <c r="E9" s="26"/>
      <c r="F9" s="26"/>
      <c r="G9" s="26"/>
      <c r="H9" s="26"/>
      <c r="I9" s="26"/>
      <c r="J9" s="26"/>
      <c r="K9" s="26"/>
    </row>
    <row r="10" spans="1:15" ht="18" customHeight="1" x14ac:dyDescent="0.25">
      <c r="A10" s="22"/>
      <c r="B10" s="16">
        <v>45946</v>
      </c>
      <c r="C10" s="26" t="s">
        <v>62</v>
      </c>
      <c r="D10" s="26"/>
      <c r="E10" s="26"/>
      <c r="F10" s="26"/>
      <c r="G10" s="26"/>
      <c r="H10" s="26"/>
      <c r="I10" s="26"/>
      <c r="J10" s="26"/>
      <c r="K10" s="26"/>
    </row>
    <row r="11" spans="1:15" ht="18" customHeight="1" x14ac:dyDescent="0.25">
      <c r="A11" s="22"/>
      <c r="B11" s="16">
        <v>45946</v>
      </c>
      <c r="C11" s="26" t="s">
        <v>67</v>
      </c>
      <c r="D11" s="26"/>
      <c r="E11" s="26"/>
      <c r="F11" s="26"/>
      <c r="G11" s="26"/>
      <c r="H11" s="26"/>
      <c r="I11" s="26"/>
      <c r="J11" s="26"/>
      <c r="K11" s="26"/>
    </row>
    <row r="12" spans="1:15" ht="18" customHeight="1" x14ac:dyDescent="0.25">
      <c r="A12" s="22"/>
      <c r="B12" s="16"/>
      <c r="C12" s="26"/>
      <c r="D12" s="26"/>
      <c r="E12" s="26"/>
      <c r="F12" s="26"/>
      <c r="G12" s="26"/>
      <c r="H12" s="26"/>
      <c r="I12" s="26"/>
      <c r="J12" s="26"/>
      <c r="K12" s="26"/>
    </row>
    <row r="13" spans="1:15" ht="18" customHeight="1" x14ac:dyDescent="0.25">
      <c r="A13" s="22"/>
      <c r="B13" s="16"/>
      <c r="C13" s="26"/>
      <c r="D13" s="26"/>
      <c r="E13" s="26"/>
      <c r="F13" s="26"/>
      <c r="G13" s="26"/>
      <c r="H13" s="26"/>
      <c r="I13" s="26"/>
      <c r="J13" s="26"/>
      <c r="K13" s="26"/>
    </row>
    <row r="14" spans="1:15" ht="18" customHeight="1" x14ac:dyDescent="0.25">
      <c r="A14" s="22"/>
      <c r="B14" s="16"/>
      <c r="C14" s="26"/>
      <c r="D14" s="26"/>
      <c r="E14" s="26"/>
      <c r="F14" s="26"/>
      <c r="G14" s="26"/>
      <c r="H14" s="26"/>
      <c r="I14" s="26"/>
      <c r="J14" s="26"/>
      <c r="K14" s="26"/>
    </row>
    <row r="15" spans="1:15" ht="17.25" customHeight="1" x14ac:dyDescent="0.25">
      <c r="A15" s="22"/>
      <c r="B15" s="16"/>
      <c r="C15" s="26"/>
      <c r="D15" s="26"/>
      <c r="E15" s="26"/>
      <c r="F15" s="26"/>
      <c r="G15" s="26"/>
      <c r="H15" s="26"/>
      <c r="I15" s="26"/>
      <c r="J15" s="26"/>
      <c r="K15" s="26"/>
    </row>
    <row r="16" spans="1:15" ht="17.25" customHeight="1" x14ac:dyDescent="0.25">
      <c r="A16" s="22"/>
      <c r="B16" s="1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7.25" customHeight="1" x14ac:dyDescent="0.25">
      <c r="A17" s="22"/>
      <c r="B17" s="16"/>
      <c r="C17" s="26"/>
      <c r="D17" s="26"/>
      <c r="E17" s="26"/>
      <c r="F17" s="26"/>
      <c r="G17" s="26"/>
      <c r="H17" s="26"/>
      <c r="I17" s="26"/>
      <c r="J17" s="26"/>
      <c r="K17" s="26"/>
    </row>
    <row r="18" spans="1:11" ht="17.25" customHeight="1" x14ac:dyDescent="0.25">
      <c r="A18" s="22"/>
      <c r="B18" s="16"/>
      <c r="C18" s="26"/>
      <c r="D18" s="26"/>
      <c r="E18" s="26"/>
      <c r="F18" s="26"/>
      <c r="G18" s="26"/>
      <c r="H18" s="26"/>
      <c r="I18" s="26"/>
      <c r="J18" s="26"/>
      <c r="K18" s="26"/>
    </row>
    <row r="19" spans="1:11" ht="17.25" customHeight="1" x14ac:dyDescent="0.25">
      <c r="A19" s="22"/>
      <c r="B19" s="16"/>
      <c r="C19" s="26"/>
      <c r="D19" s="26"/>
      <c r="E19" s="26"/>
      <c r="F19" s="26"/>
      <c r="G19" s="26"/>
      <c r="H19" s="26"/>
      <c r="I19" s="26"/>
      <c r="J19" s="26"/>
      <c r="K19" s="26"/>
    </row>
    <row r="20" spans="1:11" ht="17.25" customHeight="1" x14ac:dyDescent="0.25">
      <c r="A20" s="22"/>
      <c r="B20" s="1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17.25" customHeight="1" x14ac:dyDescent="0.25">
      <c r="A21" s="22"/>
      <c r="B21" s="16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7.25" customHeight="1" x14ac:dyDescent="0.25">
      <c r="A22" s="22"/>
      <c r="B22" s="16"/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7.25" customHeight="1" x14ac:dyDescent="0.25">
      <c r="A23" s="22"/>
      <c r="B23" s="16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8" customHeight="1" x14ac:dyDescent="0.25">
      <c r="A24" s="22"/>
      <c r="B24" s="16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8" customHeight="1" x14ac:dyDescent="0.25">
      <c r="A25" s="22"/>
      <c r="B25" s="16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8" customHeight="1" x14ac:dyDescent="0.25">
      <c r="A26" s="22"/>
      <c r="B26" s="16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8" customHeight="1" x14ac:dyDescent="0.25">
      <c r="A27" s="22"/>
      <c r="B27" s="1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t="18" customHeight="1" x14ac:dyDescent="0.25">
      <c r="A28" s="22"/>
      <c r="B28" s="16"/>
      <c r="C28" s="26"/>
      <c r="D28" s="26"/>
      <c r="E28" s="26"/>
      <c r="F28" s="26"/>
      <c r="G28" s="26"/>
      <c r="H28" s="26"/>
      <c r="I28" s="26"/>
      <c r="J28" s="26"/>
      <c r="K28" s="26"/>
    </row>
    <row r="29" spans="1:11" ht="18" customHeight="1" x14ac:dyDescent="0.25">
      <c r="A29" s="22"/>
      <c r="B29" s="16"/>
      <c r="C29" s="26"/>
      <c r="D29" s="26"/>
      <c r="E29" s="26"/>
      <c r="F29" s="26"/>
      <c r="G29" s="26"/>
      <c r="H29" s="26"/>
      <c r="I29" s="26"/>
      <c r="J29" s="26"/>
      <c r="K29" s="26"/>
    </row>
    <row r="30" spans="1:11" ht="18" customHeight="1" x14ac:dyDescent="0.25">
      <c r="A30" s="22"/>
      <c r="B30" s="16"/>
      <c r="C30" s="26"/>
      <c r="D30" s="26"/>
      <c r="E30" s="26"/>
      <c r="F30" s="26"/>
      <c r="G30" s="26"/>
      <c r="H30" s="26"/>
      <c r="I30" s="26"/>
      <c r="J30" s="26"/>
      <c r="K30" s="26"/>
    </row>
    <row r="31" spans="1:11" ht="18" customHeight="1" x14ac:dyDescent="0.25">
      <c r="A31" s="22"/>
      <c r="B31" s="16"/>
      <c r="C31" s="26"/>
      <c r="D31" s="26"/>
      <c r="E31" s="26"/>
      <c r="F31" s="26"/>
      <c r="G31" s="26"/>
      <c r="H31" s="26"/>
      <c r="I31" s="26"/>
      <c r="J31" s="26"/>
      <c r="K31" s="26"/>
    </row>
    <row r="32" spans="1:11" ht="18" customHeight="1" x14ac:dyDescent="0.25">
      <c r="A32" s="22"/>
      <c r="B32" s="28"/>
      <c r="C32" s="29"/>
      <c r="D32" s="29"/>
      <c r="E32" s="29"/>
      <c r="F32" s="29"/>
      <c r="G32" s="29"/>
      <c r="H32" s="29"/>
      <c r="I32" s="29"/>
      <c r="J32" s="29"/>
      <c r="K32" s="30"/>
    </row>
    <row r="33" spans="1:11" ht="19.5" customHeight="1" x14ac:dyDescent="0.25">
      <c r="A33" s="22"/>
      <c r="B33" s="42"/>
      <c r="C33" s="42"/>
      <c r="D33" s="42"/>
      <c r="E33" s="42"/>
      <c r="F33" s="42"/>
      <c r="G33" s="42"/>
      <c r="H33" s="42"/>
      <c r="I33" s="42"/>
      <c r="J33" s="42"/>
      <c r="K33" s="42"/>
    </row>
    <row r="34" spans="1:11" s="19" customFormat="1" ht="33.75" customHeight="1" x14ac:dyDescent="0.25">
      <c r="A34" s="24"/>
      <c r="B34" s="43" t="s">
        <v>58</v>
      </c>
      <c r="C34" s="44"/>
      <c r="D34" s="44"/>
      <c r="E34" s="44"/>
      <c r="F34" s="44"/>
      <c r="G34" s="44"/>
      <c r="H34" s="44"/>
      <c r="I34" s="44"/>
      <c r="J34" s="44"/>
      <c r="K34" s="45"/>
    </row>
    <row r="35" spans="1:11" s="19" customFormat="1" ht="36.75" customHeight="1" x14ac:dyDescent="0.25">
      <c r="A35" s="24"/>
      <c r="B35" s="46" t="s">
        <v>59</v>
      </c>
      <c r="C35" s="47"/>
      <c r="D35" s="47"/>
      <c r="E35" s="47"/>
      <c r="F35" s="47"/>
      <c r="G35" s="47"/>
      <c r="H35" s="47"/>
      <c r="I35" s="47"/>
      <c r="J35" s="47"/>
      <c r="K35" s="48"/>
    </row>
    <row r="36" spans="1:11" ht="24" customHeight="1" x14ac:dyDescent="0.25">
      <c r="A36" s="22"/>
      <c r="B36" s="32" t="s">
        <v>61</v>
      </c>
      <c r="C36" s="32"/>
      <c r="D36" s="32"/>
      <c r="E36" s="32"/>
      <c r="F36" s="32"/>
      <c r="G36" s="32" t="s">
        <v>61</v>
      </c>
      <c r="H36" s="32"/>
      <c r="I36" s="32"/>
      <c r="J36" s="32"/>
      <c r="K36" s="32"/>
    </row>
    <row r="37" spans="1:11" ht="45.75" customHeight="1" x14ac:dyDescent="0.25">
      <c r="A37" s="22"/>
      <c r="B37" s="31" t="s">
        <v>68</v>
      </c>
      <c r="C37" s="31"/>
      <c r="D37" s="31"/>
      <c r="E37" s="31"/>
      <c r="F37" s="31"/>
      <c r="G37" s="31" t="s">
        <v>70</v>
      </c>
      <c r="H37" s="31"/>
      <c r="I37" s="31"/>
      <c r="J37" s="31"/>
      <c r="K37" s="31"/>
    </row>
    <row r="38" spans="1:11" ht="19.5" customHeight="1" x14ac:dyDescent="0.25">
      <c r="A38" s="22"/>
      <c r="B38" s="32" t="s">
        <v>61</v>
      </c>
      <c r="C38" s="32"/>
      <c r="D38" s="32"/>
      <c r="E38" s="32"/>
      <c r="F38" s="32"/>
      <c r="G38" s="32" t="s">
        <v>61</v>
      </c>
      <c r="H38" s="32"/>
      <c r="I38" s="32"/>
      <c r="J38" s="32"/>
      <c r="K38" s="32"/>
    </row>
    <row r="39" spans="1:11" ht="42.75" customHeight="1" x14ac:dyDescent="0.25">
      <c r="A39" s="22"/>
      <c r="B39" s="31" t="s">
        <v>69</v>
      </c>
      <c r="C39" s="31"/>
      <c r="D39" s="31"/>
      <c r="E39" s="31"/>
      <c r="F39" s="31"/>
      <c r="G39" s="31" t="s">
        <v>71</v>
      </c>
      <c r="H39" s="31"/>
      <c r="I39" s="31"/>
      <c r="J39" s="31"/>
      <c r="K39" s="31"/>
    </row>
    <row r="40" spans="1:11" ht="21" customHeight="1" x14ac:dyDescent="0.25">
      <c r="B40" s="32" t="s">
        <v>61</v>
      </c>
      <c r="C40" s="32"/>
      <c r="D40" s="32"/>
      <c r="E40" s="32"/>
      <c r="F40" s="32"/>
      <c r="G40" s="32" t="s">
        <v>61</v>
      </c>
      <c r="H40" s="32"/>
      <c r="I40" s="32"/>
      <c r="J40" s="32"/>
      <c r="K40" s="32"/>
    </row>
    <row r="41" spans="1:11" x14ac:dyDescent="0.25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1" ht="36" customHeight="1" x14ac:dyDescent="0.25">
      <c r="B42" s="31"/>
      <c r="C42" s="31"/>
      <c r="D42" s="31"/>
      <c r="E42" s="31"/>
      <c r="F42" s="31"/>
      <c r="G42" s="31"/>
      <c r="H42" s="31"/>
      <c r="I42" s="31"/>
      <c r="J42" s="31"/>
      <c r="K42" s="31"/>
    </row>
  </sheetData>
  <mergeCells count="48">
    <mergeCell ref="G38:K38"/>
    <mergeCell ref="B33:K33"/>
    <mergeCell ref="B38:F38"/>
    <mergeCell ref="B34:K34"/>
    <mergeCell ref="B35:K35"/>
    <mergeCell ref="B40:F40"/>
    <mergeCell ref="G40:K40"/>
    <mergeCell ref="B41:F42"/>
    <mergeCell ref="G41:K42"/>
    <mergeCell ref="B39:F39"/>
    <mergeCell ref="G39:K39"/>
    <mergeCell ref="C12:K12"/>
    <mergeCell ref="C9:K9"/>
    <mergeCell ref="C10:K10"/>
    <mergeCell ref="G6:J6"/>
    <mergeCell ref="B6:F6"/>
    <mergeCell ref="C8:K8"/>
    <mergeCell ref="B1:B3"/>
    <mergeCell ref="C1:K3"/>
    <mergeCell ref="B5:K5"/>
    <mergeCell ref="B4:K4"/>
    <mergeCell ref="C11:K11"/>
    <mergeCell ref="B7:F7"/>
    <mergeCell ref="G7:J7"/>
    <mergeCell ref="C14:K14"/>
    <mergeCell ref="C13:K13"/>
    <mergeCell ref="C16:K16"/>
    <mergeCell ref="C17:K17"/>
    <mergeCell ref="C19:K19"/>
    <mergeCell ref="C21:K21"/>
    <mergeCell ref="C26:K26"/>
    <mergeCell ref="C27:K27"/>
    <mergeCell ref="C23:K23"/>
    <mergeCell ref="C15:K15"/>
    <mergeCell ref="C18:K18"/>
    <mergeCell ref="C22:K22"/>
    <mergeCell ref="C20:K20"/>
    <mergeCell ref="C30:K30"/>
    <mergeCell ref="C24:K24"/>
    <mergeCell ref="C28:K28"/>
    <mergeCell ref="B32:K32"/>
    <mergeCell ref="B37:F37"/>
    <mergeCell ref="G37:K37"/>
    <mergeCell ref="C25:K25"/>
    <mergeCell ref="C29:K29"/>
    <mergeCell ref="C31:K31"/>
    <mergeCell ref="B36:F36"/>
    <mergeCell ref="G36:K36"/>
  </mergeCells>
  <printOptions horizontalCentered="1"/>
  <pageMargins left="0" right="0" top="0.39370078740157483" bottom="0.39370078740157483" header="0.31496062992125984" footer="0.31496062992125984"/>
  <pageSetup paperSize="9"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No. de Novos Negócios</vt:lpstr>
      <vt:lpstr>WIN  LOSS</vt:lpstr>
      <vt:lpstr>Prop. em Andamento</vt:lpstr>
      <vt:lpstr>status proposta</vt:lpstr>
      <vt:lpstr>Atividades semanais</vt:lpstr>
      <vt:lpstr>Andamento</vt:lpstr>
      <vt:lpstr>Planilha1</vt:lpstr>
      <vt:lpstr>RD 01.07.21 à 06.08.21</vt:lpstr>
      <vt:lpstr>'RD 01.07.21 à 06.08.21'!Area_de_impressao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</dc:creator>
  <cp:lastModifiedBy>Pedro Souza</cp:lastModifiedBy>
  <cp:lastPrinted>2024-02-09T21:27:00Z</cp:lastPrinted>
  <dcterms:created xsi:type="dcterms:W3CDTF">2017-06-16T18:52:29Z</dcterms:created>
  <dcterms:modified xsi:type="dcterms:W3CDTF">2025-10-16T16:21:16Z</dcterms:modified>
</cp:coreProperties>
</file>