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X:\01- DIRETORIA\01 - CONTRATOS\AGOSTO\"/>
    </mc:Choice>
  </mc:AlternateContent>
  <xr:revisionPtr revIDLastSave="0" documentId="13_ncr:1_{14210A81-EE66-4E90-ACB5-FBD98B2B3F8F}" xr6:coauthVersionLast="46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Planilha" sheetId="1" r:id="rId1"/>
    <sheet name="Instruções" sheetId="2" r:id="rId2"/>
  </sheets>
  <calcPr calcId="191029"/>
</workbook>
</file>

<file path=xl/calcChain.xml><?xml version="1.0" encoding="utf-8"?>
<calcChain xmlns="http://schemas.openxmlformats.org/spreadsheetml/2006/main">
  <c r="Q44" i="1" l="1"/>
  <c r="B35" i="1"/>
  <c r="C35" i="1"/>
  <c r="M6" i="1"/>
  <c r="M7" i="1"/>
  <c r="M8" i="1"/>
  <c r="M9" i="1"/>
  <c r="M10" i="1"/>
  <c r="M11" i="1"/>
  <c r="M12" i="1"/>
  <c r="M13" i="1"/>
  <c r="M14" i="1"/>
  <c r="M15" i="1"/>
  <c r="M16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S5" i="1" l="1"/>
  <c r="T6" i="1"/>
  <c r="S6" i="1"/>
  <c r="T7" i="1"/>
  <c r="S7" i="1"/>
  <c r="T8" i="1"/>
  <c r="S8" i="1"/>
  <c r="T9" i="1"/>
  <c r="S9" i="1"/>
  <c r="T10" i="1"/>
  <c r="S10" i="1"/>
  <c r="T11" i="1"/>
  <c r="S11" i="1"/>
  <c r="T12" i="1"/>
  <c r="S12" i="1"/>
  <c r="T13" i="1"/>
  <c r="S13" i="1"/>
  <c r="T14" i="1"/>
  <c r="S14" i="1"/>
  <c r="T15" i="1"/>
  <c r="S15" i="1"/>
  <c r="T16" i="1"/>
  <c r="S16" i="1"/>
  <c r="T17" i="1"/>
  <c r="S17" i="1"/>
  <c r="T18" i="1"/>
  <c r="S18" i="1"/>
  <c r="T19" i="1"/>
  <c r="S19" i="1"/>
  <c r="T20" i="1"/>
  <c r="S20" i="1"/>
  <c r="T21" i="1"/>
  <c r="S21" i="1"/>
  <c r="T22" i="1"/>
  <c r="S22" i="1"/>
  <c r="T24" i="1"/>
  <c r="S24" i="1"/>
  <c r="S25" i="1"/>
  <c r="S26" i="1"/>
  <c r="S27" i="1"/>
  <c r="S28" i="1"/>
  <c r="S29" i="1"/>
  <c r="S30" i="1"/>
  <c r="S31" i="1"/>
  <c r="S32" i="1"/>
  <c r="S33" i="1"/>
  <c r="S34" i="1"/>
  <c r="T25" i="1"/>
  <c r="T26" i="1"/>
  <c r="T27" i="1"/>
  <c r="T28" i="1"/>
  <c r="T29" i="1"/>
  <c r="T30" i="1"/>
  <c r="T31" i="1"/>
  <c r="T32" i="1"/>
  <c r="T33" i="1"/>
  <c r="T34" i="1"/>
  <c r="S35" i="1" l="1"/>
  <c r="P23" i="1" l="1"/>
  <c r="O44" i="1" s="1"/>
  <c r="O35" i="1" l="1"/>
  <c r="Q35" i="1"/>
  <c r="N35" i="1"/>
  <c r="M35" i="1"/>
  <c r="L35" i="1"/>
  <c r="K35" i="1"/>
  <c r="J35" i="1"/>
  <c r="I35" i="1"/>
  <c r="G35" i="1"/>
  <c r="F35" i="1"/>
  <c r="E35" i="1"/>
  <c r="D35" i="1"/>
</calcChain>
</file>

<file path=xl/sharedStrings.xml><?xml version="1.0" encoding="utf-8"?>
<sst xmlns="http://schemas.openxmlformats.org/spreadsheetml/2006/main" count="38" uniqueCount="37">
  <si>
    <t>Planilha de Centro de Custo -  Pagamento de RATs</t>
  </si>
  <si>
    <t xml:space="preserve">Obrigatório orçamento       </t>
  </si>
  <si>
    <t>RAT Positivo</t>
  </si>
  <si>
    <r>
      <rPr>
        <sz val="10"/>
        <rFont val="Arial"/>
        <family val="2"/>
      </rPr>
      <t xml:space="preserve">Pedágio            </t>
    </r>
    <r>
      <rPr>
        <sz val="10"/>
        <rFont val="Arial"/>
        <family val="2"/>
        <charset val="1"/>
      </rPr>
      <t>(R$)</t>
    </r>
  </si>
  <si>
    <r>
      <rPr>
        <sz val="10"/>
        <color rgb="FF385A7B"/>
        <rFont val="Arial"/>
        <family val="2"/>
        <charset val="1"/>
      </rPr>
      <t xml:space="preserve">EX: </t>
    </r>
    <r>
      <rPr>
        <sz val="10"/>
        <color rgb="FF333399"/>
        <rFont val="Arial"/>
        <family val="2"/>
        <charset val="1"/>
      </rPr>
      <t xml:space="preserve">   1 </t>
    </r>
  </si>
  <si>
    <t>Total</t>
  </si>
  <si>
    <t>--</t>
  </si>
  <si>
    <t>Razão Social (Código ATP) :</t>
  </si>
  <si>
    <t>Total Nota Fiscal de Serviço</t>
  </si>
  <si>
    <t>CNPJ ATP :</t>
  </si>
  <si>
    <t>Total Nota de Débito</t>
  </si>
  <si>
    <t>Nome do responsável pelo preenchimento :</t>
  </si>
  <si>
    <t>Total Planilha</t>
  </si>
  <si>
    <t>Acordo trabalhista</t>
  </si>
  <si>
    <t>Folha de Pag.</t>
  </si>
  <si>
    <t>Vale Transporte</t>
  </si>
  <si>
    <t xml:space="preserve">Recisao </t>
  </si>
  <si>
    <t xml:space="preserve">Férias    </t>
  </si>
  <si>
    <t>Cesta Basica</t>
  </si>
  <si>
    <t xml:space="preserve">  Ft / Diaria Faltas com Atestado</t>
  </si>
  <si>
    <t>Manutençao de Maquinas</t>
  </si>
  <si>
    <t>Uniforme</t>
  </si>
  <si>
    <t xml:space="preserve">Refeiçao </t>
  </si>
  <si>
    <t xml:space="preserve">Posto Vago </t>
  </si>
  <si>
    <t>Editar2</t>
  </si>
  <si>
    <r>
      <t xml:space="preserve">Outros Prejuíjo
</t>
    </r>
    <r>
      <rPr>
        <sz val="10"/>
        <rFont val="Arial"/>
        <family val="2"/>
        <charset val="1"/>
      </rPr>
      <t>(R$)</t>
    </r>
  </si>
  <si>
    <r>
      <t xml:space="preserve">Total despesas
</t>
    </r>
    <r>
      <rPr>
        <sz val="10"/>
        <rFont val="Arial"/>
        <family val="2"/>
        <charset val="1"/>
      </rPr>
      <t>(R$)</t>
    </r>
  </si>
  <si>
    <t>Condominio Pleno</t>
  </si>
  <si>
    <t xml:space="preserve">Despesas </t>
  </si>
  <si>
    <t>Lucro</t>
  </si>
  <si>
    <t>Coluna1</t>
  </si>
  <si>
    <t>Custo Op. 2%</t>
  </si>
  <si>
    <t xml:space="preserve">                                              Demonstrativo de Despesas</t>
  </si>
  <si>
    <t xml:space="preserve">                         Resultado financeiro %</t>
  </si>
  <si>
    <t xml:space="preserve">Gisele/ Ester / Pamela / Gestao Claudio </t>
  </si>
  <si>
    <t xml:space="preserve">                            Planilha de Centro de Custo -  PALAZZO</t>
  </si>
  <si>
    <t>Comb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</si>
</sst>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\-??_);_(@_)"/>
    <numFmt numFmtId="165" formatCode="_-* #,##0.0_-;\-* #,##0.0_-;_-* &quot;-&quot;??_-;_-@_-"/>
  </numFmts>
  <fonts count="1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b/>
      <sz val="18"/>
      <color rgb="FF2687E9"/>
      <name val="Arial"/>
      <family val="2"/>
      <charset val="1"/>
    </font>
    <font>
      <sz val="10"/>
      <color rgb="FF385A7B"/>
      <name val="Arial"/>
      <family val="2"/>
      <charset val="1"/>
    </font>
    <font>
      <b/>
      <sz val="10"/>
      <color rgb="FF385A7B"/>
      <name val="Arial"/>
      <family val="2"/>
      <charset val="1"/>
    </font>
    <font>
      <b/>
      <sz val="9"/>
      <color rgb="FF385A7B"/>
      <name val="Arial"/>
      <family val="2"/>
      <charset val="1"/>
    </font>
    <font>
      <sz val="10"/>
      <color rgb="FF333399"/>
      <name val="Arial"/>
      <family val="2"/>
      <charset val="1"/>
    </font>
    <font>
      <sz val="10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sz val="12"/>
      <name val="Arial"/>
      <family val="2"/>
      <charset val="1"/>
    </font>
    <font>
      <sz val="10"/>
      <name val="Arial"/>
      <family val="2"/>
    </font>
    <font>
      <sz val="11"/>
      <color rgb="FFFF0000"/>
      <name val="Calibri Light"/>
      <family val="2"/>
    </font>
    <font>
      <b/>
      <sz val="10"/>
      <color rgb="FF385A7B"/>
      <name val="Arial"/>
      <family val="2"/>
    </font>
    <font>
      <sz val="10"/>
      <name val="Arial"/>
      <family val="2"/>
    </font>
    <font>
      <b/>
      <sz val="11"/>
      <name val="Calibri Light"/>
      <family val="2"/>
    </font>
    <font>
      <sz val="10"/>
      <name val="Calibri"/>
      <family val="2"/>
      <scheme val="minor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6F8FB"/>
      </patternFill>
    </fill>
    <fill>
      <patternFill patternType="solid">
        <fgColor rgb="FF8BC8F6"/>
        <bgColor rgb="FF9999FF"/>
      </patternFill>
    </fill>
    <fill>
      <patternFill patternType="solid">
        <fgColor rgb="FFE8EDF9"/>
        <bgColor rgb="FFDCE4F4"/>
      </patternFill>
    </fill>
    <fill>
      <patternFill patternType="solid">
        <fgColor rgb="FFD1EAB5"/>
        <bgColor rgb="FFDCE4F4"/>
      </patternFill>
    </fill>
    <fill>
      <patternFill patternType="solid">
        <fgColor rgb="FFF6F8FB"/>
        <bgColor rgb="FFFFFFFF"/>
      </patternFill>
    </fill>
    <fill>
      <patternFill patternType="solid">
        <fgColor rgb="FFF2D899"/>
        <bgColor rgb="FFD1EAB5"/>
      </patternFill>
    </fill>
    <fill>
      <patternFill patternType="solid">
        <fgColor rgb="FF4983BB"/>
        <bgColor rgb="FF2687E9"/>
      </patternFill>
    </fill>
    <fill>
      <patternFill patternType="solid">
        <fgColor rgb="FFED8C8C"/>
        <bgColor rgb="FFFA9F9F"/>
      </patternFill>
    </fill>
    <fill>
      <patternFill patternType="solid">
        <fgColor rgb="FFFA9F9F"/>
        <bgColor rgb="FFED8C8C"/>
      </patternFill>
    </fill>
    <fill>
      <patternFill patternType="solid">
        <fgColor rgb="FFFCB4B4"/>
        <bgColor rgb="FFFA9F9F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rgb="FFDCE4F4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FFFFFF"/>
      </right>
      <top/>
      <bottom style="thin">
        <color rgb="FFFFFFFF"/>
      </bottom>
      <diagonal/>
    </border>
    <border>
      <left style="medium">
        <color indexed="64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164" fontId="11" fillId="0" borderId="0" applyBorder="0" applyProtection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Font="1" applyBorder="1" applyProtection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1" applyFont="1" applyBorder="1" applyProtection="1"/>
    <xf numFmtId="0" fontId="4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left" vertical="center" wrapText="1" indent="1"/>
    </xf>
    <xf numFmtId="0" fontId="0" fillId="0" borderId="6" xfId="0" applyBorder="1" applyAlignment="1">
      <alignment horizontal="left" vertical="center" wrapText="1" indent="1"/>
    </xf>
    <xf numFmtId="164" fontId="4" fillId="0" borderId="0" xfId="1" applyFont="1" applyBorder="1" applyAlignment="1" applyProtection="1">
      <alignment horizontal="right" vertical="center"/>
    </xf>
    <xf numFmtId="164" fontId="5" fillId="0" borderId="0" xfId="1" applyFont="1" applyBorder="1" applyAlignment="1" applyProtection="1">
      <alignment horizontal="right" vertical="center"/>
    </xf>
    <xf numFmtId="164" fontId="4" fillId="0" borderId="0" xfId="1" applyFont="1" applyBorder="1" applyAlignment="1" applyProtection="1">
      <alignment vertical="center"/>
    </xf>
    <xf numFmtId="164" fontId="4" fillId="0" borderId="0" xfId="1" applyFont="1" applyBorder="1" applyAlignment="1" applyProtection="1">
      <alignment horizontal="left" vertical="center"/>
    </xf>
    <xf numFmtId="164" fontId="5" fillId="0" borderId="0" xfId="1" applyFont="1" applyBorder="1" applyAlignment="1" applyProtection="1">
      <alignment vertical="center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164" fontId="4" fillId="0" borderId="0" xfId="1" applyFont="1" applyBorder="1" applyAlignment="1" applyProtection="1">
      <alignment horizontal="right" wrapText="1"/>
    </xf>
    <xf numFmtId="164" fontId="4" fillId="0" borderId="0" xfId="1" applyFont="1" applyBorder="1" applyAlignment="1" applyProtection="1">
      <alignment horizontal="left" wrapText="1"/>
    </xf>
    <xf numFmtId="0" fontId="10" fillId="0" borderId="0" xfId="0" applyFont="1" applyAlignment="1">
      <alignment vertical="center"/>
    </xf>
    <xf numFmtId="0" fontId="10" fillId="8" borderId="0" xfId="0" applyFont="1" applyFill="1" applyAlignment="1">
      <alignment vertical="center"/>
    </xf>
    <xf numFmtId="2" fontId="12" fillId="12" borderId="7" xfId="4" applyNumberFormat="1" applyFont="1" applyFill="1" applyBorder="1" applyAlignment="1">
      <alignment vertical="center"/>
    </xf>
    <xf numFmtId="43" fontId="4" fillId="0" borderId="0" xfId="2" applyFont="1" applyBorder="1" applyAlignment="1" applyProtection="1">
      <alignment horizontal="right" vertical="center"/>
    </xf>
    <xf numFmtId="0" fontId="5" fillId="0" borderId="8" xfId="0" applyFont="1" applyBorder="1"/>
    <xf numFmtId="0" fontId="4" fillId="0" borderId="9" xfId="0" applyFont="1" applyBorder="1" applyAlignment="1">
      <alignment horizontal="center"/>
    </xf>
    <xf numFmtId="164" fontId="4" fillId="0" borderId="9" xfId="1" applyFont="1" applyBorder="1" applyAlignment="1" applyProtection="1">
      <alignment horizontal="right"/>
    </xf>
    <xf numFmtId="164" fontId="4" fillId="0" borderId="9" xfId="1" applyFont="1" applyBorder="1" applyProtection="1"/>
    <xf numFmtId="0" fontId="4" fillId="0" borderId="10" xfId="0" applyFont="1" applyBorder="1"/>
    <xf numFmtId="0" fontId="4" fillId="0" borderId="11" xfId="0" applyFont="1" applyBorder="1" applyAlignment="1">
      <alignment vertical="center"/>
    </xf>
    <xf numFmtId="0" fontId="4" fillId="0" borderId="12" xfId="0" applyFont="1" applyBorder="1"/>
    <xf numFmtId="3" fontId="4" fillId="0" borderId="11" xfId="0" applyNumberFormat="1" applyFont="1" applyBorder="1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8" fillId="0" borderId="11" xfId="0" applyFont="1" applyBorder="1" applyAlignment="1">
      <alignment vertical="center"/>
    </xf>
    <xf numFmtId="0" fontId="4" fillId="0" borderId="15" xfId="0" applyFont="1" applyBorder="1" applyAlignment="1">
      <alignment horizontal="left" wrapText="1"/>
    </xf>
    <xf numFmtId="0" fontId="4" fillId="0" borderId="16" xfId="0" applyFont="1" applyBorder="1" applyAlignment="1">
      <alignment horizontal="center" wrapText="1"/>
    </xf>
    <xf numFmtId="164" fontId="4" fillId="0" borderId="16" xfId="1" applyFont="1" applyBorder="1" applyAlignment="1" applyProtection="1">
      <alignment horizontal="right" wrapText="1"/>
    </xf>
    <xf numFmtId="164" fontId="4" fillId="0" borderId="16" xfId="1" applyFont="1" applyBorder="1" applyAlignment="1" applyProtection="1">
      <alignment horizontal="left" wrapText="1"/>
    </xf>
    <xf numFmtId="164" fontId="5" fillId="10" borderId="17" xfId="1" applyFont="1" applyFill="1" applyBorder="1" applyAlignment="1" applyProtection="1">
      <alignment vertical="center"/>
    </xf>
    <xf numFmtId="164" fontId="5" fillId="10" borderId="17" xfId="1" applyFont="1" applyFill="1" applyBorder="1" applyAlignment="1" applyProtection="1">
      <alignment vertical="center" wrapText="1"/>
    </xf>
    <xf numFmtId="164" fontId="4" fillId="0" borderId="16" xfId="1" applyFont="1" applyBorder="1" applyAlignment="1" applyProtection="1">
      <alignment vertical="center"/>
    </xf>
    <xf numFmtId="164" fontId="4" fillId="0" borderId="16" xfId="1" applyFont="1" applyBorder="1" applyProtection="1"/>
    <xf numFmtId="0" fontId="4" fillId="0" borderId="18" xfId="0" applyFont="1" applyBorder="1"/>
    <xf numFmtId="43" fontId="4" fillId="0" borderId="12" xfId="0" applyNumberFormat="1" applyFont="1" applyBorder="1"/>
    <xf numFmtId="165" fontId="4" fillId="0" borderId="12" xfId="2" applyNumberFormat="1" applyFont="1" applyBorder="1"/>
    <xf numFmtId="43" fontId="4" fillId="0" borderId="0" xfId="2" applyFont="1" applyBorder="1" applyAlignment="1">
      <alignment horizontal="center" vertical="center"/>
    </xf>
    <xf numFmtId="43" fontId="4" fillId="0" borderId="11" xfId="2" applyFont="1" applyBorder="1" applyAlignment="1">
      <alignment vertical="center"/>
    </xf>
    <xf numFmtId="165" fontId="13" fillId="0" borderId="12" xfId="2" applyNumberFormat="1" applyFont="1" applyBorder="1"/>
    <xf numFmtId="43" fontId="5" fillId="0" borderId="0" xfId="2" applyFont="1" applyBorder="1" applyAlignment="1">
      <alignment horizontal="right" vertical="center"/>
    </xf>
    <xf numFmtId="43" fontId="13" fillId="0" borderId="0" xfId="2" applyFont="1" applyBorder="1" applyAlignment="1">
      <alignment horizontal="right" vertical="center"/>
    </xf>
    <xf numFmtId="0" fontId="14" fillId="0" borderId="5" xfId="0" applyFont="1" applyBorder="1" applyAlignment="1">
      <alignment horizontal="left" vertical="center" wrapText="1" indent="1"/>
    </xf>
    <xf numFmtId="43" fontId="13" fillId="0" borderId="0" xfId="2" applyFont="1" applyBorder="1" applyAlignment="1" applyProtection="1">
      <alignment horizontal="right" vertical="center"/>
    </xf>
    <xf numFmtId="2" fontId="15" fillId="12" borderId="7" xfId="4" applyNumberFormat="1" applyFont="1" applyFill="1" applyBorder="1" applyAlignment="1">
      <alignment vertical="center"/>
    </xf>
    <xf numFmtId="43" fontId="5" fillId="0" borderId="0" xfId="2" applyFont="1" applyAlignment="1">
      <alignment horizontal="right" vertical="center"/>
    </xf>
    <xf numFmtId="43" fontId="4" fillId="0" borderId="0" xfId="2" applyFont="1"/>
    <xf numFmtId="43" fontId="13" fillId="11" borderId="17" xfId="2" applyFont="1" applyFill="1" applyBorder="1" applyAlignment="1" applyProtection="1">
      <alignment horizontal="left" vertical="center"/>
    </xf>
    <xf numFmtId="0" fontId="0" fillId="13" borderId="13" xfId="0" applyFill="1" applyBorder="1" applyAlignment="1">
      <alignment horizontal="left" vertical="center" wrapText="1" indent="1"/>
    </xf>
    <xf numFmtId="0" fontId="0" fillId="13" borderId="4" xfId="0" applyFill="1" applyBorder="1" applyAlignment="1">
      <alignment horizontal="left" vertical="center" wrapText="1" indent="1"/>
    </xf>
    <xf numFmtId="0" fontId="0" fillId="14" borderId="4" xfId="0" applyFill="1" applyBorder="1" applyAlignment="1">
      <alignment horizontal="left" vertical="center" wrapText="1" indent="1"/>
    </xf>
    <xf numFmtId="0" fontId="0" fillId="14" borderId="5" xfId="0" applyFill="1" applyBorder="1" applyAlignment="1">
      <alignment horizontal="left" vertical="center" wrapText="1" indent="1"/>
    </xf>
    <xf numFmtId="0" fontId="0" fillId="13" borderId="5" xfId="0" applyFill="1" applyBorder="1" applyAlignment="1">
      <alignment horizontal="left" vertical="center" wrapText="1" indent="1"/>
    </xf>
    <xf numFmtId="44" fontId="16" fillId="0" borderId="7" xfId="0" applyNumberFormat="1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 wrapText="1" indent="1"/>
    </xf>
    <xf numFmtId="43" fontId="17" fillId="11" borderId="17" xfId="3" applyNumberFormat="1" applyFont="1" applyFill="1" applyBorder="1" applyAlignment="1" applyProtection="1">
      <alignment horizontal="center" vertical="center"/>
    </xf>
    <xf numFmtId="0" fontId="5" fillId="6" borderId="14" xfId="0" applyFont="1" applyFill="1" applyBorder="1" applyAlignment="1">
      <alignment horizontal="right" vertical="center" indent="1"/>
    </xf>
    <xf numFmtId="0" fontId="5" fillId="6" borderId="5" xfId="0" applyFont="1" applyFill="1" applyBorder="1" applyAlignment="1">
      <alignment horizontal="right" vertical="center" indent="1"/>
    </xf>
    <xf numFmtId="164" fontId="4" fillId="6" borderId="5" xfId="1" applyFont="1" applyFill="1" applyBorder="1" applyAlignment="1" applyProtection="1">
      <alignment horizontal="left" vertical="center"/>
    </xf>
    <xf numFmtId="0" fontId="5" fillId="4" borderId="14" xfId="0" applyFont="1" applyFill="1" applyBorder="1" applyAlignment="1">
      <alignment horizontal="right" vertical="center" indent="1"/>
    </xf>
    <xf numFmtId="0" fontId="5" fillId="4" borderId="5" xfId="0" applyFont="1" applyFill="1" applyBorder="1" applyAlignment="1">
      <alignment horizontal="right" vertical="center" indent="1"/>
    </xf>
    <xf numFmtId="164" fontId="4" fillId="4" borderId="5" xfId="1" applyFont="1" applyFill="1" applyBorder="1" applyAlignment="1" applyProtection="1">
      <alignment horizontal="left" vertical="center"/>
    </xf>
    <xf numFmtId="164" fontId="5" fillId="9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left" vertical="center"/>
    </xf>
    <xf numFmtId="164" fontId="5" fillId="7" borderId="5" xfId="1" applyFont="1" applyFill="1" applyBorder="1" applyAlignment="1" applyProtection="1">
      <alignment horizontal="center" vertical="center"/>
    </xf>
    <xf numFmtId="164" fontId="4" fillId="4" borderId="5" xfId="1" applyFont="1" applyFill="1" applyBorder="1" applyAlignment="1" applyProtection="1">
      <alignment horizontal="center" vertical="center"/>
    </xf>
    <xf numFmtId="164" fontId="9" fillId="8" borderId="5" xfId="1" applyFont="1" applyFill="1" applyBorder="1" applyAlignment="1" applyProtection="1">
      <alignment horizontal="left" vertical="center"/>
    </xf>
    <xf numFmtId="164" fontId="9" fillId="8" borderId="5" xfId="1" applyFont="1" applyFill="1" applyBorder="1" applyAlignment="1" applyProtection="1">
      <alignment horizontal="center" vertical="center"/>
    </xf>
    <xf numFmtId="0" fontId="3" fillId="2" borderId="1" xfId="0" applyFont="1" applyFill="1" applyBorder="1" applyAlignment="1">
      <alignment horizontal="left" vertical="center" wrapText="1" indent="12"/>
    </xf>
    <xf numFmtId="0" fontId="3" fillId="2" borderId="0" xfId="0" applyFont="1" applyFill="1" applyAlignment="1">
      <alignment horizontal="left" vertical="center" wrapText="1" indent="12"/>
    </xf>
    <xf numFmtId="164" fontId="6" fillId="3" borderId="2" xfId="1" applyFont="1" applyFill="1" applyBorder="1" applyAlignment="1" applyProtection="1">
      <alignment horizontal="left" vertical="center" wrapText="1" indent="1"/>
    </xf>
    <xf numFmtId="164" fontId="6" fillId="3" borderId="3" xfId="1" applyFont="1" applyFill="1" applyBorder="1" applyAlignment="1" applyProtection="1">
      <alignment horizontal="left" vertical="center" wrapText="1" indent="1"/>
    </xf>
    <xf numFmtId="164" fontId="5" fillId="5" borderId="5" xfId="1" applyFont="1" applyFill="1" applyBorder="1" applyAlignment="1" applyProtection="1">
      <alignment horizontal="left" vertical="center"/>
    </xf>
    <xf numFmtId="164" fontId="5" fillId="5" borderId="5" xfId="1" applyFont="1" applyFill="1" applyBorder="1" applyAlignment="1" applyProtection="1">
      <alignment horizontal="center" vertical="center"/>
    </xf>
  </cellXfs>
  <cellStyles count="6">
    <cellStyle name="Moeda" xfId="1" builtinId="4"/>
    <cellStyle name="Moeda 2" xfId="5" xr:uid="{00000000-0005-0000-0000-000001000000}"/>
    <cellStyle name="Normal" xfId="0" builtinId="0"/>
    <cellStyle name="Normal 2" xfId="4" xr:uid="{00000000-0005-0000-0000-000003000000}"/>
    <cellStyle name="Porcentagem" xfId="3" builtinId="5"/>
    <cellStyle name="Vírgula" xfId="2" builtinId="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85A7B"/>
        <name val="Arial"/>
        <scheme val="none"/>
      </font>
      <numFmt numFmtId="165" formatCode="_-* #,##0.0_-;\-* #,##0.0_-;_-* &quot;-&quot;??_-;_-@_-"/>
      <border diagonalUp="0" diagonalDown="0">
        <left/>
        <right style="medium">
          <color indexed="64"/>
        </right>
        <top/>
        <bottom/>
        <vertical/>
        <horizontal/>
      </border>
    </dxf>
    <dxf>
      <numFmt numFmtId="34" formatCode="_-&quot;R$&quot;\ * #,##0.00_-;\-&quot;R$&quot;\ * #,##0.00_-;_-&quot;R$&quot;\ * &quot;-&quot;??_-;_-@_-"/>
    </dxf>
    <dxf>
      <numFmt numFmtId="35" formatCode="_-* #,##0.00_-;\-* #,##0.00_-;_-* &quot;-&quot;??_-;_-@_-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CB4B4"/>
      <rgbColor rgb="FF808080"/>
      <rgbColor rgb="FF9999FF"/>
      <rgbColor rgb="FF993366"/>
      <rgbColor rgb="FFF6F8FB"/>
      <rgbColor rgb="FFE8EDF9"/>
      <rgbColor rgb="FF660066"/>
      <rgbColor rgb="FFED8C8C"/>
      <rgbColor rgb="FF0066CC"/>
      <rgbColor rgb="FFDCE4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EAB5"/>
      <rgbColor rgb="FFFFFF99"/>
      <rgbColor rgb="FF8BC8F6"/>
      <rgbColor rgb="FFFA9F9F"/>
      <rgbColor rgb="FFCC99FF"/>
      <rgbColor rgb="FFF2D899"/>
      <rgbColor rgb="FF2687E9"/>
      <rgbColor rgb="FF33CCCC"/>
      <rgbColor rgb="FF99CC00"/>
      <rgbColor rgb="FFFFCC00"/>
      <rgbColor rgb="FFFF9900"/>
      <rgbColor rgb="FFFF6600"/>
      <rgbColor rgb="FF385A7B"/>
      <rgbColor rgb="FF969696"/>
      <rgbColor rgb="FF003366"/>
      <rgbColor rgb="FF4983BB"/>
      <rgbColor rgb="FF003300"/>
      <rgbColor rgb="FF333300"/>
      <rgbColor rgb="FF993300"/>
      <rgbColor rgb="FF993366"/>
      <rgbColor rgb="FF333399"/>
      <rgbColor rgb="FF4140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276120</xdr:colOff>
      <xdr:row>23</xdr:row>
      <xdr:rowOff>152280</xdr:rowOff>
    </xdr:from>
    <xdr:to>
      <xdr:col>17</xdr:col>
      <xdr:colOff>380880</xdr:colOff>
      <xdr:row>23</xdr:row>
      <xdr:rowOff>152280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070360" y="6219360"/>
          <a:ext cx="3461400" cy="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12</xdr:col>
      <xdr:colOff>304560</xdr:colOff>
      <xdr:row>22</xdr:row>
      <xdr:rowOff>104760</xdr:rowOff>
    </xdr:from>
    <xdr:to>
      <xdr:col>12</xdr:col>
      <xdr:colOff>304560</xdr:colOff>
      <xdr:row>24</xdr:row>
      <xdr:rowOff>152280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038312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3</xdr:col>
      <xdr:colOff>333360</xdr:colOff>
      <xdr:row>23</xdr:row>
      <xdr:rowOff>142560</xdr:rowOff>
    </xdr:from>
    <xdr:to>
      <xdr:col>12</xdr:col>
      <xdr:colOff>314280</xdr:colOff>
      <xdr:row>23</xdr:row>
      <xdr:rowOff>152280</xdr:rowOff>
    </xdr:to>
    <xdr:sp macro="" textlink="">
      <xdr:nvSpPr>
        <xdr:cNvPr id="4" name="Lin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2388600" y="6209640"/>
          <a:ext cx="8004240" cy="9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28</xdr:col>
      <xdr:colOff>504720</xdr:colOff>
      <xdr:row>49</xdr:row>
      <xdr:rowOff>28440</xdr:rowOff>
    </xdr:from>
    <xdr:to>
      <xdr:col>28</xdr:col>
      <xdr:colOff>504720</xdr:colOff>
      <xdr:row>50</xdr:row>
      <xdr:rowOff>152280</xdr:rowOff>
    </xdr:to>
    <xdr:sp macro="" textlink="">
      <xdr:nvSpPr>
        <xdr:cNvPr id="5" name="Lin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700800" y="12039120"/>
          <a:ext cx="0" cy="35244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31</xdr:col>
      <xdr:colOff>114120</xdr:colOff>
      <xdr:row>46</xdr:row>
      <xdr:rowOff>9360</xdr:rowOff>
    </xdr:from>
    <xdr:to>
      <xdr:col>31</xdr:col>
      <xdr:colOff>114120</xdr:colOff>
      <xdr:row>47</xdr:row>
      <xdr:rowOff>152280</xdr:rowOff>
    </xdr:to>
    <xdr:sp macro="" textlink="">
      <xdr:nvSpPr>
        <xdr:cNvPr id="6" name="Line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3184720" y="11334240"/>
          <a:ext cx="0" cy="371520"/>
        </a:xfrm>
        <a:prstGeom prst="line">
          <a:avLst/>
        </a:prstGeom>
        <a:ln w="28440">
          <a:solidFill>
            <a:srgbClr val="000000"/>
          </a:solidFill>
          <a:round/>
          <a:tailEnd type="triangle" w="lg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3</xdr:col>
      <xdr:colOff>333360</xdr:colOff>
      <xdr:row>22</xdr:row>
      <xdr:rowOff>133200</xdr:rowOff>
    </xdr:from>
    <xdr:to>
      <xdr:col>3</xdr:col>
      <xdr:colOff>333360</xdr:colOff>
      <xdr:row>25</xdr:row>
      <xdr:rowOff>9360</xdr:rowOff>
    </xdr:to>
    <xdr:sp macro="" textlink="">
      <xdr:nvSpPr>
        <xdr:cNvPr id="7" name="Line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388600" y="5971680"/>
          <a:ext cx="0" cy="56196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26</xdr:col>
      <xdr:colOff>542880</xdr:colOff>
      <xdr:row>44</xdr:row>
      <xdr:rowOff>0</xdr:rowOff>
    </xdr:from>
    <xdr:to>
      <xdr:col>26</xdr:col>
      <xdr:colOff>542880</xdr:colOff>
      <xdr:row>45</xdr:row>
      <xdr:rowOff>75960</xdr:rowOff>
    </xdr:to>
    <xdr:sp macro="" textlink="">
      <xdr:nvSpPr>
        <xdr:cNvPr id="8" name="Lin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489400" y="10867680"/>
          <a:ext cx="0" cy="3045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25</xdr:col>
      <xdr:colOff>542880</xdr:colOff>
      <xdr:row>44</xdr:row>
      <xdr:rowOff>0</xdr:rowOff>
    </xdr:from>
    <xdr:to>
      <xdr:col>25</xdr:col>
      <xdr:colOff>542880</xdr:colOff>
      <xdr:row>44</xdr:row>
      <xdr:rowOff>75960</xdr:rowOff>
    </xdr:to>
    <xdr:sp macro="" textlink="">
      <xdr:nvSpPr>
        <xdr:cNvPr id="9" name="Line 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9864440" y="10867680"/>
          <a:ext cx="0" cy="75960"/>
        </a:xfrm>
        <a:prstGeom prst="line">
          <a:avLst/>
        </a:prstGeom>
        <a:ln w="28440">
          <a:solidFill>
            <a:srgbClr val="FF0000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13</xdr:col>
      <xdr:colOff>257040</xdr:colOff>
      <xdr:row>22</xdr:row>
      <xdr:rowOff>104760</xdr:rowOff>
    </xdr:from>
    <xdr:to>
      <xdr:col>13</xdr:col>
      <xdr:colOff>257040</xdr:colOff>
      <xdr:row>24</xdr:row>
      <xdr:rowOff>152280</xdr:rowOff>
    </xdr:to>
    <xdr:sp macro="" textlink="">
      <xdr:nvSpPr>
        <xdr:cNvPr id="10" name="Line 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11051280" y="5943240"/>
          <a:ext cx="0" cy="50472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17</xdr:col>
      <xdr:colOff>380880</xdr:colOff>
      <xdr:row>22</xdr:row>
      <xdr:rowOff>123480</xdr:rowOff>
    </xdr:from>
    <xdr:to>
      <xdr:col>17</xdr:col>
      <xdr:colOff>380880</xdr:colOff>
      <xdr:row>25</xdr:row>
      <xdr:rowOff>9360</xdr:rowOff>
    </xdr:to>
    <xdr:sp macro="" textlink="">
      <xdr:nvSpPr>
        <xdr:cNvPr id="11" name="Lin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4531760" y="5961960"/>
          <a:ext cx="0" cy="571680"/>
        </a:xfrm>
        <a:prstGeom prst="line">
          <a:avLst/>
        </a:prstGeom>
        <a:ln w="19080">
          <a:solidFill>
            <a:srgbClr val="ED8C8C"/>
          </a:solidFill>
          <a:round/>
        </a:ln>
      </xdr:spPr>
      <xdr:style>
        <a:lnRef idx="1">
          <a:schemeClr val="accent3"/>
        </a:lnRef>
        <a:fillRef idx="0">
          <a:schemeClr val="accent3"/>
        </a:fillRef>
        <a:effectRef idx="0">
          <a:schemeClr val="accent3"/>
        </a:effectRef>
        <a:fontRef idx="minor"/>
      </xdr:style>
    </xdr:sp>
    <xdr:clientData/>
  </xdr:twoCellAnchor>
  <xdr:twoCellAnchor editAs="oneCell">
    <xdr:from>
      <xdr:col>6</xdr:col>
      <xdr:colOff>19080</xdr:colOff>
      <xdr:row>25</xdr:row>
      <xdr:rowOff>85680</xdr:rowOff>
    </xdr:from>
    <xdr:to>
      <xdr:col>8</xdr:col>
      <xdr:colOff>742680</xdr:colOff>
      <xdr:row>28</xdr:row>
      <xdr:rowOff>75960</xdr:rowOff>
    </xdr:to>
    <xdr:sp macro="" textlink="">
      <xdr:nvSpPr>
        <xdr:cNvPr id="12" name="CustomShape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4674600" y="6609960"/>
          <a:ext cx="2548080" cy="67608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Times New Roman"/>
            </a:rPr>
            <a:t>     </a:t>
          </a:r>
          <a:r>
            <a:rPr lang="pt-BR" sz="1000" b="0" strike="noStrike" spc="-1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Fatutamento do Posto de Trabalho</a:t>
          </a:r>
          <a:r>
            <a:rPr lang="pt-BR" sz="1000" b="0" strike="noStrike" spc="-1" baseline="0">
              <a:solidFill>
                <a:srgbClr val="000000"/>
              </a:solidFill>
              <a:uFill>
                <a:solidFill>
                  <a:srgbClr val="FFFFFF"/>
                </a:solidFill>
              </a:uFill>
              <a:latin typeface="Arial" panose="020B0604020202020204" pitchFamily="34" charset="0"/>
              <a:cs typeface="Arial" panose="020B0604020202020204" pitchFamily="34" charset="0"/>
            </a:rPr>
            <a:t>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14</xdr:col>
      <xdr:colOff>9360</xdr:colOff>
      <xdr:row>25</xdr:row>
      <xdr:rowOff>85680</xdr:rowOff>
    </xdr:from>
    <xdr:to>
      <xdr:col>16</xdr:col>
      <xdr:colOff>771120</xdr:colOff>
      <xdr:row>29</xdr:row>
      <xdr:rowOff>28080</xdr:rowOff>
    </xdr:to>
    <xdr:sp macro="" textlink="">
      <xdr:nvSpPr>
        <xdr:cNvPr id="13" name="CustomShape 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11519280" y="6609960"/>
          <a:ext cx="2545920" cy="856800"/>
        </a:xfrm>
        <a:prstGeom prst="borderCallout1">
          <a:avLst>
            <a:gd name="adj1" fmla="val 281"/>
            <a:gd name="adj2" fmla="val 50091"/>
            <a:gd name="adj3" fmla="val -37422"/>
            <a:gd name="adj4" fmla="val 49956"/>
          </a:avLst>
        </a:prstGeom>
        <a:solidFill>
          <a:srgbClr val="F2D899"/>
        </a:solidFill>
        <a:ln w="12600">
          <a:solidFill>
            <a:srgbClr val="F2D899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Despesas versos Faturamento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1</xdr:col>
      <xdr:colOff>171360</xdr:colOff>
      <xdr:row>10</xdr:row>
      <xdr:rowOff>0</xdr:rowOff>
    </xdr:from>
    <xdr:to>
      <xdr:col>3</xdr:col>
      <xdr:colOff>361440</xdr:colOff>
      <xdr:row>13</xdr:row>
      <xdr:rowOff>132840</xdr:rowOff>
    </xdr:to>
    <xdr:sp macro="" textlink="">
      <xdr:nvSpPr>
        <xdr:cNvPr id="14" name="CustomShape 1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665280" y="3095280"/>
          <a:ext cx="1751400" cy="818640"/>
        </a:xfrm>
        <a:prstGeom prst="borderCallout1">
          <a:avLst>
            <a:gd name="adj1" fmla="val 281"/>
            <a:gd name="adj2" fmla="val 50091"/>
            <a:gd name="adj3" fmla="val -145096"/>
            <a:gd name="adj4" fmla="val 50417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Passivo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trabalhistas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3</xdr:col>
      <xdr:colOff>723960</xdr:colOff>
      <xdr:row>14</xdr:row>
      <xdr:rowOff>152280</xdr:rowOff>
    </xdr:from>
    <xdr:to>
      <xdr:col>5</xdr:col>
      <xdr:colOff>657000</xdr:colOff>
      <xdr:row>17</xdr:row>
      <xdr:rowOff>190080</xdr:rowOff>
    </xdr:to>
    <xdr:sp macro="" textlink="">
      <xdr:nvSpPr>
        <xdr:cNvPr id="15" name="CustomShape 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2779200" y="4161960"/>
          <a:ext cx="1757520" cy="723600"/>
        </a:xfrm>
        <a:prstGeom prst="borderCallout1">
          <a:avLst>
            <a:gd name="adj1" fmla="val 281"/>
            <a:gd name="adj2" fmla="val 50091"/>
            <a:gd name="adj3" fmla="val -258533"/>
            <a:gd name="adj4" fmla="val 50610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transporte/</a:t>
          </a:r>
        </a:p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    Vale combustivel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2</xdr:col>
      <xdr:colOff>457200</xdr:colOff>
      <xdr:row>6</xdr:row>
      <xdr:rowOff>57240</xdr:rowOff>
    </xdr:from>
    <xdr:to>
      <xdr:col>4</xdr:col>
      <xdr:colOff>523440</xdr:colOff>
      <xdr:row>9</xdr:row>
      <xdr:rowOff>66240</xdr:rowOff>
    </xdr:to>
    <xdr:sp macro="" textlink="">
      <xdr:nvSpPr>
        <xdr:cNvPr id="16" name="CustomShape 1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1756800" y="2238120"/>
          <a:ext cx="1598040" cy="694800"/>
        </a:xfrm>
        <a:prstGeom prst="borderCallout1">
          <a:avLst>
            <a:gd name="adj1" fmla="val 281"/>
            <a:gd name="adj2" fmla="val 50091"/>
            <a:gd name="adj3" fmla="val -47422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Folha</a:t>
          </a:r>
          <a:r>
            <a:rPr lang="pt-BR" sz="1000" b="0" strike="noStrike" spc="-1" baseline="0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 de Pagamento 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8</xdr:col>
      <xdr:colOff>343080</xdr:colOff>
      <xdr:row>7</xdr:row>
      <xdr:rowOff>9360</xdr:rowOff>
    </xdr:from>
    <xdr:to>
      <xdr:col>10</xdr:col>
      <xdr:colOff>647640</xdr:colOff>
      <xdr:row>10</xdr:row>
      <xdr:rowOff>180360</xdr:rowOff>
    </xdr:to>
    <xdr:sp macro="" textlink="">
      <xdr:nvSpPr>
        <xdr:cNvPr id="17" name="CustomShape 1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6823080" y="2418840"/>
          <a:ext cx="2471760" cy="856800"/>
        </a:xfrm>
        <a:prstGeom prst="borderCallout1">
          <a:avLst>
            <a:gd name="adj1" fmla="val 281"/>
            <a:gd name="adj2" fmla="val 50091"/>
            <a:gd name="adj3" fmla="val -62978"/>
            <a:gd name="adj4" fmla="val 49956"/>
          </a:avLst>
        </a:prstGeom>
        <a:solidFill>
          <a:srgbClr val="D1EAB5"/>
        </a:solidFill>
        <a:ln w="12600">
          <a:solidFill>
            <a:srgbClr val="D1EAB5"/>
          </a:solidFill>
          <a:round/>
          <a:tailEnd type="oval" w="med" len="med"/>
        </a:ln>
        <a:effectLst>
          <a:outerShdw blurRad="40000" dist="23000" dir="5400000" rotWithShape="0">
            <a:srgbClr val="000000">
              <a:alpha val="35000"/>
            </a:srgb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/>
      </xdr:style>
      <xdr:txBody>
        <a:bodyPr lIns="108000" tIns="108000" rIns="108000" bIns="108000"/>
        <a:lstStyle/>
        <a:p>
          <a:r>
            <a:rPr lang="pt-BR" sz="1000" b="0" strike="noStrike" spc="-1">
              <a:solidFill>
                <a:srgbClr val="385A7B"/>
              </a:solidFill>
              <a:uFill>
                <a:solidFill>
                  <a:srgbClr val="FFFFFF"/>
                </a:solidFill>
              </a:uFill>
              <a:latin typeface="Arial"/>
            </a:rPr>
            <a:t>O valor da Diária Técnica somente poderá ser cobrado, mediante orçamento aprovado pela empresa.</a:t>
          </a:r>
          <a:endParaRPr lang="pt-BR" sz="10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342900</xdr:colOff>
      <xdr:row>1</xdr:row>
      <xdr:rowOff>7620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AE3359AC-DF85-8107-CD45-CCA5FF8C5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22960" cy="6705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457200</xdr:colOff>
      <xdr:row>1</xdr:row>
      <xdr:rowOff>15240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5A6AA6B3-6019-22E8-CF07-F6FEBC7D4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37260" cy="6781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10</xdr:col>
      <xdr:colOff>317520</xdr:colOff>
      <xdr:row>32</xdr:row>
      <xdr:rowOff>199080</xdr:rowOff>
    </xdr:to>
    <xdr:sp macro="" textlink="">
      <xdr:nvSpPr>
        <xdr:cNvPr id="21" name="CustomShape 1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0" y="895320"/>
          <a:ext cx="6438600" cy="7057080"/>
        </a:xfrm>
        <a:prstGeom prst="rect">
          <a:avLst/>
        </a:prstGeom>
        <a:solidFill>
          <a:schemeClr val="lt1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180000" tIns="180000" rIns="180000" bIns="180000"/>
        <a:lstStyle/>
        <a:p>
          <a:pPr>
            <a:lnSpc>
              <a:spcPts val="600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Introdução</a:t>
          </a: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Calibri"/>
            </a:rPr>
            <a:t>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635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Esta é um modelo de planilha de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Centro de Custo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O Centro de custos são unidades dentro de uma organização e geralmente são projetos ou departamentos de uma empresa. Fazer essa divisão é uma maneira eficiente de agrupar despesas e receitas, para uma melhor análise de partes do negócio. É isso que vamos ver neste modelo.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Instruções de uso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No modelo, foram usadas informações de uma empresa fictícia, como os valores pagos por quilômetro rodado, atendimentos e visitas, diárias, peças, enfim, tudo o que envolve as despesas para o rateio final de um setor ou departamento. Na tabela, você terá mais indicações, conforme as regras da empresa fictícia, por isso, para o seu negócio, é preciso adequá-las às normas e estatutos internos. O total de cada coluna é somado automaticamente, assim como o 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Total RAT 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(total do rateio do centro de custo que está sendo calculado</a:t>
          </a:r>
          <a:r>
            <a:rPr lang="pt-BR" sz="1100" b="1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)</a:t>
          </a: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Abaixo da tabela principal, você deve preencher as informações solicitadas. Atente para a tabela com as informações da empresa. O código ATP e o CNPJ ATP se referem à área ou setor ao qual o centro de custo pertence, porém, nem sempre existe esta diferenciação em número. Neste caso, indique somente as informações gerais da empresa.   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ct val="150000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Na tabela em vermelho, precisa indicar as alíquotas de impostos. E na outra tabelinha, pode verificar o resumo do rateio.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847"/>
            </a:lnSpc>
          </a:pPr>
          <a:r>
            <a:rPr lang="pt-BR" sz="1800" b="0" strike="noStrike" spc="-1">
              <a:solidFill>
                <a:srgbClr val="4983BB"/>
              </a:solidFill>
              <a:uFill>
                <a:solidFill>
                  <a:srgbClr val="FFFFFF"/>
                </a:solidFill>
              </a:uFill>
              <a:latin typeface="Arial"/>
            </a:rPr>
            <a:t>Não se esqueça de... </a:t>
          </a: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endParaRPr lang="pt-BR" sz="18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  <a:p>
          <a:pPr>
            <a:lnSpc>
              <a:spcPts val="529"/>
            </a:lnSpc>
          </a:pPr>
          <a:r>
            <a:rPr lang="pt-BR" sz="1100" b="0" strike="noStrike" spc="-1">
              <a:solidFill>
                <a:srgbClr val="414042"/>
              </a:solidFill>
              <a:uFill>
                <a:solidFill>
                  <a:srgbClr val="FFFFFF"/>
                </a:solidFill>
              </a:uFill>
              <a:latin typeface="Arial"/>
            </a:rPr>
            <a:t>Usar os parâmetros de valores indicados pela sua empresa. </a:t>
          </a:r>
          <a:endParaRPr lang="pt-BR" sz="1100" b="0" strike="noStrike" spc="-1">
            <a:solidFill>
              <a:srgbClr val="000000"/>
            </a:solidFill>
            <a:uFill>
              <a:solidFill>
                <a:srgbClr val="FFFFFF"/>
              </a:solidFill>
            </a:uFill>
            <a:latin typeface="Times New Roman"/>
          </a:endParaRPr>
        </a:p>
      </xdr:txBody>
    </xdr:sp>
    <xdr:clientData/>
  </xdr:twoCellAnchor>
  <xdr:twoCellAnchor editAs="oneCell">
    <xdr:from>
      <xdr:col>0</xdr:col>
      <xdr:colOff>152280</xdr:colOff>
      <xdr:row>35</xdr:row>
      <xdr:rowOff>76320</xdr:rowOff>
    </xdr:from>
    <xdr:to>
      <xdr:col>11</xdr:col>
      <xdr:colOff>333000</xdr:colOff>
      <xdr:row>39</xdr:row>
      <xdr:rowOff>133200</xdr:rowOff>
    </xdr:to>
    <xdr:pic>
      <xdr:nvPicPr>
        <xdr:cNvPr id="22" name="Imagem 3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52280" y="8515440"/>
          <a:ext cx="6914160" cy="97128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1</xdr:col>
      <xdr:colOff>98640</xdr:colOff>
      <xdr:row>1</xdr:row>
      <xdr:rowOff>19080</xdr:rowOff>
    </xdr:to>
    <xdr:pic>
      <xdr:nvPicPr>
        <xdr:cNvPr id="23" name="Figura 3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0"/>
          <a:ext cx="710640" cy="685800"/>
        </a:xfrm>
        <a:prstGeom prst="rect">
          <a:avLst/>
        </a:prstGeom>
        <a:ln>
          <a:noFill/>
        </a:ln>
      </xdr:spPr>
    </xdr:pic>
    <xdr:clientData/>
  </xdr:twoCellAnchor>
  <xdr:twoCellAnchor editAs="absolute">
    <xdr:from>
      <xdr:col>0</xdr:col>
      <xdr:colOff>138240</xdr:colOff>
      <xdr:row>41</xdr:row>
      <xdr:rowOff>103320</xdr:rowOff>
    </xdr:from>
    <xdr:to>
      <xdr:col>3</xdr:col>
      <xdr:colOff>355680</xdr:colOff>
      <xdr:row>42</xdr:row>
      <xdr:rowOff>55440</xdr:rowOff>
    </xdr:to>
    <xdr:pic>
      <xdr:nvPicPr>
        <xdr:cNvPr id="24" name="Figura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38240" y="9914040"/>
          <a:ext cx="2053800" cy="333000"/>
        </a:xfrm>
        <a:prstGeom prst="rect">
          <a:avLst/>
        </a:prstGeom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B4:T34" totalsRowShown="0">
  <autoFilter ref="B4:T34" xr:uid="{00000000-0009-0000-0100-000001000000}"/>
  <tableColumns count="19">
    <tableColumn id="1" xr3:uid="{00000000-0010-0000-0000-000001000000}" name="RAT Positivo"/>
    <tableColumn id="2" xr3:uid="{00000000-0010-0000-0000-000002000000}" name="Acordo trabalhista"/>
    <tableColumn id="3" xr3:uid="{00000000-0010-0000-0000-000003000000}" name="Folha de Pag."/>
    <tableColumn id="4" xr3:uid="{00000000-0010-0000-0000-000004000000}" name="Vale Transporte"/>
    <tableColumn id="5" xr3:uid="{00000000-0010-0000-0000-000005000000}" name="Recisao "/>
    <tableColumn id="6" xr3:uid="{00000000-0010-0000-0000-000006000000}" name="Férias    "/>
    <tableColumn id="7" xr3:uid="{00000000-0010-0000-0000-000007000000}" name="Cesta Basica"/>
    <tableColumn id="8" xr3:uid="{00000000-0010-0000-0000-000008000000}" name="  Ft / Diaria Faltas com Atestado"/>
    <tableColumn id="9" xr3:uid="{00000000-0010-0000-0000-000009000000}" name="Manutençao de Maquinas"/>
    <tableColumn id="10" xr3:uid="{00000000-0010-0000-0000-00000A000000}" name="Uniforme"/>
    <tableColumn id="11" xr3:uid="{00000000-0010-0000-0000-00000B000000}" name="Posto Vago "/>
    <tableColumn id="12" xr3:uid="{00000000-0010-0000-0000-00000C000000}" name="Custo Op. 2%" dataDxfId="2">
      <calculatedColumnFormula>H23*2%</calculatedColumnFormula>
    </tableColumn>
    <tableColumn id="13" xr3:uid="{00000000-0010-0000-0000-00000D000000}" name="Refeiçao "/>
    <tableColumn id="14" xr3:uid="{00000000-0010-0000-0000-00000E000000}" name="Editar2"/>
    <tableColumn id="15" xr3:uid="{00000000-0010-0000-0000-00000F000000}" name="Pedágio            (R$)"/>
    <tableColumn id="16" xr3:uid="{00000000-0010-0000-0000-000010000000}" name="Comb"/>
    <tableColumn id="17" xr3:uid="{00000000-0010-0000-0000-000011000000}" name="Outros Prejuíjo_x000a_(R$)"/>
    <tableColumn id="18" xr3:uid="{00000000-0010-0000-0000-000012000000}" name="Total despesas_x000a_(R$)" dataDxfId="1">
      <calculatedColumnFormula>Tabela1[[#This Row],[Cesta Basica]]-Tabela1[[#This Row],[Editar2]]</calculatedColumnFormula>
    </tableColumn>
    <tableColumn id="19" xr3:uid="{00000000-0010-0000-0000-000013000000}" name="Coluna1" dataDxfId="0">
      <calculatedColumnFormula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4"/>
  <sheetViews>
    <sheetView showGridLines="0" showRowColHeaders="0" tabSelected="1" zoomScaleNormal="100" workbookViewId="0">
      <selection activeCell="H9" sqref="H9"/>
    </sheetView>
  </sheetViews>
  <sheetFormatPr defaultRowHeight="12.75" x14ac:dyDescent="0.2"/>
  <cols>
    <col min="1" max="1" width="7" style="1" customWidth="1"/>
    <col min="2" max="2" width="11.42578125" style="1" customWidth="1"/>
    <col min="3" max="3" width="10.7109375" style="2" customWidth="1"/>
    <col min="4" max="4" width="11" style="3" customWidth="1"/>
    <col min="5" max="5" width="14.85546875" style="3" customWidth="1"/>
    <col min="6" max="6" width="11" style="3" customWidth="1"/>
    <col min="7" max="7" width="14.85546875" style="3" customWidth="1"/>
    <col min="8" max="8" width="11" style="3" customWidth="1"/>
    <col min="9" max="9" width="14.85546875" style="3" customWidth="1"/>
    <col min="10" max="10" width="15.85546875" style="3" customWidth="1"/>
    <col min="11" max="14" width="10.140625" style="3" customWidth="1"/>
    <col min="15" max="15" width="14.140625" style="3" customWidth="1"/>
    <col min="16" max="16" width="11.140625" style="3" customWidth="1"/>
    <col min="17" max="17" width="12.140625" style="3" customWidth="1"/>
    <col min="18" max="18" width="9.5703125" style="3" customWidth="1"/>
    <col min="19" max="19" width="10.5703125" style="3" customWidth="1"/>
    <col min="20" max="1025" width="8.85546875" style="1" customWidth="1"/>
  </cols>
  <sheetData>
    <row r="1" spans="1:20" s="79" customFormat="1" ht="52.5" customHeight="1" thickBot="1" x14ac:dyDescent="0.25">
      <c r="A1" s="79" t="s">
        <v>35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 s="4" customFormat="1" ht="18" customHeight="1" thickTop="1" x14ac:dyDescent="0.2">
      <c r="B2" s="24"/>
      <c r="C2" s="25"/>
      <c r="D2" s="26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8"/>
    </row>
    <row r="3" spans="1:20" s="4" customFormat="1" ht="18" customHeight="1" x14ac:dyDescent="0.2">
      <c r="B3" s="29"/>
      <c r="C3" s="7"/>
      <c r="D3" s="7"/>
      <c r="E3" s="7"/>
      <c r="F3" s="7"/>
      <c r="G3" s="7"/>
      <c r="H3" s="7"/>
      <c r="I3" s="7"/>
      <c r="J3" s="81" t="s">
        <v>1</v>
      </c>
      <c r="K3" s="81"/>
      <c r="L3" s="82" t="s">
        <v>32</v>
      </c>
      <c r="M3" s="82"/>
      <c r="N3" s="82"/>
      <c r="O3" s="82"/>
      <c r="P3" s="82"/>
      <c r="Q3" s="82"/>
      <c r="R3" s="82"/>
      <c r="S3" s="7"/>
      <c r="T3" s="30"/>
    </row>
    <row r="4" spans="1:20" s="4" customFormat="1" ht="47.25" customHeight="1" x14ac:dyDescent="0.2">
      <c r="A4" s="8"/>
      <c r="B4" s="59" t="s">
        <v>2</v>
      </c>
      <c r="C4" s="61" t="s">
        <v>13</v>
      </c>
      <c r="D4" s="60" t="s">
        <v>14</v>
      </c>
      <c r="E4" s="60" t="s">
        <v>15</v>
      </c>
      <c r="F4" s="60" t="s">
        <v>16</v>
      </c>
      <c r="G4" s="60" t="s">
        <v>17</v>
      </c>
      <c r="H4" s="60" t="s">
        <v>18</v>
      </c>
      <c r="I4" s="61" t="s">
        <v>19</v>
      </c>
      <c r="J4" s="62" t="s">
        <v>20</v>
      </c>
      <c r="K4" s="62" t="s">
        <v>21</v>
      </c>
      <c r="L4" s="63" t="s">
        <v>23</v>
      </c>
      <c r="M4" s="53" t="s">
        <v>31</v>
      </c>
      <c r="N4" s="63" t="s">
        <v>22</v>
      </c>
      <c r="O4" s="9" t="s">
        <v>24</v>
      </c>
      <c r="P4" s="62" t="s">
        <v>3</v>
      </c>
      <c r="Q4" s="65" t="s">
        <v>36</v>
      </c>
      <c r="R4" s="62" t="s">
        <v>25</v>
      </c>
      <c r="S4" s="10" t="s">
        <v>26</v>
      </c>
      <c r="T4" s="30" t="s">
        <v>30</v>
      </c>
    </row>
    <row r="5" spans="1:20" s="4" customFormat="1" ht="18" customHeight="1" x14ac:dyDescent="0.2">
      <c r="A5" s="7" t="s">
        <v>4</v>
      </c>
      <c r="B5" s="49">
        <v>0</v>
      </c>
      <c r="C5" s="48">
        <v>0</v>
      </c>
      <c r="D5" s="23">
        <v>2309.94</v>
      </c>
      <c r="E5" s="23">
        <v>305.2</v>
      </c>
      <c r="F5" s="23">
        <v>0</v>
      </c>
      <c r="G5" s="23">
        <v>0</v>
      </c>
      <c r="H5" s="23">
        <v>150.99</v>
      </c>
      <c r="I5" s="23">
        <v>90</v>
      </c>
      <c r="J5" s="23">
        <v>56</v>
      </c>
      <c r="K5" s="23">
        <v>59</v>
      </c>
      <c r="L5" s="23">
        <v>0</v>
      </c>
      <c r="M5" s="54">
        <v>1599</v>
      </c>
      <c r="N5" s="23"/>
      <c r="O5" s="23"/>
      <c r="P5" s="23">
        <v>234.53</v>
      </c>
      <c r="Q5" s="23">
        <v>385.55</v>
      </c>
      <c r="R5" s="55"/>
      <c r="S5" s="50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5190.2099999999991</v>
      </c>
      <c r="T5" s="47"/>
    </row>
    <row r="6" spans="1:20" s="4" customFormat="1" ht="18" customHeight="1" x14ac:dyDescent="0.2">
      <c r="A6" s="7">
        <v>2</v>
      </c>
      <c r="B6" s="31"/>
      <c r="C6" s="32"/>
      <c r="D6" s="12"/>
      <c r="E6" s="11"/>
      <c r="F6" s="11"/>
      <c r="G6" s="11"/>
      <c r="H6" s="11"/>
      <c r="I6" s="11"/>
      <c r="J6" s="11"/>
      <c r="K6" s="11"/>
      <c r="L6" s="11"/>
      <c r="M6" s="11">
        <f t="shared" ref="M6:M34" si="0">H24*2%</f>
        <v>0</v>
      </c>
      <c r="N6" s="11"/>
      <c r="O6" s="11"/>
      <c r="P6" s="11"/>
      <c r="Q6" s="11"/>
      <c r="R6" s="11"/>
      <c r="S6" s="11">
        <f>Tabela1[[#This Row],[Cesta Basica]]-Tabela1[[#This Row],[Editar2]]</f>
        <v>0</v>
      </c>
      <c r="T6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7" spans="1:20" s="4" customFormat="1" ht="18" customHeight="1" x14ac:dyDescent="0.2">
      <c r="A7" s="7">
        <v>3</v>
      </c>
      <c r="B7" s="31"/>
      <c r="C7" s="32"/>
      <c r="D7" s="12"/>
      <c r="E7" s="11"/>
      <c r="F7" s="11"/>
      <c r="G7" s="11"/>
      <c r="H7" s="11"/>
      <c r="I7" s="11"/>
      <c r="J7" s="11"/>
      <c r="K7" s="11"/>
      <c r="L7" s="11"/>
      <c r="M7" s="11">
        <f t="shared" si="0"/>
        <v>0</v>
      </c>
      <c r="N7" s="11"/>
      <c r="O7" s="11"/>
      <c r="P7" s="11"/>
      <c r="Q7" s="11"/>
      <c r="R7" s="11"/>
      <c r="S7" s="11">
        <f>Tabela1[[#This Row],[Cesta Basica]]-Tabela1[[#This Row],[Editar2]]</f>
        <v>0</v>
      </c>
      <c r="T7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8" spans="1:20" s="4" customFormat="1" ht="18" customHeight="1" x14ac:dyDescent="0.2">
      <c r="A8" s="7">
        <v>4</v>
      </c>
      <c r="B8" s="31"/>
      <c r="C8" s="32"/>
      <c r="D8" s="12"/>
      <c r="E8" s="11"/>
      <c r="F8" s="11"/>
      <c r="G8" s="11"/>
      <c r="H8" s="11"/>
      <c r="I8" s="11"/>
      <c r="J8" s="11"/>
      <c r="K8" s="11"/>
      <c r="L8" s="11"/>
      <c r="M8" s="11">
        <f t="shared" si="0"/>
        <v>0</v>
      </c>
      <c r="N8" s="11"/>
      <c r="O8" s="11"/>
      <c r="P8" s="11"/>
      <c r="Q8" s="11"/>
      <c r="R8" s="11"/>
      <c r="S8" s="11">
        <f>Tabela1[[#This Row],[Cesta Basica]]-Tabela1[[#This Row],[Editar2]]</f>
        <v>0</v>
      </c>
      <c r="T8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9" spans="1:20" s="4" customFormat="1" ht="18" customHeight="1" x14ac:dyDescent="0.2">
      <c r="A9" s="7">
        <v>5</v>
      </c>
      <c r="B9" s="31"/>
      <c r="C9" s="32"/>
      <c r="D9" s="12"/>
      <c r="E9" s="11"/>
      <c r="F9" s="11"/>
      <c r="G9" s="11"/>
      <c r="H9" s="11"/>
      <c r="I9" s="11"/>
      <c r="J9" s="11"/>
      <c r="K9" s="11"/>
      <c r="L9" s="11"/>
      <c r="M9" s="11">
        <f t="shared" si="0"/>
        <v>0</v>
      </c>
      <c r="N9" s="11"/>
      <c r="O9" s="11"/>
      <c r="P9" s="11"/>
      <c r="Q9" s="11"/>
      <c r="R9" s="11"/>
      <c r="S9" s="11">
        <f>Tabela1[[#This Row],[Cesta Basica]]-Tabela1[[#This Row],[Editar2]]</f>
        <v>0</v>
      </c>
      <c r="T9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0" spans="1:20" s="4" customFormat="1" ht="18" customHeight="1" x14ac:dyDescent="0.2">
      <c r="A10" s="7">
        <v>6</v>
      </c>
      <c r="B10" s="31"/>
      <c r="C10" s="32"/>
      <c r="D10" s="12"/>
      <c r="E10" s="11"/>
      <c r="F10" s="11"/>
      <c r="G10" s="11"/>
      <c r="H10" s="11"/>
      <c r="I10" s="11"/>
      <c r="J10" s="11"/>
      <c r="K10" s="11"/>
      <c r="L10" s="11"/>
      <c r="M10" s="11">
        <f t="shared" si="0"/>
        <v>0</v>
      </c>
      <c r="N10" s="11"/>
      <c r="O10" s="11"/>
      <c r="P10" s="11"/>
      <c r="Q10" s="11"/>
      <c r="R10" s="11"/>
      <c r="S10" s="11">
        <f>Tabela1[[#This Row],[Cesta Basica]]-Tabela1[[#This Row],[Editar2]]</f>
        <v>0</v>
      </c>
      <c r="T10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1" spans="1:20" s="4" customFormat="1" ht="18" customHeight="1" x14ac:dyDescent="0.2">
      <c r="A11" s="7">
        <v>7</v>
      </c>
      <c r="B11" s="31"/>
      <c r="C11" s="32"/>
      <c r="D11" s="12"/>
      <c r="E11" s="11"/>
      <c r="F11" s="11"/>
      <c r="G11" s="11"/>
      <c r="H11" s="11"/>
      <c r="I11" s="11"/>
      <c r="J11" s="11"/>
      <c r="K11" s="11"/>
      <c r="L11" s="11"/>
      <c r="M11" s="11">
        <f t="shared" si="0"/>
        <v>0</v>
      </c>
      <c r="N11" s="11"/>
      <c r="O11" s="11"/>
      <c r="P11" s="11"/>
      <c r="Q11" s="11"/>
      <c r="R11" s="11"/>
      <c r="S11" s="11">
        <f>Tabela1[[#This Row],[Cesta Basica]]-Tabela1[[#This Row],[Editar2]]</f>
        <v>0</v>
      </c>
      <c r="T11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2" spans="1:20" s="4" customFormat="1" ht="18" customHeight="1" x14ac:dyDescent="0.2">
      <c r="A12" s="7">
        <v>8</v>
      </c>
      <c r="B12" s="31"/>
      <c r="C12" s="32"/>
      <c r="D12" s="12"/>
      <c r="E12" s="11"/>
      <c r="F12" s="11"/>
      <c r="G12" s="11"/>
      <c r="H12" s="11"/>
      <c r="I12" s="11"/>
      <c r="J12" s="11"/>
      <c r="K12" s="11"/>
      <c r="L12" s="11"/>
      <c r="M12" s="11">
        <f t="shared" si="0"/>
        <v>0</v>
      </c>
      <c r="N12" s="11"/>
      <c r="O12" s="11"/>
      <c r="P12" s="11"/>
      <c r="Q12" s="11"/>
      <c r="R12" s="11"/>
      <c r="S12" s="11">
        <f>Tabela1[[#This Row],[Cesta Basica]]-Tabela1[[#This Row],[Editar2]]</f>
        <v>0</v>
      </c>
      <c r="T12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3" spans="1:20" s="4" customFormat="1" ht="18" customHeight="1" x14ac:dyDescent="0.2">
      <c r="A13" s="7">
        <v>9</v>
      </c>
      <c r="B13" s="31"/>
      <c r="C13" s="32"/>
      <c r="D13" s="12"/>
      <c r="E13" s="11"/>
      <c r="F13" s="11"/>
      <c r="G13" s="11"/>
      <c r="H13" s="11"/>
      <c r="I13" s="11"/>
      <c r="J13" s="11"/>
      <c r="K13" s="11"/>
      <c r="L13" s="11"/>
      <c r="M13" s="11">
        <f t="shared" si="0"/>
        <v>0</v>
      </c>
      <c r="N13" s="11"/>
      <c r="O13" s="11"/>
      <c r="P13" s="11"/>
      <c r="Q13" s="11"/>
      <c r="R13" s="11"/>
      <c r="S13" s="11">
        <f>Tabela1[[#This Row],[Cesta Basica]]-Tabela1[[#This Row],[Editar2]]</f>
        <v>0</v>
      </c>
      <c r="T13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4" spans="1:20" s="4" customFormat="1" ht="18" customHeight="1" x14ac:dyDescent="0.2">
      <c r="A14" s="7">
        <v>10</v>
      </c>
      <c r="B14" s="31"/>
      <c r="C14" s="32"/>
      <c r="D14" s="12"/>
      <c r="E14" s="11"/>
      <c r="F14" s="11"/>
      <c r="G14" s="11"/>
      <c r="H14" s="11"/>
      <c r="I14" s="11"/>
      <c r="J14" s="11"/>
      <c r="K14" s="11"/>
      <c r="L14" s="11"/>
      <c r="M14" s="11">
        <f t="shared" si="0"/>
        <v>0</v>
      </c>
      <c r="N14" s="11"/>
      <c r="O14" s="11"/>
      <c r="P14" s="11"/>
      <c r="Q14" s="11"/>
      <c r="R14" s="11"/>
      <c r="S14" s="11">
        <f>Tabela1[[#This Row],[Cesta Basica]]-Tabela1[[#This Row],[Editar2]]</f>
        <v>0</v>
      </c>
      <c r="T14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5" spans="1:20" s="4" customFormat="1" ht="18" customHeight="1" x14ac:dyDescent="0.2">
      <c r="A15" s="7">
        <v>11</v>
      </c>
      <c r="B15" s="31"/>
      <c r="C15" s="32"/>
      <c r="D15" s="12"/>
      <c r="E15" s="11"/>
      <c r="F15" s="11"/>
      <c r="G15" s="11"/>
      <c r="H15" s="11"/>
      <c r="I15" s="11"/>
      <c r="J15" s="11"/>
      <c r="K15" s="11"/>
      <c r="L15" s="11"/>
      <c r="M15" s="11">
        <f t="shared" si="0"/>
        <v>0</v>
      </c>
      <c r="N15" s="11"/>
      <c r="O15" s="11"/>
      <c r="P15" s="11"/>
      <c r="Q15" s="11"/>
      <c r="R15" s="11"/>
      <c r="S15" s="11">
        <f>Tabela1[[#This Row],[Cesta Basica]]-Tabela1[[#This Row],[Editar2]]</f>
        <v>0</v>
      </c>
      <c r="T15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6" spans="1:20" s="4" customFormat="1" ht="18" customHeight="1" x14ac:dyDescent="0.2">
      <c r="A16" s="7">
        <v>12</v>
      </c>
      <c r="B16" s="31"/>
      <c r="C16" s="32"/>
      <c r="D16" s="12"/>
      <c r="E16" s="11"/>
      <c r="F16" s="11"/>
      <c r="G16" s="11"/>
      <c r="H16" s="11"/>
      <c r="I16" s="11"/>
      <c r="J16" s="11"/>
      <c r="K16" s="11"/>
      <c r="L16" s="11"/>
      <c r="M16" s="11">
        <f t="shared" si="0"/>
        <v>0</v>
      </c>
      <c r="N16" s="11"/>
      <c r="O16" s="11"/>
      <c r="P16" s="11"/>
      <c r="Q16" s="11"/>
      <c r="R16" s="11"/>
      <c r="S16" s="11">
        <f>Tabela1[[#This Row],[Cesta Basica]]-Tabela1[[#This Row],[Editar2]]</f>
        <v>0</v>
      </c>
      <c r="T16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7" spans="1:20" s="4" customFormat="1" ht="18" customHeight="1" x14ac:dyDescent="0.2">
      <c r="A17" s="7">
        <v>13</v>
      </c>
      <c r="B17" s="31"/>
      <c r="C17" s="32"/>
      <c r="D17" s="12"/>
      <c r="E17" s="11"/>
      <c r="F17" s="11"/>
      <c r="G17" s="11"/>
      <c r="H17" s="11"/>
      <c r="I17" s="11"/>
      <c r="J17" s="11"/>
      <c r="K17" s="11"/>
      <c r="L17" s="11"/>
      <c r="M17" s="11">
        <v>0</v>
      </c>
      <c r="N17" s="11"/>
      <c r="O17" s="11"/>
      <c r="P17" s="11"/>
      <c r="Q17" s="11"/>
      <c r="R17" s="11"/>
      <c r="S17" s="11">
        <f>Tabela1[[#This Row],[Cesta Basica]]-Tabela1[[#This Row],[Editar2]]</f>
        <v>0</v>
      </c>
      <c r="T17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8" spans="1:20" s="4" customFormat="1" ht="18" customHeight="1" x14ac:dyDescent="0.2">
      <c r="A18" s="7">
        <v>14</v>
      </c>
      <c r="B18" s="31"/>
      <c r="C18" s="32"/>
      <c r="D18" s="12"/>
      <c r="E18" s="11"/>
      <c r="F18" s="11"/>
      <c r="G18" s="11"/>
      <c r="H18" s="11"/>
      <c r="I18" s="11"/>
      <c r="J18" s="11"/>
      <c r="K18" s="11"/>
      <c r="L18" s="11"/>
      <c r="M18" s="11">
        <f t="shared" si="0"/>
        <v>0</v>
      </c>
      <c r="N18" s="11"/>
      <c r="O18" s="11"/>
      <c r="P18" s="11"/>
      <c r="Q18" s="11"/>
      <c r="R18" s="11"/>
      <c r="S18" s="11">
        <f>Tabela1[[#This Row],[Cesta Basica]]-Tabela1[[#This Row],[Editar2]]</f>
        <v>0</v>
      </c>
      <c r="T18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19" spans="1:20" s="4" customFormat="1" ht="18" customHeight="1" x14ac:dyDescent="0.2">
      <c r="A19" s="7">
        <v>15</v>
      </c>
      <c r="B19" s="31"/>
      <c r="C19" s="32"/>
      <c r="D19" s="12"/>
      <c r="E19" s="11"/>
      <c r="F19" s="11"/>
      <c r="G19" s="11"/>
      <c r="H19" s="11"/>
      <c r="I19" s="11"/>
      <c r="J19" s="11"/>
      <c r="K19" s="11"/>
      <c r="L19" s="11"/>
      <c r="M19" s="11">
        <f t="shared" si="0"/>
        <v>0</v>
      </c>
      <c r="N19" s="11"/>
      <c r="O19" s="11"/>
      <c r="P19" s="11"/>
      <c r="Q19" s="11"/>
      <c r="R19" s="11"/>
      <c r="S19" s="11">
        <f>Tabela1[[#This Row],[Cesta Basica]]-Tabela1[[#This Row],[Editar2]]</f>
        <v>0</v>
      </c>
      <c r="T19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0" spans="1:20" s="4" customFormat="1" ht="18" customHeight="1" x14ac:dyDescent="0.2">
      <c r="A20" s="7">
        <v>16</v>
      </c>
      <c r="B20" s="31"/>
      <c r="C20" s="32"/>
      <c r="D20" s="12"/>
      <c r="E20" s="11"/>
      <c r="F20" s="11"/>
      <c r="G20" s="11"/>
      <c r="H20" s="11"/>
      <c r="I20" s="11"/>
      <c r="J20" s="11"/>
      <c r="K20" s="11"/>
      <c r="L20" s="11"/>
      <c r="M20" s="11">
        <f t="shared" si="0"/>
        <v>0</v>
      </c>
      <c r="N20" s="11"/>
      <c r="O20" s="11"/>
      <c r="P20" s="11"/>
      <c r="Q20" s="11"/>
      <c r="R20" s="11"/>
      <c r="S20" s="11">
        <f>Tabela1[[#This Row],[Cesta Basica]]-Tabela1[[#This Row],[Editar2]]</f>
        <v>0</v>
      </c>
      <c r="T20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1" spans="1:20" s="4" customFormat="1" ht="18" customHeight="1" x14ac:dyDescent="0.2">
      <c r="A21" s="7">
        <v>17</v>
      </c>
      <c r="B21" s="31"/>
      <c r="C21" s="32"/>
      <c r="D21" s="12"/>
      <c r="E21" s="11"/>
      <c r="F21" s="11"/>
      <c r="G21" s="11"/>
      <c r="H21" s="11"/>
      <c r="I21" s="11"/>
      <c r="J21" s="11"/>
      <c r="K21" s="11"/>
      <c r="L21" s="11"/>
      <c r="M21" s="11">
        <f t="shared" si="0"/>
        <v>0</v>
      </c>
      <c r="N21" s="11"/>
      <c r="O21" s="11"/>
      <c r="P21" s="11"/>
      <c r="Q21" s="11"/>
      <c r="R21" s="11"/>
      <c r="S21" s="11">
        <f>Tabela1[[#This Row],[Cesta Basica]]-Tabela1[[#This Row],[Editar2]]</f>
        <v>0</v>
      </c>
      <c r="T21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2" spans="1:20" s="4" customFormat="1" ht="18" customHeight="1" x14ac:dyDescent="0.2">
      <c r="A22" s="7">
        <v>18</v>
      </c>
      <c r="B22" s="31"/>
      <c r="C22" s="32"/>
      <c r="D22" s="12"/>
      <c r="E22" s="11"/>
      <c r="F22" s="11"/>
      <c r="G22" s="11"/>
      <c r="H22" s="11"/>
      <c r="I22" s="11"/>
      <c r="J22" s="11"/>
      <c r="K22" s="11"/>
      <c r="L22" s="11"/>
      <c r="M22" s="11">
        <f t="shared" si="0"/>
        <v>0</v>
      </c>
      <c r="N22" s="11"/>
      <c r="O22" s="11"/>
      <c r="P22" s="11"/>
      <c r="Q22" s="11"/>
      <c r="R22" s="11"/>
      <c r="S22" s="11">
        <f>Tabela1[[#This Row],[Cesta Basica]]-Tabela1[[#This Row],[Editar2]]</f>
        <v>0</v>
      </c>
      <c r="T22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3" spans="1:20" s="4" customFormat="1" ht="18" customHeight="1" x14ac:dyDescent="0.2">
      <c r="A23" s="7">
        <v>19</v>
      </c>
      <c r="B23" s="31"/>
      <c r="C23" s="32"/>
      <c r="D23" s="12"/>
      <c r="E23" s="11"/>
      <c r="F23" s="11"/>
      <c r="G23" s="11">
        <v>4880.1400000000003</v>
      </c>
      <c r="H23" s="64"/>
      <c r="I23" s="11"/>
      <c r="J23" s="11"/>
      <c r="K23" s="11"/>
      <c r="L23" s="11"/>
      <c r="M23" s="11">
        <f t="shared" si="0"/>
        <v>0</v>
      </c>
      <c r="N23" s="11"/>
      <c r="O23" s="11"/>
      <c r="P23" s="23">
        <f>S35</f>
        <v>5190.2099999999991</v>
      </c>
      <c r="Q23" s="11"/>
      <c r="R23" s="11"/>
      <c r="S23" s="11"/>
      <c r="T23" s="46"/>
    </row>
    <row r="24" spans="1:20" s="4" customFormat="1" ht="18" customHeight="1" x14ac:dyDescent="0.2">
      <c r="A24" s="7">
        <v>20</v>
      </c>
      <c r="B24" s="31"/>
      <c r="C24" s="32"/>
      <c r="D24" s="12"/>
      <c r="E24" s="11"/>
      <c r="F24" s="11"/>
      <c r="G24" s="11"/>
      <c r="H24" s="11"/>
      <c r="I24" s="11"/>
      <c r="J24" s="11"/>
      <c r="K24" s="11"/>
      <c r="L24" s="11"/>
      <c r="M24" s="11">
        <f t="shared" si="0"/>
        <v>0</v>
      </c>
      <c r="N24" s="11"/>
      <c r="O24" s="11"/>
      <c r="P24" s="11"/>
      <c r="Q24" s="11"/>
      <c r="R24" s="11"/>
      <c r="S24" s="11">
        <f>Tabela1[[#This Row],[Cesta Basica]]-Tabela1[[#This Row],[Editar2]]</f>
        <v>0</v>
      </c>
      <c r="T24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5" spans="1:20" s="4" customFormat="1" ht="18" customHeight="1" x14ac:dyDescent="0.2">
      <c r="A25" s="7">
        <v>21</v>
      </c>
      <c r="B25" s="31"/>
      <c r="C25" s="32"/>
      <c r="D25" s="12"/>
      <c r="E25" s="11"/>
      <c r="F25" s="11"/>
      <c r="G25" s="11"/>
      <c r="H25" s="11"/>
      <c r="I25" s="11"/>
      <c r="J25" s="11"/>
      <c r="K25" s="11"/>
      <c r="L25" s="11"/>
      <c r="M25" s="11">
        <f t="shared" si="0"/>
        <v>0</v>
      </c>
      <c r="N25" s="11"/>
      <c r="O25" s="11"/>
      <c r="P25" s="11"/>
      <c r="Q25" s="11"/>
      <c r="R25" s="11"/>
      <c r="S25" s="11">
        <f>Tabela1[[#This Row],[Cesta Basica]]-Tabela1[[#This Row],[Editar2]]</f>
        <v>0</v>
      </c>
      <c r="T25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6" spans="1:20" s="4" customFormat="1" ht="18" customHeight="1" x14ac:dyDescent="0.2">
      <c r="A26" s="7">
        <v>22</v>
      </c>
      <c r="B26" s="31"/>
      <c r="C26" s="32"/>
      <c r="D26" s="12"/>
      <c r="E26" s="11"/>
      <c r="F26" s="11"/>
      <c r="G26" s="11"/>
      <c r="H26" s="11"/>
      <c r="I26" s="11"/>
      <c r="J26" s="11"/>
      <c r="K26" s="11"/>
      <c r="L26" s="11"/>
      <c r="M26" s="11">
        <f t="shared" si="0"/>
        <v>0</v>
      </c>
      <c r="N26" s="11"/>
      <c r="O26" s="11"/>
      <c r="P26" s="11"/>
      <c r="Q26" s="11"/>
      <c r="R26" s="11"/>
      <c r="S26" s="11">
        <f>Tabela1[[#This Row],[Cesta Basica]]-Tabela1[[#This Row],[Editar2]]</f>
        <v>0</v>
      </c>
      <c r="T26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7" spans="1:20" s="4" customFormat="1" ht="18" customHeight="1" x14ac:dyDescent="0.2">
      <c r="A27" s="7">
        <v>23</v>
      </c>
      <c r="B27" s="31"/>
      <c r="C27" s="32"/>
      <c r="D27" s="12"/>
      <c r="E27" s="11"/>
      <c r="F27" s="11"/>
      <c r="G27" s="11"/>
      <c r="H27" s="11"/>
      <c r="I27" s="11"/>
      <c r="J27" s="11"/>
      <c r="K27" s="11"/>
      <c r="L27" s="11"/>
      <c r="M27" s="11">
        <f t="shared" si="0"/>
        <v>0</v>
      </c>
      <c r="N27" s="11"/>
      <c r="O27" s="11"/>
      <c r="P27" s="11"/>
      <c r="Q27" s="11"/>
      <c r="R27" s="11"/>
      <c r="S27" s="11">
        <f>Tabela1[[#This Row],[Cesta Basica]]-Tabela1[[#This Row],[Editar2]]</f>
        <v>0</v>
      </c>
      <c r="T27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8" spans="1:20" s="4" customFormat="1" ht="18" customHeight="1" x14ac:dyDescent="0.2">
      <c r="A28" s="7">
        <v>24</v>
      </c>
      <c r="B28" s="31"/>
      <c r="C28" s="32"/>
      <c r="D28" s="12"/>
      <c r="E28" s="11"/>
      <c r="F28" s="11"/>
      <c r="G28" s="11"/>
      <c r="H28" s="11"/>
      <c r="I28" s="11"/>
      <c r="J28" s="11"/>
      <c r="K28" s="11"/>
      <c r="L28" s="11"/>
      <c r="M28" s="11">
        <f t="shared" si="0"/>
        <v>0</v>
      </c>
      <c r="N28" s="11"/>
      <c r="O28" s="11"/>
      <c r="P28" s="11"/>
      <c r="Q28" s="11"/>
      <c r="R28" s="11"/>
      <c r="S28" s="11">
        <f>Tabela1[[#This Row],[Cesta Basica]]-Tabela1[[#This Row],[Editar2]]</f>
        <v>0</v>
      </c>
      <c r="T28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29" spans="1:20" s="4" customFormat="1" ht="18" customHeight="1" x14ac:dyDescent="0.2">
      <c r="A29" s="7">
        <v>25</v>
      </c>
      <c r="B29" s="31"/>
      <c r="C29" s="32"/>
      <c r="D29" s="12"/>
      <c r="E29" s="11"/>
      <c r="F29" s="11"/>
      <c r="G29" s="11"/>
      <c r="H29" s="11"/>
      <c r="I29" s="11"/>
      <c r="J29" s="11"/>
      <c r="K29" s="11"/>
      <c r="L29" s="11"/>
      <c r="M29" s="11">
        <f t="shared" si="0"/>
        <v>0</v>
      </c>
      <c r="N29" s="11"/>
      <c r="O29" s="11"/>
      <c r="P29" s="11"/>
      <c r="Q29" s="11"/>
      <c r="R29" s="11"/>
      <c r="S29" s="11">
        <f>Tabela1[[#This Row],[Cesta Basica]]-Tabela1[[#This Row],[Editar2]]</f>
        <v>0</v>
      </c>
      <c r="T29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0" spans="1:20" s="4" customFormat="1" ht="18" customHeight="1" x14ac:dyDescent="0.2">
      <c r="A30" s="7">
        <v>26</v>
      </c>
      <c r="B30" s="31"/>
      <c r="C30" s="32"/>
      <c r="D30" s="12"/>
      <c r="E30" s="11"/>
      <c r="F30" s="11"/>
      <c r="G30" s="11"/>
      <c r="H30" s="11"/>
      <c r="I30" s="11"/>
      <c r="J30" s="11"/>
      <c r="K30" s="11"/>
      <c r="L30" s="11"/>
      <c r="M30" s="11">
        <f t="shared" si="0"/>
        <v>0</v>
      </c>
      <c r="N30" s="11"/>
      <c r="O30" s="11"/>
      <c r="P30" s="11"/>
      <c r="Q30" s="11"/>
      <c r="R30" s="11"/>
      <c r="S30" s="11">
        <f>Tabela1[[#This Row],[Cesta Basica]]-Tabela1[[#This Row],[Editar2]]</f>
        <v>0</v>
      </c>
      <c r="T30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1" spans="1:20" s="4" customFormat="1" ht="18" customHeight="1" x14ac:dyDescent="0.2">
      <c r="A31" s="7">
        <v>27</v>
      </c>
      <c r="B31" s="31"/>
      <c r="C31" s="32"/>
      <c r="D31" s="12"/>
      <c r="E31" s="11"/>
      <c r="F31" s="11"/>
      <c r="G31" s="11"/>
      <c r="H31" s="11"/>
      <c r="I31" s="11"/>
      <c r="J31" s="11"/>
      <c r="K31" s="11"/>
      <c r="L31" s="11"/>
      <c r="M31" s="11">
        <f t="shared" si="0"/>
        <v>0</v>
      </c>
      <c r="N31" s="11"/>
      <c r="O31" s="11"/>
      <c r="P31" s="11"/>
      <c r="Q31" s="11"/>
      <c r="R31" s="11"/>
      <c r="S31" s="11">
        <f>Tabela1[[#This Row],[Cesta Basica]]-Tabela1[[#This Row],[Editar2]]</f>
        <v>0</v>
      </c>
      <c r="T31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2" spans="1:20" s="4" customFormat="1" ht="18" customHeight="1" x14ac:dyDescent="0.2">
      <c r="A32" s="7">
        <v>28</v>
      </c>
      <c r="B32" s="31"/>
      <c r="C32" s="32"/>
      <c r="D32" s="12"/>
      <c r="E32" s="11"/>
      <c r="F32" s="11"/>
      <c r="G32" s="11"/>
      <c r="H32" s="11"/>
      <c r="I32" s="11"/>
      <c r="J32" s="11"/>
      <c r="K32" s="11"/>
      <c r="L32" s="11"/>
      <c r="M32" s="11">
        <f t="shared" si="0"/>
        <v>0</v>
      </c>
      <c r="N32" s="11"/>
      <c r="O32" s="11"/>
      <c r="P32" s="11"/>
      <c r="Q32" s="11"/>
      <c r="R32" s="11"/>
      <c r="S32" s="11">
        <f>Tabela1[[#This Row],[Cesta Basica]]-Tabela1[[#This Row],[Editar2]]</f>
        <v>0</v>
      </c>
      <c r="T32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3" spans="1:20" s="4" customFormat="1" ht="18" customHeight="1" x14ac:dyDescent="0.2">
      <c r="A33" s="7">
        <v>29</v>
      </c>
      <c r="B33" s="31"/>
      <c r="C33" s="32"/>
      <c r="D33" s="12"/>
      <c r="E33" s="11"/>
      <c r="F33" s="11"/>
      <c r="G33" s="11"/>
      <c r="H33" s="11"/>
      <c r="I33" s="11"/>
      <c r="J33" s="11"/>
      <c r="K33" s="11"/>
      <c r="L33" s="11"/>
      <c r="M33" s="11">
        <f t="shared" si="0"/>
        <v>0</v>
      </c>
      <c r="N33" s="11"/>
      <c r="O33" s="11"/>
      <c r="P33" s="11"/>
      <c r="Q33" s="11"/>
      <c r="R33" s="11"/>
      <c r="S33" s="11">
        <f>Tabela1[[#This Row],[Cesta Basica]]-Tabela1[[#This Row],[Editar2]]</f>
        <v>0</v>
      </c>
      <c r="T33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4" spans="1:20" s="4" customFormat="1" ht="18" customHeight="1" x14ac:dyDescent="0.2">
      <c r="A34" s="7">
        <v>30</v>
      </c>
      <c r="B34" s="31"/>
      <c r="C34" s="32"/>
      <c r="D34" s="12"/>
      <c r="E34" s="11"/>
      <c r="F34" s="11"/>
      <c r="G34" s="11"/>
      <c r="H34" s="11"/>
      <c r="I34" s="11"/>
      <c r="J34" s="11"/>
      <c r="K34" s="11"/>
      <c r="L34" s="11"/>
      <c r="M34" s="11">
        <f t="shared" si="0"/>
        <v>0</v>
      </c>
      <c r="N34" s="11"/>
      <c r="O34" s="11"/>
      <c r="P34" s="11"/>
      <c r="Q34" s="11"/>
      <c r="R34" s="11"/>
      <c r="S34" s="11">
        <f>Tabela1[[#This Row],[Cesta Basica]]-Tabela1[[#This Row],[Editar2]]</f>
        <v>0</v>
      </c>
      <c r="T34" s="46">
        <f>Tabela1[[#This Row],[Outros Prejuíjo
(R$)]]+Tabela1[[#This Row],[Comb]]+Tabela1[[#This Row],[Pedágio            (R$)]]+Tabela1[[#This Row],[Editar2]]+Tabela1[[#This Row],[Refeiçao ]]+Tabela1[[#This Row],[Custo Op. 2%]]+Tabela1[[#This Row],[Posto Vago ]]+Tabela1[[#This Row],[Uniforme]]+Tabela1[[#This Row],[Manutençao de Maquinas]]+Tabela1[[#This Row],[  Ft / Diaria Faltas com Atestado]]+Tabela1[[#This Row],[Cesta Basica]]+Tabela1[[#This Row],[Férias    ]]+Tabela1[[#This Row],[Recisao ]]+Tabela1[[#This Row],[Vale Transporte]]+Tabela1[[#This Row],[Folha de Pag.]]++Tabela1[[#This Row],[Acordo trabalhista]]+Tabela1[[#This Row],[RAT Positivo]]</f>
        <v>0</v>
      </c>
    </row>
    <row r="35" spans="1:20" s="4" customFormat="1" ht="18" customHeight="1" x14ac:dyDescent="0.2">
      <c r="A35" s="29" t="s">
        <v>5</v>
      </c>
      <c r="B35" s="34">
        <f t="shared" ref="B35:Q35" si="1">SUM(B5:B34)</f>
        <v>0</v>
      </c>
      <c r="C35" s="34">
        <f t="shared" si="1"/>
        <v>0</v>
      </c>
      <c r="D35" s="56">
        <f t="shared" si="1"/>
        <v>2309.94</v>
      </c>
      <c r="E35" s="34">
        <f t="shared" si="1"/>
        <v>305.2</v>
      </c>
      <c r="F35" s="34">
        <f t="shared" si="1"/>
        <v>0</v>
      </c>
      <c r="G35" s="34">
        <f t="shared" si="1"/>
        <v>4880.1400000000003</v>
      </c>
      <c r="H35" s="54">
        <v>80</v>
      </c>
      <c r="I35" s="34">
        <f t="shared" si="1"/>
        <v>90</v>
      </c>
      <c r="J35" s="34">
        <f t="shared" si="1"/>
        <v>56</v>
      </c>
      <c r="K35" s="34">
        <f t="shared" si="1"/>
        <v>59</v>
      </c>
      <c r="L35" s="34">
        <f t="shared" si="1"/>
        <v>0</v>
      </c>
      <c r="M35" s="51">
        <f t="shared" si="1"/>
        <v>1599</v>
      </c>
      <c r="N35" s="34">
        <f t="shared" si="1"/>
        <v>0</v>
      </c>
      <c r="O35" s="34">
        <f>H23-P23</f>
        <v>-5190.2099999999991</v>
      </c>
      <c r="P35" s="51"/>
      <c r="Q35" s="34">
        <f t="shared" si="1"/>
        <v>385.55</v>
      </c>
      <c r="R35" s="22"/>
      <c r="S35" s="52">
        <f>SUBTOTAL(109,S5:S34)</f>
        <v>5190.2099999999991</v>
      </c>
      <c r="T35" s="30"/>
    </row>
    <row r="36" spans="1:20" s="4" customFormat="1" ht="18" customHeight="1" x14ac:dyDescent="0.2">
      <c r="B36" s="36" t="s">
        <v>6</v>
      </c>
      <c r="C36" s="33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5"/>
      <c r="T36" s="30"/>
    </row>
    <row r="37" spans="1:20" s="4" customFormat="1" ht="18" customHeight="1" x14ac:dyDescent="0.2">
      <c r="B37" s="36" t="s">
        <v>6</v>
      </c>
      <c r="C37" s="33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5"/>
      <c r="T37" s="30"/>
    </row>
    <row r="38" spans="1:20" s="4" customFormat="1" ht="18" customHeight="1" x14ac:dyDescent="0.2">
      <c r="B38" s="70" t="s">
        <v>7</v>
      </c>
      <c r="C38" s="71"/>
      <c r="D38" s="71"/>
      <c r="E38" s="71"/>
      <c r="F38" s="72" t="s">
        <v>27</v>
      </c>
      <c r="G38" s="72"/>
      <c r="H38" s="72"/>
      <c r="I38" s="72"/>
      <c r="J38" s="72"/>
      <c r="K38" s="72"/>
      <c r="L38" s="72"/>
      <c r="M38" s="13"/>
      <c r="N38" s="83" t="s">
        <v>8</v>
      </c>
      <c r="O38" s="83"/>
      <c r="P38" s="83"/>
      <c r="Q38" s="84">
        <v>4880.1400000000003</v>
      </c>
      <c r="R38" s="84"/>
      <c r="S38" s="12"/>
      <c r="T38" s="30"/>
    </row>
    <row r="39" spans="1:20" s="4" customFormat="1" ht="18" customHeight="1" x14ac:dyDescent="0.2">
      <c r="B39" s="67" t="s">
        <v>9</v>
      </c>
      <c r="C39" s="68"/>
      <c r="D39" s="68"/>
      <c r="E39" s="68"/>
      <c r="F39" s="69"/>
      <c r="G39" s="69"/>
      <c r="H39" s="69"/>
      <c r="I39" s="69"/>
      <c r="J39" s="69"/>
      <c r="K39" s="69"/>
      <c r="L39" s="69"/>
      <c r="M39" s="13"/>
      <c r="N39" s="74" t="s">
        <v>10</v>
      </c>
      <c r="O39" s="74"/>
      <c r="P39" s="74"/>
      <c r="Q39" s="75">
        <v>0</v>
      </c>
      <c r="R39" s="75"/>
      <c r="S39" s="13"/>
      <c r="T39" s="30"/>
    </row>
    <row r="40" spans="1:20" s="4" customFormat="1" ht="18" customHeight="1" x14ac:dyDescent="0.2">
      <c r="B40" s="70" t="s">
        <v>11</v>
      </c>
      <c r="C40" s="71"/>
      <c r="D40" s="71"/>
      <c r="E40" s="71"/>
      <c r="F40" s="76" t="s">
        <v>34</v>
      </c>
      <c r="G40" s="76"/>
      <c r="H40" s="76"/>
      <c r="I40" s="76"/>
      <c r="J40" s="76"/>
      <c r="K40" s="76"/>
      <c r="L40" s="76"/>
      <c r="M40" s="13"/>
      <c r="N40" s="77" t="s">
        <v>12</v>
      </c>
      <c r="O40" s="77"/>
      <c r="P40" s="77"/>
      <c r="Q40" s="78">
        <v>4880.1400000000003</v>
      </c>
      <c r="R40" s="78"/>
      <c r="S40" s="13"/>
      <c r="T40" s="30"/>
    </row>
    <row r="41" spans="1:20" s="4" customFormat="1" ht="18" customHeight="1" x14ac:dyDescent="0.2">
      <c r="B41" s="67"/>
      <c r="C41" s="68"/>
      <c r="D41" s="68"/>
      <c r="E41" s="68"/>
      <c r="F41" s="69"/>
      <c r="G41" s="69"/>
      <c r="H41" s="69"/>
      <c r="I41" s="69"/>
      <c r="J41" s="69"/>
      <c r="K41" s="69"/>
      <c r="L41" s="69"/>
      <c r="M41" s="13"/>
      <c r="N41" s="13"/>
      <c r="O41" s="13"/>
      <c r="P41" s="13"/>
      <c r="Q41" s="13"/>
      <c r="R41" s="14"/>
      <c r="S41" s="13"/>
      <c r="T41" s="30"/>
    </row>
    <row r="42" spans="1:20" s="4" customFormat="1" ht="18" customHeight="1" x14ac:dyDescent="0.2">
      <c r="B42" s="70"/>
      <c r="C42" s="71"/>
      <c r="D42" s="71"/>
      <c r="E42" s="71"/>
      <c r="F42" s="72"/>
      <c r="G42" s="72"/>
      <c r="H42" s="72"/>
      <c r="I42" s="72"/>
      <c r="J42" s="72"/>
      <c r="K42" s="72"/>
      <c r="L42" s="72"/>
      <c r="M42" s="13"/>
      <c r="N42" s="13"/>
      <c r="O42" s="13"/>
      <c r="P42" s="13"/>
      <c r="Q42" s="13"/>
      <c r="R42" s="14"/>
      <c r="S42" s="13"/>
      <c r="T42" s="30"/>
    </row>
    <row r="43" spans="1:20" s="4" customFormat="1" ht="18" customHeight="1" x14ac:dyDescent="0.2">
      <c r="B43" s="29"/>
      <c r="C43" s="33"/>
      <c r="D43" s="11"/>
      <c r="E43" s="13"/>
      <c r="F43" s="13"/>
      <c r="G43" s="13"/>
      <c r="H43" s="13"/>
      <c r="I43" s="13"/>
      <c r="J43" s="13"/>
      <c r="K43" s="13"/>
      <c r="L43" s="13"/>
      <c r="M43" s="13"/>
      <c r="N43" s="73" t="s">
        <v>33</v>
      </c>
      <c r="O43" s="73"/>
      <c r="P43" s="73"/>
      <c r="Q43" s="73"/>
      <c r="R43" s="15"/>
      <c r="T43" s="30"/>
    </row>
    <row r="44" spans="1:20" s="4" customFormat="1" ht="18" customHeight="1" thickBot="1" x14ac:dyDescent="0.25">
      <c r="B44" s="37"/>
      <c r="C44" s="38"/>
      <c r="D44" s="39"/>
      <c r="E44" s="40"/>
      <c r="F44" s="40"/>
      <c r="G44" s="40"/>
      <c r="H44" s="40"/>
      <c r="I44" s="40"/>
      <c r="J44" s="40"/>
      <c r="K44" s="40"/>
      <c r="L44" s="40"/>
      <c r="M44" s="40"/>
      <c r="N44" s="41" t="s">
        <v>28</v>
      </c>
      <c r="O44" s="58">
        <f>P23*100/G23</f>
        <v>106.35371116402395</v>
      </c>
      <c r="P44" s="42" t="s">
        <v>29</v>
      </c>
      <c r="Q44" s="66">
        <f>0</f>
        <v>0</v>
      </c>
      <c r="R44" s="43"/>
      <c r="S44" s="44"/>
      <c r="T44" s="45"/>
    </row>
    <row r="45" spans="1:20" s="4" customFormat="1" ht="18" customHeight="1" x14ac:dyDescent="0.2">
      <c r="B45" s="16"/>
      <c r="C45" s="17"/>
      <c r="D45" s="18"/>
      <c r="E45" s="19"/>
      <c r="F45" s="19"/>
      <c r="G45" s="19"/>
      <c r="H45" s="19"/>
      <c r="I45" s="19"/>
      <c r="J45" s="19"/>
      <c r="K45" s="19"/>
      <c r="L45" s="19"/>
      <c r="M45" s="19"/>
      <c r="O45" s="57"/>
      <c r="S45" s="6"/>
    </row>
    <row r="46" spans="1:20" s="4" customFormat="1" ht="18" customHeight="1" x14ac:dyDescent="0.2">
      <c r="B46" s="16"/>
      <c r="C46" s="17"/>
      <c r="D46" s="18"/>
      <c r="E46" s="19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</row>
    <row r="47" spans="1:20" s="4" customFormat="1" ht="18" customHeight="1" x14ac:dyDescent="0.2">
      <c r="B47" s="16"/>
      <c r="C47" s="17"/>
      <c r="D47" s="18"/>
      <c r="E47" s="19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</row>
    <row r="48" spans="1:20" s="4" customFormat="1" ht="18" customHeight="1" x14ac:dyDescent="0.2">
      <c r="B48" s="16"/>
      <c r="C48" s="17"/>
      <c r="D48" s="18"/>
      <c r="E48" s="19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</row>
    <row r="49" spans="1:19" s="4" customFormat="1" ht="18" customHeight="1" x14ac:dyDescent="0.2">
      <c r="B49" s="16"/>
      <c r="C49" s="17"/>
      <c r="D49" s="18"/>
      <c r="E49" s="19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</row>
    <row r="50" spans="1:19" s="4" customFormat="1" ht="18" customHeight="1" x14ac:dyDescent="0.2">
      <c r="B50" s="16"/>
      <c r="C50" s="17"/>
      <c r="D50" s="18"/>
      <c r="E50" s="19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</row>
    <row r="51" spans="1:19" s="4" customFormat="1" ht="18" customHeight="1" x14ac:dyDescent="0.2">
      <c r="B51" s="16"/>
      <c r="C51" s="17"/>
      <c r="D51" s="18"/>
      <c r="E51" s="19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</row>
    <row r="52" spans="1:19" s="4" customFormat="1" ht="18" customHeight="1" x14ac:dyDescent="0.2">
      <c r="C52" s="5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</row>
    <row r="53" spans="1:19" s="4" customFormat="1" ht="18" customHeight="1" x14ac:dyDescent="0.2">
      <c r="C53" s="5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</row>
    <row r="54" spans="1:19" s="21" customFormat="1" ht="30" customHeight="1" x14ac:dyDescent="0.2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</row>
  </sheetData>
  <mergeCells count="20">
    <mergeCell ref="A1:XFD1"/>
    <mergeCell ref="J3:K3"/>
    <mergeCell ref="L3:R3"/>
    <mergeCell ref="B38:E38"/>
    <mergeCell ref="F38:L38"/>
    <mergeCell ref="N38:P38"/>
    <mergeCell ref="Q38:R38"/>
    <mergeCell ref="B39:E39"/>
    <mergeCell ref="F39:L39"/>
    <mergeCell ref="N39:P39"/>
    <mergeCell ref="Q39:R39"/>
    <mergeCell ref="B40:E40"/>
    <mergeCell ref="F40:L40"/>
    <mergeCell ref="N40:P40"/>
    <mergeCell ref="Q40:R40"/>
    <mergeCell ref="B41:E41"/>
    <mergeCell ref="F41:L41"/>
    <mergeCell ref="B42:E42"/>
    <mergeCell ref="F42:L42"/>
    <mergeCell ref="N43:Q43"/>
  </mergeCells>
  <pageMargins left="0.196527777777778" right="0.196527777777778" top="0.196527777777778" bottom="0.196527777777778" header="0.51180555555555496" footer="0.51180555555555496"/>
  <pageSetup paperSize="9" firstPageNumber="0" orientation="landscape" horizontalDpi="300" verticalDpi="300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42"/>
  <sheetViews>
    <sheetView showGridLines="0" showRowColHeaders="0" zoomScaleNormal="100" workbookViewId="0">
      <selection activeCell="E42" sqref="E42"/>
    </sheetView>
  </sheetViews>
  <sheetFormatPr defaultRowHeight="12.75" x14ac:dyDescent="0.2"/>
  <cols>
    <col min="1" max="1025" width="8.7109375" customWidth="1"/>
  </cols>
  <sheetData>
    <row r="1" spans="1:1" s="79" customFormat="1" ht="52.5" customHeight="1" x14ac:dyDescent="0.2">
      <c r="A1" s="79" t="s">
        <v>0</v>
      </c>
    </row>
    <row r="42" spans="1:23" s="21" customFormat="1" ht="30" customHeight="1" x14ac:dyDescent="0.2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</row>
  </sheetData>
  <mergeCells count="1">
    <mergeCell ref="A1:XFD1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</vt:lpstr>
      <vt:lpstr>Instruções</vt:lpstr>
    </vt:vector>
  </TitlesOfParts>
  <Company>Grupo Positivo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Positivo Informática</dc:creator>
  <dc:description/>
  <cp:lastModifiedBy>Comercial</cp:lastModifiedBy>
  <cp:revision>1</cp:revision>
  <cp:lastPrinted>2010-03-04T20:44:11Z</cp:lastPrinted>
  <dcterms:created xsi:type="dcterms:W3CDTF">2009-04-28T20:24:02Z</dcterms:created>
  <dcterms:modified xsi:type="dcterms:W3CDTF">2024-09-11T12:38:46Z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Grupo Positivo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