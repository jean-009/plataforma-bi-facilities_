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6 - PÂMELA ROCHA\01 - FATURAMENTO\2025\"/>
    </mc:Choice>
  </mc:AlternateContent>
  <xr:revisionPtr revIDLastSave="0" documentId="8_{ED87A183-396E-4B47-A639-9176CEFA2C6A}" xr6:coauthVersionLast="47" xr6:coauthVersionMax="47" xr10:uidLastSave="{00000000-0000-0000-0000-000000000000}"/>
  <bookViews>
    <workbookView xWindow="-108" yWindow="-108" windowWidth="23256" windowHeight="12456" xr2:uid="{E2D3FF82-D006-40CE-B845-A0C5E9335198}"/>
  </bookViews>
  <sheets>
    <sheet name="CENARIO ATUAL BOA E AVENIDA" sheetId="1" r:id="rId1"/>
    <sheet name="REDUÇÃO" sheetId="2" r:id="rId2"/>
    <sheet name="Planilha3" sheetId="3" r:id="rId3"/>
    <sheet name="Planilha6" sheetId="6" state="hidden" r:id="rId4"/>
  </sheets>
  <definedNames>
    <definedName name="_xlnm._FilterDatabase" localSheetId="0" hidden="1">'CENARIO ATUAL BOA E AVENIDA'!$A$1:$G$30</definedName>
    <definedName name="_xlnm._FilterDatabase" localSheetId="1" hidden="1">REDUÇÃO!$A$20:$H$29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5" i="1" l="1"/>
  <c r="F24" i="3"/>
  <c r="D24" i="3"/>
  <c r="F40" i="2"/>
  <c r="G40" i="2" s="1"/>
  <c r="I38" i="2"/>
  <c r="I36" i="2"/>
  <c r="C32" i="2"/>
  <c r="F32" i="2"/>
  <c r="G34" i="6"/>
  <c r="D15" i="2"/>
  <c r="G29" i="6"/>
  <c r="G28" i="6"/>
  <c r="G27" i="6"/>
  <c r="E26" i="6"/>
  <c r="G26" i="6" s="1"/>
  <c r="E25" i="6"/>
  <c r="G25" i="6" s="1"/>
  <c r="E24" i="6"/>
  <c r="G24" i="6" s="1"/>
  <c r="E23" i="6"/>
  <c r="G23" i="6" s="1"/>
  <c r="E22" i="6"/>
  <c r="G22" i="6" s="1"/>
  <c r="E21" i="6"/>
  <c r="G21" i="6" s="1"/>
  <c r="E20" i="6"/>
  <c r="G20" i="6" s="1"/>
  <c r="E19" i="6"/>
  <c r="G19" i="6" s="1"/>
  <c r="G18" i="6"/>
  <c r="E18" i="6"/>
  <c r="E17" i="6"/>
  <c r="G17" i="6" s="1"/>
  <c r="E16" i="6"/>
  <c r="G16" i="6" s="1"/>
  <c r="E15" i="6"/>
  <c r="G15" i="6" s="1"/>
  <c r="E14" i="6"/>
  <c r="G14" i="6" s="1"/>
  <c r="E13" i="6"/>
  <c r="G13" i="6" s="1"/>
  <c r="E12" i="6"/>
  <c r="G12" i="6" s="1"/>
  <c r="E11" i="6"/>
  <c r="G11" i="6" s="1"/>
  <c r="E10" i="6"/>
  <c r="G10" i="6" s="1"/>
  <c r="E9" i="6"/>
  <c r="G9" i="6" s="1"/>
  <c r="E8" i="6"/>
  <c r="G8" i="6" s="1"/>
  <c r="E7" i="6"/>
  <c r="G7" i="6" s="1"/>
  <c r="E6" i="6"/>
  <c r="G6" i="6" s="1"/>
  <c r="E5" i="6"/>
  <c r="G5" i="6" s="1"/>
  <c r="E4" i="6"/>
  <c r="G4" i="6" s="1"/>
  <c r="G3" i="6"/>
  <c r="E3" i="6"/>
  <c r="E2" i="6"/>
  <c r="G2" i="6" s="1"/>
  <c r="F30" i="2"/>
  <c r="H14" i="2"/>
  <c r="H13" i="2"/>
  <c r="H12" i="2"/>
  <c r="H11" i="2"/>
  <c r="H10" i="2"/>
  <c r="H9" i="2"/>
  <c r="H7" i="2"/>
  <c r="H5" i="2"/>
  <c r="H4" i="2"/>
  <c r="H3" i="2"/>
  <c r="H6" i="2"/>
  <c r="H8" i="2"/>
  <c r="H2" i="2"/>
  <c r="G2" i="2"/>
  <c r="G14" i="2"/>
  <c r="H29" i="2"/>
  <c r="H28" i="2"/>
  <c r="H27" i="2"/>
  <c r="H26" i="2"/>
  <c r="H25" i="2"/>
  <c r="H24" i="2"/>
  <c r="H23" i="2"/>
  <c r="H22" i="2"/>
  <c r="H21" i="2"/>
  <c r="C15" i="2"/>
  <c r="G13" i="2"/>
  <c r="G12" i="2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4" i="2"/>
  <c r="G4" i="2" s="1"/>
  <c r="E3" i="2"/>
  <c r="G3" i="2" s="1"/>
  <c r="E2" i="2"/>
  <c r="F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J38" i="2" l="1"/>
  <c r="J36" i="2"/>
  <c r="H15" i="2"/>
  <c r="E15" i="2"/>
  <c r="G30" i="6"/>
  <c r="H30" i="2"/>
  <c r="F34" i="2" s="1"/>
  <c r="C34" i="2"/>
  <c r="D34" i="2" s="1"/>
  <c r="H72" i="1"/>
  <c r="G15" i="2"/>
  <c r="F36" i="2" l="1"/>
  <c r="G36" i="2" s="1"/>
  <c r="G34" i="2"/>
  <c r="C36" i="2"/>
  <c r="D36" i="2" s="1"/>
  <c r="D30" i="1" l="1"/>
  <c r="C30" i="1"/>
  <c r="G29" i="1"/>
  <c r="G28" i="1"/>
  <c r="G27" i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E30" i="1" l="1"/>
  <c r="G2" i="1"/>
  <c r="G30" i="1" s="1"/>
  <c r="F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Pamela Rocha</author>
  </authors>
  <commentList>
    <comment ref="A23" authorId="0" shapeId="0" xr:uid="{92E14849-A3AB-425C-A7CB-B328EF952B34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19/12/2024</t>
        </r>
      </text>
    </comment>
    <comment ref="A26" authorId="0" shapeId="0" xr:uid="{A9E73EC6-D2FF-4423-B490-3DEBEC983BC5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12/06/2025</t>
        </r>
      </text>
    </comment>
    <comment ref="A27" authorId="0" shapeId="0" xr:uid="{018612E9-D540-49D1-AACE-6F6E62A8F339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05/12/2024</t>
        </r>
      </text>
    </comment>
    <comment ref="A28" authorId="0" shapeId="0" xr:uid="{F8BBB10B-80EE-43F4-BC80-D0CEA5F88EA4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05/12/2024</t>
        </r>
      </text>
    </comment>
    <comment ref="A29" authorId="0" shapeId="0" xr:uid="{BA94EF61-B7B3-4521-9F8E-083CDA678076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20/08/2025</t>
        </r>
      </text>
    </comment>
    <comment ref="F66" authorId="0" shapeId="0" xr:uid="{7FC8AF35-F8FA-4339-B4C5-797CA3260E8D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2 folguistas que faz Dracena, Tupi e Junqueiropolis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Pamela Rocha</author>
  </authors>
  <commentList>
    <comment ref="A11" authorId="0" shapeId="0" xr:uid="{D4006286-0421-439D-82CA-E4DCEE2AEE90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12/06/2025</t>
        </r>
      </text>
    </comment>
    <comment ref="A12" authorId="0" shapeId="0" xr:uid="{41721196-EF39-4994-8F3B-EFF31475206B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05/12/2024</t>
        </r>
      </text>
    </comment>
    <comment ref="A13" authorId="0" shapeId="0" xr:uid="{1660BB7D-C170-4E7B-A028-56EE02D6BDB5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05/12/2024</t>
        </r>
      </text>
    </comment>
    <comment ref="A14" authorId="0" shapeId="0" xr:uid="{E6B1E066-80BF-4CF3-97F1-FAB32788BF36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20/08/2025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Pamela Rocha</author>
  </authors>
  <commentList>
    <comment ref="A11" authorId="0" shapeId="0" xr:uid="{9CD3F541-8BD3-4CD0-A9F5-E39B142FA73B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12/06/2025</t>
        </r>
      </text>
    </comment>
    <comment ref="A12" authorId="0" shapeId="0" xr:uid="{DEFB0C72-08A2-44C0-B6EB-68C8B0537397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05/12/2024</t>
        </r>
      </text>
    </comment>
    <comment ref="A13" authorId="0" shapeId="0" xr:uid="{46C2E82F-4AB1-4E98-8843-730CF477EEEE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05/12/2024</t>
        </r>
      </text>
    </comment>
    <comment ref="A14" authorId="0" shapeId="0" xr:uid="{5664D32E-C67B-47CC-9BED-51E871880D3C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20/08/2025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Pamela Rocha</author>
  </authors>
  <commentList>
    <comment ref="A23" authorId="0" shapeId="0" xr:uid="{13C71DA0-72B3-415D-B0ED-DB54252925EB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19/12/2024</t>
        </r>
      </text>
    </comment>
    <comment ref="A26" authorId="0" shapeId="0" xr:uid="{BD214B75-9C59-4792-AC72-8838642891CA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12/06/2025</t>
        </r>
      </text>
    </comment>
    <comment ref="A27" authorId="0" shapeId="0" xr:uid="{44425378-89AF-49A6-BF1D-88B4F6C7684B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05/12/2024</t>
        </r>
      </text>
    </comment>
    <comment ref="A28" authorId="0" shapeId="0" xr:uid="{FC1B26D5-2BD5-4E11-8CF8-8ECBB0766CA5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05/12/2024</t>
        </r>
      </text>
    </comment>
    <comment ref="A29" authorId="0" shapeId="0" xr:uid="{F1D4A814-EF01-4B7C-9D40-8BB058332BBF}">
      <text>
        <r>
          <rPr>
            <b/>
            <sz val="9"/>
            <color indexed="81"/>
            <rFont val="Segoe UI"/>
            <family val="2"/>
          </rPr>
          <t>Pamela Rocha:</t>
        </r>
        <r>
          <rPr>
            <sz val="9"/>
            <color indexed="81"/>
            <rFont val="Segoe UI"/>
            <family val="2"/>
          </rPr>
          <t xml:space="preserve">
INAUGURAÇÃO 20/08/2025</t>
        </r>
      </text>
    </comment>
  </commentList>
</comments>
</file>

<file path=xl/sharedStrings.xml><?xml version="1.0" encoding="utf-8"?>
<sst xmlns="http://schemas.openxmlformats.org/spreadsheetml/2006/main" count="455" uniqueCount="136">
  <si>
    <t>CLIENTE</t>
  </si>
  <si>
    <t>SERVIÇO</t>
  </si>
  <si>
    <t>QNTD CONTRATO</t>
  </si>
  <si>
    <t>LAVAÇAO NOT.</t>
  </si>
  <si>
    <t>QNTD TOTAL FAT</t>
  </si>
  <si>
    <t>VALOR UNIT.</t>
  </si>
  <si>
    <t>VALOR TOTAL</t>
  </si>
  <si>
    <t>IRMÃOS BOA - HORTOLANDIA (LOJA 01)</t>
  </si>
  <si>
    <t>LIMPEZA</t>
  </si>
  <si>
    <t>IRMÃOS BOA - ANHANGUERA (LOJA 02)</t>
  </si>
  <si>
    <t>IRMÃOS BOA - IMIGRANTES (LOJA 03)</t>
  </si>
  <si>
    <t>IRMÃOS BOA - CABREÚVA (LOJA 05)</t>
  </si>
  <si>
    <t>FISCAL</t>
  </si>
  <si>
    <t>IRMÃOS BOA - CENTENARIO (LOJA 06)</t>
  </si>
  <si>
    <t>IRMÃOS BOA - DOM OLIVIO (LOJA 15) CD 07</t>
  </si>
  <si>
    <t>IRMÃOS BOA  - VARZEA PAULISTA (LOJA 08)</t>
  </si>
  <si>
    <t>IRMÃOS BOA  - VILA RAMI (LOJA 09)</t>
  </si>
  <si>
    <t>IRMÃOS BOA  - FRANCISCO MORATO (LOJA 10)</t>
  </si>
  <si>
    <t>IRMÃO BOA - LIBERDADE (LOJA 11)</t>
  </si>
  <si>
    <t>IRMÃOS BOA - SOROCABA (LOJA 12)</t>
  </si>
  <si>
    <t>IRMÃOS BOA  - CENTRO (LOJA 13)</t>
  </si>
  <si>
    <t>IRMÃOS BOA - VILA ARENS (LOJA 14)</t>
  </si>
  <si>
    <t>IRMÃOS BOA - DOM OLIVIO (LOJA 15)</t>
  </si>
  <si>
    <t>SEGURANÇA</t>
  </si>
  <si>
    <t>IRMÃOS BOA - CAMPO LIMPO (LOJA 16)</t>
  </si>
  <si>
    <t>IRMÃO BOA - ELOY CHAVES (LOJA17)</t>
  </si>
  <si>
    <t>IRMAOS BOA CD ITUPEVA (LOJA 18)</t>
  </si>
  <si>
    <t>IRMÃO BOA - 19</t>
  </si>
  <si>
    <t>IRMÃOS BOA - CECAP (LOJA 21)</t>
  </si>
  <si>
    <t>IRMÃO BOA - VALINHOS (LOJA 22)</t>
  </si>
  <si>
    <t>IRMÃO BOA - PAULINIA (LOJA 23)</t>
  </si>
  <si>
    <t>IRMÃOS BOA - DOM OLIVIO (LOJA 24)</t>
  </si>
  <si>
    <t>IRMÃOS BOA - PEDREIRA (LOJA 27)</t>
  </si>
  <si>
    <t>Inicio - implantação</t>
  </si>
  <si>
    <t>Loja</t>
  </si>
  <si>
    <t>Atual ou Futura</t>
  </si>
  <si>
    <t>UF</t>
  </si>
  <si>
    <t>Cidade</t>
  </si>
  <si>
    <t>Atual Nº funcionario 2024</t>
  </si>
  <si>
    <t xml:space="preserve">Preço por funcionário 
</t>
  </si>
  <si>
    <t>Total Atual 2025</t>
  </si>
  <si>
    <t>Loja 10</t>
  </si>
  <si>
    <t>Em operação</t>
  </si>
  <si>
    <t>SP</t>
  </si>
  <si>
    <t>Paraguaçu Paulista</t>
  </si>
  <si>
    <t>Loja 11</t>
  </si>
  <si>
    <t>Cândido Mota</t>
  </si>
  <si>
    <t>Loja 25</t>
  </si>
  <si>
    <t>Ourinhos</t>
  </si>
  <si>
    <t>Loja 26</t>
  </si>
  <si>
    <t>Santa Cruz do Rio Pardo</t>
  </si>
  <si>
    <t>Loja 29</t>
  </si>
  <si>
    <t>Presidente Prudente</t>
  </si>
  <si>
    <t>Loja 31</t>
  </si>
  <si>
    <t>Presidente Epitácio</t>
  </si>
  <si>
    <t>Loja 32</t>
  </si>
  <si>
    <t>Pirapozinho</t>
  </si>
  <si>
    <t>Loja 7</t>
  </si>
  <si>
    <t>Maracaí</t>
  </si>
  <si>
    <t>Loja 9</t>
  </si>
  <si>
    <t>Loja 18</t>
  </si>
  <si>
    <t>Loja 30</t>
  </si>
  <si>
    <t>Palmital</t>
  </si>
  <si>
    <t>Loja 41</t>
  </si>
  <si>
    <t>Presidente Venceslau</t>
  </si>
  <si>
    <t>Loja 8</t>
  </si>
  <si>
    <t>Echaporã</t>
  </si>
  <si>
    <t>Loja 12</t>
  </si>
  <si>
    <t>Rancharia</t>
  </si>
  <si>
    <t>Loja 21</t>
  </si>
  <si>
    <t>Tupã</t>
  </si>
  <si>
    <t>Loja 33</t>
  </si>
  <si>
    <t>Tarumã</t>
  </si>
  <si>
    <t>Loja 38</t>
  </si>
  <si>
    <t>Martinópolis</t>
  </si>
  <si>
    <t>Loja 37</t>
  </si>
  <si>
    <t>Piratininga</t>
  </si>
  <si>
    <t>Loja 39</t>
  </si>
  <si>
    <t>Garça</t>
  </si>
  <si>
    <t>Loja 40</t>
  </si>
  <si>
    <t>Ibitinga</t>
  </si>
  <si>
    <t>LOJA 02</t>
  </si>
  <si>
    <t>ASSIS</t>
  </si>
  <si>
    <t>LOJA 03</t>
  </si>
  <si>
    <t>LOJA 04</t>
  </si>
  <si>
    <t>LOJA 13</t>
  </si>
  <si>
    <t>LOJA 20</t>
  </si>
  <si>
    <t>ASSIS MAX</t>
  </si>
  <si>
    <t>LOJA 23</t>
  </si>
  <si>
    <t>LINS</t>
  </si>
  <si>
    <t>LOJA 28</t>
  </si>
  <si>
    <t>LOJA 14</t>
  </si>
  <si>
    <t>OURINHOS</t>
  </si>
  <si>
    <t>LOJA 27</t>
  </si>
  <si>
    <t>LOJA 34</t>
  </si>
  <si>
    <t>LENÇOIS</t>
  </si>
  <si>
    <t>LOJA 35</t>
  </si>
  <si>
    <t>LOJA 36</t>
  </si>
  <si>
    <t>ESCRITORIO</t>
  </si>
  <si>
    <t>LOJA 42</t>
  </si>
  <si>
    <t>DRACENA</t>
  </si>
  <si>
    <t>LOJA 43</t>
  </si>
  <si>
    <t xml:space="preserve">DRACENA </t>
  </si>
  <si>
    <t>LOJA 44</t>
  </si>
  <si>
    <t>LOJA 45</t>
  </si>
  <si>
    <t>JUNQUEIROPOLIS</t>
  </si>
  <si>
    <t>LOJA 46</t>
  </si>
  <si>
    <t xml:space="preserve">TUPI PAULISTA </t>
  </si>
  <si>
    <t>LOJA 47</t>
  </si>
  <si>
    <t>TOTAL</t>
  </si>
  <si>
    <t>REDUÇÃO</t>
  </si>
  <si>
    <t>TOTAL FUNCIONARIOS</t>
  </si>
  <si>
    <t>TOTAL FATURAMENTO</t>
  </si>
  <si>
    <t>CIDADE</t>
  </si>
  <si>
    <t>CABREUVA</t>
  </si>
  <si>
    <t>VARZEA PAULISTA</t>
  </si>
  <si>
    <t>FRANCISCO MORATO</t>
  </si>
  <si>
    <t>SOROCABA</t>
  </si>
  <si>
    <t>CAMPO LIMPO</t>
  </si>
  <si>
    <t>VALINHOS</t>
  </si>
  <si>
    <t>PAULINIA</t>
  </si>
  <si>
    <t>DOM OLIVIO</t>
  </si>
  <si>
    <t>PEDREIRA</t>
  </si>
  <si>
    <t>LOJA 25</t>
  </si>
  <si>
    <t>VALOR UNITARIO</t>
  </si>
  <si>
    <t>TOTAL REDUÇÃO FUNC.</t>
  </si>
  <si>
    <t>TOTAL FAT. REDUZIDO</t>
  </si>
  <si>
    <t>TOTAL COLAB. REDUZIDO</t>
  </si>
  <si>
    <t>RECEITA GLOBAL ATUAL</t>
  </si>
  <si>
    <t>RECEITA GLOBAL NOVA</t>
  </si>
  <si>
    <t>PREVISAO BOA E AVENIDA</t>
  </si>
  <si>
    <t>PREVISAO BOA</t>
  </si>
  <si>
    <t>PREVISAO AVENIDA</t>
  </si>
  <si>
    <t>FAT. ATUAL BOA E AVENIDA</t>
  </si>
  <si>
    <t>TOTAL COLAB. BOA E AVENIDA</t>
  </si>
  <si>
    <t>PREVISAO COLAB. BOA E AVENIDA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</si>
</sst>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1"/>
      <color rgb="FFED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C5D3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8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44" fontId="6" fillId="0" borderId="3" xfId="0" applyNumberFormat="1" applyFont="1" applyBorder="1"/>
    <xf numFmtId="0" fontId="6" fillId="0" borderId="3" xfId="0" applyFont="1" applyBorder="1"/>
    <xf numFmtId="0" fontId="6" fillId="0" borderId="0" xfId="0" applyFont="1"/>
    <xf numFmtId="0" fontId="7" fillId="0" borderId="3" xfId="0" applyFont="1" applyBorder="1" applyAlignment="1">
      <alignment horizontal="center"/>
    </xf>
    <xf numFmtId="44" fontId="7" fillId="0" borderId="0" xfId="0" applyNumberFormat="1" applyFont="1"/>
    <xf numFmtId="44" fontId="6" fillId="0" borderId="0" xfId="0" applyNumberFormat="1" applyFont="1"/>
    <xf numFmtId="0" fontId="11" fillId="3" borderId="3" xfId="2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44" fontId="12" fillId="0" borderId="3" xfId="0" applyNumberFormat="1" applyFont="1" applyBorder="1" applyAlignment="1">
      <alignment vertical="center"/>
    </xf>
    <xf numFmtId="44" fontId="13" fillId="0" borderId="3" xfId="0" applyNumberFormat="1" applyFont="1" applyBorder="1" applyAlignment="1">
      <alignment horizontal="center"/>
    </xf>
    <xf numFmtId="0" fontId="3" fillId="0" borderId="0" xfId="0" applyFont="1"/>
    <xf numFmtId="0" fontId="1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/>
    <xf numFmtId="44" fontId="3" fillId="0" borderId="0" xfId="0" applyNumberFormat="1" applyFont="1"/>
    <xf numFmtId="44" fontId="0" fillId="0" borderId="0" xfId="0" applyNumberFormat="1"/>
    <xf numFmtId="44" fontId="3" fillId="0" borderId="3" xfId="0" applyNumberFormat="1" applyFont="1" applyBorder="1"/>
    <xf numFmtId="16" fontId="15" fillId="0" borderId="3" xfId="2" applyNumberFormat="1" applyFont="1" applyBorder="1"/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3" fontId="15" fillId="0" borderId="3" xfId="0" applyNumberFormat="1" applyFont="1" applyBorder="1" applyAlignment="1">
      <alignment horizontal="center" vertical="center"/>
    </xf>
    <xf numFmtId="44" fontId="15" fillId="0" borderId="3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3" xfId="0" applyFont="1" applyBorder="1" applyAlignment="1">
      <alignment horizontal="center" vertical="center"/>
    </xf>
    <xf numFmtId="44" fontId="17" fillId="0" borderId="3" xfId="0" applyNumberFormat="1" applyFont="1" applyBorder="1" applyAlignment="1">
      <alignment vertical="center"/>
    </xf>
    <xf numFmtId="44" fontId="18" fillId="0" borderId="3" xfId="0" applyNumberFormat="1" applyFont="1" applyBorder="1" applyAlignment="1">
      <alignment horizontal="center"/>
    </xf>
    <xf numFmtId="0" fontId="16" fillId="0" borderId="0" xfId="0" applyFont="1"/>
    <xf numFmtId="0" fontId="19" fillId="0" borderId="3" xfId="0" applyFont="1" applyBorder="1" applyAlignment="1">
      <alignment horizontal="left"/>
    </xf>
    <xf numFmtId="44" fontId="16" fillId="0" borderId="3" xfId="0" applyNumberFormat="1" applyFont="1" applyBorder="1"/>
    <xf numFmtId="14" fontId="16" fillId="0" borderId="4" xfId="0" applyNumberFormat="1" applyFont="1" applyBorder="1" applyAlignment="1">
      <alignment horizontal="left"/>
    </xf>
    <xf numFmtId="0" fontId="16" fillId="0" borderId="3" xfId="0" applyFont="1" applyBorder="1"/>
    <xf numFmtId="0" fontId="18" fillId="0" borderId="3" xfId="0" applyFont="1" applyBorder="1" applyAlignment="1">
      <alignment horizontal="center"/>
    </xf>
    <xf numFmtId="44" fontId="16" fillId="0" borderId="0" xfId="0" applyNumberFormat="1" applyFont="1"/>
    <xf numFmtId="16" fontId="21" fillId="0" borderId="3" xfId="2" applyNumberFormat="1" applyFont="1" applyBorder="1"/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3" fontId="21" fillId="0" borderId="3" xfId="0" applyNumberFormat="1" applyFont="1" applyBorder="1" applyAlignment="1">
      <alignment horizontal="center" vertical="center"/>
    </xf>
    <xf numFmtId="44" fontId="21" fillId="0" borderId="3" xfId="0" applyNumberFormat="1" applyFont="1" applyBorder="1" applyAlignment="1">
      <alignment horizontal="center" vertical="center"/>
    </xf>
    <xf numFmtId="16" fontId="21" fillId="0" borderId="0" xfId="2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3" fontId="20" fillId="0" borderId="3" xfId="0" applyNumberFormat="1" applyFont="1" applyBorder="1" applyAlignment="1">
      <alignment horizontal="center" vertical="center"/>
    </xf>
    <xf numFmtId="44" fontId="20" fillId="0" borderId="3" xfId="0" applyNumberFormat="1" applyFont="1" applyBorder="1" applyAlignment="1">
      <alignment horizontal="center" vertical="center"/>
    </xf>
    <xf numFmtId="3" fontId="16" fillId="0" borderId="0" xfId="0" applyNumberFormat="1" applyFont="1"/>
    <xf numFmtId="44" fontId="18" fillId="0" borderId="3" xfId="0" applyNumberFormat="1" applyFont="1" applyBorder="1"/>
    <xf numFmtId="0" fontId="5" fillId="0" borderId="0" xfId="0" applyFont="1"/>
    <xf numFmtId="0" fontId="14" fillId="0" borderId="4" xfId="0" applyFont="1" applyBorder="1" applyAlignment="1">
      <alignment horizontal="left"/>
    </xf>
    <xf numFmtId="0" fontId="3" fillId="0" borderId="3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0" fillId="0" borderId="0" xfId="0" applyAlignment="1">
      <alignment horizontal="left"/>
    </xf>
    <xf numFmtId="44" fontId="12" fillId="0" borderId="3" xfId="0" applyNumberFormat="1" applyFont="1" applyBorder="1" applyAlignment="1">
      <alignment horizontal="center" vertical="center"/>
    </xf>
    <xf numFmtId="44" fontId="4" fillId="0" borderId="0" xfId="0" applyNumberFormat="1" applyFont="1"/>
    <xf numFmtId="44" fontId="13" fillId="0" borderId="0" xfId="0" applyNumberFormat="1" applyFont="1"/>
    <xf numFmtId="3" fontId="6" fillId="0" borderId="3" xfId="0" applyNumberFormat="1" applyFont="1" applyBorder="1"/>
    <xf numFmtId="9" fontId="6" fillId="0" borderId="0" xfId="1" applyFont="1"/>
    <xf numFmtId="0" fontId="6" fillId="0" borderId="0" xfId="0" applyFont="1" applyAlignment="1">
      <alignment horizontal="left"/>
    </xf>
    <xf numFmtId="9" fontId="6" fillId="0" borderId="0" xfId="1" applyFont="1" applyAlignment="1">
      <alignment horizontal="left"/>
    </xf>
    <xf numFmtId="165" fontId="6" fillId="0" borderId="0" xfId="0" applyNumberFormat="1" applyFont="1"/>
    <xf numFmtId="165" fontId="6" fillId="0" borderId="3" xfId="0" applyNumberFormat="1" applyFont="1" applyBorder="1"/>
    <xf numFmtId="0" fontId="6" fillId="4" borderId="3" xfId="0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0" fontId="22" fillId="0" borderId="3" xfId="0" applyFont="1" applyBorder="1"/>
    <xf numFmtId="44" fontId="22" fillId="0" borderId="3" xfId="0" applyNumberFormat="1" applyFont="1" applyBorder="1"/>
    <xf numFmtId="0" fontId="7" fillId="0" borderId="3" xfId="0" applyFont="1" applyBorder="1"/>
    <xf numFmtId="44" fontId="7" fillId="0" borderId="3" xfId="0" applyNumberFormat="1" applyFont="1" applyBorder="1"/>
    <xf numFmtId="3" fontId="7" fillId="0" borderId="3" xfId="0" applyNumberFormat="1" applyFont="1" applyBorder="1"/>
    <xf numFmtId="3" fontId="22" fillId="0" borderId="3" xfId="0" applyNumberFormat="1" applyFont="1" applyBorder="1"/>
    <xf numFmtId="0" fontId="0" fillId="0" borderId="3" xfId="0" applyBorder="1"/>
    <xf numFmtId="44" fontId="0" fillId="0" borderId="3" xfId="0" applyNumberFormat="1" applyBorder="1"/>
    <xf numFmtId="9" fontId="0" fillId="0" borderId="0" xfId="1" applyFont="1" applyAlignment="1">
      <alignment horizontal="left"/>
    </xf>
    <xf numFmtId="44" fontId="23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</cellXfs>
  <cellStyles count="3">
    <cellStyle name="Normal" xfId="0" builtinId="0"/>
    <cellStyle name="Normal 6" xfId="2" xr:uid="{99FA7E3F-2DF3-4CD8-9DBD-529C5AB11E3D}"/>
    <cellStyle name="Porcentagem" xfId="1" builtinId="5"/>
  </cellStyles>
  <dxfs count="0"/>
  <tableStyles count="0" defaultTableStyle="TableStyleMedium2" defaultPivotStyle="PivotStyleLight16"/>
  <colors>
    <mruColors>
      <color rgb="FF99CCFF"/>
      <color rgb="FF0000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E3E6-EA36-49C2-9F1D-5EBF2477AFF9}">
  <dimension ref="A1:J82"/>
  <sheetViews>
    <sheetView showGridLines="0" tabSelected="1" workbookViewId="0"/>
  </sheetViews>
  <sheetFormatPr defaultRowHeight="14.4" x14ac:dyDescent="0.3"/>
  <cols>
    <col min="1" max="1" width="39.88671875" style="35" bestFit="1" customWidth="1"/>
    <col min="2" max="2" width="11.21875" style="35" bestFit="1" customWidth="1"/>
    <col min="3" max="3" width="15.88671875" style="35" bestFit="1" customWidth="1"/>
    <col min="4" max="4" width="14" style="35" bestFit="1" customWidth="1"/>
    <col min="5" max="5" width="20.88671875" style="35" bestFit="1" customWidth="1"/>
    <col min="6" max="6" width="15.5546875" style="35" bestFit="1" customWidth="1"/>
    <col min="7" max="10" width="14" style="35" bestFit="1" customWidth="1"/>
    <col min="11" max="16384" width="8.88671875" style="35"/>
  </cols>
  <sheetData>
    <row r="1" spans="1:7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 spans="1:7" x14ac:dyDescent="0.3">
      <c r="A2" s="30" t="s">
        <v>7</v>
      </c>
      <c r="B2" s="31" t="s">
        <v>8</v>
      </c>
      <c r="C2" s="32">
        <v>5</v>
      </c>
      <c r="D2" s="32"/>
      <c r="E2" s="32">
        <f>C2+D2</f>
        <v>5</v>
      </c>
      <c r="F2" s="33">
        <v>5654.7945503999999</v>
      </c>
      <c r="G2" s="34">
        <f>F2*E2</f>
        <v>28273.972752000001</v>
      </c>
    </row>
    <row r="3" spans="1:7" x14ac:dyDescent="0.3">
      <c r="A3" s="30" t="s">
        <v>9</v>
      </c>
      <c r="B3" s="31" t="s">
        <v>8</v>
      </c>
      <c r="C3" s="32">
        <v>2</v>
      </c>
      <c r="D3" s="32"/>
      <c r="E3" s="32">
        <f t="shared" ref="E3:E25" si="0">C3+D3</f>
        <v>2</v>
      </c>
      <c r="F3" s="33">
        <v>5660.4407039999996</v>
      </c>
      <c r="G3" s="34">
        <f t="shared" ref="G3:G24" si="1">F3*E3</f>
        <v>11320.881407999999</v>
      </c>
    </row>
    <row r="4" spans="1:7" x14ac:dyDescent="0.3">
      <c r="A4" s="36" t="s">
        <v>10</v>
      </c>
      <c r="B4" s="31" t="s">
        <v>8</v>
      </c>
      <c r="C4" s="32">
        <v>6</v>
      </c>
      <c r="D4" s="32">
        <v>1</v>
      </c>
      <c r="E4" s="32">
        <f t="shared" si="0"/>
        <v>7</v>
      </c>
      <c r="F4" s="37">
        <v>5660.4421350000002</v>
      </c>
      <c r="G4" s="34">
        <f t="shared" si="1"/>
        <v>39623.094945000004</v>
      </c>
    </row>
    <row r="5" spans="1:7" s="17" customFormat="1" x14ac:dyDescent="0.3">
      <c r="A5" s="12" t="s">
        <v>11</v>
      </c>
      <c r="B5" s="13" t="s">
        <v>8</v>
      </c>
      <c r="C5" s="14">
        <v>5</v>
      </c>
      <c r="D5" s="14"/>
      <c r="E5" s="14">
        <f t="shared" si="0"/>
        <v>5</v>
      </c>
      <c r="F5" s="15">
        <v>5660.4407039999996</v>
      </c>
      <c r="G5" s="16">
        <f t="shared" si="1"/>
        <v>28302.203519999999</v>
      </c>
    </row>
    <row r="6" spans="1:7" s="17" customFormat="1" x14ac:dyDescent="0.3">
      <c r="A6" s="12" t="s">
        <v>11</v>
      </c>
      <c r="B6" s="13" t="s">
        <v>12</v>
      </c>
      <c r="C6" s="14">
        <v>5</v>
      </c>
      <c r="D6" s="14"/>
      <c r="E6" s="14">
        <f t="shared" si="0"/>
        <v>5</v>
      </c>
      <c r="F6" s="15">
        <v>6705.3527999999997</v>
      </c>
      <c r="G6" s="16">
        <f t="shared" si="1"/>
        <v>33526.763999999996</v>
      </c>
    </row>
    <row r="7" spans="1:7" x14ac:dyDescent="0.3">
      <c r="A7" s="36" t="s">
        <v>13</v>
      </c>
      <c r="B7" s="31" t="s">
        <v>8</v>
      </c>
      <c r="C7" s="32">
        <v>6</v>
      </c>
      <c r="D7" s="32"/>
      <c r="E7" s="32">
        <f t="shared" si="0"/>
        <v>6</v>
      </c>
      <c r="F7" s="33">
        <v>5654.7902982857104</v>
      </c>
      <c r="G7" s="34">
        <f t="shared" si="1"/>
        <v>33928.741789714259</v>
      </c>
    </row>
    <row r="8" spans="1:7" x14ac:dyDescent="0.3">
      <c r="A8" s="36" t="s">
        <v>14</v>
      </c>
      <c r="B8" s="38" t="s">
        <v>8</v>
      </c>
      <c r="C8" s="32">
        <v>2</v>
      </c>
      <c r="D8" s="32"/>
      <c r="E8" s="32">
        <f t="shared" si="0"/>
        <v>2</v>
      </c>
      <c r="F8" s="33">
        <v>5660.4407039999996</v>
      </c>
      <c r="G8" s="34">
        <f t="shared" si="1"/>
        <v>11320.881407999999</v>
      </c>
    </row>
    <row r="9" spans="1:7" s="17" customFormat="1" x14ac:dyDescent="0.3">
      <c r="A9" s="18" t="s">
        <v>15</v>
      </c>
      <c r="B9" s="13" t="s">
        <v>8</v>
      </c>
      <c r="C9" s="14">
        <v>6</v>
      </c>
      <c r="D9" s="14">
        <v>1</v>
      </c>
      <c r="E9" s="14">
        <f t="shared" si="0"/>
        <v>7</v>
      </c>
      <c r="F9" s="15">
        <v>5654.7911160000003</v>
      </c>
      <c r="G9" s="16">
        <f t="shared" si="1"/>
        <v>39583.537812000002</v>
      </c>
    </row>
    <row r="10" spans="1:7" x14ac:dyDescent="0.3">
      <c r="A10" s="30" t="s">
        <v>16</v>
      </c>
      <c r="B10" s="31" t="s">
        <v>8</v>
      </c>
      <c r="C10" s="32">
        <v>5</v>
      </c>
      <c r="D10" s="32"/>
      <c r="E10" s="32">
        <f t="shared" si="0"/>
        <v>5</v>
      </c>
      <c r="F10" s="33">
        <v>5668.3283759999995</v>
      </c>
      <c r="G10" s="34">
        <f t="shared" si="1"/>
        <v>28341.641879999996</v>
      </c>
    </row>
    <row r="11" spans="1:7" s="17" customFormat="1" x14ac:dyDescent="0.3">
      <c r="A11" s="18" t="s">
        <v>17</v>
      </c>
      <c r="B11" s="13" t="s">
        <v>8</v>
      </c>
      <c r="C11" s="14">
        <v>6</v>
      </c>
      <c r="D11" s="14">
        <v>1</v>
      </c>
      <c r="E11" s="14">
        <f t="shared" si="0"/>
        <v>7</v>
      </c>
      <c r="F11" s="15">
        <v>5654.7911160000003</v>
      </c>
      <c r="G11" s="16">
        <f t="shared" si="1"/>
        <v>39583.537812000002</v>
      </c>
    </row>
    <row r="12" spans="1:7" x14ac:dyDescent="0.3">
      <c r="A12" s="30" t="s">
        <v>18</v>
      </c>
      <c r="B12" s="38" t="s">
        <v>8</v>
      </c>
      <c r="C12" s="32">
        <v>2</v>
      </c>
      <c r="D12" s="32"/>
      <c r="E12" s="32">
        <f t="shared" si="0"/>
        <v>2</v>
      </c>
      <c r="F12" s="33">
        <v>5660.4407039999996</v>
      </c>
      <c r="G12" s="34">
        <f t="shared" si="1"/>
        <v>11320.881407999999</v>
      </c>
    </row>
    <row r="13" spans="1:7" s="17" customFormat="1" x14ac:dyDescent="0.3">
      <c r="A13" s="12" t="s">
        <v>19</v>
      </c>
      <c r="B13" s="19" t="s">
        <v>8</v>
      </c>
      <c r="C13" s="14">
        <v>5</v>
      </c>
      <c r="D13" s="14"/>
      <c r="E13" s="14">
        <f t="shared" si="0"/>
        <v>5</v>
      </c>
      <c r="F13" s="15">
        <v>5660.4407039999996</v>
      </c>
      <c r="G13" s="16">
        <f t="shared" si="1"/>
        <v>28302.203519999999</v>
      </c>
    </row>
    <row r="14" spans="1:7" s="17" customFormat="1" x14ac:dyDescent="0.3">
      <c r="A14" s="12" t="s">
        <v>19</v>
      </c>
      <c r="B14" s="19" t="s">
        <v>12</v>
      </c>
      <c r="C14" s="14">
        <v>5</v>
      </c>
      <c r="D14" s="14"/>
      <c r="E14" s="14">
        <f t="shared" si="0"/>
        <v>5</v>
      </c>
      <c r="F14" s="15">
        <v>6705.3527999999988</v>
      </c>
      <c r="G14" s="16">
        <f t="shared" si="1"/>
        <v>33526.763999999996</v>
      </c>
    </row>
    <row r="15" spans="1:7" x14ac:dyDescent="0.3">
      <c r="A15" s="30" t="s">
        <v>20</v>
      </c>
      <c r="B15" s="31" t="s">
        <v>8</v>
      </c>
      <c r="C15" s="32">
        <v>5</v>
      </c>
      <c r="D15" s="32"/>
      <c r="E15" s="32">
        <f t="shared" si="0"/>
        <v>5</v>
      </c>
      <c r="F15" s="33">
        <v>5654.7945503999999</v>
      </c>
      <c r="G15" s="34">
        <f t="shared" si="1"/>
        <v>28273.972752000001</v>
      </c>
    </row>
    <row r="16" spans="1:7" x14ac:dyDescent="0.3">
      <c r="A16" s="30" t="s">
        <v>21</v>
      </c>
      <c r="B16" s="31" t="s">
        <v>8</v>
      </c>
      <c r="C16" s="32">
        <v>5</v>
      </c>
      <c r="D16" s="32"/>
      <c r="E16" s="32">
        <f t="shared" si="0"/>
        <v>5</v>
      </c>
      <c r="F16" s="33">
        <v>5660.4407039999996</v>
      </c>
      <c r="G16" s="34">
        <f t="shared" si="1"/>
        <v>28302.203519999999</v>
      </c>
    </row>
    <row r="17" spans="1:10" s="17" customFormat="1" x14ac:dyDescent="0.3">
      <c r="A17" s="18" t="s">
        <v>22</v>
      </c>
      <c r="B17" s="19" t="s">
        <v>8</v>
      </c>
      <c r="C17" s="14">
        <v>7</v>
      </c>
      <c r="D17" s="14"/>
      <c r="E17" s="14">
        <f t="shared" si="0"/>
        <v>7</v>
      </c>
      <c r="F17" s="15">
        <v>5660.4419760000001</v>
      </c>
      <c r="G17" s="16">
        <f t="shared" si="1"/>
        <v>39623.093831999999</v>
      </c>
    </row>
    <row r="18" spans="1:10" s="17" customFormat="1" x14ac:dyDescent="0.3">
      <c r="A18" s="12" t="s">
        <v>22</v>
      </c>
      <c r="B18" s="19" t="s">
        <v>23</v>
      </c>
      <c r="C18" s="14"/>
      <c r="D18" s="14">
        <v>1</v>
      </c>
      <c r="E18" s="14">
        <f t="shared" si="0"/>
        <v>1</v>
      </c>
      <c r="F18" s="60">
        <v>3995.9243999999999</v>
      </c>
      <c r="G18" s="16">
        <f t="shared" si="1"/>
        <v>3995.9243999999999</v>
      </c>
    </row>
    <row r="19" spans="1:10" s="17" customFormat="1" x14ac:dyDescent="0.3">
      <c r="A19" s="18" t="s">
        <v>24</v>
      </c>
      <c r="B19" s="19" t="s">
        <v>8</v>
      </c>
      <c r="C19" s="14">
        <v>6</v>
      </c>
      <c r="D19" s="14">
        <v>1</v>
      </c>
      <c r="E19" s="14">
        <f t="shared" si="0"/>
        <v>7</v>
      </c>
      <c r="F19" s="15">
        <v>5660.4421350000002</v>
      </c>
      <c r="G19" s="16">
        <f t="shared" si="1"/>
        <v>39623.094945000004</v>
      </c>
    </row>
    <row r="20" spans="1:10" x14ac:dyDescent="0.3">
      <c r="A20" s="30" t="s">
        <v>25</v>
      </c>
      <c r="B20" s="31" t="s">
        <v>8</v>
      </c>
      <c r="C20" s="32">
        <v>5</v>
      </c>
      <c r="D20" s="32"/>
      <c r="E20" s="32">
        <f t="shared" si="0"/>
        <v>5</v>
      </c>
      <c r="F20" s="33">
        <v>5660.4400000000005</v>
      </c>
      <c r="G20" s="34">
        <f t="shared" si="1"/>
        <v>28302.200000000004</v>
      </c>
    </row>
    <row r="21" spans="1:10" x14ac:dyDescent="0.3">
      <c r="A21" s="30" t="s">
        <v>26</v>
      </c>
      <c r="B21" s="38" t="s">
        <v>8</v>
      </c>
      <c r="C21" s="32">
        <v>2</v>
      </c>
      <c r="D21" s="32"/>
      <c r="E21" s="32">
        <f t="shared" si="0"/>
        <v>2</v>
      </c>
      <c r="F21" s="33">
        <v>5660.44</v>
      </c>
      <c r="G21" s="34">
        <f t="shared" si="1"/>
        <v>11320.88</v>
      </c>
    </row>
    <row r="22" spans="1:10" x14ac:dyDescent="0.3">
      <c r="A22" s="30" t="s">
        <v>27</v>
      </c>
      <c r="B22" s="38" t="s">
        <v>8</v>
      </c>
      <c r="C22" s="32">
        <v>5</v>
      </c>
      <c r="D22" s="32"/>
      <c r="E22" s="32">
        <f t="shared" si="0"/>
        <v>5</v>
      </c>
      <c r="F22" s="33">
        <v>5660.442</v>
      </c>
      <c r="G22" s="34">
        <f t="shared" si="1"/>
        <v>28302.21</v>
      </c>
    </row>
    <row r="23" spans="1:10" x14ac:dyDescent="0.3">
      <c r="A23" s="30" t="s">
        <v>28</v>
      </c>
      <c r="B23" s="38" t="s">
        <v>8</v>
      </c>
      <c r="C23" s="32">
        <v>5</v>
      </c>
      <c r="D23" s="32"/>
      <c r="E23" s="32">
        <f t="shared" si="0"/>
        <v>5</v>
      </c>
      <c r="F23" s="33">
        <v>5660.4407039999996</v>
      </c>
      <c r="G23" s="34">
        <f t="shared" si="1"/>
        <v>28302.203519999999</v>
      </c>
    </row>
    <row r="24" spans="1:10" s="17" customFormat="1" x14ac:dyDescent="0.3">
      <c r="A24" s="12" t="s">
        <v>29</v>
      </c>
      <c r="B24" s="13" t="s">
        <v>8</v>
      </c>
      <c r="C24" s="14">
        <v>5</v>
      </c>
      <c r="D24" s="14"/>
      <c r="E24" s="14">
        <f t="shared" si="0"/>
        <v>5</v>
      </c>
      <c r="F24" s="15">
        <v>5660.442</v>
      </c>
      <c r="G24" s="16">
        <f t="shared" si="1"/>
        <v>28302.21</v>
      </c>
    </row>
    <row r="25" spans="1:10" s="17" customFormat="1" x14ac:dyDescent="0.3">
      <c r="A25" s="12" t="s">
        <v>29</v>
      </c>
      <c r="B25" s="13" t="s">
        <v>12</v>
      </c>
      <c r="C25" s="14">
        <v>5</v>
      </c>
      <c r="D25" s="14"/>
      <c r="E25" s="14">
        <f t="shared" si="0"/>
        <v>5</v>
      </c>
      <c r="F25" s="15">
        <v>6705.3527999999988</v>
      </c>
      <c r="G25" s="16">
        <f>F25*E25</f>
        <v>33526.763999999996</v>
      </c>
    </row>
    <row r="26" spans="1:10" s="17" customFormat="1" x14ac:dyDescent="0.3">
      <c r="A26" s="12" t="s">
        <v>30</v>
      </c>
      <c r="B26" s="13" t="s">
        <v>8</v>
      </c>
      <c r="C26" s="14">
        <v>5</v>
      </c>
      <c r="D26" s="14"/>
      <c r="E26" s="14">
        <f>C26+D26</f>
        <v>5</v>
      </c>
      <c r="F26" s="15">
        <v>6249</v>
      </c>
      <c r="G26" s="16">
        <f>F26*E26</f>
        <v>31245</v>
      </c>
    </row>
    <row r="27" spans="1:10" s="17" customFormat="1" x14ac:dyDescent="0.3">
      <c r="A27" s="18" t="s">
        <v>31</v>
      </c>
      <c r="B27" s="19" t="s">
        <v>8</v>
      </c>
      <c r="C27" s="14">
        <v>7</v>
      </c>
      <c r="D27" s="20"/>
      <c r="E27" s="14">
        <v>7</v>
      </c>
      <c r="F27" s="15">
        <v>5660.4419760000001</v>
      </c>
      <c r="G27" s="16">
        <f>F27*E27</f>
        <v>39623.093831999999</v>
      </c>
    </row>
    <row r="28" spans="1:10" s="17" customFormat="1" x14ac:dyDescent="0.3">
      <c r="A28" s="18" t="s">
        <v>31</v>
      </c>
      <c r="B28" s="19" t="s">
        <v>12</v>
      </c>
      <c r="C28" s="14">
        <v>1</v>
      </c>
      <c r="D28" s="20"/>
      <c r="E28" s="14">
        <v>1</v>
      </c>
      <c r="F28" s="15">
        <v>6759.3755714285699</v>
      </c>
      <c r="G28" s="16">
        <f>F28*E28</f>
        <v>6759.3755714285699</v>
      </c>
    </row>
    <row r="29" spans="1:10" s="17" customFormat="1" x14ac:dyDescent="0.3">
      <c r="A29" s="12" t="s">
        <v>32</v>
      </c>
      <c r="B29" s="19" t="s">
        <v>8</v>
      </c>
      <c r="C29" s="14">
        <v>3</v>
      </c>
      <c r="D29" s="20"/>
      <c r="E29" s="14">
        <v>3</v>
      </c>
      <c r="F29" s="15">
        <v>7366.19333333333</v>
      </c>
      <c r="G29" s="16">
        <f>F29*E29</f>
        <v>22098.579999999991</v>
      </c>
      <c r="I29" s="21"/>
      <c r="J29" s="21"/>
    </row>
    <row r="30" spans="1:10" x14ac:dyDescent="0.3">
      <c r="C30" s="40">
        <f>SUM(C2:C29)</f>
        <v>126</v>
      </c>
      <c r="D30" s="40">
        <f>SUM(D2:D29)</f>
        <v>5</v>
      </c>
      <c r="E30" s="40">
        <f>SUM(E2:E29)</f>
        <v>131</v>
      </c>
      <c r="G30" s="53">
        <f>SUM(G2:G29)</f>
        <v>764555.91262714274</v>
      </c>
      <c r="H30" s="41"/>
      <c r="I30" s="41"/>
    </row>
    <row r="32" spans="1:10" s="54" customFormat="1" ht="41.4" x14ac:dyDescent="0.3">
      <c r="A32" s="11" t="s">
        <v>33</v>
      </c>
      <c r="B32" s="11" t="s">
        <v>34</v>
      </c>
      <c r="C32" s="11" t="s">
        <v>35</v>
      </c>
      <c r="D32" s="11" t="s">
        <v>36</v>
      </c>
      <c r="E32" s="11" t="s">
        <v>37</v>
      </c>
      <c r="F32" s="11" t="s">
        <v>38</v>
      </c>
      <c r="G32" s="11" t="s">
        <v>39</v>
      </c>
      <c r="H32" s="11" t="s">
        <v>40</v>
      </c>
    </row>
    <row r="33" spans="1:8" x14ac:dyDescent="0.3">
      <c r="A33" s="42">
        <v>45300</v>
      </c>
      <c r="B33" s="43" t="s">
        <v>41</v>
      </c>
      <c r="C33" s="43" t="s">
        <v>42</v>
      </c>
      <c r="D33" s="44" t="s">
        <v>43</v>
      </c>
      <c r="E33" s="44" t="s">
        <v>44</v>
      </c>
      <c r="F33" s="45">
        <v>3</v>
      </c>
      <c r="G33" s="46">
        <v>4160</v>
      </c>
      <c r="H33" s="46">
        <f>G33*F33</f>
        <v>12480</v>
      </c>
    </row>
    <row r="34" spans="1:8" x14ac:dyDescent="0.3">
      <c r="A34" s="42">
        <v>45300</v>
      </c>
      <c r="B34" s="43" t="s">
        <v>45</v>
      </c>
      <c r="C34" s="43" t="s">
        <v>42</v>
      </c>
      <c r="D34" s="44" t="s">
        <v>43</v>
      </c>
      <c r="E34" s="44" t="s">
        <v>46</v>
      </c>
      <c r="F34" s="45">
        <v>2</v>
      </c>
      <c r="G34" s="46">
        <v>4160</v>
      </c>
      <c r="H34" s="46">
        <f t="shared" ref="H34:H71" si="2">G34*F34</f>
        <v>8320</v>
      </c>
    </row>
    <row r="35" spans="1:8" s="17" customFormat="1" x14ac:dyDescent="0.3">
      <c r="A35" s="24">
        <v>45300</v>
      </c>
      <c r="B35" s="25" t="s">
        <v>47</v>
      </c>
      <c r="C35" s="25" t="s">
        <v>42</v>
      </c>
      <c r="D35" s="26" t="s">
        <v>43</v>
      </c>
      <c r="E35" s="26" t="s">
        <v>48</v>
      </c>
      <c r="F35" s="27">
        <v>2</v>
      </c>
      <c r="G35" s="28">
        <v>4160</v>
      </c>
      <c r="H35" s="28">
        <f t="shared" si="2"/>
        <v>8320</v>
      </c>
    </row>
    <row r="36" spans="1:8" x14ac:dyDescent="0.3">
      <c r="A36" s="42">
        <v>45300</v>
      </c>
      <c r="B36" s="43" t="s">
        <v>49</v>
      </c>
      <c r="C36" s="43" t="s">
        <v>42</v>
      </c>
      <c r="D36" s="44" t="s">
        <v>43</v>
      </c>
      <c r="E36" s="44" t="s">
        <v>50</v>
      </c>
      <c r="F36" s="45">
        <v>2</v>
      </c>
      <c r="G36" s="46">
        <v>4160</v>
      </c>
      <c r="H36" s="46">
        <f t="shared" si="2"/>
        <v>8320</v>
      </c>
    </row>
    <row r="37" spans="1:8" x14ac:dyDescent="0.3">
      <c r="A37" s="42">
        <v>45300</v>
      </c>
      <c r="B37" s="43" t="s">
        <v>51</v>
      </c>
      <c r="C37" s="43" t="s">
        <v>42</v>
      </c>
      <c r="D37" s="44" t="s">
        <v>43</v>
      </c>
      <c r="E37" s="44" t="s">
        <v>52</v>
      </c>
      <c r="F37" s="45">
        <v>2</v>
      </c>
      <c r="G37" s="46">
        <v>4160</v>
      </c>
      <c r="H37" s="46">
        <f t="shared" si="2"/>
        <v>8320</v>
      </c>
    </row>
    <row r="38" spans="1:8" x14ac:dyDescent="0.3">
      <c r="A38" s="42">
        <v>45300</v>
      </c>
      <c r="B38" s="43" t="s">
        <v>53</v>
      </c>
      <c r="C38" s="43" t="s">
        <v>42</v>
      </c>
      <c r="D38" s="44" t="s">
        <v>43</v>
      </c>
      <c r="E38" s="44" t="s">
        <v>54</v>
      </c>
      <c r="F38" s="45">
        <v>2</v>
      </c>
      <c r="G38" s="46">
        <v>4160</v>
      </c>
      <c r="H38" s="46">
        <f t="shared" si="2"/>
        <v>8320</v>
      </c>
    </row>
    <row r="39" spans="1:8" x14ac:dyDescent="0.3">
      <c r="A39" s="42">
        <v>45300</v>
      </c>
      <c r="B39" s="43" t="s">
        <v>55</v>
      </c>
      <c r="C39" s="43" t="s">
        <v>42</v>
      </c>
      <c r="D39" s="44" t="s">
        <v>43</v>
      </c>
      <c r="E39" s="44" t="s">
        <v>56</v>
      </c>
      <c r="F39" s="45">
        <v>2</v>
      </c>
      <c r="G39" s="46">
        <v>4160</v>
      </c>
      <c r="H39" s="46">
        <f t="shared" si="2"/>
        <v>8320</v>
      </c>
    </row>
    <row r="40" spans="1:8" x14ac:dyDescent="0.3">
      <c r="A40" s="42">
        <v>45323</v>
      </c>
      <c r="B40" s="43" t="s">
        <v>57</v>
      </c>
      <c r="C40" s="43" t="s">
        <v>42</v>
      </c>
      <c r="D40" s="44" t="s">
        <v>43</v>
      </c>
      <c r="E40" s="44" t="s">
        <v>58</v>
      </c>
      <c r="F40" s="45">
        <v>2</v>
      </c>
      <c r="G40" s="46">
        <v>4160</v>
      </c>
      <c r="H40" s="46">
        <f t="shared" si="2"/>
        <v>8320</v>
      </c>
    </row>
    <row r="41" spans="1:8" x14ac:dyDescent="0.3">
      <c r="A41" s="42">
        <v>45323</v>
      </c>
      <c r="B41" s="43" t="s">
        <v>59</v>
      </c>
      <c r="C41" s="43" t="s">
        <v>42</v>
      </c>
      <c r="D41" s="44" t="s">
        <v>43</v>
      </c>
      <c r="E41" s="44" t="s">
        <v>46</v>
      </c>
      <c r="F41" s="45">
        <v>2</v>
      </c>
      <c r="G41" s="46">
        <v>4160</v>
      </c>
      <c r="H41" s="46">
        <f t="shared" si="2"/>
        <v>8320</v>
      </c>
    </row>
    <row r="42" spans="1:8" x14ac:dyDescent="0.3">
      <c r="A42" s="42">
        <v>45323</v>
      </c>
      <c r="B42" s="43" t="s">
        <v>60</v>
      </c>
      <c r="C42" s="43" t="s">
        <v>42</v>
      </c>
      <c r="D42" s="44" t="s">
        <v>43</v>
      </c>
      <c r="E42" s="44" t="s">
        <v>52</v>
      </c>
      <c r="F42" s="45">
        <v>3</v>
      </c>
      <c r="G42" s="46">
        <v>4160</v>
      </c>
      <c r="H42" s="46">
        <f t="shared" si="2"/>
        <v>12480</v>
      </c>
    </row>
    <row r="43" spans="1:8" x14ac:dyDescent="0.3">
      <c r="A43" s="42">
        <v>45323</v>
      </c>
      <c r="B43" s="43" t="s">
        <v>61</v>
      </c>
      <c r="C43" s="43" t="s">
        <v>42</v>
      </c>
      <c r="D43" s="44" t="s">
        <v>43</v>
      </c>
      <c r="E43" s="44" t="s">
        <v>62</v>
      </c>
      <c r="F43" s="45">
        <v>2</v>
      </c>
      <c r="G43" s="46">
        <v>4160</v>
      </c>
      <c r="H43" s="46">
        <f t="shared" si="2"/>
        <v>8320</v>
      </c>
    </row>
    <row r="44" spans="1:8" x14ac:dyDescent="0.3">
      <c r="A44" s="42">
        <v>45323</v>
      </c>
      <c r="B44" s="43" t="s">
        <v>63</v>
      </c>
      <c r="C44" s="43" t="s">
        <v>42</v>
      </c>
      <c r="D44" s="44" t="s">
        <v>43</v>
      </c>
      <c r="E44" s="44" t="s">
        <v>64</v>
      </c>
      <c r="F44" s="45">
        <v>2</v>
      </c>
      <c r="G44" s="46">
        <v>4160</v>
      </c>
      <c r="H44" s="46">
        <f t="shared" si="2"/>
        <v>8320</v>
      </c>
    </row>
    <row r="45" spans="1:8" x14ac:dyDescent="0.3">
      <c r="A45" s="42">
        <v>45323</v>
      </c>
      <c r="B45" s="43" t="s">
        <v>65</v>
      </c>
      <c r="C45" s="43" t="s">
        <v>42</v>
      </c>
      <c r="D45" s="44" t="s">
        <v>43</v>
      </c>
      <c r="E45" s="44" t="s">
        <v>66</v>
      </c>
      <c r="F45" s="45">
        <v>2</v>
      </c>
      <c r="G45" s="46">
        <v>4160</v>
      </c>
      <c r="H45" s="46">
        <f t="shared" si="2"/>
        <v>8320</v>
      </c>
    </row>
    <row r="46" spans="1:8" x14ac:dyDescent="0.3">
      <c r="A46" s="42">
        <v>45323</v>
      </c>
      <c r="B46" s="43" t="s">
        <v>67</v>
      </c>
      <c r="C46" s="43" t="s">
        <v>42</v>
      </c>
      <c r="D46" s="44" t="s">
        <v>43</v>
      </c>
      <c r="E46" s="44" t="s">
        <v>68</v>
      </c>
      <c r="F46" s="45">
        <v>2</v>
      </c>
      <c r="G46" s="46">
        <v>4160</v>
      </c>
      <c r="H46" s="46">
        <f t="shared" si="2"/>
        <v>8320</v>
      </c>
    </row>
    <row r="47" spans="1:8" x14ac:dyDescent="0.3">
      <c r="A47" s="42">
        <v>45323</v>
      </c>
      <c r="B47" s="43" t="s">
        <v>69</v>
      </c>
      <c r="C47" s="43" t="s">
        <v>42</v>
      </c>
      <c r="D47" s="44" t="s">
        <v>43</v>
      </c>
      <c r="E47" s="44" t="s">
        <v>70</v>
      </c>
      <c r="F47" s="45">
        <v>2</v>
      </c>
      <c r="G47" s="46">
        <v>4160</v>
      </c>
      <c r="H47" s="46">
        <f t="shared" si="2"/>
        <v>8320</v>
      </c>
    </row>
    <row r="48" spans="1:8" x14ac:dyDescent="0.3">
      <c r="A48" s="42">
        <v>45323</v>
      </c>
      <c r="B48" s="43" t="s">
        <v>71</v>
      </c>
      <c r="C48" s="43" t="s">
        <v>42</v>
      </c>
      <c r="D48" s="44" t="s">
        <v>43</v>
      </c>
      <c r="E48" s="44" t="s">
        <v>72</v>
      </c>
      <c r="F48" s="45">
        <v>2</v>
      </c>
      <c r="G48" s="46">
        <v>4160</v>
      </c>
      <c r="H48" s="46">
        <f t="shared" si="2"/>
        <v>8320</v>
      </c>
    </row>
    <row r="49" spans="1:8" x14ac:dyDescent="0.3">
      <c r="A49" s="42">
        <v>45323</v>
      </c>
      <c r="B49" s="43" t="s">
        <v>73</v>
      </c>
      <c r="C49" s="43" t="s">
        <v>42</v>
      </c>
      <c r="D49" s="44" t="s">
        <v>43</v>
      </c>
      <c r="E49" s="44" t="s">
        <v>74</v>
      </c>
      <c r="F49" s="45">
        <v>2</v>
      </c>
      <c r="G49" s="46">
        <v>4160</v>
      </c>
      <c r="H49" s="46">
        <f t="shared" si="2"/>
        <v>8320</v>
      </c>
    </row>
    <row r="50" spans="1:8" x14ac:dyDescent="0.3">
      <c r="A50" s="42">
        <v>45323</v>
      </c>
      <c r="B50" s="43" t="s">
        <v>75</v>
      </c>
      <c r="C50" s="43" t="s">
        <v>42</v>
      </c>
      <c r="D50" s="44" t="s">
        <v>43</v>
      </c>
      <c r="E50" s="44" t="s">
        <v>76</v>
      </c>
      <c r="F50" s="45">
        <v>2</v>
      </c>
      <c r="G50" s="46">
        <v>4160</v>
      </c>
      <c r="H50" s="46">
        <f t="shared" si="2"/>
        <v>8320</v>
      </c>
    </row>
    <row r="51" spans="1:8" x14ac:dyDescent="0.3">
      <c r="A51" s="42">
        <v>45323</v>
      </c>
      <c r="B51" s="43" t="s">
        <v>77</v>
      </c>
      <c r="C51" s="43" t="s">
        <v>42</v>
      </c>
      <c r="D51" s="44" t="s">
        <v>43</v>
      </c>
      <c r="E51" s="44" t="s">
        <v>78</v>
      </c>
      <c r="F51" s="45">
        <v>2</v>
      </c>
      <c r="G51" s="46">
        <v>4160</v>
      </c>
      <c r="H51" s="46">
        <f t="shared" si="2"/>
        <v>8320</v>
      </c>
    </row>
    <row r="52" spans="1:8" x14ac:dyDescent="0.3">
      <c r="A52" s="42">
        <v>45334</v>
      </c>
      <c r="B52" s="43" t="s">
        <v>79</v>
      </c>
      <c r="C52" s="43" t="s">
        <v>42</v>
      </c>
      <c r="D52" s="44" t="s">
        <v>43</v>
      </c>
      <c r="E52" s="44" t="s">
        <v>80</v>
      </c>
      <c r="F52" s="45">
        <v>2</v>
      </c>
      <c r="G52" s="46">
        <v>4160</v>
      </c>
      <c r="H52" s="46">
        <f t="shared" si="2"/>
        <v>8320</v>
      </c>
    </row>
    <row r="53" spans="1:8" s="17" customFormat="1" x14ac:dyDescent="0.3">
      <c r="A53" s="24">
        <v>45483</v>
      </c>
      <c r="B53" s="25" t="s">
        <v>81</v>
      </c>
      <c r="C53" s="25" t="s">
        <v>42</v>
      </c>
      <c r="D53" s="26" t="s">
        <v>43</v>
      </c>
      <c r="E53" s="26" t="s">
        <v>82</v>
      </c>
      <c r="F53" s="27">
        <v>2</v>
      </c>
      <c r="G53" s="28">
        <v>4160</v>
      </c>
      <c r="H53" s="28">
        <f t="shared" si="2"/>
        <v>8320</v>
      </c>
    </row>
    <row r="54" spans="1:8" s="17" customFormat="1" x14ac:dyDescent="0.3">
      <c r="A54" s="24">
        <v>45483</v>
      </c>
      <c r="B54" s="25" t="s">
        <v>83</v>
      </c>
      <c r="C54" s="25" t="s">
        <v>42</v>
      </c>
      <c r="D54" s="26" t="s">
        <v>43</v>
      </c>
      <c r="E54" s="26" t="s">
        <v>82</v>
      </c>
      <c r="F54" s="27">
        <v>2</v>
      </c>
      <c r="G54" s="28">
        <v>4160</v>
      </c>
      <c r="H54" s="28">
        <f t="shared" si="2"/>
        <v>8320</v>
      </c>
    </row>
    <row r="55" spans="1:8" s="17" customFormat="1" x14ac:dyDescent="0.3">
      <c r="A55" s="24">
        <v>45483</v>
      </c>
      <c r="B55" s="25" t="s">
        <v>84</v>
      </c>
      <c r="C55" s="25" t="s">
        <v>42</v>
      </c>
      <c r="D55" s="26" t="s">
        <v>43</v>
      </c>
      <c r="E55" s="26" t="s">
        <v>82</v>
      </c>
      <c r="F55" s="27">
        <v>3</v>
      </c>
      <c r="G55" s="28">
        <v>4160</v>
      </c>
      <c r="H55" s="28">
        <f>G55*F55</f>
        <v>12480</v>
      </c>
    </row>
    <row r="56" spans="1:8" s="17" customFormat="1" x14ac:dyDescent="0.3">
      <c r="A56" s="24">
        <v>45483</v>
      </c>
      <c r="B56" s="25" t="s">
        <v>85</v>
      </c>
      <c r="C56" s="25" t="s">
        <v>42</v>
      </c>
      <c r="D56" s="26" t="s">
        <v>43</v>
      </c>
      <c r="E56" s="26" t="s">
        <v>82</v>
      </c>
      <c r="F56" s="27">
        <v>2</v>
      </c>
      <c r="G56" s="28">
        <v>4160</v>
      </c>
      <c r="H56" s="28">
        <f>G56*F56</f>
        <v>8320</v>
      </c>
    </row>
    <row r="57" spans="1:8" s="17" customFormat="1" x14ac:dyDescent="0.3">
      <c r="A57" s="24">
        <v>45483</v>
      </c>
      <c r="B57" s="25" t="s">
        <v>86</v>
      </c>
      <c r="C57" s="25" t="s">
        <v>42</v>
      </c>
      <c r="D57" s="26" t="s">
        <v>43</v>
      </c>
      <c r="E57" s="26" t="s">
        <v>87</v>
      </c>
      <c r="F57" s="27">
        <v>3</v>
      </c>
      <c r="G57" s="28">
        <v>4160</v>
      </c>
      <c r="H57" s="28">
        <f>G57*F57</f>
        <v>12480</v>
      </c>
    </row>
    <row r="58" spans="1:8" x14ac:dyDescent="0.3">
      <c r="A58" s="42">
        <v>45483</v>
      </c>
      <c r="B58" s="43" t="s">
        <v>88</v>
      </c>
      <c r="C58" s="43" t="s">
        <v>42</v>
      </c>
      <c r="D58" s="44" t="s">
        <v>43</v>
      </c>
      <c r="E58" s="44" t="s">
        <v>89</v>
      </c>
      <c r="F58" s="45">
        <v>2</v>
      </c>
      <c r="G58" s="46">
        <v>4160</v>
      </c>
      <c r="H58" s="46">
        <f>G58*F58</f>
        <v>8320</v>
      </c>
    </row>
    <row r="59" spans="1:8" x14ac:dyDescent="0.3">
      <c r="A59" s="42">
        <v>45483</v>
      </c>
      <c r="B59" s="43" t="s">
        <v>90</v>
      </c>
      <c r="C59" s="43" t="s">
        <v>42</v>
      </c>
      <c r="D59" s="44" t="s">
        <v>43</v>
      </c>
      <c r="E59" s="44" t="s">
        <v>89</v>
      </c>
      <c r="F59" s="45">
        <v>2</v>
      </c>
      <c r="G59" s="46">
        <v>4160</v>
      </c>
      <c r="H59" s="46">
        <f t="shared" si="2"/>
        <v>8320</v>
      </c>
    </row>
    <row r="60" spans="1:8" s="17" customFormat="1" x14ac:dyDescent="0.3">
      <c r="A60" s="24">
        <v>45483</v>
      </c>
      <c r="B60" s="25" t="s">
        <v>91</v>
      </c>
      <c r="C60" s="25" t="s">
        <v>42</v>
      </c>
      <c r="D60" s="26" t="s">
        <v>43</v>
      </c>
      <c r="E60" s="26" t="s">
        <v>92</v>
      </c>
      <c r="F60" s="27">
        <v>2</v>
      </c>
      <c r="G60" s="28">
        <v>4160</v>
      </c>
      <c r="H60" s="28">
        <f t="shared" si="2"/>
        <v>8320</v>
      </c>
    </row>
    <row r="61" spans="1:8" s="17" customFormat="1" x14ac:dyDescent="0.3">
      <c r="A61" s="24">
        <v>45483</v>
      </c>
      <c r="B61" s="25" t="s">
        <v>93</v>
      </c>
      <c r="C61" s="25" t="s">
        <v>42</v>
      </c>
      <c r="D61" s="26" t="s">
        <v>43</v>
      </c>
      <c r="E61" s="26" t="s">
        <v>92</v>
      </c>
      <c r="F61" s="27">
        <v>2</v>
      </c>
      <c r="G61" s="28">
        <v>4160</v>
      </c>
      <c r="H61" s="28">
        <f t="shared" si="2"/>
        <v>8320</v>
      </c>
    </row>
    <row r="62" spans="1:8" x14ac:dyDescent="0.3">
      <c r="A62" s="42">
        <v>45483</v>
      </c>
      <c r="B62" s="43" t="s">
        <v>94</v>
      </c>
      <c r="C62" s="43" t="s">
        <v>42</v>
      </c>
      <c r="D62" s="44" t="s">
        <v>43</v>
      </c>
      <c r="E62" s="44" t="s">
        <v>95</v>
      </c>
      <c r="F62" s="45">
        <v>2</v>
      </c>
      <c r="G62" s="46">
        <v>4160</v>
      </c>
      <c r="H62" s="46">
        <f t="shared" si="2"/>
        <v>8320</v>
      </c>
    </row>
    <row r="63" spans="1:8" x14ac:dyDescent="0.3">
      <c r="A63" s="42">
        <v>45483</v>
      </c>
      <c r="B63" s="43" t="s">
        <v>96</v>
      </c>
      <c r="C63" s="43" t="s">
        <v>42</v>
      </c>
      <c r="D63" s="44" t="s">
        <v>43</v>
      </c>
      <c r="E63" s="44" t="s">
        <v>95</v>
      </c>
      <c r="F63" s="45">
        <v>2</v>
      </c>
      <c r="G63" s="46">
        <v>4160</v>
      </c>
      <c r="H63" s="46">
        <f t="shared" si="2"/>
        <v>8320</v>
      </c>
    </row>
    <row r="64" spans="1:8" x14ac:dyDescent="0.3">
      <c r="A64" s="42">
        <v>45483</v>
      </c>
      <c r="B64" s="43" t="s">
        <v>97</v>
      </c>
      <c r="C64" s="43" t="s">
        <v>42</v>
      </c>
      <c r="D64" s="44" t="s">
        <v>43</v>
      </c>
      <c r="E64" s="44" t="s">
        <v>95</v>
      </c>
      <c r="F64" s="45">
        <v>2</v>
      </c>
      <c r="G64" s="46">
        <v>4160</v>
      </c>
      <c r="H64" s="46">
        <f t="shared" si="2"/>
        <v>8320</v>
      </c>
    </row>
    <row r="65" spans="1:10" s="17" customFormat="1" x14ac:dyDescent="0.3">
      <c r="A65" s="24">
        <v>45483</v>
      </c>
      <c r="B65" s="25" t="s">
        <v>98</v>
      </c>
      <c r="C65" s="25" t="s">
        <v>42</v>
      </c>
      <c r="D65" s="26" t="s">
        <v>43</v>
      </c>
      <c r="E65" s="26" t="s">
        <v>82</v>
      </c>
      <c r="F65" s="27">
        <v>1</v>
      </c>
      <c r="G65" s="28">
        <v>4160</v>
      </c>
      <c r="H65" s="28">
        <f t="shared" si="2"/>
        <v>4160</v>
      </c>
    </row>
    <row r="66" spans="1:10" x14ac:dyDescent="0.3">
      <c r="A66" s="42">
        <v>45572</v>
      </c>
      <c r="B66" s="43" t="s">
        <v>99</v>
      </c>
      <c r="C66" s="43" t="s">
        <v>42</v>
      </c>
      <c r="D66" s="44" t="s">
        <v>43</v>
      </c>
      <c r="E66" s="44" t="s">
        <v>100</v>
      </c>
      <c r="F66" s="45">
        <v>4</v>
      </c>
      <c r="G66" s="46">
        <v>4160</v>
      </c>
      <c r="H66" s="46">
        <f>G66*F66</f>
        <v>16640</v>
      </c>
    </row>
    <row r="67" spans="1:10" x14ac:dyDescent="0.3">
      <c r="A67" s="42">
        <v>45572</v>
      </c>
      <c r="B67" s="43" t="s">
        <v>101</v>
      </c>
      <c r="C67" s="43" t="s">
        <v>42</v>
      </c>
      <c r="D67" s="44" t="s">
        <v>43</v>
      </c>
      <c r="E67" s="44" t="s">
        <v>102</v>
      </c>
      <c r="F67" s="45">
        <v>2</v>
      </c>
      <c r="G67" s="46">
        <v>4160</v>
      </c>
      <c r="H67" s="46">
        <f t="shared" si="2"/>
        <v>8320</v>
      </c>
    </row>
    <row r="68" spans="1:10" x14ac:dyDescent="0.3">
      <c r="A68" s="42">
        <v>45572</v>
      </c>
      <c r="B68" s="43" t="s">
        <v>103</v>
      </c>
      <c r="C68" s="43" t="s">
        <v>42</v>
      </c>
      <c r="D68" s="44" t="s">
        <v>43</v>
      </c>
      <c r="E68" s="44" t="s">
        <v>100</v>
      </c>
      <c r="F68" s="45">
        <v>2</v>
      </c>
      <c r="G68" s="46">
        <v>4160</v>
      </c>
      <c r="H68" s="46">
        <f t="shared" si="2"/>
        <v>8320</v>
      </c>
    </row>
    <row r="69" spans="1:10" x14ac:dyDescent="0.3">
      <c r="A69" s="42">
        <v>45572</v>
      </c>
      <c r="B69" s="43" t="s">
        <v>104</v>
      </c>
      <c r="C69" s="43" t="s">
        <v>42</v>
      </c>
      <c r="D69" s="44" t="s">
        <v>43</v>
      </c>
      <c r="E69" s="44" t="s">
        <v>105</v>
      </c>
      <c r="F69" s="45">
        <v>2</v>
      </c>
      <c r="G69" s="46">
        <v>4160</v>
      </c>
      <c r="H69" s="46">
        <f t="shared" si="2"/>
        <v>8320</v>
      </c>
    </row>
    <row r="70" spans="1:10" x14ac:dyDescent="0.3">
      <c r="A70" s="42">
        <v>45572</v>
      </c>
      <c r="B70" s="43" t="s">
        <v>106</v>
      </c>
      <c r="C70" s="43" t="s">
        <v>42</v>
      </c>
      <c r="D70" s="44" t="s">
        <v>43</v>
      </c>
      <c r="E70" s="44" t="s">
        <v>107</v>
      </c>
      <c r="F70" s="45">
        <v>2</v>
      </c>
      <c r="G70" s="46">
        <v>4160</v>
      </c>
      <c r="H70" s="46">
        <f t="shared" si="2"/>
        <v>8320</v>
      </c>
    </row>
    <row r="71" spans="1:10" x14ac:dyDescent="0.3">
      <c r="A71" s="42">
        <v>45572</v>
      </c>
      <c r="B71" s="43" t="s">
        <v>108</v>
      </c>
      <c r="C71" s="43" t="s">
        <v>42</v>
      </c>
      <c r="D71" s="44" t="s">
        <v>43</v>
      </c>
      <c r="E71" s="44" t="s">
        <v>102</v>
      </c>
      <c r="F71" s="45">
        <v>2</v>
      </c>
      <c r="G71" s="46">
        <v>4160</v>
      </c>
      <c r="H71" s="46">
        <f t="shared" si="2"/>
        <v>8320</v>
      </c>
    </row>
    <row r="72" spans="1:10" x14ac:dyDescent="0.3">
      <c r="A72" s="47"/>
      <c r="B72" s="48"/>
      <c r="C72" s="48"/>
      <c r="D72" s="49"/>
      <c r="E72" s="49"/>
      <c r="F72" s="50">
        <f>SUM(F33:F71)</f>
        <v>83</v>
      </c>
      <c r="G72" s="51" t="s">
        <v>109</v>
      </c>
      <c r="H72" s="51">
        <f>SUM(H33:H71)</f>
        <v>345280</v>
      </c>
      <c r="J72" s="41"/>
    </row>
    <row r="75" spans="1:10" x14ac:dyDescent="0.3">
      <c r="E75" s="39" t="s">
        <v>111</v>
      </c>
      <c r="F75" s="83">
        <f>E30+F72</f>
        <v>214</v>
      </c>
    </row>
    <row r="76" spans="1:10" x14ac:dyDescent="0.3">
      <c r="E76" s="52"/>
    </row>
    <row r="77" spans="1:10" x14ac:dyDescent="0.3">
      <c r="E77" s="39" t="s">
        <v>112</v>
      </c>
      <c r="F77" s="37">
        <f>G30+H72</f>
        <v>1109835.9126271429</v>
      </c>
    </row>
    <row r="80" spans="1:10" x14ac:dyDescent="0.3">
      <c r="E80" s="39" t="s">
        <v>125</v>
      </c>
      <c r="F80" s="84">
        <v>83</v>
      </c>
    </row>
    <row r="82" spans="5:6" x14ac:dyDescent="0.3">
      <c r="E82" s="39" t="s">
        <v>112</v>
      </c>
      <c r="F82" s="37">
        <v>466073.10464542854</v>
      </c>
    </row>
  </sheetData>
  <autoFilter ref="A1:G30" xr:uid="{144AE3E6-EA36-49C2-9F1D-5EBF2477AFF9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7331-A14A-43F1-9C27-1302A7351F02}">
  <dimension ref="A1:J44"/>
  <sheetViews>
    <sheetView showGridLines="0" topLeftCell="A29" workbookViewId="0">
      <selection activeCell="G40" sqref="G40"/>
    </sheetView>
  </sheetViews>
  <sheetFormatPr defaultRowHeight="14.4" x14ac:dyDescent="0.3"/>
  <cols>
    <col min="1" max="1" width="40.33203125" style="7" bestFit="1" customWidth="1"/>
    <col min="2" max="2" width="29.5546875" style="7" bestFit="1" customWidth="1"/>
    <col min="3" max="3" width="15.88671875" style="7" bestFit="1" customWidth="1"/>
    <col min="4" max="4" width="14" style="7" bestFit="1" customWidth="1"/>
    <col min="5" max="5" width="24.109375" style="7" bestFit="1" customWidth="1"/>
    <col min="6" max="6" width="15.5546875" style="7" bestFit="1" customWidth="1"/>
    <col min="7" max="7" width="14" style="7" bestFit="1" customWidth="1"/>
    <col min="8" max="9" width="14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110</v>
      </c>
    </row>
    <row r="2" spans="1:9" s="17" customFormat="1" x14ac:dyDescent="0.3">
      <c r="A2" s="12" t="s">
        <v>11</v>
      </c>
      <c r="B2" s="13" t="s">
        <v>8</v>
      </c>
      <c r="C2" s="14">
        <v>5</v>
      </c>
      <c r="D2" s="14"/>
      <c r="E2" s="14">
        <f t="shared" ref="E2:E10" si="0">C2+D2</f>
        <v>5</v>
      </c>
      <c r="F2" s="15">
        <v>5660.4407039999996</v>
      </c>
      <c r="G2" s="16">
        <f>F2*C2</f>
        <v>28302.203519999999</v>
      </c>
      <c r="H2" s="23">
        <f>F2*C2</f>
        <v>28302.203519999999</v>
      </c>
    </row>
    <row r="3" spans="1:9" s="17" customFormat="1" x14ac:dyDescent="0.3">
      <c r="A3" s="12" t="s">
        <v>11</v>
      </c>
      <c r="B3" s="13" t="s">
        <v>12</v>
      </c>
      <c r="C3" s="14">
        <v>5</v>
      </c>
      <c r="D3" s="14"/>
      <c r="E3" s="14">
        <f t="shared" si="0"/>
        <v>5</v>
      </c>
      <c r="F3" s="15">
        <v>6705.3527999999997</v>
      </c>
      <c r="G3" s="16">
        <f t="shared" ref="G3:G9" si="1">F3*E3</f>
        <v>33526.763999999996</v>
      </c>
      <c r="H3" s="23">
        <f>F3*C3</f>
        <v>33526.763999999996</v>
      </c>
    </row>
    <row r="4" spans="1:9" s="17" customFormat="1" x14ac:dyDescent="0.3">
      <c r="A4" s="18" t="s">
        <v>15</v>
      </c>
      <c r="B4" s="13" t="s">
        <v>8</v>
      </c>
      <c r="C4" s="14">
        <v>6</v>
      </c>
      <c r="D4" s="14">
        <v>1</v>
      </c>
      <c r="E4" s="14">
        <f t="shared" si="0"/>
        <v>7</v>
      </c>
      <c r="F4" s="15">
        <v>5654.7911160000003</v>
      </c>
      <c r="G4" s="16">
        <f t="shared" si="1"/>
        <v>39583.537812000002</v>
      </c>
      <c r="H4" s="23">
        <f>F4*C4</f>
        <v>33928.746696000002</v>
      </c>
    </row>
    <row r="5" spans="1:9" s="17" customFormat="1" x14ac:dyDescent="0.3">
      <c r="A5" s="18" t="s">
        <v>17</v>
      </c>
      <c r="B5" s="13" t="s">
        <v>8</v>
      </c>
      <c r="C5" s="14">
        <v>6</v>
      </c>
      <c r="D5" s="14">
        <v>1</v>
      </c>
      <c r="E5" s="14">
        <f t="shared" si="0"/>
        <v>7</v>
      </c>
      <c r="F5" s="15">
        <v>5654.7911160000003</v>
      </c>
      <c r="G5" s="16">
        <f t="shared" si="1"/>
        <v>39583.537812000002</v>
      </c>
      <c r="H5" s="23">
        <f>F5*C5</f>
        <v>33928.746696000002</v>
      </c>
      <c r="I5" s="21"/>
    </row>
    <row r="6" spans="1:9" s="17" customFormat="1" x14ac:dyDescent="0.3">
      <c r="A6" s="12" t="s">
        <v>19</v>
      </c>
      <c r="B6" s="19" t="s">
        <v>8</v>
      </c>
      <c r="C6" s="14">
        <v>5</v>
      </c>
      <c r="D6" s="14"/>
      <c r="E6" s="14">
        <f t="shared" si="0"/>
        <v>5</v>
      </c>
      <c r="F6" s="15">
        <v>5660.4407039999996</v>
      </c>
      <c r="G6" s="16">
        <f t="shared" si="1"/>
        <v>28302.203519999999</v>
      </c>
      <c r="H6" s="23">
        <f t="shared" ref="H6:H8" si="2">F6*C6</f>
        <v>28302.203519999999</v>
      </c>
    </row>
    <row r="7" spans="1:9" s="17" customFormat="1" x14ac:dyDescent="0.3">
      <c r="A7" s="12" t="s">
        <v>19</v>
      </c>
      <c r="B7" s="19" t="s">
        <v>12</v>
      </c>
      <c r="C7" s="14">
        <v>5</v>
      </c>
      <c r="D7" s="14"/>
      <c r="E7" s="14">
        <f t="shared" si="0"/>
        <v>5</v>
      </c>
      <c r="F7" s="15">
        <v>6705.3527999999988</v>
      </c>
      <c r="G7" s="16">
        <f t="shared" si="1"/>
        <v>33526.763999999996</v>
      </c>
      <c r="H7" s="23">
        <f>F7*C7</f>
        <v>33526.763999999996</v>
      </c>
    </row>
    <row r="8" spans="1:9" s="17" customFormat="1" x14ac:dyDescent="0.3">
      <c r="A8" s="18" t="s">
        <v>24</v>
      </c>
      <c r="B8" s="19" t="s">
        <v>8</v>
      </c>
      <c r="C8" s="14">
        <v>6</v>
      </c>
      <c r="D8" s="14">
        <v>1</v>
      </c>
      <c r="E8" s="14">
        <f t="shared" si="0"/>
        <v>7</v>
      </c>
      <c r="F8" s="15">
        <v>5660.4421350000002</v>
      </c>
      <c r="G8" s="16">
        <f t="shared" si="1"/>
        <v>39623.094945000004</v>
      </c>
      <c r="H8" s="23">
        <f t="shared" si="2"/>
        <v>33962.65281</v>
      </c>
    </row>
    <row r="9" spans="1:9" s="17" customFormat="1" x14ac:dyDescent="0.3">
      <c r="A9" s="12" t="s">
        <v>29</v>
      </c>
      <c r="B9" s="13" t="s">
        <v>8</v>
      </c>
      <c r="C9" s="14">
        <v>5</v>
      </c>
      <c r="D9" s="14"/>
      <c r="E9" s="14">
        <f t="shared" si="0"/>
        <v>5</v>
      </c>
      <c r="F9" s="15">
        <v>5660.442</v>
      </c>
      <c r="G9" s="16">
        <f t="shared" si="1"/>
        <v>28302.21</v>
      </c>
      <c r="H9" s="23">
        <f>F9*C9</f>
        <v>28302.21</v>
      </c>
    </row>
    <row r="10" spans="1:9" s="17" customFormat="1" x14ac:dyDescent="0.3">
      <c r="A10" s="12" t="s">
        <v>29</v>
      </c>
      <c r="B10" s="13" t="s">
        <v>12</v>
      </c>
      <c r="C10" s="14">
        <v>5</v>
      </c>
      <c r="D10" s="14"/>
      <c r="E10" s="14">
        <f t="shared" si="0"/>
        <v>5</v>
      </c>
      <c r="F10" s="15">
        <v>6705.3527999999988</v>
      </c>
      <c r="G10" s="16">
        <f>F10*E10</f>
        <v>33526.763999999996</v>
      </c>
      <c r="H10" s="23">
        <f>F10*C10</f>
        <v>33526.763999999996</v>
      </c>
    </row>
    <row r="11" spans="1:9" s="17" customFormat="1" x14ac:dyDescent="0.3">
      <c r="A11" s="12" t="s">
        <v>30</v>
      </c>
      <c r="B11" s="13" t="s">
        <v>8</v>
      </c>
      <c r="C11" s="14">
        <v>5</v>
      </c>
      <c r="D11" s="14"/>
      <c r="E11" s="14">
        <f>C11+D11</f>
        <v>5</v>
      </c>
      <c r="F11" s="15">
        <v>6249</v>
      </c>
      <c r="G11" s="16">
        <f>F11*E11</f>
        <v>31245</v>
      </c>
      <c r="H11" s="23">
        <f>F11*C11</f>
        <v>31245</v>
      </c>
    </row>
    <row r="12" spans="1:9" s="17" customFormat="1" x14ac:dyDescent="0.3">
      <c r="A12" s="18" t="s">
        <v>31</v>
      </c>
      <c r="B12" s="19" t="s">
        <v>8</v>
      </c>
      <c r="C12" s="14">
        <v>7</v>
      </c>
      <c r="D12" s="20"/>
      <c r="E12" s="14">
        <v>7</v>
      </c>
      <c r="F12" s="15">
        <v>5660.4419760000001</v>
      </c>
      <c r="G12" s="16">
        <f>F12*E12</f>
        <v>39623.093831999999</v>
      </c>
      <c r="H12" s="23">
        <f>F12*C12</f>
        <v>39623.093831999999</v>
      </c>
    </row>
    <row r="13" spans="1:9" s="17" customFormat="1" x14ac:dyDescent="0.3">
      <c r="A13" s="18" t="s">
        <v>31</v>
      </c>
      <c r="B13" s="19" t="s">
        <v>12</v>
      </c>
      <c r="C13" s="14">
        <v>1</v>
      </c>
      <c r="D13" s="20"/>
      <c r="E13" s="14">
        <v>1</v>
      </c>
      <c r="F13" s="15">
        <v>6759.3755714285699</v>
      </c>
      <c r="G13" s="16">
        <f>F13*E13</f>
        <v>6759.3755714285699</v>
      </c>
      <c r="H13" s="23">
        <f>F13*C13</f>
        <v>6759.3755714285699</v>
      </c>
    </row>
    <row r="14" spans="1:9" s="17" customFormat="1" x14ac:dyDescent="0.3">
      <c r="A14" s="12" t="s">
        <v>32</v>
      </c>
      <c r="B14" s="19" t="s">
        <v>8</v>
      </c>
      <c r="C14" s="14">
        <v>3</v>
      </c>
      <c r="D14" s="20"/>
      <c r="E14" s="14">
        <v>3</v>
      </c>
      <c r="F14" s="15">
        <v>7366.19333333333</v>
      </c>
      <c r="G14" s="16">
        <f>F14*3</f>
        <v>22098.579999999991</v>
      </c>
      <c r="H14" s="23">
        <f>F14*C14</f>
        <v>22098.579999999991</v>
      </c>
    </row>
    <row r="15" spans="1:9" x14ac:dyDescent="0.3">
      <c r="C15" s="8">
        <f>SUM(C2:C14)</f>
        <v>64</v>
      </c>
      <c r="D15" s="8">
        <f t="shared" ref="D15:E15" si="3">SUM(D2:D14)</f>
        <v>3</v>
      </c>
      <c r="E15" s="8">
        <f t="shared" si="3"/>
        <v>67</v>
      </c>
      <c r="G15" s="9">
        <f>SUM(G2:G14)</f>
        <v>404003.12901242857</v>
      </c>
      <c r="H15" s="62">
        <f>SUM(H2:H14)</f>
        <v>387033.10464542854</v>
      </c>
      <c r="I15" s="22"/>
    </row>
    <row r="16" spans="1:9" x14ac:dyDescent="0.3">
      <c r="F16" s="10"/>
      <c r="G16" s="10"/>
    </row>
    <row r="20" spans="1:8" ht="41.4" x14ac:dyDescent="0.3">
      <c r="A20" s="11" t="s">
        <v>33</v>
      </c>
      <c r="B20" s="11" t="s">
        <v>34</v>
      </c>
      <c r="C20" s="11" t="s">
        <v>35</v>
      </c>
      <c r="D20" s="11" t="s">
        <v>36</v>
      </c>
      <c r="E20" s="11" t="s">
        <v>37</v>
      </c>
      <c r="F20" s="11" t="s">
        <v>38</v>
      </c>
      <c r="G20" s="11" t="s">
        <v>39</v>
      </c>
      <c r="H20" s="11" t="s">
        <v>40</v>
      </c>
    </row>
    <row r="21" spans="1:8" s="17" customFormat="1" x14ac:dyDescent="0.3">
      <c r="A21" s="24">
        <v>45300</v>
      </c>
      <c r="B21" s="25" t="s">
        <v>47</v>
      </c>
      <c r="C21" s="25" t="s">
        <v>42</v>
      </c>
      <c r="D21" s="26" t="s">
        <v>43</v>
      </c>
      <c r="E21" s="26" t="s">
        <v>92</v>
      </c>
      <c r="F21" s="27">
        <v>2</v>
      </c>
      <c r="G21" s="28">
        <v>4160</v>
      </c>
      <c r="H21" s="28">
        <f t="shared" ref="H21:H29" si="4">G21*F21</f>
        <v>8320</v>
      </c>
    </row>
    <row r="22" spans="1:8" s="17" customFormat="1" x14ac:dyDescent="0.3">
      <c r="A22" s="24">
        <v>45483</v>
      </c>
      <c r="B22" s="25" t="s">
        <v>81</v>
      </c>
      <c r="C22" s="25" t="s">
        <v>42</v>
      </c>
      <c r="D22" s="26" t="s">
        <v>43</v>
      </c>
      <c r="E22" s="26" t="s">
        <v>82</v>
      </c>
      <c r="F22" s="27">
        <v>2</v>
      </c>
      <c r="G22" s="28">
        <v>4160</v>
      </c>
      <c r="H22" s="28">
        <f t="shared" si="4"/>
        <v>8320</v>
      </c>
    </row>
    <row r="23" spans="1:8" s="17" customFormat="1" x14ac:dyDescent="0.3">
      <c r="A23" s="24">
        <v>45483</v>
      </c>
      <c r="B23" s="25" t="s">
        <v>83</v>
      </c>
      <c r="C23" s="25" t="s">
        <v>42</v>
      </c>
      <c r="D23" s="26" t="s">
        <v>43</v>
      </c>
      <c r="E23" s="26" t="s">
        <v>82</v>
      </c>
      <c r="F23" s="27">
        <v>2</v>
      </c>
      <c r="G23" s="28">
        <v>4160</v>
      </c>
      <c r="H23" s="28">
        <f t="shared" si="4"/>
        <v>8320</v>
      </c>
    </row>
    <row r="24" spans="1:8" s="17" customFormat="1" x14ac:dyDescent="0.3">
      <c r="A24" s="24">
        <v>45483</v>
      </c>
      <c r="B24" s="25" t="s">
        <v>84</v>
      </c>
      <c r="C24" s="25" t="s">
        <v>42</v>
      </c>
      <c r="D24" s="26" t="s">
        <v>43</v>
      </c>
      <c r="E24" s="26" t="s">
        <v>82</v>
      </c>
      <c r="F24" s="27">
        <v>3</v>
      </c>
      <c r="G24" s="28">
        <v>4160</v>
      </c>
      <c r="H24" s="28">
        <f>G24*F24</f>
        <v>12480</v>
      </c>
    </row>
    <row r="25" spans="1:8" s="17" customFormat="1" x14ac:dyDescent="0.3">
      <c r="A25" s="24">
        <v>45483</v>
      </c>
      <c r="B25" s="25" t="s">
        <v>85</v>
      </c>
      <c r="C25" s="25" t="s">
        <v>42</v>
      </c>
      <c r="D25" s="26" t="s">
        <v>43</v>
      </c>
      <c r="E25" s="26" t="s">
        <v>82</v>
      </c>
      <c r="F25" s="27">
        <v>2</v>
      </c>
      <c r="G25" s="28">
        <v>4160</v>
      </c>
      <c r="H25" s="28">
        <f>G25*F25</f>
        <v>8320</v>
      </c>
    </row>
    <row r="26" spans="1:8" s="17" customFormat="1" x14ac:dyDescent="0.3">
      <c r="A26" s="24">
        <v>45483</v>
      </c>
      <c r="B26" s="25" t="s">
        <v>86</v>
      </c>
      <c r="C26" s="25" t="s">
        <v>42</v>
      </c>
      <c r="D26" s="26" t="s">
        <v>43</v>
      </c>
      <c r="E26" s="26" t="s">
        <v>87</v>
      </c>
      <c r="F26" s="27">
        <v>3</v>
      </c>
      <c r="G26" s="28">
        <v>4160</v>
      </c>
      <c r="H26" s="28">
        <f>G26*F26</f>
        <v>12480</v>
      </c>
    </row>
    <row r="27" spans="1:8" s="17" customFormat="1" x14ac:dyDescent="0.3">
      <c r="A27" s="24">
        <v>45483</v>
      </c>
      <c r="B27" s="25" t="s">
        <v>91</v>
      </c>
      <c r="C27" s="25" t="s">
        <v>42</v>
      </c>
      <c r="D27" s="26" t="s">
        <v>43</v>
      </c>
      <c r="E27" s="26" t="s">
        <v>92</v>
      </c>
      <c r="F27" s="27">
        <v>2</v>
      </c>
      <c r="G27" s="28">
        <v>4160</v>
      </c>
      <c r="H27" s="28">
        <f t="shared" si="4"/>
        <v>8320</v>
      </c>
    </row>
    <row r="28" spans="1:8" s="17" customFormat="1" x14ac:dyDescent="0.3">
      <c r="A28" s="24">
        <v>45483</v>
      </c>
      <c r="B28" s="25" t="s">
        <v>93</v>
      </c>
      <c r="C28" s="25" t="s">
        <v>42</v>
      </c>
      <c r="D28" s="26" t="s">
        <v>43</v>
      </c>
      <c r="E28" s="26" t="s">
        <v>92</v>
      </c>
      <c r="F28" s="27">
        <v>2</v>
      </c>
      <c r="G28" s="28">
        <v>4160</v>
      </c>
      <c r="H28" s="28">
        <f t="shared" si="4"/>
        <v>8320</v>
      </c>
    </row>
    <row r="29" spans="1:8" s="17" customFormat="1" x14ac:dyDescent="0.3">
      <c r="A29" s="24">
        <v>45483</v>
      </c>
      <c r="B29" s="25" t="s">
        <v>98</v>
      </c>
      <c r="C29" s="25" t="s">
        <v>42</v>
      </c>
      <c r="D29" s="26" t="s">
        <v>43</v>
      </c>
      <c r="E29" s="26" t="s">
        <v>82</v>
      </c>
      <c r="F29" s="27">
        <v>1</v>
      </c>
      <c r="G29" s="28">
        <v>4160</v>
      </c>
      <c r="H29" s="28">
        <f t="shared" si="4"/>
        <v>4160</v>
      </c>
    </row>
    <row r="30" spans="1:8" x14ac:dyDescent="0.3">
      <c r="F30" s="29">
        <f>SUM(F21:F29)</f>
        <v>19</v>
      </c>
      <c r="H30" s="62">
        <f>SUM(H21:H29)</f>
        <v>79040</v>
      </c>
    </row>
    <row r="32" spans="1:8" x14ac:dyDescent="0.3">
      <c r="B32" s="73" t="s">
        <v>134</v>
      </c>
      <c r="C32" s="75">
        <f>'CENARIO ATUAL BOA E AVENIDA'!E30+'CENARIO ATUAL BOA E AVENIDA'!F72</f>
        <v>214</v>
      </c>
      <c r="E32" s="73" t="s">
        <v>133</v>
      </c>
      <c r="F32" s="74">
        <f>'CENARIO ATUAL BOA E AVENIDA'!F77</f>
        <v>1109835.9126271429</v>
      </c>
    </row>
    <row r="33" spans="1:10" x14ac:dyDescent="0.3">
      <c r="D33" s="65"/>
    </row>
    <row r="34" spans="1:10" x14ac:dyDescent="0.3">
      <c r="B34" s="71" t="s">
        <v>127</v>
      </c>
      <c r="C34" s="76">
        <f>F30+C15</f>
        <v>83</v>
      </c>
      <c r="D34" s="66">
        <f>C34/C32</f>
        <v>0.38785046728971961</v>
      </c>
      <c r="E34" s="71" t="s">
        <v>126</v>
      </c>
      <c r="F34" s="72">
        <f>H15+H30</f>
        <v>466073.10464542854</v>
      </c>
      <c r="G34" s="66">
        <f>F34/F32</f>
        <v>0.4199477592522356</v>
      </c>
      <c r="H34" s="22"/>
    </row>
    <row r="35" spans="1:10" x14ac:dyDescent="0.3">
      <c r="D35" s="65"/>
      <c r="G35" s="65"/>
    </row>
    <row r="36" spans="1:10" x14ac:dyDescent="0.3">
      <c r="B36" s="6" t="s">
        <v>135</v>
      </c>
      <c r="C36" s="63">
        <f>C32-C34</f>
        <v>131</v>
      </c>
      <c r="D36" s="66">
        <f>C36/C32</f>
        <v>0.61214953271028039</v>
      </c>
      <c r="E36" s="6" t="s">
        <v>130</v>
      </c>
      <c r="F36" s="5">
        <f>'CENARIO ATUAL BOA E AVENIDA'!F77-REDUÇÃO!F34</f>
        <v>643762.80798171437</v>
      </c>
      <c r="G36" s="66">
        <f>F36/F32</f>
        <v>0.58005224074776451</v>
      </c>
      <c r="H36" s="77" t="s">
        <v>131</v>
      </c>
      <c r="I36" s="78">
        <f>'CENARIO ATUAL BOA E AVENIDA'!G30-REDUÇÃO!H15</f>
        <v>377522.8079817142</v>
      </c>
      <c r="J36" s="79">
        <f>I36/F40</f>
        <v>0.34920806625403705</v>
      </c>
    </row>
    <row r="37" spans="1:10" x14ac:dyDescent="0.3">
      <c r="J37" s="59"/>
    </row>
    <row r="38" spans="1:10" x14ac:dyDescent="0.3">
      <c r="E38" s="6" t="s">
        <v>128</v>
      </c>
      <c r="F38" s="68">
        <v>1547155.83</v>
      </c>
      <c r="G38" s="66"/>
      <c r="H38" s="77" t="s">
        <v>132</v>
      </c>
      <c r="I38" s="78">
        <f>'CENARIO ATUAL BOA E AVENIDA'!H72-REDUÇÃO!H30</f>
        <v>266240</v>
      </c>
      <c r="J38" s="79">
        <f>I38/F40</f>
        <v>0.24627162543243772</v>
      </c>
    </row>
    <row r="40" spans="1:10" x14ac:dyDescent="0.3">
      <c r="E40" s="69" t="s">
        <v>129</v>
      </c>
      <c r="F40" s="70">
        <f>F38-F34</f>
        <v>1081082.7253545716</v>
      </c>
      <c r="G40" s="66">
        <f>F40/F38</f>
        <v>0.69875490522151962</v>
      </c>
    </row>
    <row r="41" spans="1:10" x14ac:dyDescent="0.3">
      <c r="A41"/>
      <c r="B41"/>
      <c r="C41"/>
    </row>
    <row r="42" spans="1:10" x14ac:dyDescent="0.3">
      <c r="A42"/>
      <c r="B42"/>
      <c r="C42"/>
      <c r="F42" s="67"/>
    </row>
    <row r="43" spans="1:10" x14ac:dyDescent="0.3">
      <c r="A43"/>
      <c r="B43"/>
      <c r="C43"/>
      <c r="F43" s="64"/>
    </row>
    <row r="44" spans="1:10" x14ac:dyDescent="0.3">
      <c r="A44"/>
      <c r="B44"/>
      <c r="C44"/>
    </row>
  </sheetData>
  <autoFilter ref="A20:H29" xr:uid="{1AF97331-A14A-43F1-9C27-1302A7351F02}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3254-E4BA-42C0-90C4-843F4624F733}">
  <dimension ref="A1:F24"/>
  <sheetViews>
    <sheetView showGridLines="0" workbookViewId="0">
      <selection activeCell="J18" sqref="J18"/>
    </sheetView>
  </sheetViews>
  <sheetFormatPr defaultRowHeight="14.4" x14ac:dyDescent="0.3"/>
  <cols>
    <col min="1" max="1" width="40.33203125" bestFit="1" customWidth="1"/>
    <col min="2" max="2" width="40.33203125" customWidth="1"/>
    <col min="3" max="3" width="10" bestFit="1" customWidth="1"/>
    <col min="4" max="4" width="15.88671875" bestFit="1" customWidth="1"/>
    <col min="5" max="5" width="15.77734375" bestFit="1" customWidth="1"/>
    <col min="6" max="6" width="15.44140625" bestFit="1" customWidth="1"/>
  </cols>
  <sheetData>
    <row r="1" spans="1:6" x14ac:dyDescent="0.3">
      <c r="A1" s="1" t="s">
        <v>0</v>
      </c>
      <c r="B1" s="1" t="s">
        <v>113</v>
      </c>
      <c r="C1" s="1" t="s">
        <v>1</v>
      </c>
      <c r="D1" s="2" t="s">
        <v>2</v>
      </c>
      <c r="E1" s="1" t="s">
        <v>124</v>
      </c>
      <c r="F1" s="1" t="s">
        <v>110</v>
      </c>
    </row>
    <row r="2" spans="1:6" x14ac:dyDescent="0.3">
      <c r="A2" s="56" t="s">
        <v>11</v>
      </c>
      <c r="B2" s="19" t="s">
        <v>114</v>
      </c>
      <c r="C2" s="13" t="s">
        <v>8</v>
      </c>
      <c r="D2" s="14">
        <v>5</v>
      </c>
      <c r="E2" s="15">
        <v>5660.4407039999996</v>
      </c>
      <c r="F2" s="23">
        <v>28302.203519999999</v>
      </c>
    </row>
    <row r="3" spans="1:6" x14ac:dyDescent="0.3">
      <c r="A3" s="56" t="s">
        <v>11</v>
      </c>
      <c r="B3" s="19" t="s">
        <v>114</v>
      </c>
      <c r="C3" s="13" t="s">
        <v>12</v>
      </c>
      <c r="D3" s="14">
        <v>5</v>
      </c>
      <c r="E3" s="15">
        <v>6705.3527999999997</v>
      </c>
      <c r="F3" s="23">
        <v>33526.763999999996</v>
      </c>
    </row>
    <row r="4" spans="1:6" x14ac:dyDescent="0.3">
      <c r="A4" s="57" t="s">
        <v>15</v>
      </c>
      <c r="B4" s="55" t="s">
        <v>115</v>
      </c>
      <c r="C4" s="13" t="s">
        <v>8</v>
      </c>
      <c r="D4" s="14">
        <v>6</v>
      </c>
      <c r="E4" s="15">
        <v>5654.7911160000003</v>
      </c>
      <c r="F4" s="23">
        <v>33928.746696000002</v>
      </c>
    </row>
    <row r="5" spans="1:6" x14ac:dyDescent="0.3">
      <c r="A5" s="57" t="s">
        <v>17</v>
      </c>
      <c r="B5" s="55" t="s">
        <v>116</v>
      </c>
      <c r="C5" s="13" t="s">
        <v>8</v>
      </c>
      <c r="D5" s="14">
        <v>6</v>
      </c>
      <c r="E5" s="15">
        <v>5654.7911160000003</v>
      </c>
      <c r="F5" s="23">
        <v>33928.746696000002</v>
      </c>
    </row>
    <row r="6" spans="1:6" x14ac:dyDescent="0.3">
      <c r="A6" s="56" t="s">
        <v>19</v>
      </c>
      <c r="B6" s="55" t="s">
        <v>117</v>
      </c>
      <c r="C6" s="19" t="s">
        <v>8</v>
      </c>
      <c r="D6" s="14">
        <v>5</v>
      </c>
      <c r="E6" s="15">
        <v>5660.4407039999996</v>
      </c>
      <c r="F6" s="23">
        <v>28302.203519999999</v>
      </c>
    </row>
    <row r="7" spans="1:6" x14ac:dyDescent="0.3">
      <c r="A7" s="56" t="s">
        <v>19</v>
      </c>
      <c r="B7" s="55" t="s">
        <v>117</v>
      </c>
      <c r="C7" s="19" t="s">
        <v>12</v>
      </c>
      <c r="D7" s="14">
        <v>5</v>
      </c>
      <c r="E7" s="15">
        <v>6705.3527999999988</v>
      </c>
      <c r="F7" s="23">
        <v>33526.763999999996</v>
      </c>
    </row>
    <row r="8" spans="1:6" x14ac:dyDescent="0.3">
      <c r="A8" s="57" t="s">
        <v>24</v>
      </c>
      <c r="B8" s="55" t="s">
        <v>118</v>
      </c>
      <c r="C8" s="19" t="s">
        <v>8</v>
      </c>
      <c r="D8" s="14">
        <v>6</v>
      </c>
      <c r="E8" s="15">
        <v>5660.4421350000002</v>
      </c>
      <c r="F8" s="23">
        <v>33962.65281</v>
      </c>
    </row>
    <row r="9" spans="1:6" x14ac:dyDescent="0.3">
      <c r="A9" s="56" t="s">
        <v>29</v>
      </c>
      <c r="B9" s="55" t="s">
        <v>119</v>
      </c>
      <c r="C9" s="13" t="s">
        <v>8</v>
      </c>
      <c r="D9" s="14">
        <v>5</v>
      </c>
      <c r="E9" s="15">
        <v>5660.442</v>
      </c>
      <c r="F9" s="23">
        <v>28302.21</v>
      </c>
    </row>
    <row r="10" spans="1:6" x14ac:dyDescent="0.3">
      <c r="A10" s="56" t="s">
        <v>29</v>
      </c>
      <c r="B10" s="55" t="s">
        <v>119</v>
      </c>
      <c r="C10" s="13" t="s">
        <v>12</v>
      </c>
      <c r="D10" s="14">
        <v>5</v>
      </c>
      <c r="E10" s="15">
        <v>6705.3527999999988</v>
      </c>
      <c r="F10" s="23">
        <v>33526.763999999996</v>
      </c>
    </row>
    <row r="11" spans="1:6" x14ac:dyDescent="0.3">
      <c r="A11" s="56" t="s">
        <v>30</v>
      </c>
      <c r="B11" s="55" t="s">
        <v>120</v>
      </c>
      <c r="C11" s="13" t="s">
        <v>8</v>
      </c>
      <c r="D11" s="14">
        <v>5</v>
      </c>
      <c r="E11" s="15">
        <v>6249</v>
      </c>
      <c r="F11" s="23">
        <v>31245</v>
      </c>
    </row>
    <row r="12" spans="1:6" x14ac:dyDescent="0.3">
      <c r="A12" s="57" t="s">
        <v>31</v>
      </c>
      <c r="B12" s="55" t="s">
        <v>121</v>
      </c>
      <c r="C12" s="19" t="s">
        <v>8</v>
      </c>
      <c r="D12" s="14">
        <v>7</v>
      </c>
      <c r="E12" s="15">
        <v>5660.4419760000001</v>
      </c>
      <c r="F12" s="23">
        <v>39623.093831999999</v>
      </c>
    </row>
    <row r="13" spans="1:6" x14ac:dyDescent="0.3">
      <c r="A13" s="57" t="s">
        <v>31</v>
      </c>
      <c r="B13" s="55" t="s">
        <v>121</v>
      </c>
      <c r="C13" s="19" t="s">
        <v>12</v>
      </c>
      <c r="D13" s="14">
        <v>1</v>
      </c>
      <c r="E13" s="15">
        <v>6759.3755714285699</v>
      </c>
      <c r="F13" s="23">
        <v>6759.3755714285699</v>
      </c>
    </row>
    <row r="14" spans="1:6" x14ac:dyDescent="0.3">
      <c r="A14" s="56" t="s">
        <v>32</v>
      </c>
      <c r="B14" s="55" t="s">
        <v>122</v>
      </c>
      <c r="C14" s="19" t="s">
        <v>8</v>
      </c>
      <c r="D14" s="14">
        <v>3</v>
      </c>
      <c r="E14" s="15">
        <v>7366.19333333333</v>
      </c>
      <c r="F14" s="23">
        <v>22098.579999999991</v>
      </c>
    </row>
    <row r="15" spans="1:6" x14ac:dyDescent="0.3">
      <c r="A15" s="58" t="s">
        <v>123</v>
      </c>
      <c r="B15" s="26" t="s">
        <v>92</v>
      </c>
      <c r="C15" s="19" t="s">
        <v>8</v>
      </c>
      <c r="D15" s="27">
        <v>2</v>
      </c>
      <c r="E15" s="28">
        <v>4160</v>
      </c>
      <c r="F15" s="28">
        <v>8320</v>
      </c>
    </row>
    <row r="16" spans="1:6" x14ac:dyDescent="0.3">
      <c r="A16" s="58" t="s">
        <v>81</v>
      </c>
      <c r="B16" s="26" t="s">
        <v>82</v>
      </c>
      <c r="C16" s="19" t="s">
        <v>8</v>
      </c>
      <c r="D16" s="27">
        <v>2</v>
      </c>
      <c r="E16" s="28">
        <v>4160</v>
      </c>
      <c r="F16" s="28">
        <v>8320</v>
      </c>
    </row>
    <row r="17" spans="1:6" x14ac:dyDescent="0.3">
      <c r="A17" s="58" t="s">
        <v>83</v>
      </c>
      <c r="B17" s="26" t="s">
        <v>82</v>
      </c>
      <c r="C17" s="19" t="s">
        <v>8</v>
      </c>
      <c r="D17" s="27">
        <v>2</v>
      </c>
      <c r="E17" s="28">
        <v>4160</v>
      </c>
      <c r="F17" s="28">
        <v>8320</v>
      </c>
    </row>
    <row r="18" spans="1:6" x14ac:dyDescent="0.3">
      <c r="A18" s="58" t="s">
        <v>84</v>
      </c>
      <c r="B18" s="26" t="s">
        <v>82</v>
      </c>
      <c r="C18" s="19" t="s">
        <v>8</v>
      </c>
      <c r="D18" s="27">
        <v>3</v>
      </c>
      <c r="E18" s="28">
        <v>4160</v>
      </c>
      <c r="F18" s="28">
        <v>12480</v>
      </c>
    </row>
    <row r="19" spans="1:6" x14ac:dyDescent="0.3">
      <c r="A19" s="58" t="s">
        <v>85</v>
      </c>
      <c r="B19" s="26" t="s">
        <v>82</v>
      </c>
      <c r="C19" s="19" t="s">
        <v>8</v>
      </c>
      <c r="D19" s="27">
        <v>2</v>
      </c>
      <c r="E19" s="28">
        <v>4160</v>
      </c>
      <c r="F19" s="28">
        <v>8320</v>
      </c>
    </row>
    <row r="20" spans="1:6" x14ac:dyDescent="0.3">
      <c r="A20" s="58" t="s">
        <v>86</v>
      </c>
      <c r="B20" s="26" t="s">
        <v>87</v>
      </c>
      <c r="C20" s="19" t="s">
        <v>8</v>
      </c>
      <c r="D20" s="27">
        <v>3</v>
      </c>
      <c r="E20" s="28">
        <v>4160</v>
      </c>
      <c r="F20" s="28">
        <v>12480</v>
      </c>
    </row>
    <row r="21" spans="1:6" x14ac:dyDescent="0.3">
      <c r="A21" s="58" t="s">
        <v>91</v>
      </c>
      <c r="B21" s="26" t="s">
        <v>92</v>
      </c>
      <c r="C21" s="19" t="s">
        <v>8</v>
      </c>
      <c r="D21" s="27">
        <v>2</v>
      </c>
      <c r="E21" s="28">
        <v>4160</v>
      </c>
      <c r="F21" s="28">
        <v>8320</v>
      </c>
    </row>
    <row r="22" spans="1:6" x14ac:dyDescent="0.3">
      <c r="A22" s="58" t="s">
        <v>93</v>
      </c>
      <c r="B22" s="26" t="s">
        <v>92</v>
      </c>
      <c r="C22" s="19" t="s">
        <v>8</v>
      </c>
      <c r="D22" s="27">
        <v>2</v>
      </c>
      <c r="E22" s="28">
        <v>4160</v>
      </c>
      <c r="F22" s="28">
        <v>8320</v>
      </c>
    </row>
    <row r="23" spans="1:6" x14ac:dyDescent="0.3">
      <c r="A23" s="58" t="s">
        <v>98</v>
      </c>
      <c r="B23" s="26" t="s">
        <v>82</v>
      </c>
      <c r="C23" s="19" t="s">
        <v>8</v>
      </c>
      <c r="D23" s="27">
        <v>1</v>
      </c>
      <c r="E23" s="28">
        <v>4160</v>
      </c>
      <c r="F23" s="28">
        <v>4160</v>
      </c>
    </row>
    <row r="24" spans="1:6" x14ac:dyDescent="0.3">
      <c r="C24" s="81"/>
      <c r="D24" s="82">
        <f>SUM(D2:D23)</f>
        <v>83</v>
      </c>
      <c r="E24" s="81"/>
      <c r="F24" s="80">
        <f>SUM(F2:F23)</f>
        <v>466073.10464542854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5A25-26D1-4A76-83ED-276DDA87EFEE}">
  <dimension ref="A1:G34"/>
  <sheetViews>
    <sheetView topLeftCell="A10" workbookViewId="0">
      <selection activeCell="J21" sqref="J21"/>
    </sheetView>
  </sheetViews>
  <sheetFormatPr defaultRowHeight="14.4" x14ac:dyDescent="0.3"/>
  <cols>
    <col min="1" max="1" width="40.33203125" bestFit="1" customWidth="1"/>
    <col min="2" max="2" width="11.21875" bestFit="1" customWidth="1"/>
    <col min="3" max="3" width="15.88671875" bestFit="1" customWidth="1"/>
    <col min="4" max="4" width="14" bestFit="1" customWidth="1"/>
    <col min="5" max="5" width="15.44140625" bestFit="1" customWidth="1"/>
    <col min="6" max="6" width="12" bestFit="1" customWidth="1"/>
    <col min="7" max="7" width="14.109375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 spans="1:7" x14ac:dyDescent="0.3">
      <c r="A2" s="30" t="s">
        <v>7</v>
      </c>
      <c r="B2" s="31" t="s">
        <v>8</v>
      </c>
      <c r="C2" s="32">
        <v>5</v>
      </c>
      <c r="D2" s="32"/>
      <c r="E2" s="32">
        <f>C2+D2</f>
        <v>5</v>
      </c>
      <c r="F2" s="33">
        <v>5654.7945503999999</v>
      </c>
      <c r="G2" s="34">
        <f>F2*E2</f>
        <v>28273.972752000001</v>
      </c>
    </row>
    <row r="3" spans="1:7" x14ac:dyDescent="0.3">
      <c r="A3" s="30" t="s">
        <v>9</v>
      </c>
      <c r="B3" s="31" t="s">
        <v>8</v>
      </c>
      <c r="C3" s="32">
        <v>2</v>
      </c>
      <c r="D3" s="32"/>
      <c r="E3" s="32">
        <f t="shared" ref="E3:E25" si="0">C3+D3</f>
        <v>2</v>
      </c>
      <c r="F3" s="33">
        <v>5660.4407039999996</v>
      </c>
      <c r="G3" s="34">
        <f t="shared" ref="G3:G24" si="1">F3*E3</f>
        <v>11320.881407999999</v>
      </c>
    </row>
    <row r="4" spans="1:7" x14ac:dyDescent="0.3">
      <c r="A4" s="36" t="s">
        <v>10</v>
      </c>
      <c r="B4" s="31" t="s">
        <v>8</v>
      </c>
      <c r="C4" s="32">
        <v>6</v>
      </c>
      <c r="D4" s="32">
        <v>1</v>
      </c>
      <c r="E4" s="32">
        <f t="shared" si="0"/>
        <v>7</v>
      </c>
      <c r="F4" s="37">
        <v>5660.4421350000002</v>
      </c>
      <c r="G4" s="34">
        <f t="shared" si="1"/>
        <v>39623.094945000004</v>
      </c>
    </row>
    <row r="5" spans="1:7" x14ac:dyDescent="0.3">
      <c r="A5" s="12" t="s">
        <v>11</v>
      </c>
      <c r="B5" s="13" t="s">
        <v>8</v>
      </c>
      <c r="C5" s="14">
        <v>0</v>
      </c>
      <c r="D5" s="14"/>
      <c r="E5" s="14">
        <f t="shared" si="0"/>
        <v>0</v>
      </c>
      <c r="F5" s="15">
        <v>5660.4407039999996</v>
      </c>
      <c r="G5" s="16">
        <f t="shared" si="1"/>
        <v>0</v>
      </c>
    </row>
    <row r="6" spans="1:7" x14ac:dyDescent="0.3">
      <c r="A6" s="12" t="s">
        <v>11</v>
      </c>
      <c r="B6" s="13" t="s">
        <v>12</v>
      </c>
      <c r="C6" s="14">
        <v>0</v>
      </c>
      <c r="D6" s="14"/>
      <c r="E6" s="14">
        <f t="shared" si="0"/>
        <v>0</v>
      </c>
      <c r="F6" s="15">
        <v>6705.3527999999997</v>
      </c>
      <c r="G6" s="16">
        <f t="shared" si="1"/>
        <v>0</v>
      </c>
    </row>
    <row r="7" spans="1:7" x14ac:dyDescent="0.3">
      <c r="A7" s="36" t="s">
        <v>13</v>
      </c>
      <c r="B7" s="31" t="s">
        <v>8</v>
      </c>
      <c r="C7" s="32">
        <v>6</v>
      </c>
      <c r="D7" s="32"/>
      <c r="E7" s="32">
        <f t="shared" si="0"/>
        <v>6</v>
      </c>
      <c r="F7" s="33">
        <v>5654.7902982857104</v>
      </c>
      <c r="G7" s="34">
        <f t="shared" si="1"/>
        <v>33928.741789714259</v>
      </c>
    </row>
    <row r="8" spans="1:7" x14ac:dyDescent="0.3">
      <c r="A8" s="36" t="s">
        <v>14</v>
      </c>
      <c r="B8" s="38" t="s">
        <v>8</v>
      </c>
      <c r="C8" s="32">
        <v>2</v>
      </c>
      <c r="D8" s="32"/>
      <c r="E8" s="32">
        <f t="shared" si="0"/>
        <v>2</v>
      </c>
      <c r="F8" s="33">
        <v>5660.4407039999996</v>
      </c>
      <c r="G8" s="34">
        <f t="shared" si="1"/>
        <v>11320.881407999999</v>
      </c>
    </row>
    <row r="9" spans="1:7" x14ac:dyDescent="0.3">
      <c r="A9" s="18" t="s">
        <v>15</v>
      </c>
      <c r="B9" s="13" t="s">
        <v>8</v>
      </c>
      <c r="C9" s="14">
        <v>0</v>
      </c>
      <c r="D9" s="14">
        <v>1</v>
      </c>
      <c r="E9" s="14">
        <f t="shared" si="0"/>
        <v>1</v>
      </c>
      <c r="F9" s="15">
        <v>5654.7911160000003</v>
      </c>
      <c r="G9" s="16">
        <f t="shared" si="1"/>
        <v>5654.7911160000003</v>
      </c>
    </row>
    <row r="10" spans="1:7" x14ac:dyDescent="0.3">
      <c r="A10" s="30" t="s">
        <v>16</v>
      </c>
      <c r="B10" s="31" t="s">
        <v>8</v>
      </c>
      <c r="C10" s="32">
        <v>5</v>
      </c>
      <c r="D10" s="32"/>
      <c r="E10" s="32">
        <f t="shared" si="0"/>
        <v>5</v>
      </c>
      <c r="F10" s="33">
        <v>5668.3283759999995</v>
      </c>
      <c r="G10" s="34">
        <f t="shared" si="1"/>
        <v>28341.641879999996</v>
      </c>
    </row>
    <row r="11" spans="1:7" x14ac:dyDescent="0.3">
      <c r="A11" s="18" t="s">
        <v>17</v>
      </c>
      <c r="B11" s="13" t="s">
        <v>8</v>
      </c>
      <c r="C11" s="14">
        <v>0</v>
      </c>
      <c r="D11" s="14">
        <v>1</v>
      </c>
      <c r="E11" s="14">
        <f t="shared" si="0"/>
        <v>1</v>
      </c>
      <c r="F11" s="15">
        <v>5654.7911160000003</v>
      </c>
      <c r="G11" s="16">
        <f t="shared" si="1"/>
        <v>5654.7911160000003</v>
      </c>
    </row>
    <row r="12" spans="1:7" x14ac:dyDescent="0.3">
      <c r="A12" s="30" t="s">
        <v>18</v>
      </c>
      <c r="B12" s="38" t="s">
        <v>8</v>
      </c>
      <c r="C12" s="32">
        <v>2</v>
      </c>
      <c r="D12" s="32"/>
      <c r="E12" s="32">
        <f t="shared" si="0"/>
        <v>2</v>
      </c>
      <c r="F12" s="33">
        <v>5660.4407039999996</v>
      </c>
      <c r="G12" s="34">
        <f t="shared" si="1"/>
        <v>11320.881407999999</v>
      </c>
    </row>
    <row r="13" spans="1:7" x14ac:dyDescent="0.3">
      <c r="A13" s="12" t="s">
        <v>19</v>
      </c>
      <c r="B13" s="19" t="s">
        <v>8</v>
      </c>
      <c r="C13" s="14">
        <v>0</v>
      </c>
      <c r="D13" s="14"/>
      <c r="E13" s="14">
        <f t="shared" si="0"/>
        <v>0</v>
      </c>
      <c r="F13" s="15">
        <v>5660.4407039999996</v>
      </c>
      <c r="G13" s="16">
        <f t="shared" si="1"/>
        <v>0</v>
      </c>
    </row>
    <row r="14" spans="1:7" x14ac:dyDescent="0.3">
      <c r="A14" s="12" t="s">
        <v>19</v>
      </c>
      <c r="B14" s="19" t="s">
        <v>12</v>
      </c>
      <c r="C14" s="14">
        <v>0</v>
      </c>
      <c r="D14" s="14"/>
      <c r="E14" s="14">
        <f t="shared" si="0"/>
        <v>0</v>
      </c>
      <c r="F14" s="15">
        <v>6705.3527999999988</v>
      </c>
      <c r="G14" s="16">
        <f t="shared" si="1"/>
        <v>0</v>
      </c>
    </row>
    <row r="15" spans="1:7" x14ac:dyDescent="0.3">
      <c r="A15" s="30" t="s">
        <v>20</v>
      </c>
      <c r="B15" s="31" t="s">
        <v>8</v>
      </c>
      <c r="C15" s="32">
        <v>5</v>
      </c>
      <c r="D15" s="32"/>
      <c r="E15" s="32">
        <f t="shared" si="0"/>
        <v>5</v>
      </c>
      <c r="F15" s="33">
        <v>5654.7945503999999</v>
      </c>
      <c r="G15" s="34">
        <f t="shared" si="1"/>
        <v>28273.972752000001</v>
      </c>
    </row>
    <row r="16" spans="1:7" x14ac:dyDescent="0.3">
      <c r="A16" s="30" t="s">
        <v>21</v>
      </c>
      <c r="B16" s="31" t="s">
        <v>8</v>
      </c>
      <c r="C16" s="32">
        <v>5</v>
      </c>
      <c r="D16" s="32"/>
      <c r="E16" s="32">
        <f t="shared" si="0"/>
        <v>5</v>
      </c>
      <c r="F16" s="33">
        <v>5660.4407039999996</v>
      </c>
      <c r="G16" s="34">
        <f t="shared" si="1"/>
        <v>28302.203519999999</v>
      </c>
    </row>
    <row r="17" spans="1:7" x14ac:dyDescent="0.3">
      <c r="A17" s="18" t="s">
        <v>22</v>
      </c>
      <c r="B17" s="19" t="s">
        <v>8</v>
      </c>
      <c r="C17" s="14">
        <v>7</v>
      </c>
      <c r="D17" s="14"/>
      <c r="E17" s="14">
        <f t="shared" si="0"/>
        <v>7</v>
      </c>
      <c r="F17" s="15">
        <v>5660.4419760000001</v>
      </c>
      <c r="G17" s="16">
        <f t="shared" si="1"/>
        <v>39623.093831999999</v>
      </c>
    </row>
    <row r="18" spans="1:7" x14ac:dyDescent="0.3">
      <c r="A18" s="12" t="s">
        <v>22</v>
      </c>
      <c r="B18" s="19" t="s">
        <v>23</v>
      </c>
      <c r="C18" s="14"/>
      <c r="D18" s="14">
        <v>1</v>
      </c>
      <c r="E18" s="14">
        <f t="shared" si="0"/>
        <v>1</v>
      </c>
      <c r="F18" s="60">
        <v>3995.9243999999999</v>
      </c>
      <c r="G18" s="16">
        <f t="shared" si="1"/>
        <v>3995.9243999999999</v>
      </c>
    </row>
    <row r="19" spans="1:7" x14ac:dyDescent="0.3">
      <c r="A19" s="18" t="s">
        <v>24</v>
      </c>
      <c r="B19" s="19" t="s">
        <v>8</v>
      </c>
      <c r="C19" s="14">
        <v>0</v>
      </c>
      <c r="D19" s="14">
        <v>1</v>
      </c>
      <c r="E19" s="14">
        <f t="shared" si="0"/>
        <v>1</v>
      </c>
      <c r="F19" s="15">
        <v>5660.4421350000002</v>
      </c>
      <c r="G19" s="16">
        <f t="shared" si="1"/>
        <v>5660.4421350000002</v>
      </c>
    </row>
    <row r="20" spans="1:7" x14ac:dyDescent="0.3">
      <c r="A20" s="30" t="s">
        <v>25</v>
      </c>
      <c r="B20" s="31" t="s">
        <v>8</v>
      </c>
      <c r="C20" s="32">
        <v>5</v>
      </c>
      <c r="D20" s="32"/>
      <c r="E20" s="32">
        <f t="shared" si="0"/>
        <v>5</v>
      </c>
      <c r="F20" s="33">
        <v>5660.4400000000005</v>
      </c>
      <c r="G20" s="34">
        <f t="shared" si="1"/>
        <v>28302.200000000004</v>
      </c>
    </row>
    <row r="21" spans="1:7" x14ac:dyDescent="0.3">
      <c r="A21" s="30" t="s">
        <v>26</v>
      </c>
      <c r="B21" s="38" t="s">
        <v>8</v>
      </c>
      <c r="C21" s="32">
        <v>2</v>
      </c>
      <c r="D21" s="32"/>
      <c r="E21" s="32">
        <f t="shared" si="0"/>
        <v>2</v>
      </c>
      <c r="F21" s="33">
        <v>5660.44</v>
      </c>
      <c r="G21" s="34">
        <f t="shared" si="1"/>
        <v>11320.88</v>
      </c>
    </row>
    <row r="22" spans="1:7" x14ac:dyDescent="0.3">
      <c r="A22" s="30" t="s">
        <v>27</v>
      </c>
      <c r="B22" s="38" t="s">
        <v>8</v>
      </c>
      <c r="C22" s="32">
        <v>5</v>
      </c>
      <c r="D22" s="32"/>
      <c r="E22" s="32">
        <f t="shared" si="0"/>
        <v>5</v>
      </c>
      <c r="F22" s="33">
        <v>5660.442</v>
      </c>
      <c r="G22" s="34">
        <f t="shared" si="1"/>
        <v>28302.21</v>
      </c>
    </row>
    <row r="23" spans="1:7" x14ac:dyDescent="0.3">
      <c r="A23" s="30" t="s">
        <v>28</v>
      </c>
      <c r="B23" s="38" t="s">
        <v>8</v>
      </c>
      <c r="C23" s="32">
        <v>5</v>
      </c>
      <c r="D23" s="32"/>
      <c r="E23" s="32">
        <f t="shared" si="0"/>
        <v>5</v>
      </c>
      <c r="F23" s="33">
        <v>5660.4407039999996</v>
      </c>
      <c r="G23" s="34">
        <f t="shared" si="1"/>
        <v>28302.203519999999</v>
      </c>
    </row>
    <row r="24" spans="1:7" x14ac:dyDescent="0.3">
      <c r="A24" s="12" t="s">
        <v>29</v>
      </c>
      <c r="B24" s="13" t="s">
        <v>8</v>
      </c>
      <c r="C24" s="14">
        <v>0</v>
      </c>
      <c r="D24" s="14"/>
      <c r="E24" s="14">
        <f t="shared" si="0"/>
        <v>0</v>
      </c>
      <c r="F24" s="15">
        <v>5660.442</v>
      </c>
      <c r="G24" s="16">
        <f t="shared" si="1"/>
        <v>0</v>
      </c>
    </row>
    <row r="25" spans="1:7" x14ac:dyDescent="0.3">
      <c r="A25" s="12" t="s">
        <v>29</v>
      </c>
      <c r="B25" s="13" t="s">
        <v>12</v>
      </c>
      <c r="C25" s="14">
        <v>0</v>
      </c>
      <c r="D25" s="14"/>
      <c r="E25" s="14">
        <f t="shared" si="0"/>
        <v>0</v>
      </c>
      <c r="F25" s="15">
        <v>6705.3527999999988</v>
      </c>
      <c r="G25" s="16">
        <f>F25*E25</f>
        <v>0</v>
      </c>
    </row>
    <row r="26" spans="1:7" x14ac:dyDescent="0.3">
      <c r="A26" s="12" t="s">
        <v>30</v>
      </c>
      <c r="B26" s="13" t="s">
        <v>8</v>
      </c>
      <c r="C26" s="14">
        <v>0</v>
      </c>
      <c r="D26" s="14"/>
      <c r="E26" s="14">
        <f>C26+D26</f>
        <v>0</v>
      </c>
      <c r="F26" s="15">
        <v>6249</v>
      </c>
      <c r="G26" s="16">
        <f>F26*E26</f>
        <v>0</v>
      </c>
    </row>
    <row r="27" spans="1:7" x14ac:dyDescent="0.3">
      <c r="A27" s="18" t="s">
        <v>31</v>
      </c>
      <c r="B27" s="19" t="s">
        <v>8</v>
      </c>
      <c r="C27" s="14">
        <v>0</v>
      </c>
      <c r="D27" s="20"/>
      <c r="E27" s="14">
        <v>0</v>
      </c>
      <c r="F27" s="15">
        <v>5660.4419760000001</v>
      </c>
      <c r="G27" s="16">
        <f>F27*E27</f>
        <v>0</v>
      </c>
    </row>
    <row r="28" spans="1:7" x14ac:dyDescent="0.3">
      <c r="A28" s="18" t="s">
        <v>31</v>
      </c>
      <c r="B28" s="19" t="s">
        <v>12</v>
      </c>
      <c r="C28" s="14">
        <v>0</v>
      </c>
      <c r="D28" s="20"/>
      <c r="E28" s="14">
        <v>0</v>
      </c>
      <c r="F28" s="15">
        <v>6759.3755714285699</v>
      </c>
      <c r="G28" s="16">
        <f>F28*E28</f>
        <v>0</v>
      </c>
    </row>
    <row r="29" spans="1:7" x14ac:dyDescent="0.3">
      <c r="A29" s="12" t="s">
        <v>32</v>
      </c>
      <c r="B29" s="19" t="s">
        <v>8</v>
      </c>
      <c r="C29" s="14">
        <v>0</v>
      </c>
      <c r="D29" s="20"/>
      <c r="E29" s="14">
        <v>0</v>
      </c>
      <c r="F29" s="15">
        <v>7366.19333333333</v>
      </c>
      <c r="G29" s="16">
        <f>F29*E29</f>
        <v>0</v>
      </c>
    </row>
    <row r="30" spans="1:7" x14ac:dyDescent="0.3">
      <c r="G30" s="61">
        <f>SUM(G2:G29)</f>
        <v>377522.80798171432</v>
      </c>
    </row>
    <row r="32" spans="1:7" x14ac:dyDescent="0.3">
      <c r="G32" s="22">
        <v>266240</v>
      </c>
    </row>
    <row r="34" spans="7:7" x14ac:dyDescent="0.3">
      <c r="G34" s="61">
        <f>G30+G32</f>
        <v>643762.80798171437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CENARIO ATUAL BOA E AVENIDA</vt:lpstr>
      <vt:lpstr>REDUÇÃO</vt:lpstr>
      <vt:lpstr>Planilha3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Rocha</dc:creator>
  <cp:lastModifiedBy>Pamela Rocha</cp:lastModifiedBy>
  <dcterms:created xsi:type="dcterms:W3CDTF">2025-10-09T14:57:23Z</dcterms:created>
  <dcterms:modified xsi:type="dcterms:W3CDTF">2025-10-09T17:19:51Z</dcterms:modified>
</cp:coreProperties>
</file>